
<file path=[Content_Types].xml><?xml version="1.0" encoding="utf-8"?>
<Types xmlns="http://schemas.openxmlformats.org/package/2006/content-types">
  <Default Extension="bin" ContentType="application/vnd.openxmlformats-officedocument.spreadsheetml.printerSettings"/>
  <Default Extension="gif" ContentType="image/gif"/>
  <Default Extension="rels" ContentType="application/vnd.openxmlformats-package.relationships+xml"/>
  <Default Extension="xml" ContentType="application/xml"/>
  <Override PartName="/xl/workbook.xml" ContentType="application/vnd.ms-excel.sheet.macroEnabled.main+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ichValueRel.xml" ContentType="application/vnd.ms-excel.richvaluerel+xml"/>
  <Override PartName="/xl/richData/rdrichvalue.xml" ContentType="application/vnd.ms-excel.rdrichvalue+xml"/>
  <Override PartName="/xl/richData/rdrichvaluestructure.xml" ContentType="application/vnd.ms-excel.rdrichvaluestructure+xml"/>
  <Override PartName="/xl/richData/rdRichValueTypes.xml" ContentType="application/vnd.ms-excel.rdrichvaluetype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drawings/drawing10.xml" ContentType="application/vnd.openxmlformats-officedocument.drawing+xml"/>
  <Override PartName="/xl/drawings/drawing11.xml" ContentType="application/vnd.openxmlformats-officedocument.drawing+xml"/>
  <Override PartName="/xl/drawings/drawing12.xml" ContentType="application/vnd.openxmlformats-officedocument.drawing+xml"/>
  <Override PartName="/xl/drawings/drawing13.xml" ContentType="application/vnd.openxmlformats-officedocument.drawing+xml"/>
  <Override PartName="/xl/drawings/drawing14.xml" ContentType="application/vnd.openxmlformats-officedocument.drawing+xml"/>
  <Override PartName="/xl/drawings/drawing15.xml" ContentType="application/vnd.openxmlformats-officedocument.drawing+xml"/>
  <Override PartName="/xl/drawings/drawing16.xml" ContentType="application/vnd.openxmlformats-officedocument.drawing+xml"/>
  <Override PartName="/xl/drawings/drawing17.xml" ContentType="application/vnd.openxmlformats-officedocument.drawing+xml"/>
  <Override PartName="/xl/drawings/drawing18.xml" ContentType="application/vnd.openxmlformats-officedocument.drawing+xml"/>
  <Override PartName="/xl/drawings/drawing19.xml" ContentType="application/vnd.openxmlformats-officedocument.drawing+xml"/>
  <Override PartName="/xl/drawings/drawing20.xml" ContentType="application/vnd.openxmlformats-officedocument.drawing+xml"/>
  <Override PartName="/xl/drawings/drawing21.xml" ContentType="application/vnd.openxmlformats-officedocument.drawing+xml"/>
  <Override PartName="/xl/drawings/drawing22.xml" ContentType="application/vnd.openxmlformats-officedocument.drawing+xml"/>
  <Override PartName="/xl/drawings/drawing23.xml" ContentType="application/vnd.openxmlformats-officedocument.drawing+xml"/>
  <Override PartName="/xl/drawings/drawing24.xml" ContentType="application/vnd.openxmlformats-officedocument.drawing+xml"/>
  <Override PartName="/xl/drawings/drawing25.xml" ContentType="application/vnd.openxmlformats-officedocument.drawing+xml"/>
  <Override PartName="/xl/drawings/drawing26.xml" ContentType="application/vnd.openxmlformats-officedocument.drawing+xml"/>
  <Override PartName="/xl/drawings/drawing27.xml" ContentType="application/vnd.openxmlformats-officedocument.drawing+xml"/>
  <Override PartName="/xl/drawings/drawing28.xml" ContentType="application/vnd.openxmlformats-officedocument.drawing+xml"/>
  <Override PartName="/xl/drawings/drawing29.xml" ContentType="application/vnd.openxmlformats-officedocument.drawing+xml"/>
  <Override PartName="/xl/drawings/drawing30.xml" ContentType="application/vnd.openxmlformats-officedocument.drawing+xml"/>
  <Override PartName="/xl/drawings/drawing31.xml" ContentType="application/vnd.openxmlformats-officedocument.drawing+xml"/>
  <Override PartName="/xl/drawings/drawing32.xml" ContentType="application/vnd.openxmlformats-officedocument.drawing+xml"/>
  <Override PartName="/xl/drawings/drawing33.xml" ContentType="application/vnd.openxmlformats-officedocument.drawing+xml"/>
  <Override PartName="/xl/drawings/drawing34.xml" ContentType="application/vnd.openxmlformats-officedocument.drawing+xml"/>
  <Override PartName="/xl/drawings/drawing35.xml" ContentType="application/vnd.openxmlformats-officedocument.drawin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327" codeName="{00000000-0000-0000-0000-000000000000}"/>
  <workbookPr codeName="ThisWorkbook"/>
  <mc:AlternateContent xmlns:mc="http://schemas.openxmlformats.org/markup-compatibility/2006">
    <mc:Choice Requires="x15">
      <x15ac:absPath xmlns:x15ac="http://schemas.microsoft.com/office/spreadsheetml/2010/11/ac" url="https://nihonsogyo01.sharepoint.com/sites/BULGARI/Shared Documents/4.警備日誌・副防災発報記録/"/>
    </mc:Choice>
  </mc:AlternateContent>
  <xr:revisionPtr revIDLastSave="0" documentId="8_{733C3512-7BEC-4698-9102-285F0A772DA6}" xr6:coauthVersionLast="47" xr6:coauthVersionMax="47" xr10:uidLastSave="{00000000-0000-0000-0000-000000000000}"/>
  <bookViews>
    <workbookView minimized="1" xWindow="1125" yWindow="1125" windowWidth="13935" windowHeight="11295" tabRatio="905" firstSheet="1" activeTab="1" xr2:uid="{AD04D609-74C1-42D2-B034-93BAD1675C49}"/>
  </bookViews>
  <sheets>
    <sheet name="初期値" sheetId="1" r:id="rId1"/>
    <sheet name="配置表" sheetId="2" r:id="rId2"/>
    <sheet name="管制実績" sheetId="72" r:id="rId3"/>
    <sheet name="月次報告書" sheetId="104" r:id="rId4"/>
    <sheet name="6月月報貼付用" sheetId="293" r:id="rId5"/>
    <sheet name="6月警備月報まとめ" sheetId="292" r:id="rId6"/>
    <sheet name="記入例" sheetId="167" r:id="rId7"/>
    <sheet name="カウント" sheetId="3" r:id="rId8"/>
    <sheet name="原本" sheetId="5" r:id="rId9"/>
    <sheet name="1" sheetId="260" r:id="rId10"/>
    <sheet name="2" sheetId="261" r:id="rId11"/>
    <sheet name="3" sheetId="262" r:id="rId12"/>
    <sheet name="4" sheetId="263" r:id="rId13"/>
    <sheet name="5" sheetId="264" r:id="rId14"/>
    <sheet name="6" sheetId="265" r:id="rId15"/>
    <sheet name="7" sheetId="266" r:id="rId16"/>
    <sheet name="8" sheetId="267" r:id="rId17"/>
    <sheet name="9" sheetId="268" r:id="rId18"/>
    <sheet name="10" sheetId="269" r:id="rId19"/>
    <sheet name="11" sheetId="270" r:id="rId20"/>
    <sheet name="12" sheetId="271" r:id="rId21"/>
    <sheet name="13" sheetId="272" r:id="rId22"/>
    <sheet name="14" sheetId="273" r:id="rId23"/>
    <sheet name="15" sheetId="274" r:id="rId24"/>
    <sheet name="16" sheetId="275" r:id="rId25"/>
    <sheet name="17" sheetId="276" r:id="rId26"/>
    <sheet name="18" sheetId="277" r:id="rId27"/>
    <sheet name="19 (2)" sheetId="290" r:id="rId28"/>
    <sheet name="19" sheetId="278" r:id="rId29"/>
    <sheet name="20" sheetId="279" r:id="rId30"/>
    <sheet name="21" sheetId="280" r:id="rId31"/>
    <sheet name="22" sheetId="281" r:id="rId32"/>
    <sheet name="23" sheetId="282" r:id="rId33"/>
    <sheet name="24" sheetId="283" r:id="rId34"/>
    <sheet name="25" sheetId="284" r:id="rId35"/>
    <sheet name="26" sheetId="285" r:id="rId36"/>
    <sheet name="27" sheetId="286" r:id="rId37"/>
    <sheet name="28" sheetId="287" r:id="rId38"/>
    <sheet name="29" sheetId="288" r:id="rId39"/>
    <sheet name="30" sheetId="289" r:id="rId40"/>
  </sheets>
  <externalReferences>
    <externalReference r:id="rId41"/>
  </externalReferences>
  <definedNames>
    <definedName name="_xleta.COUNTIF" hidden="1" xlm="1">#NAME?</definedName>
    <definedName name="_xleta.MATCH" hidden="1" xlm="1">#NAME?</definedName>
    <definedName name="_xlnm.Print_Area" localSheetId="9">'1'!$A$1:$AI$44</definedName>
    <definedName name="_xlnm.Print_Area" localSheetId="18">'10'!$A$1:$AI$86</definedName>
    <definedName name="_xlnm.Print_Area" localSheetId="19">'11'!$A$1:$AI$86</definedName>
    <definedName name="_xlnm.Print_Area" localSheetId="20">'12'!$A$1:$AI$86</definedName>
    <definedName name="_xlnm.Print_Area" localSheetId="21">'13'!$A$1:$AI$86</definedName>
    <definedName name="_xlnm.Print_Area" localSheetId="22">'14'!$A$1:$AI$86</definedName>
    <definedName name="_xlnm.Print_Area" localSheetId="23">'15'!$A$1:$AI$86</definedName>
    <definedName name="_xlnm.Print_Area" localSheetId="24">'16'!$A$1:$AI$86</definedName>
    <definedName name="_xlnm.Print_Area" localSheetId="25">'17'!$A$1:$AI$86</definedName>
    <definedName name="_xlnm.Print_Area" localSheetId="26">'18'!$A$1:$AI$86</definedName>
    <definedName name="_xlnm.Print_Area" localSheetId="28">'19'!$A$1:$AI$86</definedName>
    <definedName name="_xlnm.Print_Area" localSheetId="27">'19 (2)'!$A$1:$AI$86</definedName>
    <definedName name="_xlnm.Print_Area" localSheetId="10">'2'!$A$1:$AI$86</definedName>
    <definedName name="_xlnm.Print_Area" localSheetId="29">'20'!$A$1:$AI$86</definedName>
    <definedName name="_xlnm.Print_Area" localSheetId="30">'21'!$A$1:$AI$86</definedName>
    <definedName name="_xlnm.Print_Area" localSheetId="31">'22'!$A$1:$AI$86</definedName>
    <definedName name="_xlnm.Print_Area" localSheetId="32">'23'!$A$1:$AI$86</definedName>
    <definedName name="_xlnm.Print_Area" localSheetId="33">'24'!$A$1:$AI$86</definedName>
    <definedName name="_xlnm.Print_Area" localSheetId="34">'25'!$A$1:$AI$86</definedName>
    <definedName name="_xlnm.Print_Area" localSheetId="35">'26'!$A$1:$AI$86</definedName>
    <definedName name="_xlnm.Print_Area" localSheetId="36">'27'!$A$1:$AI$86</definedName>
    <definedName name="_xlnm.Print_Area" localSheetId="37">'28'!$A$1:$AI$86</definedName>
    <definedName name="_xlnm.Print_Area" localSheetId="38">'29'!$A$1:$AI$86</definedName>
    <definedName name="_xlnm.Print_Area" localSheetId="11">'3'!$A$1:$AI$86</definedName>
    <definedName name="_xlnm.Print_Area" localSheetId="39">'30'!$A$1:$AI$44</definedName>
    <definedName name="_xlnm.Print_Area" localSheetId="12">'4'!$A$1:$AI$86</definedName>
    <definedName name="_xlnm.Print_Area" localSheetId="13">'5'!$A$1:$AI$86</definedName>
    <definedName name="_xlnm.Print_Area" localSheetId="14">'6'!$A$1:$AI$86</definedName>
    <definedName name="_xlnm.Print_Area" localSheetId="4">'6月月報貼付用'!$A$1:$AI$127</definedName>
    <definedName name="_xlnm.Print_Area" localSheetId="15">'7'!$A$1:$AI$86</definedName>
    <definedName name="_xlnm.Print_Area" localSheetId="16">'8'!$A$1:$AI$86</definedName>
    <definedName name="_xlnm.Print_Area" localSheetId="17">'9'!$A$1:$AI$86</definedName>
    <definedName name="_xlnm.Print_Area" localSheetId="3">月次報告書!$A$1:$AI$125</definedName>
    <definedName name="_xlnm.Print_Area" localSheetId="8">原本!$A$1:$AI$86</definedName>
    <definedName name="配置">#REF!</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T7" i="104" l="1"/>
  <c r="AD44" i="104" s="1"/>
  <c r="AD85" i="104" s="1"/>
  <c r="A7" i="104"/>
  <c r="G7" i="104" s="1"/>
  <c r="S44" i="104" s="1"/>
  <c r="S85" i="104" s="1"/>
  <c r="W7" i="104" l="1"/>
  <c r="N44" i="104"/>
  <c r="N85" i="104" s="1"/>
  <c r="Q7" i="104"/>
  <c r="AA44" i="104" s="1"/>
  <c r="AA85" i="104" s="1"/>
  <c r="J7" i="104"/>
  <c r="M7" i="104" l="1"/>
  <c r="V44" i="104"/>
  <c r="V85" i="104" s="1"/>
  <c r="W50" i="293" l="1"/>
  <c r="W91" i="293" s="1"/>
  <c r="Z50" i="293"/>
  <c r="Z91" i="293" s="1"/>
  <c r="AC50" i="293"/>
  <c r="AC91" i="293" s="1"/>
  <c r="A7" i="293"/>
  <c r="R50" i="293" s="1"/>
  <c r="R91" i="293" s="1"/>
  <c r="AD41" i="284"/>
  <c r="AA41" i="284"/>
  <c r="W41" i="284"/>
  <c r="AD44" i="286"/>
  <c r="AD44" i="288"/>
  <c r="AD42" i="288"/>
  <c r="AA43" i="281"/>
  <c r="W43" i="281"/>
  <c r="AD44" i="290"/>
  <c r="L44" i="290"/>
  <c r="I44" i="290"/>
  <c r="E44" i="290"/>
  <c r="AD43" i="290"/>
  <c r="L43" i="290"/>
  <c r="I43" i="290"/>
  <c r="E43" i="290"/>
  <c r="AD42" i="290"/>
  <c r="L42" i="290"/>
  <c r="I42" i="290"/>
  <c r="E42" i="290"/>
  <c r="AD41" i="290"/>
  <c r="L41" i="290"/>
  <c r="I41" i="290"/>
  <c r="E41" i="290"/>
  <c r="F33" i="290" a="1"/>
  <c r="W15" i="290"/>
  <c r="J15" i="290"/>
  <c r="AG13" i="290"/>
  <c r="U13" i="290"/>
  <c r="I13" i="290"/>
  <c r="AG12" i="290"/>
  <c r="U12" i="290"/>
  <c r="I12" i="290"/>
  <c r="AG11" i="290"/>
  <c r="U11" i="290"/>
  <c r="I11" i="290"/>
  <c r="AG10" i="290"/>
  <c r="U10" i="290"/>
  <c r="I10" i="290"/>
  <c r="AB7" i="290"/>
  <c r="A7" i="290"/>
  <c r="AU19" i="260"/>
  <c r="AA42" i="281"/>
  <c r="I42" i="281"/>
  <c r="AD44" i="289"/>
  <c r="L44" i="289"/>
  <c r="I44" i="289"/>
  <c r="E44" i="289"/>
  <c r="AD43" i="289"/>
  <c r="L43" i="289"/>
  <c r="I43" i="289"/>
  <c r="E43" i="289"/>
  <c r="AD42" i="289"/>
  <c r="L42" i="289"/>
  <c r="I42" i="289"/>
  <c r="E42" i="289"/>
  <c r="AD41" i="289"/>
  <c r="L41" i="289"/>
  <c r="I41" i="289"/>
  <c r="E41" i="289"/>
  <c r="F33" i="289" a="1"/>
  <c r="W15" i="289"/>
  <c r="J15" i="289"/>
  <c r="AG13" i="289"/>
  <c r="U13" i="289"/>
  <c r="I13" i="289"/>
  <c r="AG12" i="289"/>
  <c r="U12" i="289"/>
  <c r="I12" i="289"/>
  <c r="AG11" i="289"/>
  <c r="U11" i="289"/>
  <c r="I11" i="289"/>
  <c r="AG10" i="289"/>
  <c r="U10" i="289"/>
  <c r="I10" i="289"/>
  <c r="A7" i="289"/>
  <c r="L44" i="288"/>
  <c r="I44" i="288"/>
  <c r="E44" i="288"/>
  <c r="L43" i="288"/>
  <c r="I43" i="288"/>
  <c r="E43" i="288"/>
  <c r="L42" i="288"/>
  <c r="I42" i="288"/>
  <c r="E42" i="288"/>
  <c r="AD41" i="288"/>
  <c r="L41" i="288"/>
  <c r="I41" i="288"/>
  <c r="E41" i="288"/>
  <c r="F33" i="288" a="1"/>
  <c r="W15" i="288"/>
  <c r="J15" i="288"/>
  <c r="AG13" i="288"/>
  <c r="U13" i="288"/>
  <c r="I13" i="288"/>
  <c r="AG12" i="288"/>
  <c r="U12" i="288"/>
  <c r="I12" i="288"/>
  <c r="AG11" i="288"/>
  <c r="U11" i="288"/>
  <c r="I11" i="288"/>
  <c r="AG10" i="288"/>
  <c r="U10" i="288"/>
  <c r="I10" i="288"/>
  <c r="AB7" i="288"/>
  <c r="A7" i="288"/>
  <c r="AD44" i="287"/>
  <c r="L44" i="287"/>
  <c r="I44" i="287"/>
  <c r="E44" i="287"/>
  <c r="AD43" i="287"/>
  <c r="L43" i="287"/>
  <c r="I43" i="287"/>
  <c r="E43" i="287"/>
  <c r="AD42" i="287"/>
  <c r="L42" i="287"/>
  <c r="I42" i="287"/>
  <c r="E42" i="287"/>
  <c r="AD41" i="287"/>
  <c r="L41" i="287"/>
  <c r="I41" i="287"/>
  <c r="E41" i="287"/>
  <c r="F33" i="287" a="1"/>
  <c r="W15" i="287"/>
  <c r="J15" i="287"/>
  <c r="AG13" i="287"/>
  <c r="U13" i="287"/>
  <c r="I13" i="287"/>
  <c r="AG12" i="287"/>
  <c r="U12" i="287"/>
  <c r="I12" i="287"/>
  <c r="AG11" i="287"/>
  <c r="U11" i="287"/>
  <c r="I11" i="287"/>
  <c r="AG10" i="287"/>
  <c r="U10" i="287"/>
  <c r="I10" i="287"/>
  <c r="A7" i="287"/>
  <c r="L44" i="286"/>
  <c r="I44" i="286"/>
  <c r="E44" i="286"/>
  <c r="L43" i="286"/>
  <c r="I43" i="286"/>
  <c r="E43" i="286"/>
  <c r="L42" i="286"/>
  <c r="I42" i="286"/>
  <c r="E42" i="286"/>
  <c r="AD41" i="286"/>
  <c r="L41" i="286"/>
  <c r="I41" i="286"/>
  <c r="E41" i="286"/>
  <c r="F33" i="286" a="1"/>
  <c r="W15" i="286"/>
  <c r="J15" i="286"/>
  <c r="AG13" i="286"/>
  <c r="U13" i="286"/>
  <c r="I13" i="286"/>
  <c r="AG12" i="286"/>
  <c r="U12" i="286"/>
  <c r="I12" i="286"/>
  <c r="AG11" i="286"/>
  <c r="U11" i="286"/>
  <c r="I11" i="286"/>
  <c r="AG10" i="286"/>
  <c r="U10" i="286"/>
  <c r="I10" i="286"/>
  <c r="A7" i="286"/>
  <c r="AD44" i="285"/>
  <c r="L44" i="285"/>
  <c r="I44" i="285"/>
  <c r="E44" i="285"/>
  <c r="AD43" i="285"/>
  <c r="L43" i="285"/>
  <c r="I43" i="285"/>
  <c r="E43" i="285"/>
  <c r="AD42" i="285"/>
  <c r="L42" i="285"/>
  <c r="I42" i="285"/>
  <c r="E42" i="285"/>
  <c r="AD41" i="285"/>
  <c r="L41" i="285"/>
  <c r="I41" i="285"/>
  <c r="E41" i="285"/>
  <c r="F33" i="285" a="1"/>
  <c r="W15" i="285"/>
  <c r="J15" i="285"/>
  <c r="AG13" i="285"/>
  <c r="U13" i="285"/>
  <c r="I13" i="285"/>
  <c r="AG12" i="285"/>
  <c r="U12" i="285"/>
  <c r="I12" i="285"/>
  <c r="AG11" i="285"/>
  <c r="U11" i="285"/>
  <c r="I11" i="285"/>
  <c r="AG10" i="285"/>
  <c r="U10" i="285"/>
  <c r="I10" i="285"/>
  <c r="A7" i="285"/>
  <c r="AD44" i="284"/>
  <c r="L44" i="284"/>
  <c r="I44" i="284"/>
  <c r="E44" i="284"/>
  <c r="L43" i="284"/>
  <c r="I43" i="284"/>
  <c r="E43" i="284"/>
  <c r="L42" i="284"/>
  <c r="I42" i="284"/>
  <c r="E42" i="284"/>
  <c r="L41" i="284"/>
  <c r="I41" i="284"/>
  <c r="E41" i="284"/>
  <c r="F33" i="284" a="1"/>
  <c r="W15" i="284"/>
  <c r="J15" i="284"/>
  <c r="AG13" i="284"/>
  <c r="U13" i="284"/>
  <c r="I13" i="284"/>
  <c r="AG12" i="284"/>
  <c r="U12" i="284"/>
  <c r="I12" i="284"/>
  <c r="AG11" i="284"/>
  <c r="U11" i="284"/>
  <c r="I11" i="284"/>
  <c r="AG10" i="284"/>
  <c r="U10" i="284"/>
  <c r="I10" i="284"/>
  <c r="A7" i="284"/>
  <c r="AD44" i="283"/>
  <c r="L44" i="283"/>
  <c r="I44" i="283"/>
  <c r="E44" i="283"/>
  <c r="AD43" i="283"/>
  <c r="L43" i="283"/>
  <c r="I43" i="283"/>
  <c r="E43" i="283"/>
  <c r="AD42" i="283"/>
  <c r="L42" i="283"/>
  <c r="I42" i="283"/>
  <c r="E42" i="283"/>
  <c r="AD41" i="283"/>
  <c r="L41" i="283"/>
  <c r="I41" i="283"/>
  <c r="E41" i="283"/>
  <c r="F33" i="283" a="1"/>
  <c r="W15" i="283"/>
  <c r="J15" i="283"/>
  <c r="AG13" i="283"/>
  <c r="U13" i="283"/>
  <c r="I13" i="283"/>
  <c r="AG12" i="283"/>
  <c r="U12" i="283"/>
  <c r="I12" i="283"/>
  <c r="AG11" i="283"/>
  <c r="U11" i="283"/>
  <c r="I11" i="283"/>
  <c r="AG10" i="283"/>
  <c r="U10" i="283"/>
  <c r="I10" i="283"/>
  <c r="A7" i="283"/>
  <c r="AD44" i="282"/>
  <c r="L44" i="282"/>
  <c r="I44" i="282"/>
  <c r="E44" i="282"/>
  <c r="AD43" i="282"/>
  <c r="L43" i="282"/>
  <c r="I43" i="282"/>
  <c r="E43" i="282"/>
  <c r="AD42" i="282"/>
  <c r="L42" i="282"/>
  <c r="I42" i="282"/>
  <c r="E42" i="282"/>
  <c r="AD41" i="282"/>
  <c r="L41" i="282"/>
  <c r="I41" i="282"/>
  <c r="E41" i="282"/>
  <c r="F33" i="282" a="1"/>
  <c r="W15" i="282"/>
  <c r="J15" i="282"/>
  <c r="AG13" i="282"/>
  <c r="U13" i="282"/>
  <c r="I13" i="282"/>
  <c r="AG12" i="282"/>
  <c r="U12" i="282"/>
  <c r="I12" i="282"/>
  <c r="AG11" i="282"/>
  <c r="U11" i="282"/>
  <c r="I11" i="282"/>
  <c r="AG10" i="282"/>
  <c r="U10" i="282"/>
  <c r="I10" i="282"/>
  <c r="AB7" i="282"/>
  <c r="A7" i="282"/>
  <c r="AD44" i="281"/>
  <c r="L44" i="281"/>
  <c r="I44" i="281"/>
  <c r="E44" i="281"/>
  <c r="AD43" i="281"/>
  <c r="L43" i="281"/>
  <c r="I43" i="281"/>
  <c r="E43" i="281"/>
  <c r="AD42" i="281"/>
  <c r="L42" i="281"/>
  <c r="E42" i="281"/>
  <c r="AD41" i="281"/>
  <c r="L41" i="281"/>
  <c r="I41" i="281"/>
  <c r="E41" i="281"/>
  <c r="F33" i="281" a="1"/>
  <c r="W15" i="281"/>
  <c r="J15" i="281"/>
  <c r="AG13" i="281"/>
  <c r="U13" i="281"/>
  <c r="I13" i="281"/>
  <c r="AG12" i="281"/>
  <c r="U12" i="281"/>
  <c r="I12" i="281"/>
  <c r="AG11" i="281"/>
  <c r="U11" i="281"/>
  <c r="I11" i="281"/>
  <c r="AG10" i="281"/>
  <c r="U10" i="281"/>
  <c r="I10" i="281"/>
  <c r="A7" i="281"/>
  <c r="AD44" i="280"/>
  <c r="L44" i="280"/>
  <c r="I44" i="280"/>
  <c r="E44" i="280"/>
  <c r="AD43" i="280"/>
  <c r="L43" i="280"/>
  <c r="I43" i="280"/>
  <c r="E43" i="280"/>
  <c r="AD42" i="280"/>
  <c r="L42" i="280"/>
  <c r="I42" i="280"/>
  <c r="E42" i="280"/>
  <c r="AD41" i="280"/>
  <c r="L41" i="280"/>
  <c r="I41" i="280"/>
  <c r="E41" i="280"/>
  <c r="F33" i="280" a="1"/>
  <c r="W15" i="280"/>
  <c r="J15" i="280"/>
  <c r="AG13" i="280"/>
  <c r="U13" i="280"/>
  <c r="I13" i="280"/>
  <c r="AG12" i="280"/>
  <c r="U12" i="280"/>
  <c r="I12" i="280"/>
  <c r="AG11" i="280"/>
  <c r="U11" i="280"/>
  <c r="I11" i="280"/>
  <c r="AG10" i="280"/>
  <c r="U10" i="280"/>
  <c r="I10" i="280"/>
  <c r="AB7" i="280"/>
  <c r="A7" i="280"/>
  <c r="AD44" i="279"/>
  <c r="L44" i="279"/>
  <c r="I44" i="279"/>
  <c r="E44" i="279"/>
  <c r="AD43" i="279"/>
  <c r="L43" i="279"/>
  <c r="I43" i="279"/>
  <c r="E43" i="279"/>
  <c r="AD42" i="279"/>
  <c r="L42" i="279"/>
  <c r="I42" i="279"/>
  <c r="E42" i="279"/>
  <c r="AD41" i="279"/>
  <c r="L41" i="279"/>
  <c r="I41" i="279"/>
  <c r="E41" i="279"/>
  <c r="F33" i="279" a="1"/>
  <c r="W15" i="279"/>
  <c r="J15" i="279"/>
  <c r="AG13" i="279"/>
  <c r="U13" i="279"/>
  <c r="I13" i="279"/>
  <c r="AG12" i="279"/>
  <c r="U12" i="279"/>
  <c r="I12" i="279"/>
  <c r="AG11" i="279"/>
  <c r="U11" i="279"/>
  <c r="I11" i="279"/>
  <c r="AG10" i="279"/>
  <c r="U10" i="279"/>
  <c r="I10" i="279"/>
  <c r="A7" i="279"/>
  <c r="AD44" i="278"/>
  <c r="L44" i="278"/>
  <c r="I44" i="278"/>
  <c r="E44" i="278"/>
  <c r="AD43" i="278"/>
  <c r="L43" i="278"/>
  <c r="I43" i="278"/>
  <c r="E43" i="278"/>
  <c r="AD42" i="278"/>
  <c r="L42" i="278"/>
  <c r="I42" i="278"/>
  <c r="E42" i="278"/>
  <c r="AD41" i="278"/>
  <c r="L41" i="278"/>
  <c r="I41" i="278"/>
  <c r="E41" i="278"/>
  <c r="F33" i="278" a="1"/>
  <c r="W15" i="278"/>
  <c r="J15" i="278"/>
  <c r="AG13" i="278"/>
  <c r="U13" i="278"/>
  <c r="I13" i="278"/>
  <c r="AG12" i="278"/>
  <c r="U12" i="278"/>
  <c r="I12" i="278"/>
  <c r="AG11" i="278"/>
  <c r="U11" i="278"/>
  <c r="I11" i="278"/>
  <c r="AG10" i="278"/>
  <c r="U10" i="278"/>
  <c r="I10" i="278"/>
  <c r="AB7" i="278"/>
  <c r="A7" i="278"/>
  <c r="AD44" i="277"/>
  <c r="L44" i="277"/>
  <c r="I44" i="277"/>
  <c r="E44" i="277"/>
  <c r="AD43" i="277"/>
  <c r="L43" i="277"/>
  <c r="I43" i="277"/>
  <c r="E43" i="277"/>
  <c r="AD42" i="277"/>
  <c r="L42" i="277"/>
  <c r="I42" i="277"/>
  <c r="E42" i="277"/>
  <c r="AD41" i="277"/>
  <c r="L41" i="277"/>
  <c r="I41" i="277"/>
  <c r="E41" i="277"/>
  <c r="F33" i="277" a="1"/>
  <c r="W15" i="277"/>
  <c r="J15" i="277"/>
  <c r="AG13" i="277"/>
  <c r="U13" i="277"/>
  <c r="I13" i="277"/>
  <c r="AG12" i="277"/>
  <c r="U12" i="277"/>
  <c r="I12" i="277"/>
  <c r="AG11" i="277"/>
  <c r="U11" i="277"/>
  <c r="I11" i="277"/>
  <c r="AG10" i="277"/>
  <c r="U10" i="277"/>
  <c r="I10" i="277"/>
  <c r="AB7" i="277"/>
  <c r="A7" i="277"/>
  <c r="AD44" i="276"/>
  <c r="L44" i="276"/>
  <c r="I44" i="276"/>
  <c r="E44" i="276"/>
  <c r="AD43" i="276"/>
  <c r="L43" i="276"/>
  <c r="I43" i="276"/>
  <c r="E43" i="276"/>
  <c r="AD42" i="276"/>
  <c r="L42" i="276"/>
  <c r="I42" i="276"/>
  <c r="E42" i="276"/>
  <c r="AD41" i="276"/>
  <c r="L41" i="276"/>
  <c r="I41" i="276"/>
  <c r="E41" i="276"/>
  <c r="F33" i="276" a="1"/>
  <c r="W15" i="276"/>
  <c r="J15" i="276"/>
  <c r="AG13" i="276"/>
  <c r="U13" i="276"/>
  <c r="I13" i="276"/>
  <c r="AG12" i="276"/>
  <c r="U12" i="276"/>
  <c r="I12" i="276"/>
  <c r="AG11" i="276"/>
  <c r="U11" i="276"/>
  <c r="I11" i="276"/>
  <c r="AG10" i="276"/>
  <c r="U10" i="276"/>
  <c r="I10" i="276"/>
  <c r="AB7" i="276"/>
  <c r="A7" i="276"/>
  <c r="AD44" i="275"/>
  <c r="L44" i="275"/>
  <c r="I44" i="275"/>
  <c r="E44" i="275"/>
  <c r="AD43" i="275"/>
  <c r="L43" i="275"/>
  <c r="I43" i="275"/>
  <c r="E43" i="275"/>
  <c r="AD42" i="275"/>
  <c r="L42" i="275"/>
  <c r="I42" i="275"/>
  <c r="E42" i="275"/>
  <c r="L41" i="275"/>
  <c r="I41" i="275"/>
  <c r="E41" i="275"/>
  <c r="F33" i="275" a="1"/>
  <c r="W15" i="275"/>
  <c r="J15" i="275"/>
  <c r="AG13" i="275"/>
  <c r="U13" i="275"/>
  <c r="I13" i="275"/>
  <c r="AG12" i="275"/>
  <c r="U12" i="275"/>
  <c r="I12" i="275"/>
  <c r="AG11" i="275"/>
  <c r="U11" i="275"/>
  <c r="I11" i="275"/>
  <c r="AG10" i="275"/>
  <c r="U10" i="275"/>
  <c r="I10" i="275"/>
  <c r="A7" i="275"/>
  <c r="AD44" i="274"/>
  <c r="L44" i="274"/>
  <c r="I44" i="274"/>
  <c r="E44" i="274"/>
  <c r="AD43" i="274"/>
  <c r="L43" i="274"/>
  <c r="I43" i="274"/>
  <c r="E43" i="274"/>
  <c r="AD42" i="274"/>
  <c r="L42" i="274"/>
  <c r="I42" i="274"/>
  <c r="E42" i="274"/>
  <c r="AD41" i="274"/>
  <c r="L41" i="274"/>
  <c r="I41" i="274"/>
  <c r="E41" i="274"/>
  <c r="F33" i="274" a="1"/>
  <c r="W15" i="274"/>
  <c r="J15" i="274"/>
  <c r="AG13" i="274"/>
  <c r="U13" i="274"/>
  <c r="I13" i="274"/>
  <c r="AG12" i="274"/>
  <c r="U12" i="274"/>
  <c r="I12" i="274"/>
  <c r="AG11" i="274"/>
  <c r="U11" i="274"/>
  <c r="I11" i="274"/>
  <c r="AG10" i="274"/>
  <c r="U10" i="274"/>
  <c r="I10" i="274"/>
  <c r="A7" i="274"/>
  <c r="AD44" i="273"/>
  <c r="L44" i="273"/>
  <c r="I44" i="273"/>
  <c r="E44" i="273"/>
  <c r="AD43" i="273"/>
  <c r="L43" i="273"/>
  <c r="I43" i="273"/>
  <c r="E43" i="273"/>
  <c r="AD42" i="273"/>
  <c r="L42" i="273"/>
  <c r="I42" i="273"/>
  <c r="E42" i="273"/>
  <c r="L41" i="273"/>
  <c r="I41" i="273"/>
  <c r="E41" i="273"/>
  <c r="F33" i="273" a="1"/>
  <c r="W15" i="273"/>
  <c r="J15" i="273"/>
  <c r="AG13" i="273"/>
  <c r="U13" i="273"/>
  <c r="I13" i="273"/>
  <c r="AG12" i="273"/>
  <c r="U12" i="273"/>
  <c r="I12" i="273"/>
  <c r="AG11" i="273"/>
  <c r="U11" i="273"/>
  <c r="I11" i="273"/>
  <c r="AG10" i="273"/>
  <c r="U10" i="273"/>
  <c r="I10" i="273"/>
  <c r="AB7" i="273"/>
  <c r="A7" i="273"/>
  <c r="AD44" i="272"/>
  <c r="L44" i="272"/>
  <c r="I44" i="272"/>
  <c r="E44" i="272"/>
  <c r="L43" i="272"/>
  <c r="I43" i="272"/>
  <c r="E43" i="272"/>
  <c r="AD42" i="272"/>
  <c r="L42" i="272"/>
  <c r="I42" i="272"/>
  <c r="E42" i="272"/>
  <c r="AD41" i="272"/>
  <c r="L41" i="272"/>
  <c r="I41" i="272"/>
  <c r="E41" i="272"/>
  <c r="F33" i="272" a="1"/>
  <c r="W15" i="272"/>
  <c r="J15" i="272"/>
  <c r="AG13" i="272"/>
  <c r="U13" i="272"/>
  <c r="I13" i="272"/>
  <c r="AG12" i="272"/>
  <c r="U12" i="272"/>
  <c r="I12" i="272"/>
  <c r="AG11" i="272"/>
  <c r="U11" i="272"/>
  <c r="I11" i="272"/>
  <c r="AG10" i="272"/>
  <c r="U10" i="272"/>
  <c r="I10" i="272"/>
  <c r="A7" i="272"/>
  <c r="AD44" i="271"/>
  <c r="L44" i="271"/>
  <c r="I44" i="271"/>
  <c r="E44" i="271"/>
  <c r="AD43" i="271"/>
  <c r="L43" i="271"/>
  <c r="I43" i="271"/>
  <c r="E43" i="271"/>
  <c r="AD42" i="271"/>
  <c r="L42" i="271"/>
  <c r="I42" i="271"/>
  <c r="E42" i="271"/>
  <c r="AD41" i="271"/>
  <c r="L41" i="271"/>
  <c r="I41" i="271"/>
  <c r="E41" i="271"/>
  <c r="F33" i="271" a="1"/>
  <c r="W15" i="271"/>
  <c r="J15" i="271"/>
  <c r="AG13" i="271"/>
  <c r="U13" i="271"/>
  <c r="I13" i="271"/>
  <c r="AG12" i="271"/>
  <c r="U12" i="271"/>
  <c r="I12" i="271"/>
  <c r="AG11" i="271"/>
  <c r="U11" i="271"/>
  <c r="I11" i="271"/>
  <c r="AG10" i="271"/>
  <c r="U10" i="271"/>
  <c r="I10" i="271"/>
  <c r="A7" i="271"/>
  <c r="AD44" i="270"/>
  <c r="L44" i="270"/>
  <c r="I44" i="270"/>
  <c r="E44" i="270"/>
  <c r="L43" i="270"/>
  <c r="I43" i="270"/>
  <c r="E43" i="270"/>
  <c r="AD42" i="270"/>
  <c r="L42" i="270"/>
  <c r="I42" i="270"/>
  <c r="E42" i="270"/>
  <c r="AD41" i="270"/>
  <c r="L41" i="270"/>
  <c r="I41" i="270"/>
  <c r="E41" i="270"/>
  <c r="F33" i="270" a="1"/>
  <c r="W15" i="270"/>
  <c r="J15" i="270"/>
  <c r="AG13" i="270"/>
  <c r="U13" i="270"/>
  <c r="I13" i="270"/>
  <c r="AG12" i="270"/>
  <c r="U12" i="270"/>
  <c r="I12" i="270"/>
  <c r="AG11" i="270"/>
  <c r="U11" i="270"/>
  <c r="I11" i="270"/>
  <c r="AG10" i="270"/>
  <c r="U10" i="270"/>
  <c r="I10" i="270"/>
  <c r="A7" i="270"/>
  <c r="AD44" i="269"/>
  <c r="L44" i="269"/>
  <c r="I44" i="269"/>
  <c r="E44" i="269"/>
  <c r="AD43" i="269"/>
  <c r="L43" i="269"/>
  <c r="I43" i="269"/>
  <c r="E43" i="269"/>
  <c r="AD42" i="269"/>
  <c r="L42" i="269"/>
  <c r="I42" i="269"/>
  <c r="E42" i="269"/>
  <c r="AD41" i="269"/>
  <c r="L41" i="269"/>
  <c r="I41" i="269"/>
  <c r="E41" i="269"/>
  <c r="F33" i="269" a="1"/>
  <c r="W15" i="269"/>
  <c r="J15" i="269"/>
  <c r="AG13" i="269"/>
  <c r="U13" i="269"/>
  <c r="I13" i="269"/>
  <c r="AG12" i="269"/>
  <c r="U12" i="269"/>
  <c r="I12" i="269"/>
  <c r="AG11" i="269"/>
  <c r="U11" i="269"/>
  <c r="I11" i="269"/>
  <c r="AG10" i="269"/>
  <c r="U10" i="269"/>
  <c r="I10" i="269"/>
  <c r="AB7" i="269"/>
  <c r="A7" i="269"/>
  <c r="L44" i="268"/>
  <c r="I44" i="268"/>
  <c r="E44" i="268"/>
  <c r="AD43" i="268"/>
  <c r="L43" i="268"/>
  <c r="I43" i="268"/>
  <c r="E43" i="268"/>
  <c r="AD42" i="268"/>
  <c r="L42" i="268"/>
  <c r="I42" i="268"/>
  <c r="E42" i="268"/>
  <c r="AD41" i="268"/>
  <c r="L41" i="268"/>
  <c r="I41" i="268"/>
  <c r="E41" i="268"/>
  <c r="F33" i="268" a="1"/>
  <c r="W15" i="268"/>
  <c r="J15" i="268"/>
  <c r="AG13" i="268"/>
  <c r="U13" i="268"/>
  <c r="I13" i="268"/>
  <c r="AG12" i="268"/>
  <c r="U12" i="268"/>
  <c r="I12" i="268"/>
  <c r="AG11" i="268"/>
  <c r="U11" i="268"/>
  <c r="I11" i="268"/>
  <c r="AG10" i="268"/>
  <c r="U10" i="268"/>
  <c r="I10" i="268"/>
  <c r="A7" i="268"/>
  <c r="AD44" i="267"/>
  <c r="L44" i="267"/>
  <c r="I44" i="267"/>
  <c r="E44" i="267"/>
  <c r="AD43" i="267"/>
  <c r="L43" i="267"/>
  <c r="I43" i="267"/>
  <c r="E43" i="267"/>
  <c r="AD42" i="267"/>
  <c r="L42" i="267"/>
  <c r="I42" i="267"/>
  <c r="E42" i="267"/>
  <c r="AD41" i="267"/>
  <c r="L41" i="267"/>
  <c r="I41" i="267"/>
  <c r="E41" i="267"/>
  <c r="F33" i="267" a="1"/>
  <c r="W15" i="267"/>
  <c r="J15" i="267"/>
  <c r="AG13" i="267"/>
  <c r="U13" i="267"/>
  <c r="I13" i="267"/>
  <c r="AG12" i="267"/>
  <c r="U12" i="267"/>
  <c r="I12" i="267"/>
  <c r="AG11" i="267"/>
  <c r="U11" i="267"/>
  <c r="I11" i="267"/>
  <c r="AG10" i="267"/>
  <c r="U10" i="267"/>
  <c r="I10" i="267"/>
  <c r="A7" i="267"/>
  <c r="AD44" i="266"/>
  <c r="L44" i="266"/>
  <c r="I44" i="266"/>
  <c r="E44" i="266"/>
  <c r="AD43" i="266"/>
  <c r="L43" i="266"/>
  <c r="I43" i="266"/>
  <c r="E43" i="266"/>
  <c r="AD42" i="266"/>
  <c r="L42" i="266"/>
  <c r="I42" i="266"/>
  <c r="E42" i="266"/>
  <c r="AD41" i="266"/>
  <c r="L41" i="266"/>
  <c r="I41" i="266"/>
  <c r="E41" i="266"/>
  <c r="F33" i="266" a="1"/>
  <c r="W15" i="266"/>
  <c r="J15" i="266"/>
  <c r="AG13" i="266"/>
  <c r="U13" i="266"/>
  <c r="I13" i="266"/>
  <c r="AG12" i="266"/>
  <c r="U12" i="266"/>
  <c r="I12" i="266"/>
  <c r="AG11" i="266"/>
  <c r="U11" i="266"/>
  <c r="I11" i="266"/>
  <c r="AG10" i="266"/>
  <c r="U10" i="266"/>
  <c r="I10" i="266"/>
  <c r="AB7" i="266"/>
  <c r="A7" i="266"/>
  <c r="AD44" i="265"/>
  <c r="L44" i="265"/>
  <c r="I44" i="265"/>
  <c r="E44" i="265"/>
  <c r="AD43" i="265"/>
  <c r="L43" i="265"/>
  <c r="I43" i="265"/>
  <c r="E43" i="265"/>
  <c r="AD42" i="265"/>
  <c r="L42" i="265"/>
  <c r="I42" i="265"/>
  <c r="E42" i="265"/>
  <c r="AD41" i="265"/>
  <c r="L41" i="265"/>
  <c r="I41" i="265"/>
  <c r="E41" i="265"/>
  <c r="F33" i="265" a="1"/>
  <c r="W15" i="265"/>
  <c r="J15" i="265"/>
  <c r="AG13" i="265"/>
  <c r="U13" i="265"/>
  <c r="I13" i="265"/>
  <c r="AG12" i="265"/>
  <c r="U12" i="265"/>
  <c r="I12" i="265"/>
  <c r="AG11" i="265"/>
  <c r="U11" i="265"/>
  <c r="I11" i="265"/>
  <c r="AG10" i="265"/>
  <c r="U10" i="265"/>
  <c r="I10" i="265"/>
  <c r="A7" i="265"/>
  <c r="AD44" i="264"/>
  <c r="L44" i="264"/>
  <c r="I44" i="264"/>
  <c r="E44" i="264"/>
  <c r="AD43" i="264"/>
  <c r="L43" i="264"/>
  <c r="I43" i="264"/>
  <c r="E43" i="264"/>
  <c r="AD42" i="264"/>
  <c r="L42" i="264"/>
  <c r="I42" i="264"/>
  <c r="E42" i="264"/>
  <c r="AD41" i="264"/>
  <c r="L41" i="264"/>
  <c r="I41" i="264"/>
  <c r="E41" i="264"/>
  <c r="F33" i="264" a="1"/>
  <c r="W15" i="264"/>
  <c r="J15" i="264"/>
  <c r="AG13" i="264"/>
  <c r="U13" i="264"/>
  <c r="I13" i="264"/>
  <c r="AG12" i="264"/>
  <c r="U12" i="264"/>
  <c r="I12" i="264"/>
  <c r="AG11" i="264"/>
  <c r="U11" i="264"/>
  <c r="I11" i="264"/>
  <c r="AG10" i="264"/>
  <c r="U10" i="264"/>
  <c r="I10" i="264"/>
  <c r="A7" i="264"/>
  <c r="AD44" i="263"/>
  <c r="L44" i="263"/>
  <c r="I44" i="263"/>
  <c r="E44" i="263"/>
  <c r="AD43" i="263"/>
  <c r="L43" i="263"/>
  <c r="I43" i="263"/>
  <c r="E43" i="263"/>
  <c r="AD42" i="263"/>
  <c r="L42" i="263"/>
  <c r="I42" i="263"/>
  <c r="E42" i="263"/>
  <c r="AD41" i="263"/>
  <c r="L41" i="263"/>
  <c r="I41" i="263"/>
  <c r="E41" i="263"/>
  <c r="F33" i="263" a="1"/>
  <c r="W15" i="263"/>
  <c r="J15" i="263"/>
  <c r="AG13" i="263"/>
  <c r="U13" i="263"/>
  <c r="I13" i="263"/>
  <c r="AG12" i="263"/>
  <c r="U12" i="263"/>
  <c r="I12" i="263"/>
  <c r="AG11" i="263"/>
  <c r="U11" i="263"/>
  <c r="I11" i="263"/>
  <c r="AG10" i="263"/>
  <c r="U10" i="263"/>
  <c r="I10" i="263"/>
  <c r="A7" i="263"/>
  <c r="AD44" i="262"/>
  <c r="L44" i="262"/>
  <c r="I44" i="262"/>
  <c r="E44" i="262"/>
  <c r="AD43" i="262"/>
  <c r="L43" i="262"/>
  <c r="I43" i="262"/>
  <c r="E43" i="262"/>
  <c r="AD42" i="262"/>
  <c r="L42" i="262"/>
  <c r="I42" i="262"/>
  <c r="E42" i="262"/>
  <c r="AD41" i="262"/>
  <c r="L41" i="262"/>
  <c r="I41" i="262"/>
  <c r="E41" i="262"/>
  <c r="F33" i="262" a="1"/>
  <c r="W15" i="262"/>
  <c r="J15" i="262"/>
  <c r="AG13" i="262"/>
  <c r="U13" i="262"/>
  <c r="I13" i="262"/>
  <c r="AG12" i="262"/>
  <c r="U12" i="262"/>
  <c r="I12" i="262"/>
  <c r="AG11" i="262"/>
  <c r="U11" i="262"/>
  <c r="I11" i="262"/>
  <c r="AG10" i="262"/>
  <c r="U10" i="262"/>
  <c r="I10" i="262"/>
  <c r="A7" i="262"/>
  <c r="AD44" i="261"/>
  <c r="L44" i="261"/>
  <c r="I44" i="261"/>
  <c r="E44" i="261"/>
  <c r="AD43" i="261"/>
  <c r="L43" i="261"/>
  <c r="I43" i="261"/>
  <c r="E43" i="261"/>
  <c r="AD42" i="261"/>
  <c r="L42" i="261"/>
  <c r="I42" i="261"/>
  <c r="E42" i="261"/>
  <c r="AD41" i="261"/>
  <c r="L41" i="261"/>
  <c r="I41" i="261"/>
  <c r="E41" i="261"/>
  <c r="F33" i="261" a="1"/>
  <c r="W15" i="261"/>
  <c r="J15" i="261"/>
  <c r="AG13" i="261"/>
  <c r="U13" i="261"/>
  <c r="I13" i="261"/>
  <c r="AG12" i="261"/>
  <c r="U12" i="261"/>
  <c r="I12" i="261"/>
  <c r="AG11" i="261"/>
  <c r="U11" i="261"/>
  <c r="I11" i="261"/>
  <c r="AG10" i="261"/>
  <c r="U10" i="261"/>
  <c r="I10" i="261"/>
  <c r="A7" i="261"/>
  <c r="AD44" i="260"/>
  <c r="L44" i="260"/>
  <c r="I44" i="260"/>
  <c r="E44" i="260"/>
  <c r="AD43" i="260"/>
  <c r="L43" i="260"/>
  <c r="I43" i="260"/>
  <c r="E43" i="260"/>
  <c r="AD42" i="260"/>
  <c r="L42" i="260"/>
  <c r="I42" i="260"/>
  <c r="E42" i="260"/>
  <c r="AD41" i="260"/>
  <c r="L41" i="260"/>
  <c r="I41" i="260"/>
  <c r="E41" i="260"/>
  <c r="F33" i="260" a="1"/>
  <c r="W15" i="260"/>
  <c r="J15" i="260"/>
  <c r="AG13" i="260"/>
  <c r="U13" i="260"/>
  <c r="I13" i="260"/>
  <c r="AG12" i="260"/>
  <c r="U12" i="260"/>
  <c r="I12" i="260"/>
  <c r="AG11" i="260"/>
  <c r="U11" i="260"/>
  <c r="I11" i="260"/>
  <c r="AG10" i="260"/>
  <c r="U10" i="260"/>
  <c r="I10" i="260"/>
  <c r="A7" i="260"/>
  <c r="D7" i="72"/>
  <c r="A7" i="5"/>
  <c r="R45" i="5" s="1"/>
  <c r="G7" i="5"/>
  <c r="AD44" i="5"/>
  <c r="L44" i="5"/>
  <c r="I44" i="5"/>
  <c r="E44" i="5"/>
  <c r="AD43" i="5"/>
  <c r="L43" i="5"/>
  <c r="AB7" i="5" s="1"/>
  <c r="I43" i="5"/>
  <c r="E43" i="5"/>
  <c r="AD42" i="5"/>
  <c r="L42" i="5"/>
  <c r="I42" i="5"/>
  <c r="E42" i="5"/>
  <c r="AD41" i="5"/>
  <c r="L41" i="5"/>
  <c r="I41" i="5"/>
  <c r="E41" i="5"/>
  <c r="F33" i="5" a="1"/>
  <c r="W15" i="5"/>
  <c r="J15" i="5"/>
  <c r="AG13" i="5"/>
  <c r="U13" i="5"/>
  <c r="I13" i="5"/>
  <c r="AG12" i="5"/>
  <c r="U12" i="5"/>
  <c r="I12" i="5"/>
  <c r="AG11" i="5"/>
  <c r="U11" i="5"/>
  <c r="I11" i="5"/>
  <c r="AG10" i="5"/>
  <c r="U10" i="5"/>
  <c r="I10" i="5"/>
  <c r="AA4" i="3" a="1"/>
  <c r="V10" i="3" a="1"/>
  <c r="V5" i="3" a="1"/>
  <c r="U24" i="3" a="1"/>
  <c r="V19" i="3" a="1"/>
  <c r="Z18" i="3" a="1"/>
  <c r="AA20" i="3" a="1"/>
  <c r="Y19" i="2"/>
  <c r="W27" i="3" a="1"/>
  <c r="W29" i="3" a="1"/>
  <c r="AA23" i="3" a="1"/>
  <c r="AD19" i="2"/>
  <c r="AA7" i="3" a="1"/>
  <c r="G19" i="2"/>
  <c r="N19" i="2"/>
  <c r="W4" i="3" a="1"/>
  <c r="V8" i="3" a="1"/>
  <c r="AB19" i="2"/>
  <c r="W10" i="3" a="1"/>
  <c r="Y19" i="3" a="1"/>
  <c r="Y31" i="3" a="1"/>
  <c r="Y7" i="3" a="1"/>
  <c r="V6" i="3" a="1"/>
  <c r="V2" i="3" a="1"/>
  <c r="W3" i="3" a="1"/>
  <c r="Y30" i="3" a="1"/>
  <c r="V27" i="3" a="1"/>
  <c r="V31" i="3" a="1"/>
  <c r="W21" i="3" a="1"/>
  <c r="Y22" i="3" a="1"/>
  <c r="Y13" i="3" a="1"/>
  <c r="U31" i="3" a="1"/>
  <c r="W7" i="3" a="1"/>
  <c r="AA3" i="3" a="1"/>
  <c r="AA16" i="3" a="1"/>
  <c r="AA25" i="3" a="1"/>
  <c r="AA21" i="3" a="1"/>
  <c r="Z15" i="3" a="1"/>
  <c r="AA13" i="3" a="1"/>
  <c r="AA18" i="3" a="1"/>
  <c r="V12" i="3" a="1"/>
  <c r="AA14" i="3" a="1"/>
  <c r="Y4" i="3" a="1"/>
  <c r="U2" i="3" a="1"/>
  <c r="Y27" i="3" a="1"/>
  <c r="W9" i="3" a="1"/>
  <c r="U11" i="3" a="1"/>
  <c r="Y28" i="3" a="1"/>
  <c r="Y18" i="3" a="1"/>
  <c r="AA17" i="3" a="1"/>
  <c r="V21" i="3" a="1"/>
  <c r="U6" i="3" a="1"/>
  <c r="W25" i="3" a="1"/>
  <c r="Y20" i="3" a="1"/>
  <c r="AA27" i="3" a="1"/>
  <c r="Y17" i="3" a="1"/>
  <c r="Z27" i="3" a="1"/>
  <c r="D19" i="2"/>
  <c r="U25" i="3" a="1"/>
  <c r="W19" i="2"/>
  <c r="Y6" i="3" a="1"/>
  <c r="U29" i="3" a="1"/>
  <c r="U7" i="3" a="1"/>
  <c r="W28" i="3" a="1"/>
  <c r="V18" i="3" a="1"/>
  <c r="Z28" i="3" a="1"/>
  <c r="V25" i="3" a="1"/>
  <c r="U19" i="3" a="1"/>
  <c r="W8" i="3" a="1"/>
  <c r="Q19" i="2"/>
  <c r="AA8" i="3" a="1"/>
  <c r="Z9" i="3" a="1"/>
  <c r="Z4" i="3" a="1"/>
  <c r="V11" i="3" a="1"/>
  <c r="U4" i="3" a="1"/>
  <c r="Y25" i="3" a="1"/>
  <c r="Z22" i="3" a="1"/>
  <c r="Z5" i="3" a="1"/>
  <c r="W26" i="3" a="1"/>
  <c r="AA19" i="3" a="1"/>
  <c r="U18" i="3" a="1"/>
  <c r="V20" i="3" a="1"/>
  <c r="U15" i="3" a="1"/>
  <c r="V9" i="3" a="1"/>
  <c r="W31" i="3" a="1"/>
  <c r="Z14" i="3" a="1"/>
  <c r="Z11" i="3" a="1"/>
  <c r="Y21" i="3" a="1"/>
  <c r="Z26" i="3" a="1"/>
  <c r="V14" i="3" a="1"/>
  <c r="Y10" i="3" a="1"/>
  <c r="W13" i="3" a="1"/>
  <c r="Z24" i="3" a="1"/>
  <c r="W12" i="3" a="1"/>
  <c r="V28" i="3" a="1"/>
  <c r="AA9" i="3" a="1"/>
  <c r="AF19" i="2"/>
  <c r="U26" i="3" a="1"/>
  <c r="U10" i="3" a="1"/>
  <c r="Z20" i="3" a="1"/>
  <c r="W22" i="3" a="1"/>
  <c r="V7" i="3" a="1"/>
  <c r="Z6" i="3" a="1"/>
  <c r="AA5" i="3" a="1"/>
  <c r="Z2" i="3" a="1"/>
  <c r="AC19" i="2"/>
  <c r="Y5" i="3" a="1"/>
  <c r="Y24" i="3" a="1"/>
  <c r="W17" i="3" a="1"/>
  <c r="U17" i="3" a="1"/>
  <c r="O19" i="2"/>
  <c r="AA12" i="3" a="1"/>
  <c r="AA6" i="3" a="1"/>
  <c r="AA26" i="3" a="1"/>
  <c r="U20" i="3" a="1"/>
  <c r="M19" i="2"/>
  <c r="H19" i="2"/>
  <c r="AA28" i="3" a="1"/>
  <c r="AA24" i="3" a="1"/>
  <c r="U8" i="3" a="1"/>
  <c r="Z19" i="2"/>
  <c r="U27" i="3" a="1"/>
  <c r="U14" i="3" a="1"/>
  <c r="U16" i="3" a="1"/>
  <c r="V17" i="3" a="1"/>
  <c r="W20" i="3" a="1"/>
  <c r="I19" i="2"/>
  <c r="Z7" i="3" a="1"/>
  <c r="W30" i="3" a="1"/>
  <c r="W19" i="3" a="1"/>
  <c r="V13" i="3" a="1"/>
  <c r="J19" i="2"/>
  <c r="Y3" i="3" a="1"/>
  <c r="Z8" i="3" a="1"/>
  <c r="U30" i="3" a="1"/>
  <c r="W16" i="3" a="1"/>
  <c r="Z31" i="3" a="1"/>
  <c r="Z23" i="3" a="1"/>
  <c r="AA31" i="3" a="1"/>
  <c r="S19" i="2"/>
  <c r="U5" i="3" a="1"/>
  <c r="AA10" i="3" a="1"/>
  <c r="AA11" i="3" a="1"/>
  <c r="Y29" i="3" a="1"/>
  <c r="U28" i="3" a="1"/>
  <c r="Y14" i="3" a="1"/>
  <c r="W5" i="3" a="1"/>
  <c r="V3" i="3" a="1"/>
  <c r="U12" i="3" a="1"/>
  <c r="T19" i="2"/>
  <c r="AA22" i="3" a="1"/>
  <c r="V30" i="3" a="1"/>
  <c r="V26" i="3" a="1"/>
  <c r="W14" i="3" a="1"/>
  <c r="Z13" i="3" a="1"/>
  <c r="F19" i="2"/>
  <c r="Z3" i="3" a="1"/>
  <c r="Y11" i="3" a="1"/>
  <c r="AA30" i="3" a="1"/>
  <c r="V16" i="3" a="1"/>
  <c r="L19" i="2"/>
  <c r="AA15" i="3" a="1"/>
  <c r="Z17" i="3" a="1"/>
  <c r="W23" i="3" a="1"/>
  <c r="U22" i="3" a="1"/>
  <c r="Z19" i="3" a="1"/>
  <c r="V22" i="3" a="1"/>
  <c r="V4" i="3" a="1"/>
  <c r="U21" i="3" a="1"/>
  <c r="AA2" i="3" a="1"/>
  <c r="W11" i="3" a="1"/>
  <c r="Y2" i="3" a="1"/>
  <c r="V15" i="3" a="1"/>
  <c r="AA19" i="2"/>
  <c r="Z12" i="3" a="1"/>
  <c r="Y26" i="3" a="1"/>
  <c r="Y16" i="3" a="1"/>
  <c r="X19" i="2"/>
  <c r="Z10" i="3" a="1"/>
  <c r="Z29" i="3" a="1"/>
  <c r="Y9" i="3" a="1"/>
  <c r="U23" i="3" a="1"/>
  <c r="AA29" i="3" a="1"/>
  <c r="AG19" i="2"/>
  <c r="K19" i="2"/>
  <c r="AE19" i="2"/>
  <c r="Z21" i="3" a="1"/>
  <c r="R19" i="2"/>
  <c r="V24" i="3" a="1"/>
  <c r="U19" i="2"/>
  <c r="V19" i="2"/>
  <c r="V29" i="3" a="1"/>
  <c r="Y23" i="3" a="1"/>
  <c r="U9" i="3" a="1"/>
  <c r="U13" i="3" a="1"/>
  <c r="V23" i="3" a="1"/>
  <c r="Z30" i="3" a="1"/>
  <c r="Z16" i="3" a="1"/>
  <c r="U3" i="3" a="1"/>
  <c r="E19" i="2"/>
  <c r="W2" i="3" a="1"/>
  <c r="W24" i="3" a="1"/>
  <c r="Y8" i="3" a="1"/>
  <c r="Z25" i="3" a="1"/>
  <c r="Y15" i="3" a="1"/>
  <c r="Y12" i="3" a="1"/>
  <c r="W6" i="3" a="1"/>
  <c r="W15" i="3" a="1"/>
  <c r="W18" i="3" a="1"/>
  <c r="P19" i="2"/>
  <c r="R45" i="290" l="1"/>
  <c r="K7" i="290"/>
  <c r="Z45" i="290" s="1"/>
  <c r="O7" i="290"/>
  <c r="AC45" i="290" s="1"/>
  <c r="G7" i="290"/>
  <c r="W45" i="290" s="1"/>
  <c r="AD43" i="272"/>
  <c r="AD43" i="270"/>
  <c r="AD44" i="268"/>
  <c r="AB7" i="289"/>
  <c r="AB7" i="287"/>
  <c r="AB7" i="286"/>
  <c r="AB7" i="285"/>
  <c r="AB7" i="284"/>
  <c r="AB7" i="283"/>
  <c r="AB7" i="281"/>
  <c r="AB7" i="279"/>
  <c r="AB7" i="275"/>
  <c r="AB7" i="274"/>
  <c r="AB7" i="272"/>
  <c r="AB7" i="271"/>
  <c r="AB7" i="270"/>
  <c r="AB7" i="268"/>
  <c r="AB7" i="267"/>
  <c r="AB7" i="265"/>
  <c r="R45" i="289"/>
  <c r="O7" i="289"/>
  <c r="AC45" i="289" s="1"/>
  <c r="K7" i="289"/>
  <c r="Z45" i="289" s="1"/>
  <c r="G7" i="289"/>
  <c r="W45" i="289" s="1"/>
  <c r="R45" i="288"/>
  <c r="G7" i="288"/>
  <c r="W45" i="288" s="1"/>
  <c r="O7" i="288"/>
  <c r="AC45" i="288" s="1"/>
  <c r="K7" i="288"/>
  <c r="Z45" i="288" s="1"/>
  <c r="R45" i="287"/>
  <c r="K7" i="287"/>
  <c r="Z45" i="287" s="1"/>
  <c r="O7" i="287"/>
  <c r="AC45" i="287" s="1"/>
  <c r="G7" i="287"/>
  <c r="W45" i="287" s="1"/>
  <c r="R45" i="286"/>
  <c r="O7" i="286"/>
  <c r="AC45" i="286" s="1"/>
  <c r="K7" i="286"/>
  <c r="Z45" i="286" s="1"/>
  <c r="G7" i="286"/>
  <c r="W45" i="286" s="1"/>
  <c r="R45" i="285"/>
  <c r="O7" i="285"/>
  <c r="AC45" i="285" s="1"/>
  <c r="G7" i="285"/>
  <c r="W45" i="285" s="1"/>
  <c r="K7" i="285"/>
  <c r="Z45" i="285" s="1"/>
  <c r="R45" i="284"/>
  <c r="O7" i="284"/>
  <c r="AC45" i="284" s="1"/>
  <c r="G7" i="284"/>
  <c r="W45" i="284" s="1"/>
  <c r="K7" i="284"/>
  <c r="Z45" i="284" s="1"/>
  <c r="R45" i="283"/>
  <c r="O7" i="283"/>
  <c r="AC45" i="283" s="1"/>
  <c r="G7" i="283"/>
  <c r="W45" i="283" s="1"/>
  <c r="K7" i="283"/>
  <c r="Z45" i="283" s="1"/>
  <c r="R45" i="282"/>
  <c r="O7" i="282"/>
  <c r="AC45" i="282" s="1"/>
  <c r="G7" i="282"/>
  <c r="W45" i="282" s="1"/>
  <c r="K7" i="282"/>
  <c r="Z45" i="282" s="1"/>
  <c r="R45" i="281"/>
  <c r="K7" i="281"/>
  <c r="Z45" i="281" s="1"/>
  <c r="O7" i="281"/>
  <c r="AC45" i="281" s="1"/>
  <c r="G7" i="281"/>
  <c r="W45" i="281" s="1"/>
  <c r="R45" i="280"/>
  <c r="O7" i="280"/>
  <c r="AC45" i="280" s="1"/>
  <c r="G7" i="280"/>
  <c r="W45" i="280" s="1"/>
  <c r="K7" i="280"/>
  <c r="Z45" i="280" s="1"/>
  <c r="R45" i="279"/>
  <c r="O7" i="279"/>
  <c r="AC45" i="279" s="1"/>
  <c r="K7" i="279"/>
  <c r="Z45" i="279" s="1"/>
  <c r="G7" i="279"/>
  <c r="W45" i="279" s="1"/>
  <c r="R45" i="278"/>
  <c r="O7" i="278"/>
  <c r="AC45" i="278" s="1"/>
  <c r="K7" i="278"/>
  <c r="Z45" i="278" s="1"/>
  <c r="G7" i="278"/>
  <c r="W45" i="278" s="1"/>
  <c r="R45" i="277"/>
  <c r="O7" i="277"/>
  <c r="AC45" i="277" s="1"/>
  <c r="G7" i="277"/>
  <c r="W45" i="277" s="1"/>
  <c r="K7" i="277"/>
  <c r="Z45" i="277" s="1"/>
  <c r="R45" i="276"/>
  <c r="K7" i="276"/>
  <c r="Z45" i="276" s="1"/>
  <c r="G7" i="276"/>
  <c r="W45" i="276" s="1"/>
  <c r="O7" i="276"/>
  <c r="AC45" i="276" s="1"/>
  <c r="R45" i="275"/>
  <c r="G7" i="275"/>
  <c r="W45" i="275" s="1"/>
  <c r="O7" i="275"/>
  <c r="AC45" i="275" s="1"/>
  <c r="K7" i="275"/>
  <c r="Z45" i="275" s="1"/>
  <c r="K7" i="274"/>
  <c r="Z45" i="274" s="1"/>
  <c r="O7" i="274"/>
  <c r="AC45" i="274" s="1"/>
  <c r="R45" i="274"/>
  <c r="G7" i="274"/>
  <c r="W45" i="274" s="1"/>
  <c r="R45" i="273"/>
  <c r="K7" i="273"/>
  <c r="Z45" i="273" s="1"/>
  <c r="O7" i="273"/>
  <c r="AC45" i="273" s="1"/>
  <c r="G7" i="273"/>
  <c r="W45" i="273" s="1"/>
  <c r="R45" i="272"/>
  <c r="O7" i="272"/>
  <c r="AC45" i="272" s="1"/>
  <c r="K7" i="272"/>
  <c r="Z45" i="272" s="1"/>
  <c r="G7" i="272"/>
  <c r="W45" i="272" s="1"/>
  <c r="R45" i="271"/>
  <c r="K7" i="271"/>
  <c r="Z45" i="271" s="1"/>
  <c r="G7" i="271"/>
  <c r="W45" i="271" s="1"/>
  <c r="O7" i="271"/>
  <c r="AC45" i="271" s="1"/>
  <c r="R45" i="270"/>
  <c r="K7" i="270"/>
  <c r="Z45" i="270" s="1"/>
  <c r="G7" i="270"/>
  <c r="W45" i="270" s="1"/>
  <c r="O7" i="270"/>
  <c r="AC45" i="270" s="1"/>
  <c r="K7" i="269"/>
  <c r="Z45" i="269" s="1"/>
  <c r="R45" i="269"/>
  <c r="G7" i="269"/>
  <c r="W45" i="269" s="1"/>
  <c r="O7" i="269"/>
  <c r="AC45" i="269" s="1"/>
  <c r="R45" i="268"/>
  <c r="G7" i="268"/>
  <c r="W45" i="268" s="1"/>
  <c r="O7" i="268"/>
  <c r="AC45" i="268" s="1"/>
  <c r="K7" i="268"/>
  <c r="Z45" i="268" s="1"/>
  <c r="R45" i="267"/>
  <c r="K7" i="267"/>
  <c r="Z45" i="267" s="1"/>
  <c r="G7" i="267"/>
  <c r="W45" i="267" s="1"/>
  <c r="O7" i="267"/>
  <c r="AC45" i="267" s="1"/>
  <c r="O7" i="266"/>
  <c r="K7" i="266"/>
  <c r="G7" i="266"/>
  <c r="AC45" i="266"/>
  <c r="Z45" i="266"/>
  <c r="W45" i="266"/>
  <c r="R45" i="266"/>
  <c r="O7" i="265"/>
  <c r="AC45" i="265"/>
  <c r="R45" i="265"/>
  <c r="K7" i="265"/>
  <c r="Z45" i="265" s="1"/>
  <c r="G7" i="265"/>
  <c r="W45" i="265" s="1"/>
  <c r="R45" i="264"/>
  <c r="AB7" i="264"/>
  <c r="O7" i="264"/>
  <c r="AC45" i="264" s="1"/>
  <c r="K7" i="264"/>
  <c r="Z45" i="264" s="1"/>
  <c r="G7" i="264"/>
  <c r="W45" i="264" s="1"/>
  <c r="R45" i="263"/>
  <c r="AB7" i="263"/>
  <c r="O7" i="263"/>
  <c r="AC45" i="263" s="1"/>
  <c r="K7" i="263"/>
  <c r="Z45" i="263" s="1"/>
  <c r="G7" i="263"/>
  <c r="W45" i="263" s="1"/>
  <c r="R45" i="262"/>
  <c r="AB7" i="262"/>
  <c r="O7" i="262"/>
  <c r="AC45" i="262" s="1"/>
  <c r="K7" i="262"/>
  <c r="Z45" i="262" s="1"/>
  <c r="G7" i="262"/>
  <c r="W45" i="262" s="1"/>
  <c r="R45" i="261"/>
  <c r="AB7" i="261"/>
  <c r="O7" i="261"/>
  <c r="AC45" i="261" s="1"/>
  <c r="K7" i="261"/>
  <c r="Z45" i="261" s="1"/>
  <c r="G7" i="261"/>
  <c r="W45" i="261" s="1"/>
  <c r="R45" i="260"/>
  <c r="AB7" i="260"/>
  <c r="O7" i="260"/>
  <c r="AC45" i="260" s="1"/>
  <c r="K7" i="260"/>
  <c r="Z45" i="260" s="1"/>
  <c r="G7" i="260"/>
  <c r="W45" i="260" s="1"/>
  <c r="O24" i="72"/>
  <c r="M24" i="72"/>
  <c r="K24" i="72"/>
  <c r="H24" i="72"/>
  <c r="AA24" i="72"/>
  <c r="N24" i="72"/>
  <c r="Y24" i="72"/>
  <c r="X24" i="72"/>
  <c r="W24" i="72"/>
  <c r="V24" i="72"/>
  <c r="AG24" i="72"/>
  <c r="I24" i="72"/>
  <c r="AE24" i="72"/>
  <c r="G24" i="72"/>
  <c r="Z24" i="72"/>
  <c r="L24" i="72"/>
  <c r="J24" i="72"/>
  <c r="U24" i="72"/>
  <c r="AF24" i="72"/>
  <c r="T24" i="72"/>
  <c r="S24" i="72"/>
  <c r="AD24" i="72"/>
  <c r="R24" i="72"/>
  <c r="F24" i="72"/>
  <c r="AC24" i="72"/>
  <c r="Q24" i="72"/>
  <c r="E24" i="72"/>
  <c r="AB24" i="72"/>
  <c r="P24" i="72"/>
  <c r="D24" i="72"/>
  <c r="K7" i="5"/>
  <c r="Z45" i="5" s="1"/>
  <c r="O7" i="5"/>
  <c r="AC45" i="5" s="1"/>
  <c r="W45" i="5"/>
  <c r="E19" i="72" l="1"/>
  <c r="F19" i="72"/>
  <c r="G19" i="72"/>
  <c r="H19" i="72"/>
  <c r="I19" i="72"/>
  <c r="J19" i="72"/>
  <c r="K19" i="72"/>
  <c r="L19" i="72"/>
  <c r="M19" i="72"/>
  <c r="N19" i="72"/>
  <c r="O19" i="72"/>
  <c r="P19" i="72"/>
  <c r="Q19" i="72"/>
  <c r="R19" i="72"/>
  <c r="S19" i="72"/>
  <c r="T19" i="72"/>
  <c r="U19" i="72"/>
  <c r="V19" i="72"/>
  <c r="W19" i="72"/>
  <c r="X19" i="72"/>
  <c r="Y19" i="72"/>
  <c r="Z19" i="72"/>
  <c r="AA19" i="72"/>
  <c r="AB19" i="72"/>
  <c r="AC19" i="72"/>
  <c r="AD19" i="72"/>
  <c r="AE19" i="72"/>
  <c r="AF19" i="72"/>
  <c r="AG19" i="72"/>
  <c r="D19" i="72"/>
  <c r="M1" i="72"/>
  <c r="W7" i="72" s="1"/>
  <c r="I7" i="72" l="1"/>
  <c r="L7" i="72"/>
  <c r="V7" i="72"/>
  <c r="Y7" i="72"/>
  <c r="H7" i="72"/>
  <c r="J7" i="72"/>
  <c r="U7" i="72"/>
  <c r="X7" i="72"/>
  <c r="M7" i="72"/>
  <c r="Z7" i="72"/>
  <c r="P1" i="72"/>
  <c r="N7" i="72"/>
  <c r="AA7" i="72"/>
  <c r="X1" i="72"/>
  <c r="O7" i="72"/>
  <c r="AB7" i="72"/>
  <c r="P7" i="72"/>
  <c r="AC7" i="72"/>
  <c r="Q7" i="72"/>
  <c r="AD7" i="72"/>
  <c r="E7" i="72"/>
  <c r="R7" i="72"/>
  <c r="AE7" i="72"/>
  <c r="F7" i="72"/>
  <c r="S7" i="72"/>
  <c r="AF7" i="72"/>
  <c r="G7" i="72"/>
  <c r="T7" i="72"/>
  <c r="AG7" i="72"/>
  <c r="K7" i="72"/>
  <c r="V1" i="72" l="1"/>
  <c r="V2" i="72"/>
  <c r="M1" i="2" l="1"/>
  <c r="X7" i="2" l="1"/>
  <c r="M7" i="2"/>
  <c r="N7" i="2"/>
  <c r="O7" i="2"/>
  <c r="D7" i="2"/>
  <c r="P7" i="2"/>
  <c r="AB7" i="2"/>
  <c r="E7" i="2"/>
  <c r="Q7" i="2"/>
  <c r="AC7" i="2"/>
  <c r="F7" i="2"/>
  <c r="R7" i="2"/>
  <c r="AD7" i="2"/>
  <c r="S7" i="2"/>
  <c r="K7" i="2"/>
  <c r="W7" i="2"/>
  <c r="L7" i="2"/>
  <c r="Y7" i="2"/>
  <c r="X1" i="2"/>
  <c r="Z7" i="2"/>
  <c r="P1" i="2"/>
  <c r="AA7" i="2"/>
  <c r="G7" i="2"/>
  <c r="AE7" i="2"/>
  <c r="H7" i="2"/>
  <c r="T7" i="2"/>
  <c r="AF7" i="2"/>
  <c r="I7" i="2"/>
  <c r="U7" i="2"/>
  <c r="AG7" i="2"/>
  <c r="J7" i="2"/>
  <c r="V7" i="2"/>
  <c r="V2" i="2" l="1"/>
  <c r="V1" i="2"/>
  <c r="AI24" i="72" l="1"/>
  <c r="AJ24" i="72"/>
  <c r="AK24" i="72" s="1"/>
  <c r="L8" i="3" a="1"/>
  <c r="Y17" i="2"/>
  <c r="W22" i="2"/>
  <c r="S21" i="3" a="1"/>
  <c r="F23" i="3" a="1"/>
  <c r="F17" i="3" a="1"/>
  <c r="E22" i="2"/>
  <c r="AA23" i="2"/>
  <c r="P22" i="3" a="1"/>
  <c r="D16" i="3" a="1"/>
  <c r="E18" i="2"/>
  <c r="G8" i="3" a="1"/>
  <c r="AD17" i="2"/>
  <c r="H20" i="2"/>
  <c r="M19" i="3" a="1"/>
  <c r="C26" i="3" a="1"/>
  <c r="C12" i="3" a="1"/>
  <c r="M27" i="2"/>
  <c r="AD27" i="2"/>
  <c r="O26" i="3" a="1"/>
  <c r="S27" i="3" a="1"/>
  <c r="F14" i="3" a="1"/>
  <c r="J17" i="3" a="1"/>
  <c r="AB17" i="2"/>
  <c r="E19" i="3" a="1"/>
  <c r="J8" i="3" a="1"/>
  <c r="AA27" i="2"/>
  <c r="L26" i="2"/>
  <c r="AA18" i="2"/>
  <c r="J23" i="2"/>
  <c r="S11" i="3" a="1"/>
  <c r="U17" i="2"/>
  <c r="Y24" i="2"/>
  <c r="M28" i="2"/>
  <c r="F22" i="3" a="1"/>
  <c r="D16" i="2"/>
  <c r="S20" i="3" a="1"/>
  <c r="X17" i="2"/>
  <c r="J15" i="3" a="1"/>
  <c r="T18" i="2"/>
  <c r="L20" i="3" a="1"/>
  <c r="D12" i="3" a="1"/>
  <c r="V22" i="2"/>
  <c r="F31" i="3" a="1"/>
  <c r="F24" i="3" a="1"/>
  <c r="S6" i="3" a="1"/>
  <c r="L18" i="3" a="1"/>
  <c r="H18" i="2"/>
  <c r="AD28" i="2"/>
  <c r="M2" i="3" a="1"/>
  <c r="D22" i="2"/>
  <c r="V24" i="2"/>
  <c r="AF27" i="2"/>
  <c r="O15" i="3" a="1"/>
  <c r="X26" i="2"/>
  <c r="C21" i="3" a="1"/>
  <c r="AA24" i="2"/>
  <c r="I17" i="2"/>
  <c r="G16" i="2"/>
  <c r="E4" i="3" a="1"/>
  <c r="N27" i="2"/>
  <c r="O6" i="3" a="1"/>
  <c r="P17" i="3" a="1"/>
  <c r="G18" i="2"/>
  <c r="E25" i="2"/>
  <c r="U21" i="2"/>
  <c r="I18" i="3" a="1"/>
  <c r="N13" i="3" a="1"/>
  <c r="S24" i="2"/>
  <c r="T26" i="2"/>
  <c r="V27" i="2"/>
  <c r="G27" i="3" a="1"/>
  <c r="N26" i="3" a="1"/>
  <c r="Y28" i="2"/>
  <c r="AC16" i="2"/>
  <c r="N14" i="3" a="1"/>
  <c r="L20" i="2"/>
  <c r="F15" i="3" a="1"/>
  <c r="R4" i="3" a="1"/>
  <c r="L2" i="3" a="1"/>
  <c r="W25" i="2"/>
  <c r="M18" i="3" a="1"/>
  <c r="V25" i="2"/>
  <c r="X25" i="2"/>
  <c r="J2" i="3" a="1"/>
  <c r="AB27" i="2"/>
  <c r="N2" i="3" a="1"/>
  <c r="O18" i="3" a="1"/>
  <c r="AG23" i="2"/>
  <c r="K11" i="3" a="1"/>
  <c r="D14" i="3" a="1"/>
  <c r="J30" i="3" a="1"/>
  <c r="P31" i="3" a="1"/>
  <c r="J22" i="3" a="1"/>
  <c r="N25" i="2"/>
  <c r="AB18" i="2"/>
  <c r="E11" i="3" a="1"/>
  <c r="F5" i="3" a="1"/>
  <c r="E25" i="3" a="1"/>
  <c r="D2" i="3" a="1"/>
  <c r="V18" i="2"/>
  <c r="E17" i="3" a="1"/>
  <c r="M17" i="3" a="1"/>
  <c r="D19" i="3" a="1"/>
  <c r="H4" i="3" a="1"/>
  <c r="S27" i="2"/>
  <c r="F23" i="2"/>
  <c r="X18" i="2"/>
  <c r="H22" i="2"/>
  <c r="L9" i="3" a="1"/>
  <c r="N8" i="3" a="1"/>
  <c r="S13" i="3" a="1"/>
  <c r="G20" i="3" a="1"/>
  <c r="G17" i="3" a="1"/>
  <c r="N20" i="3" a="1"/>
  <c r="I17" i="3" a="1"/>
  <c r="W26" i="2"/>
  <c r="Q28" i="2"/>
  <c r="G3" i="3" a="1"/>
  <c r="Z23" i="2"/>
  <c r="G12" i="3" a="1"/>
  <c r="G22" i="3" a="1"/>
  <c r="M21" i="3" a="1"/>
  <c r="O17" i="3" a="1"/>
  <c r="F20" i="2"/>
  <c r="T22" i="2"/>
  <c r="L4" i="3" a="1"/>
  <c r="AE28" i="2"/>
  <c r="X16" i="2"/>
  <c r="E15" i="3" a="1"/>
  <c r="R21" i="3" a="1"/>
  <c r="F21" i="3" a="1"/>
  <c r="AA26" i="2"/>
  <c r="W27" i="2"/>
  <c r="D28" i="2"/>
  <c r="E2" i="3" a="1"/>
  <c r="AB28" i="2"/>
  <c r="J20" i="3" a="1"/>
  <c r="R2" i="3" a="1"/>
  <c r="C15" i="3" a="1"/>
  <c r="I13" i="3" a="1"/>
  <c r="W17" i="2"/>
  <c r="X21" i="2"/>
  <c r="L26" i="3" a="1"/>
  <c r="AE17" i="2"/>
  <c r="I21" i="3" a="1"/>
  <c r="N28" i="2"/>
  <c r="S25" i="3" a="1"/>
  <c r="U24" i="2"/>
  <c r="P4" i="3" a="1"/>
  <c r="T20" i="2"/>
  <c r="E13" i="3" a="1"/>
  <c r="M21" i="2"/>
  <c r="D17" i="2"/>
  <c r="AB23" i="2"/>
  <c r="R17" i="3" a="1"/>
  <c r="N19" i="3" a="1"/>
  <c r="S22" i="3" a="1"/>
  <c r="C24" i="3" a="1"/>
  <c r="E16" i="3" a="1"/>
  <c r="O22" i="3" a="1"/>
  <c r="O4" i="3" a="1"/>
  <c r="Z21" i="2"/>
  <c r="K12" i="3" a="1"/>
  <c r="F9" i="3" a="1"/>
  <c r="F16" i="2"/>
  <c r="I2" i="3" a="1"/>
  <c r="I31" i="3" a="1"/>
  <c r="F30" i="3" a="1"/>
  <c r="R23" i="3" a="1"/>
  <c r="S7" i="3" a="1"/>
  <c r="O27" i="2"/>
  <c r="W20" i="2"/>
  <c r="R15" i="3" a="1"/>
  <c r="Q25" i="2"/>
  <c r="L28" i="2"/>
  <c r="Y25" i="2"/>
  <c r="L10" i="3" a="1"/>
  <c r="C3" i="3" a="1"/>
  <c r="S2" i="3" a="1"/>
  <c r="L19" i="3" a="1"/>
  <c r="I8" i="3" a="1"/>
  <c r="R23" i="2"/>
  <c r="Z22" i="2"/>
  <c r="I18" i="2"/>
  <c r="H31" i="3" a="1"/>
  <c r="L16" i="3" a="1"/>
  <c r="V28" i="2"/>
  <c r="H15" i="3" a="1"/>
  <c r="C9" i="3" a="1"/>
  <c r="Q24" i="2"/>
  <c r="AF24" i="2"/>
  <c r="X27" i="2"/>
  <c r="J18" i="3" a="1"/>
  <c r="G10" i="3" a="1"/>
  <c r="O25" i="3" a="1"/>
  <c r="C4" i="3" a="1"/>
  <c r="G28" i="3" a="1"/>
  <c r="D23" i="2"/>
  <c r="Z18" i="2"/>
  <c r="J13" i="3" a="1"/>
  <c r="U23" i="2"/>
  <c r="M20" i="3" a="1"/>
  <c r="C31" i="3" a="1"/>
  <c r="K17" i="2"/>
  <c r="X28" i="2"/>
  <c r="N21" i="2"/>
  <c r="R9" i="3" a="1"/>
  <c r="E17" i="2"/>
  <c r="AF18" i="2"/>
  <c r="L21" i="3" a="1"/>
  <c r="F16" i="3" a="1"/>
  <c r="L24" i="2"/>
  <c r="AC25" i="2"/>
  <c r="G15" i="3" a="1"/>
  <c r="K17" i="3" a="1"/>
  <c r="M26" i="2"/>
  <c r="T17" i="2"/>
  <c r="I16" i="3" a="1"/>
  <c r="N16" i="2"/>
  <c r="X22" i="2"/>
  <c r="J21" i="2"/>
  <c r="T21" i="2"/>
  <c r="M6" i="3" a="1"/>
  <c r="L17" i="3" a="1"/>
  <c r="K25" i="3" a="1"/>
  <c r="C16" i="3" a="1"/>
  <c r="M5" i="3" a="1"/>
  <c r="N18" i="3" a="1"/>
  <c r="R28" i="3" a="1"/>
  <c r="AE16" i="2"/>
  <c r="O16" i="3" a="1"/>
  <c r="M24" i="2"/>
  <c r="V16" i="2"/>
  <c r="M24" i="3" a="1"/>
  <c r="E29" i="3" a="1"/>
  <c r="AG28" i="2"/>
  <c r="L27" i="2"/>
  <c r="L18" i="2"/>
  <c r="J26" i="3" a="1"/>
  <c r="C5" i="3" a="1"/>
  <c r="AE18" i="2"/>
  <c r="S16" i="3" a="1"/>
  <c r="AF26" i="2"/>
  <c r="AD20" i="2"/>
  <c r="F11" i="3" a="1"/>
  <c r="E22" i="3" a="1"/>
  <c r="S23" i="2"/>
  <c r="H3" i="3" a="1"/>
  <c r="D11" i="3" a="1"/>
  <c r="E28" i="3" a="1"/>
  <c r="R16" i="2"/>
  <c r="K5" i="3" a="1"/>
  <c r="AE24" i="2"/>
  <c r="I24" i="2"/>
  <c r="S14" i="3" a="1"/>
  <c r="O28" i="3" a="1"/>
  <c r="Y26" i="2"/>
  <c r="AB22" i="2"/>
  <c r="D22" i="3" a="1"/>
  <c r="E23" i="2"/>
  <c r="J10" i="3" a="1"/>
  <c r="I26" i="3" a="1"/>
  <c r="I4" i="3" a="1"/>
  <c r="K13" i="3" a="1"/>
  <c r="C18" i="3" a="1"/>
  <c r="N9" i="3" a="1"/>
  <c r="D8" i="3" a="1"/>
  <c r="AC24" i="2"/>
  <c r="C7" i="3" a="1"/>
  <c r="R11" i="3" a="1"/>
  <c r="AF22" i="2"/>
  <c r="J23" i="3" a="1"/>
  <c r="R30" i="3" a="1"/>
  <c r="F29" i="3" a="1"/>
  <c r="L5" i="3" a="1"/>
  <c r="M13" i="3" a="1"/>
  <c r="G28" i="2"/>
  <c r="S24" i="3" a="1"/>
  <c r="J24" i="3" a="1"/>
  <c r="M30" i="3" a="1"/>
  <c r="AG21" i="2"/>
  <c r="Z27" i="2"/>
  <c r="P28" i="3" a="1"/>
  <c r="F7" i="3" a="1"/>
  <c r="U25" i="2"/>
  <c r="D24" i="2"/>
  <c r="G13" i="3" a="1"/>
  <c r="I23" i="3" a="1"/>
  <c r="J12" i="3" a="1"/>
  <c r="J29" i="3" a="1"/>
  <c r="AF23" i="2"/>
  <c r="P23" i="2"/>
  <c r="K22" i="2"/>
  <c r="H11" i="3" a="1"/>
  <c r="I29" i="3" a="1"/>
  <c r="H9" i="3" a="1"/>
  <c r="O23" i="2"/>
  <c r="J26" i="2"/>
  <c r="R22" i="2"/>
  <c r="H20" i="3" a="1"/>
  <c r="K28" i="3" a="1"/>
  <c r="R27" i="3" a="1"/>
  <c r="R24" i="2"/>
  <c r="O12" i="3" a="1"/>
  <c r="T24" i="2"/>
  <c r="E27" i="2"/>
  <c r="D7" i="3" a="1"/>
  <c r="N23" i="2"/>
  <c r="N25" i="3" a="1"/>
  <c r="P20" i="2"/>
  <c r="AA28" i="2"/>
  <c r="C27" i="3" a="1"/>
  <c r="S28" i="2"/>
  <c r="K20" i="3" a="1"/>
  <c r="N24" i="3" a="1"/>
  <c r="J24" i="2"/>
  <c r="S26" i="3" a="1"/>
  <c r="F26" i="3" a="1"/>
  <c r="D9" i="3" a="1"/>
  <c r="S31" i="3" a="1"/>
  <c r="N29" i="3" a="1"/>
  <c r="L22" i="2"/>
  <c r="D20" i="3" a="1"/>
  <c r="L6" i="3" a="1"/>
  <c r="P21" i="3" a="1"/>
  <c r="O25" i="2"/>
  <c r="G24" i="3" a="1"/>
  <c r="K8" i="3" a="1"/>
  <c r="K26" i="3" a="1"/>
  <c r="I20" i="3" a="1"/>
  <c r="K22" i="3" a="1"/>
  <c r="O23" i="3" a="1"/>
  <c r="J11" i="3" a="1"/>
  <c r="C22" i="3" a="1"/>
  <c r="O17" i="2"/>
  <c r="J19" i="3" a="1"/>
  <c r="I20" i="2"/>
  <c r="P18" i="3" a="1"/>
  <c r="P16" i="2"/>
  <c r="J22" i="2"/>
  <c r="D24" i="3" a="1"/>
  <c r="O22" i="2"/>
  <c r="AC20" i="2"/>
  <c r="AF16" i="2"/>
  <c r="Z25" i="2"/>
  <c r="H12" i="3" a="1"/>
  <c r="H10" i="3" a="1"/>
  <c r="R13" i="3" a="1"/>
  <c r="J3" i="3" a="1"/>
  <c r="G17" i="2"/>
  <c r="D17" i="3" a="1"/>
  <c r="P3" i="3" a="1"/>
  <c r="P21" i="2"/>
  <c r="L28" i="3" a="1"/>
  <c r="U22" i="2"/>
  <c r="O21" i="3" a="1"/>
  <c r="P9" i="3" a="1"/>
  <c r="F21" i="2"/>
  <c r="M15" i="3" a="1"/>
  <c r="AD16" i="2"/>
  <c r="U26" i="2"/>
  <c r="AF25" i="2"/>
  <c r="R25" i="2"/>
  <c r="H25" i="2"/>
  <c r="M23" i="3" a="1"/>
  <c r="AG25" i="2"/>
  <c r="N24" i="2"/>
  <c r="D27" i="2"/>
  <c r="N17" i="3" a="1"/>
  <c r="J14" i="3" a="1"/>
  <c r="R20" i="2"/>
  <c r="Z20" i="2"/>
  <c r="F17" i="2"/>
  <c r="P28" i="2"/>
  <c r="E26" i="3" a="1"/>
  <c r="I12" i="3" a="1"/>
  <c r="C23" i="3" a="1"/>
  <c r="D25" i="3" a="1"/>
  <c r="Q20" i="2"/>
  <c r="I22" i="2"/>
  <c r="R8" i="3" a="1"/>
  <c r="AE21" i="2"/>
  <c r="H21" i="2"/>
  <c r="D18" i="3" a="1"/>
  <c r="H25" i="3" a="1"/>
  <c r="N18" i="2"/>
  <c r="Q18" i="2"/>
  <c r="K16" i="3" a="1"/>
  <c r="H23" i="2"/>
  <c r="G4" i="3" a="1"/>
  <c r="AC26" i="2"/>
  <c r="F18" i="2"/>
  <c r="W28" i="2"/>
  <c r="Z17" i="2"/>
  <c r="H24" i="2"/>
  <c r="G2" i="3" a="1"/>
  <c r="K2" i="3" a="1"/>
  <c r="O26" i="2"/>
  <c r="S19" i="3" a="1"/>
  <c r="S9" i="3" a="1"/>
  <c r="H21" i="3" a="1"/>
  <c r="D25" i="2"/>
  <c r="D26" i="2"/>
  <c r="O29" i="3" a="1"/>
  <c r="F2" i="3" a="1"/>
  <c r="J16" i="2"/>
  <c r="E18" i="3" a="1"/>
  <c r="AA20" i="2"/>
  <c r="L23" i="2"/>
  <c r="K25" i="2"/>
  <c r="P17" i="2"/>
  <c r="H5" i="3" a="1"/>
  <c r="AE26" i="2"/>
  <c r="K10" i="3" a="1"/>
  <c r="G31" i="3" a="1"/>
  <c r="AD23" i="2"/>
  <c r="E23" i="3" a="1"/>
  <c r="AA22" i="2"/>
  <c r="F13" i="3" a="1"/>
  <c r="R14" i="3" a="1"/>
  <c r="C20" i="3" a="1"/>
  <c r="U16" i="2"/>
  <c r="L24" i="3" a="1"/>
  <c r="L30" i="3" a="1"/>
  <c r="F25" i="2"/>
  <c r="AE27" i="2"/>
  <c r="AG18" i="2"/>
  <c r="P25" i="2"/>
  <c r="N17" i="2"/>
  <c r="G7" i="3" a="1"/>
  <c r="S30" i="3" a="1"/>
  <c r="W16" i="2"/>
  <c r="I27" i="3" a="1"/>
  <c r="F27" i="3" a="1"/>
  <c r="T28" i="2"/>
  <c r="AB20" i="2"/>
  <c r="N31" i="3" a="1"/>
  <c r="E24" i="3" a="1"/>
  <c r="P13" i="3" a="1"/>
  <c r="N11" i="3" a="1"/>
  <c r="G26" i="2"/>
  <c r="E14" i="3" a="1"/>
  <c r="I26" i="2"/>
  <c r="L22" i="3" a="1"/>
  <c r="I16" i="2"/>
  <c r="I7" i="3" a="1"/>
  <c r="S3" i="3" a="1"/>
  <c r="O21" i="2"/>
  <c r="L7" i="3" a="1"/>
  <c r="S18" i="2"/>
  <c r="L16" i="2"/>
  <c r="P25" i="3" a="1"/>
  <c r="G5" i="3" a="1"/>
  <c r="K18" i="3" a="1"/>
  <c r="M12" i="3" a="1"/>
  <c r="C11" i="3" a="1"/>
  <c r="M22" i="2"/>
  <c r="K21" i="2"/>
  <c r="I5" i="3" a="1"/>
  <c r="I24" i="3" a="1"/>
  <c r="C25" i="3" a="1"/>
  <c r="P6" i="3" a="1"/>
  <c r="S15" i="3" a="1"/>
  <c r="M26" i="3" a="1"/>
  <c r="AB25" i="2"/>
  <c r="D26" i="3" a="1"/>
  <c r="C29" i="3" a="1"/>
  <c r="U27" i="2"/>
  <c r="E30" i="3" a="1"/>
  <c r="J21" i="3" a="1"/>
  <c r="R26" i="3" a="1"/>
  <c r="H24" i="3" a="1"/>
  <c r="Y23" i="2"/>
  <c r="R6" i="3" a="1"/>
  <c r="AF20" i="2"/>
  <c r="W18" i="2"/>
  <c r="F19" i="3" a="1"/>
  <c r="M9" i="3" a="1"/>
  <c r="G26" i="3" a="1"/>
  <c r="P23" i="3" a="1"/>
  <c r="N23" i="3" a="1"/>
  <c r="K7" i="3" a="1"/>
  <c r="H28" i="2"/>
  <c r="R26" i="2"/>
  <c r="M14" i="3" a="1"/>
  <c r="K14" i="3" a="1"/>
  <c r="H14" i="3" a="1"/>
  <c r="H28" i="3" a="1"/>
  <c r="H27" i="2"/>
  <c r="AD24" i="2"/>
  <c r="O13" i="3" a="1"/>
  <c r="F20" i="3" a="1"/>
  <c r="J6" i="3" a="1"/>
  <c r="N16" i="3" a="1"/>
  <c r="S5" i="3" a="1"/>
  <c r="H17" i="3" a="1"/>
  <c r="D27" i="3" a="1"/>
  <c r="AD21" i="2"/>
  <c r="AE22" i="2"/>
  <c r="K31" i="3" a="1"/>
  <c r="F12" i="3" a="1"/>
  <c r="AG26" i="2"/>
  <c r="P15" i="3" a="1"/>
  <c r="M29" i="3" a="1"/>
  <c r="K24" i="2"/>
  <c r="J5" i="3" a="1"/>
  <c r="I25" i="3" a="1"/>
  <c r="R21" i="2"/>
  <c r="Y22" i="2"/>
  <c r="AA16" i="2"/>
  <c r="J28" i="2"/>
  <c r="AD18" i="2"/>
  <c r="N7" i="3" a="1"/>
  <c r="H23" i="3" a="1"/>
  <c r="AF21" i="2"/>
  <c r="E7" i="3" a="1"/>
  <c r="P20" i="3" a="1"/>
  <c r="V21" i="2"/>
  <c r="P7" i="3" a="1"/>
  <c r="L23" i="3" a="1"/>
  <c r="P26" i="2"/>
  <c r="D6" i="3" a="1"/>
  <c r="N5" i="3" a="1"/>
  <c r="R29" i="3" a="1"/>
  <c r="E9" i="3" a="1"/>
  <c r="R5" i="3" a="1"/>
  <c r="S23" i="3" a="1"/>
  <c r="L31" i="3" a="1"/>
  <c r="N20" i="2"/>
  <c r="F22" i="2"/>
  <c r="O30" i="3" a="1"/>
  <c r="N10" i="3" a="1"/>
  <c r="AB26" i="2"/>
  <c r="E24" i="2"/>
  <c r="D3" i="3" a="1"/>
  <c r="AD22" i="2"/>
  <c r="L25" i="3" a="1"/>
  <c r="E8" i="3" a="1"/>
  <c r="AC23" i="2"/>
  <c r="L29" i="3" a="1"/>
  <c r="S20" i="2"/>
  <c r="L17" i="2"/>
  <c r="O24" i="2"/>
  <c r="K21" i="3" a="1"/>
  <c r="K19" i="3" a="1"/>
  <c r="Q17" i="2"/>
  <c r="J9" i="3" a="1"/>
  <c r="F18" i="3" a="1"/>
  <c r="I15" i="3" a="1"/>
  <c r="N27" i="3" a="1"/>
  <c r="K6" i="3" a="1"/>
  <c r="G6" i="3" a="1"/>
  <c r="G16" i="3" a="1"/>
  <c r="K20" i="2"/>
  <c r="AC28" i="2"/>
  <c r="O27" i="3" a="1"/>
  <c r="M8" i="3" a="1"/>
  <c r="Y16" i="2"/>
  <c r="H26" i="2"/>
  <c r="I11" i="3" a="1"/>
  <c r="H16" i="2"/>
  <c r="R10" i="3" a="1"/>
  <c r="M25" i="3" a="1"/>
  <c r="C2" i="3" a="1"/>
  <c r="S26" i="2"/>
  <c r="P30" i="3" a="1"/>
  <c r="L27" i="3" a="1"/>
  <c r="AG20" i="2"/>
  <c r="M3" i="3" a="1"/>
  <c r="S17" i="2"/>
  <c r="P16" i="3" a="1"/>
  <c r="T16" i="2"/>
  <c r="G22" i="2"/>
  <c r="M28" i="3" a="1"/>
  <c r="G27" i="2"/>
  <c r="U18" i="2"/>
  <c r="K18" i="2"/>
  <c r="D21" i="3" a="1"/>
  <c r="K15" i="3" a="1"/>
  <c r="N15" i="3" a="1"/>
  <c r="G21" i="2"/>
  <c r="Q22" i="2"/>
  <c r="K29" i="3" a="1"/>
  <c r="S28" i="3" a="1"/>
  <c r="L15" i="3" a="1"/>
  <c r="I28" i="3" a="1"/>
  <c r="I23" i="2"/>
  <c r="L25" i="2"/>
  <c r="M16" i="2"/>
  <c r="R20" i="3" a="1"/>
  <c r="D13" i="3" a="1"/>
  <c r="O2" i="3" a="1"/>
  <c r="R18" i="2"/>
  <c r="O5" i="3" a="1"/>
  <c r="E6" i="3" a="1"/>
  <c r="R16" i="3" a="1"/>
  <c r="C13" i="3" a="1"/>
  <c r="N4" i="3" a="1"/>
  <c r="J28" i="3" a="1"/>
  <c r="O14" i="3" a="1"/>
  <c r="P5" i="3" a="1"/>
  <c r="M16" i="3" a="1"/>
  <c r="M31" i="3" a="1"/>
  <c r="G30" i="3" a="1"/>
  <c r="N12" i="3" a="1"/>
  <c r="M23" i="2"/>
  <c r="I25" i="2"/>
  <c r="I6" i="3" a="1"/>
  <c r="I3" i="3" a="1"/>
  <c r="S18" i="3" a="1"/>
  <c r="O19" i="3" a="1"/>
  <c r="AB21" i="2"/>
  <c r="M7" i="3" a="1"/>
  <c r="O24" i="3" a="1"/>
  <c r="J27" i="3" a="1"/>
  <c r="R24" i="3" a="1"/>
  <c r="D21" i="2"/>
  <c r="O11" i="3" a="1"/>
  <c r="I22" i="3" a="1"/>
  <c r="L14" i="3" a="1"/>
  <c r="P27" i="3" a="1"/>
  <c r="N28" i="3" a="1"/>
  <c r="K4" i="3" a="1"/>
  <c r="P26" i="3" a="1"/>
  <c r="K27" i="2"/>
  <c r="D28" i="3" a="1"/>
  <c r="T25" i="2"/>
  <c r="N30" i="3" a="1"/>
  <c r="Q23" i="2"/>
  <c r="E3" i="3" a="1"/>
  <c r="W21" i="2"/>
  <c r="J17" i="2"/>
  <c r="AF17" i="2"/>
  <c r="J27" i="2"/>
  <c r="AG27" i="2"/>
  <c r="F25" i="3" a="1"/>
  <c r="H6" i="3" a="1"/>
  <c r="N22" i="3" a="1"/>
  <c r="I27" i="2"/>
  <c r="L21" i="2"/>
  <c r="R17" i="2"/>
  <c r="AD26" i="2"/>
  <c r="Y18" i="2"/>
  <c r="Q16" i="2"/>
  <c r="AE23" i="2"/>
  <c r="Z28" i="2"/>
  <c r="E20" i="2"/>
  <c r="J25" i="2"/>
  <c r="K3" i="3" a="1"/>
  <c r="Y21" i="2"/>
  <c r="R3" i="3" a="1"/>
  <c r="O8" i="3" a="1"/>
  <c r="H30" i="3" a="1"/>
  <c r="N26" i="2"/>
  <c r="H22" i="3" a="1"/>
  <c r="K27" i="3" a="1"/>
  <c r="L3" i="3" a="1"/>
  <c r="N22" i="2"/>
  <c r="G21" i="3" a="1"/>
  <c r="AC17" i="2"/>
  <c r="E31" i="3" a="1"/>
  <c r="AG17" i="2"/>
  <c r="AB16" i="2"/>
  <c r="I19" i="3" a="1"/>
  <c r="J7" i="3" a="1"/>
  <c r="G18" i="3" a="1"/>
  <c r="K16" i="2"/>
  <c r="H16" i="3" a="1"/>
  <c r="Q27" i="2"/>
  <c r="H27" i="3" a="1"/>
  <c r="G14" i="3" a="1"/>
  <c r="D30" i="3" a="1"/>
  <c r="O7" i="3" a="1"/>
  <c r="V17" i="2"/>
  <c r="F28" i="3" a="1"/>
  <c r="P22" i="2"/>
  <c r="M22" i="3" a="1"/>
  <c r="U28" i="2"/>
  <c r="D15" i="3" a="1"/>
  <c r="Q26" i="2"/>
  <c r="F24" i="2"/>
  <c r="P19" i="3" a="1"/>
  <c r="X23" i="2"/>
  <c r="K23" i="2"/>
  <c r="M25" i="2"/>
  <c r="H18" i="3" a="1"/>
  <c r="R22" i="3" a="1"/>
  <c r="J4" i="3" a="1"/>
  <c r="M17" i="2"/>
  <c r="C17" i="3" a="1"/>
  <c r="P11" i="3" a="1"/>
  <c r="N6" i="3" a="1"/>
  <c r="I21" i="2"/>
  <c r="V26" i="2"/>
  <c r="J31" i="3" a="1"/>
  <c r="L12" i="3" a="1"/>
  <c r="H26" i="3" a="1"/>
  <c r="R25" i="3" a="1"/>
  <c r="E26" i="2"/>
  <c r="K24" i="3" a="1"/>
  <c r="K30" i="3" a="1"/>
  <c r="F26" i="2"/>
  <c r="I9" i="3" a="1"/>
  <c r="AG24" i="2"/>
  <c r="K28" i="2"/>
  <c r="AD25" i="2"/>
  <c r="AG16" i="2"/>
  <c r="S8" i="3" a="1"/>
  <c r="F27" i="2"/>
  <c r="W23" i="2"/>
  <c r="C8" i="3" a="1"/>
  <c r="H13" i="3" a="1"/>
  <c r="Z24" i="2"/>
  <c r="E28" i="2"/>
  <c r="J20" i="2"/>
  <c r="Q21" i="2"/>
  <c r="D29" i="3" a="1"/>
  <c r="P12" i="3" a="1"/>
  <c r="P14" i="3" a="1"/>
  <c r="M27" i="3" a="1"/>
  <c r="F4" i="3" a="1"/>
  <c r="AE25" i="2"/>
  <c r="O10" i="3" a="1"/>
  <c r="K23" i="3" a="1"/>
  <c r="J18" i="2"/>
  <c r="C10" i="3" a="1"/>
  <c r="G9" i="3" a="1"/>
  <c r="C14" i="3" a="1"/>
  <c r="L13" i="3" a="1"/>
  <c r="M4" i="3" a="1"/>
  <c r="S16" i="2"/>
  <c r="D20" i="2"/>
  <c r="E21" i="3" a="1"/>
  <c r="C6" i="3" a="1"/>
  <c r="J16" i="3" a="1"/>
  <c r="E10" i="3" a="1"/>
  <c r="AC27" i="2"/>
  <c r="P10" i="3" a="1"/>
  <c r="S22" i="2"/>
  <c r="E5" i="3" a="1"/>
  <c r="P27" i="2"/>
  <c r="H2" i="3" a="1"/>
  <c r="S25" i="2"/>
  <c r="G19" i="3" a="1"/>
  <c r="Z26" i="2"/>
  <c r="D10" i="3" a="1"/>
  <c r="R19" i="3" a="1"/>
  <c r="G20" i="2"/>
  <c r="O18" i="2"/>
  <c r="X20" i="2"/>
  <c r="D18" i="2"/>
  <c r="D23" i="3" a="1"/>
  <c r="AC21" i="2"/>
  <c r="AF28" i="2"/>
  <c r="S21" i="2"/>
  <c r="S29" i="3" a="1"/>
  <c r="P24" i="2"/>
  <c r="M10" i="3" a="1"/>
  <c r="Y20" i="2"/>
  <c r="F8" i="3" a="1"/>
  <c r="F10" i="3" a="1"/>
  <c r="V20" i="2"/>
  <c r="C28" i="3" a="1"/>
  <c r="G11" i="3" a="1"/>
  <c r="P2" i="3" a="1"/>
  <c r="X24" i="2"/>
  <c r="W24" i="2"/>
  <c r="G23" i="3" a="1"/>
  <c r="G29" i="3" a="1"/>
  <c r="T23" i="2"/>
  <c r="P8" i="3" a="1"/>
  <c r="P18" i="2"/>
  <c r="Y27" i="2"/>
  <c r="AC18" i="2"/>
  <c r="H19" i="3" a="1"/>
  <c r="S12" i="3" a="1"/>
  <c r="K9" i="3" a="1"/>
  <c r="AC22" i="2"/>
  <c r="O28" i="2"/>
  <c r="L11" i="3" a="1"/>
  <c r="M11" i="3" a="1"/>
  <c r="E21" i="2"/>
  <c r="R12" i="3" a="1"/>
  <c r="M18" i="2"/>
  <c r="J25" i="3" a="1"/>
  <c r="E27" i="3" a="1"/>
  <c r="P24" i="3" a="1"/>
  <c r="C19" i="3" a="1"/>
  <c r="M20" i="2"/>
  <c r="O31" i="3" a="1"/>
  <c r="G23" i="2"/>
  <c r="E16" i="2"/>
  <c r="H7" i="3" a="1"/>
  <c r="R28" i="2"/>
  <c r="Z16" i="2"/>
  <c r="N21" i="3" a="1"/>
  <c r="I28" i="2"/>
  <c r="C30" i="3" a="1"/>
  <c r="AE20" i="2"/>
  <c r="R7" i="3" a="1"/>
  <c r="N3" i="3" a="1"/>
  <c r="U20" i="2"/>
  <c r="G25" i="2"/>
  <c r="D5" i="3" a="1"/>
  <c r="K26" i="2"/>
  <c r="F28" i="2"/>
  <c r="AA21" i="2"/>
  <c r="AA25" i="2"/>
  <c r="O9" i="3" a="1"/>
  <c r="O20" i="3" a="1"/>
  <c r="H17" i="2"/>
  <c r="F6" i="3" a="1"/>
  <c r="P29" i="3" a="1"/>
  <c r="O3" i="3" a="1"/>
  <c r="R31" i="3" a="1"/>
  <c r="H8" i="3" a="1"/>
  <c r="S17" i="3" a="1"/>
  <c r="O20" i="2"/>
  <c r="E20" i="3" a="1"/>
  <c r="G24" i="2"/>
  <c r="D31" i="3" a="1"/>
  <c r="AG22" i="2"/>
  <c r="AB24" i="2"/>
  <c r="O16" i="2"/>
  <c r="S4" i="3" a="1"/>
  <c r="I10" i="3" a="1"/>
  <c r="R27" i="2"/>
  <c r="H29" i="3" a="1"/>
  <c r="E12" i="3" a="1"/>
  <c r="I30" i="3" a="1"/>
  <c r="D4" i="3" a="1"/>
  <c r="V23" i="2"/>
  <c r="R18" i="3" a="1"/>
  <c r="F3" i="3" a="1"/>
  <c r="I14" i="3" a="1"/>
  <c r="G25" i="3" a="1"/>
  <c r="T27" i="2"/>
  <c r="AA17" i="2"/>
  <c r="S10" i="3" a="1"/>
  <c r="Y9" i="2" l="1"/>
  <c r="O9" i="2"/>
  <c r="Z9" i="2"/>
  <c r="E9" i="2"/>
  <c r="S9" i="2"/>
  <c r="AG9" i="2"/>
  <c r="K9" i="2"/>
  <c r="AB9" i="2"/>
  <c r="Q9" i="2"/>
  <c r="M9" i="2"/>
  <c r="T9" i="2"/>
  <c r="H9" i="2"/>
  <c r="AA9" i="2"/>
  <c r="L9" i="2"/>
  <c r="I9" i="2"/>
  <c r="W9" i="2"/>
  <c r="U9" i="2"/>
  <c r="J9" i="2"/>
  <c r="AD9" i="2"/>
  <c r="AF9" i="2"/>
  <c r="P9" i="2"/>
  <c r="R9" i="2"/>
  <c r="V9" i="2"/>
  <c r="AE9" i="2"/>
  <c r="N9" i="2"/>
  <c r="F9" i="2"/>
  <c r="X9" i="2"/>
  <c r="AC9" i="2"/>
  <c r="G9" i="2"/>
  <c r="D9" i="2"/>
  <c r="AA22" i="72"/>
  <c r="T32" i="72"/>
  <c r="V28" i="72"/>
  <c r="R32" i="72"/>
  <c r="O14" i="2"/>
  <c r="O11" i="2"/>
  <c r="O12" i="2"/>
  <c r="O10" i="2"/>
  <c r="O8" i="2"/>
  <c r="O13" i="2"/>
  <c r="O21" i="72"/>
  <c r="AB29" i="72"/>
  <c r="AG27" i="72"/>
  <c r="G29" i="72"/>
  <c r="O25" i="72"/>
  <c r="H22" i="72"/>
  <c r="AA30" i="72"/>
  <c r="AA26" i="72"/>
  <c r="F33" i="72"/>
  <c r="K31" i="72"/>
  <c r="G30" i="72"/>
  <c r="U25" i="72"/>
  <c r="AE25" i="72"/>
  <c r="I33" i="72"/>
  <c r="Z12" i="2"/>
  <c r="Z13" i="2"/>
  <c r="Z10" i="2"/>
  <c r="Z8" i="2"/>
  <c r="Z21" i="72"/>
  <c r="Z14" i="2"/>
  <c r="Z11" i="2"/>
  <c r="R33" i="72"/>
  <c r="E14" i="2"/>
  <c r="E11" i="2"/>
  <c r="E13" i="2"/>
  <c r="E12" i="2"/>
  <c r="E21" i="72"/>
  <c r="E10" i="2"/>
  <c r="E8" i="2"/>
  <c r="G28" i="72"/>
  <c r="M25" i="72"/>
  <c r="M23" i="72"/>
  <c r="E26" i="72"/>
  <c r="O33" i="72"/>
  <c r="AC27" i="72"/>
  <c r="AC23" i="72"/>
  <c r="Y32" i="72"/>
  <c r="P23" i="72"/>
  <c r="T28" i="72"/>
  <c r="W29" i="72"/>
  <c r="X29" i="72"/>
  <c r="V25" i="72"/>
  <c r="Y25" i="72"/>
  <c r="P29" i="72"/>
  <c r="S26" i="72"/>
  <c r="AF33" i="72"/>
  <c r="AC26" i="72"/>
  <c r="D23" i="72"/>
  <c r="X25" i="72"/>
  <c r="O23" i="72"/>
  <c r="G25" i="72"/>
  <c r="Z31" i="72"/>
  <c r="S30" i="72"/>
  <c r="P32" i="72"/>
  <c r="S27" i="72"/>
  <c r="AC32" i="72"/>
  <c r="D25" i="72"/>
  <c r="S10" i="2"/>
  <c r="S8" i="2"/>
  <c r="S13" i="2"/>
  <c r="S21" i="72"/>
  <c r="S12" i="2"/>
  <c r="S11" i="2"/>
  <c r="S14" i="2"/>
  <c r="J23" i="72"/>
  <c r="AE30" i="72"/>
  <c r="Q26" i="72"/>
  <c r="J25" i="72"/>
  <c r="E33" i="72"/>
  <c r="Z29" i="72"/>
  <c r="W28" i="72"/>
  <c r="F32" i="72"/>
  <c r="AG11" i="2"/>
  <c r="AG13" i="2"/>
  <c r="AG14" i="2"/>
  <c r="AG12" i="2"/>
  <c r="AG21" i="72"/>
  <c r="AG10" i="2"/>
  <c r="AG8" i="2"/>
  <c r="AD30" i="72"/>
  <c r="K33" i="72"/>
  <c r="AG29" i="72"/>
  <c r="F31" i="72"/>
  <c r="E31" i="72"/>
  <c r="V31" i="72"/>
  <c r="I26" i="72"/>
  <c r="M22" i="72"/>
  <c r="M30" i="72"/>
  <c r="K28" i="72"/>
  <c r="X28" i="72"/>
  <c r="F29" i="72"/>
  <c r="Q31" i="72"/>
  <c r="U33" i="72"/>
  <c r="P27" i="72"/>
  <c r="V22" i="72"/>
  <c r="Q32" i="72"/>
  <c r="K21" i="72"/>
  <c r="K8" i="2"/>
  <c r="K10" i="2"/>
  <c r="K14" i="2"/>
  <c r="K12" i="2"/>
  <c r="K13" i="2"/>
  <c r="K11" i="2"/>
  <c r="AB10" i="2"/>
  <c r="AB8" i="2"/>
  <c r="AB21" i="72"/>
  <c r="AB12" i="2"/>
  <c r="AB13" i="2"/>
  <c r="AB14" i="2"/>
  <c r="AB11" i="2"/>
  <c r="AG22" i="72"/>
  <c r="AC22" i="72"/>
  <c r="N27" i="72"/>
  <c r="N31" i="72"/>
  <c r="Y26" i="72"/>
  <c r="J30" i="72"/>
  <c r="E25" i="72"/>
  <c r="Z33" i="72"/>
  <c r="AE28" i="72"/>
  <c r="Q14" i="2"/>
  <c r="Q10" i="2"/>
  <c r="Q8" i="2"/>
  <c r="Q11" i="2"/>
  <c r="Q21" i="72"/>
  <c r="Q12" i="2"/>
  <c r="Q13" i="2"/>
  <c r="Y23" i="72"/>
  <c r="AD31" i="72"/>
  <c r="R22" i="72"/>
  <c r="L26" i="72"/>
  <c r="I32" i="72"/>
  <c r="AG32" i="72"/>
  <c r="J32" i="72"/>
  <c r="AF22" i="72"/>
  <c r="J22" i="72"/>
  <c r="W26" i="72"/>
  <c r="Q28" i="72"/>
  <c r="T30" i="72"/>
  <c r="K32" i="72"/>
  <c r="D26" i="72"/>
  <c r="AB26" i="72"/>
  <c r="I30" i="72"/>
  <c r="M28" i="72"/>
  <c r="R23" i="72"/>
  <c r="M13" i="2"/>
  <c r="M10" i="2"/>
  <c r="M8" i="2"/>
  <c r="M11" i="2"/>
  <c r="M14" i="2"/>
  <c r="M21" i="72"/>
  <c r="M12" i="2"/>
  <c r="L30" i="72"/>
  <c r="I28" i="72"/>
  <c r="Q27" i="72"/>
  <c r="G26" i="72"/>
  <c r="K23" i="72"/>
  <c r="U23" i="72"/>
  <c r="G32" i="72"/>
  <c r="G27" i="72"/>
  <c r="T10" i="2"/>
  <c r="T12" i="2"/>
  <c r="T11" i="2"/>
  <c r="T14" i="2"/>
  <c r="T13" i="2"/>
  <c r="T21" i="72"/>
  <c r="T8" i="2"/>
  <c r="S22" i="72"/>
  <c r="AG25" i="72"/>
  <c r="S31" i="72"/>
  <c r="H13" i="2"/>
  <c r="H12" i="2"/>
  <c r="H11" i="2"/>
  <c r="H8" i="2"/>
  <c r="H10" i="2"/>
  <c r="H21" i="72"/>
  <c r="H14" i="2"/>
  <c r="H31" i="72"/>
  <c r="Y11" i="2"/>
  <c r="Y8" i="2"/>
  <c r="Y10" i="2"/>
  <c r="Y21" i="72"/>
  <c r="Y12" i="2"/>
  <c r="Y14" i="2"/>
  <c r="Y13" i="2"/>
  <c r="AC33" i="72"/>
  <c r="K25" i="72"/>
  <c r="Q22" i="72"/>
  <c r="O29" i="72"/>
  <c r="L22" i="72"/>
  <c r="S25" i="72"/>
  <c r="AC28" i="72"/>
  <c r="AD27" i="72"/>
  <c r="E29" i="72"/>
  <c r="AB31" i="72"/>
  <c r="F27" i="72"/>
  <c r="N25" i="72"/>
  <c r="P31" i="72"/>
  <c r="V26" i="72"/>
  <c r="AF26" i="72"/>
  <c r="AD23" i="72"/>
  <c r="J33" i="72"/>
  <c r="AA10" i="2"/>
  <c r="AA8" i="2"/>
  <c r="AA11" i="2"/>
  <c r="AA21" i="72"/>
  <c r="AA12" i="2"/>
  <c r="AA13" i="2"/>
  <c r="AA14" i="2"/>
  <c r="Y27" i="72"/>
  <c r="R26" i="72"/>
  <c r="K29" i="72"/>
  <c r="AG31" i="72"/>
  <c r="AE27" i="72"/>
  <c r="AD26" i="72"/>
  <c r="AD29" i="72"/>
  <c r="H32" i="72"/>
  <c r="R31" i="72"/>
  <c r="H33" i="72"/>
  <c r="W23" i="72"/>
  <c r="AF25" i="72"/>
  <c r="Y28" i="72"/>
  <c r="U32" i="72"/>
  <c r="AB30" i="72"/>
  <c r="K26" i="72"/>
  <c r="M27" i="72"/>
  <c r="L10" i="2"/>
  <c r="L8" i="2"/>
  <c r="L21" i="72"/>
  <c r="L12" i="2"/>
  <c r="L13" i="2"/>
  <c r="L11" i="2"/>
  <c r="L14" i="2"/>
  <c r="S23" i="72"/>
  <c r="O26" i="72"/>
  <c r="I13" i="2"/>
  <c r="I12" i="2"/>
  <c r="I11" i="2"/>
  <c r="I14" i="2"/>
  <c r="I21" i="72"/>
  <c r="I10" i="2"/>
  <c r="I8" i="2"/>
  <c r="I31" i="72"/>
  <c r="G31" i="72"/>
  <c r="AB25" i="72"/>
  <c r="T33" i="72"/>
  <c r="W10" i="2"/>
  <c r="W8" i="2"/>
  <c r="W12" i="2"/>
  <c r="W13" i="2"/>
  <c r="W21" i="72"/>
  <c r="W14" i="2"/>
  <c r="W11" i="2"/>
  <c r="N22" i="72"/>
  <c r="P30" i="72"/>
  <c r="AG23" i="72"/>
  <c r="AE32" i="72"/>
  <c r="F30" i="72"/>
  <c r="U10" i="2"/>
  <c r="U13" i="2"/>
  <c r="U12" i="2"/>
  <c r="U11" i="2"/>
  <c r="U14" i="2"/>
  <c r="U21" i="72"/>
  <c r="U8" i="2"/>
  <c r="AA27" i="72"/>
  <c r="AD28" i="72"/>
  <c r="AE31" i="72"/>
  <c r="P22" i="72"/>
  <c r="K30" i="72"/>
  <c r="L28" i="72"/>
  <c r="AA25" i="72"/>
  <c r="J10" i="2"/>
  <c r="J13" i="2"/>
  <c r="J14" i="2"/>
  <c r="J12" i="2"/>
  <c r="J11" i="2"/>
  <c r="J21" i="72"/>
  <c r="J8" i="2"/>
  <c r="D31" i="72"/>
  <c r="D30" i="72"/>
  <c r="O31" i="72"/>
  <c r="H29" i="72"/>
  <c r="Z22" i="72"/>
  <c r="W33" i="72"/>
  <c r="F23" i="72"/>
  <c r="AC31" i="72"/>
  <c r="H28" i="72"/>
  <c r="Q23" i="72"/>
  <c r="N23" i="72"/>
  <c r="H26" i="72"/>
  <c r="AE26" i="72"/>
  <c r="I27" i="72"/>
  <c r="Q25" i="72"/>
  <c r="P33" i="72"/>
  <c r="F22" i="72"/>
  <c r="Z25" i="72"/>
  <c r="R25" i="72"/>
  <c r="D32" i="72"/>
  <c r="N29" i="72"/>
  <c r="AG30" i="72"/>
  <c r="H30" i="72"/>
  <c r="R30" i="72"/>
  <c r="AF30" i="72"/>
  <c r="U31" i="72"/>
  <c r="AD12" i="2"/>
  <c r="AD10" i="2"/>
  <c r="AD8" i="2"/>
  <c r="AD21" i="72"/>
  <c r="AD13" i="2"/>
  <c r="AD14" i="2"/>
  <c r="AD11" i="2"/>
  <c r="F26" i="72"/>
  <c r="U27" i="72"/>
  <c r="P26" i="72"/>
  <c r="G22" i="72"/>
  <c r="Z30" i="72"/>
  <c r="AF11" i="2"/>
  <c r="AF13" i="2"/>
  <c r="AF10" i="2"/>
  <c r="AF8" i="2"/>
  <c r="AF21" i="72"/>
  <c r="AF12" i="2"/>
  <c r="AF14" i="2"/>
  <c r="AC25" i="72"/>
  <c r="O27" i="72"/>
  <c r="J27" i="72"/>
  <c r="P13" i="2"/>
  <c r="P10" i="2"/>
  <c r="P8" i="2"/>
  <c r="P12" i="2"/>
  <c r="P11" i="2"/>
  <c r="P14" i="2"/>
  <c r="P21" i="72"/>
  <c r="I25" i="72"/>
  <c r="O22" i="72"/>
  <c r="O30" i="72"/>
  <c r="L27" i="72"/>
  <c r="J29" i="72"/>
  <c r="S33" i="72"/>
  <c r="AA33" i="72"/>
  <c r="P25" i="72"/>
  <c r="N28" i="72"/>
  <c r="E32" i="72"/>
  <c r="T29" i="72"/>
  <c r="R29" i="72"/>
  <c r="R27" i="72"/>
  <c r="J31" i="72"/>
  <c r="O28" i="72"/>
  <c r="K27" i="72"/>
  <c r="P28" i="72"/>
  <c r="AF28" i="72"/>
  <c r="D29" i="72"/>
  <c r="U30" i="72"/>
  <c r="Z32" i="72"/>
  <c r="AG26" i="72"/>
  <c r="G33" i="72"/>
  <c r="AF27" i="72"/>
  <c r="AC29" i="72"/>
  <c r="E28" i="72"/>
  <c r="AB27" i="72"/>
  <c r="Y31" i="72"/>
  <c r="I29" i="72"/>
  <c r="AE29" i="72"/>
  <c r="R21" i="72"/>
  <c r="R11" i="2"/>
  <c r="R13" i="2"/>
  <c r="R12" i="2"/>
  <c r="R10" i="2"/>
  <c r="R14" i="2"/>
  <c r="R8" i="2"/>
  <c r="S28" i="72"/>
  <c r="AD25" i="72"/>
  <c r="AF31" i="72"/>
  <c r="AE23" i="72"/>
  <c r="L23" i="72"/>
  <c r="L32" i="72"/>
  <c r="AG33" i="72"/>
  <c r="V10" i="2"/>
  <c r="V8" i="2"/>
  <c r="V13" i="2"/>
  <c r="V21" i="72"/>
  <c r="V14" i="2"/>
  <c r="V12" i="2"/>
  <c r="V11" i="2"/>
  <c r="M29" i="72"/>
  <c r="AE14" i="2"/>
  <c r="AE13" i="2"/>
  <c r="AE11" i="2"/>
  <c r="AE12" i="2"/>
  <c r="AE21" i="72"/>
  <c r="AE10" i="2"/>
  <c r="AE8" i="2"/>
  <c r="T26" i="72"/>
  <c r="J26" i="72"/>
  <c r="X27" i="72"/>
  <c r="N12" i="2"/>
  <c r="N11" i="2"/>
  <c r="N10" i="2"/>
  <c r="N8" i="2"/>
  <c r="N21" i="72"/>
  <c r="N13" i="2"/>
  <c r="N14" i="2"/>
  <c r="T22" i="72"/>
  <c r="M31" i="72"/>
  <c r="AC30" i="72"/>
  <c r="L29" i="72"/>
  <c r="AF23" i="72"/>
  <c r="E22" i="72"/>
  <c r="N26" i="72"/>
  <c r="X33" i="72"/>
  <c r="K22" i="72"/>
  <c r="U28" i="72"/>
  <c r="Z23" i="72"/>
  <c r="D28" i="72"/>
  <c r="X32" i="72"/>
  <c r="AF29" i="72"/>
  <c r="Q29" i="72"/>
  <c r="V33" i="72"/>
  <c r="I23" i="72"/>
  <c r="Z27" i="72"/>
  <c r="R28" i="72"/>
  <c r="Y30" i="72"/>
  <c r="L33" i="72"/>
  <c r="Q30" i="72"/>
  <c r="W25" i="72"/>
  <c r="O32" i="72"/>
  <c r="F10" i="2"/>
  <c r="F8" i="2"/>
  <c r="F14" i="2"/>
  <c r="F11" i="2"/>
  <c r="F12" i="2"/>
  <c r="F13" i="2"/>
  <c r="F21" i="72"/>
  <c r="Z26" i="72"/>
  <c r="AB28" i="72"/>
  <c r="D22" i="72"/>
  <c r="M26" i="72"/>
  <c r="T25" i="72"/>
  <c r="U29" i="72"/>
  <c r="N33" i="72"/>
  <c r="AE22" i="72"/>
  <c r="X26" i="72"/>
  <c r="W22" i="72"/>
  <c r="AB33" i="72"/>
  <c r="D33" i="72"/>
  <c r="W32" i="72"/>
  <c r="AA31" i="72"/>
  <c r="X10" i="2"/>
  <c r="X8" i="2"/>
  <c r="X12" i="2"/>
  <c r="X14" i="2"/>
  <c r="X11" i="2"/>
  <c r="X13" i="2"/>
  <c r="X21" i="72"/>
  <c r="AE33" i="72"/>
  <c r="T27" i="72"/>
  <c r="F25" i="72"/>
  <c r="Z28" i="72"/>
  <c r="Q33" i="72"/>
  <c r="W31" i="72"/>
  <c r="H27" i="72"/>
  <c r="X23" i="72"/>
  <c r="F28" i="72"/>
  <c r="S32" i="72"/>
  <c r="V23" i="72"/>
  <c r="AB23" i="72"/>
  <c r="N30" i="72"/>
  <c r="AG28" i="72"/>
  <c r="AB32" i="72"/>
  <c r="X30" i="72"/>
  <c r="V30" i="72"/>
  <c r="W30" i="72"/>
  <c r="L25" i="72"/>
  <c r="AC10" i="2"/>
  <c r="AC8" i="2"/>
  <c r="AC12" i="2"/>
  <c r="AC11" i="2"/>
  <c r="AC14" i="2"/>
  <c r="AC21" i="72"/>
  <c r="AC13" i="2"/>
  <c r="Y33" i="72"/>
  <c r="V32" i="72"/>
  <c r="T31" i="72"/>
  <c r="S29" i="72"/>
  <c r="U26" i="72"/>
  <c r="E30" i="72"/>
  <c r="G23" i="72"/>
  <c r="N32" i="72"/>
  <c r="G11" i="2"/>
  <c r="G12" i="2"/>
  <c r="G13" i="2"/>
  <c r="G10" i="2"/>
  <c r="G8" i="2"/>
  <c r="G14" i="2"/>
  <c r="G21" i="72"/>
  <c r="I22" i="72"/>
  <c r="AA29" i="72"/>
  <c r="X31" i="72"/>
  <c r="AF32" i="72"/>
  <c r="V29" i="72"/>
  <c r="D27" i="72"/>
  <c r="AD33" i="72"/>
  <c r="H23" i="72"/>
  <c r="V27" i="72"/>
  <c r="T23" i="72"/>
  <c r="X22" i="72"/>
  <c r="D13" i="2"/>
  <c r="D10" i="2"/>
  <c r="D8" i="2"/>
  <c r="D14" i="2"/>
  <c r="D12" i="2"/>
  <c r="D21" i="72"/>
  <c r="D11" i="2"/>
  <c r="M33" i="72"/>
  <c r="Y29" i="72"/>
  <c r="U22" i="72"/>
  <c r="J28" i="72"/>
  <c r="AA23" i="72"/>
  <c r="L31" i="72"/>
  <c r="AA32" i="72"/>
  <c r="AB22" i="72"/>
  <c r="AD32" i="72"/>
  <c r="M32" i="72"/>
  <c r="H25" i="72"/>
  <c r="AD22" i="72"/>
  <c r="E23" i="72"/>
  <c r="AA28" i="72"/>
  <c r="E27" i="72"/>
  <c r="W27" i="72"/>
  <c r="Y22" i="72"/>
  <c r="AJ21" i="72" l="1"/>
  <c r="Y15" i="2"/>
  <c r="O15" i="2"/>
  <c r="AH12" i="2"/>
  <c r="AA15" i="2"/>
  <c r="N15" i="2"/>
  <c r="AB15" i="2"/>
  <c r="AH9" i="2"/>
  <c r="AJ27" i="72"/>
  <c r="AK27" i="72" s="1"/>
  <c r="AI27" i="72"/>
  <c r="W9" i="72"/>
  <c r="W10" i="72"/>
  <c r="W12" i="72"/>
  <c r="W13" i="72"/>
  <c r="W11" i="72"/>
  <c r="I13" i="72"/>
  <c r="I12" i="72"/>
  <c r="I10" i="72"/>
  <c r="I9" i="72"/>
  <c r="I11" i="72"/>
  <c r="O13" i="72"/>
  <c r="O11" i="72"/>
  <c r="O9" i="72"/>
  <c r="O10" i="72"/>
  <c r="O12" i="72"/>
  <c r="R11" i="72"/>
  <c r="R12" i="72"/>
  <c r="R9" i="72"/>
  <c r="R10" i="72"/>
  <c r="R13" i="72"/>
  <c r="AI29" i="72"/>
  <c r="AJ29" i="72"/>
  <c r="AK29" i="72" s="1"/>
  <c r="P15" i="2"/>
  <c r="AD15" i="2"/>
  <c r="L12" i="72"/>
  <c r="L11" i="72"/>
  <c r="L9" i="72"/>
  <c r="L10" i="72"/>
  <c r="L13" i="72"/>
  <c r="AA11" i="72"/>
  <c r="AA12" i="72"/>
  <c r="AA9" i="72"/>
  <c r="AA10" i="72"/>
  <c r="AA13" i="72"/>
  <c r="Y13" i="72"/>
  <c r="Y10" i="72"/>
  <c r="Y9" i="72"/>
  <c r="Y12" i="72"/>
  <c r="Y11" i="72"/>
  <c r="X13" i="72"/>
  <c r="X12" i="72"/>
  <c r="X11" i="72"/>
  <c r="X10" i="72"/>
  <c r="X9" i="72"/>
  <c r="L15" i="2"/>
  <c r="M15" i="2"/>
  <c r="Q11" i="72"/>
  <c r="Q9" i="72"/>
  <c r="Q13" i="72"/>
  <c r="Q12" i="72"/>
  <c r="Q10" i="72"/>
  <c r="AG15" i="2"/>
  <c r="AJ25" i="72"/>
  <c r="AK25" i="72" s="1"/>
  <c r="AI25" i="72"/>
  <c r="AH8" i="2"/>
  <c r="D15" i="2"/>
  <c r="AH10" i="2"/>
  <c r="F15" i="2"/>
  <c r="AJ31" i="72"/>
  <c r="AK31" i="72" s="1"/>
  <c r="AI31" i="72"/>
  <c r="Q15" i="2"/>
  <c r="Z9" i="72"/>
  <c r="Z13" i="72"/>
  <c r="Z12" i="72"/>
  <c r="Z11" i="72"/>
  <c r="Z10" i="72"/>
  <c r="W15" i="2"/>
  <c r="AG9" i="72"/>
  <c r="AG11" i="72"/>
  <c r="AG10" i="72"/>
  <c r="AG13" i="72"/>
  <c r="AG12" i="72"/>
  <c r="R15" i="2"/>
  <c r="J15" i="2"/>
  <c r="T15" i="2"/>
  <c r="E15" i="2"/>
  <c r="Z15" i="2"/>
  <c r="AH14" i="2"/>
  <c r="AC15" i="2"/>
  <c r="AI30" i="72"/>
  <c r="AJ30" i="72"/>
  <c r="AK30" i="72" s="1"/>
  <c r="AE15" i="2"/>
  <c r="G13" i="72"/>
  <c r="G11" i="72"/>
  <c r="G10" i="72"/>
  <c r="G12" i="72"/>
  <c r="G9" i="72"/>
  <c r="X15" i="2"/>
  <c r="AI28" i="72"/>
  <c r="AJ28" i="72"/>
  <c r="AK28" i="72" s="1"/>
  <c r="V12" i="72"/>
  <c r="V10" i="72"/>
  <c r="V13" i="72"/>
  <c r="V11" i="72"/>
  <c r="V9" i="72"/>
  <c r="J10" i="72"/>
  <c r="J9" i="72"/>
  <c r="J11" i="72"/>
  <c r="J12" i="72"/>
  <c r="J13" i="72"/>
  <c r="T12" i="72"/>
  <c r="T11" i="72"/>
  <c r="T10" i="72"/>
  <c r="T9" i="72"/>
  <c r="T13" i="72"/>
  <c r="K15" i="2"/>
  <c r="D11" i="72"/>
  <c r="D9" i="72"/>
  <c r="D13" i="72"/>
  <c r="D10" i="72"/>
  <c r="D12" i="72"/>
  <c r="AK21" i="72"/>
  <c r="AI21" i="72"/>
  <c r="AH13" i="2"/>
  <c r="AJ22" i="72"/>
  <c r="AK22" i="72" s="1"/>
  <c r="AI22" i="72"/>
  <c r="AE13" i="72"/>
  <c r="AE11" i="72"/>
  <c r="AE10" i="72"/>
  <c r="AE12" i="72"/>
  <c r="AE9" i="72"/>
  <c r="H12" i="72"/>
  <c r="H11" i="72"/>
  <c r="H13" i="72"/>
  <c r="H10" i="72"/>
  <c r="H9" i="72"/>
  <c r="K9" i="72"/>
  <c r="K12" i="72"/>
  <c r="K13" i="72"/>
  <c r="K11" i="72"/>
  <c r="K10" i="72"/>
  <c r="E12" i="72"/>
  <c r="E13" i="72"/>
  <c r="E11" i="72"/>
  <c r="E9" i="72"/>
  <c r="E10" i="72"/>
  <c r="G15" i="2"/>
  <c r="N10" i="72"/>
  <c r="N12" i="72"/>
  <c r="N11" i="72"/>
  <c r="N9" i="72"/>
  <c r="N13" i="72"/>
  <c r="V15" i="2"/>
  <c r="P13" i="72"/>
  <c r="P11" i="72"/>
  <c r="P10" i="72"/>
  <c r="P12" i="72"/>
  <c r="P9" i="72"/>
  <c r="U15" i="2"/>
  <c r="S13" i="72"/>
  <c r="S11" i="72"/>
  <c r="S9" i="72"/>
  <c r="S12" i="72"/>
  <c r="S10" i="72"/>
  <c r="AF9" i="72"/>
  <c r="AF10" i="72"/>
  <c r="AF12" i="72"/>
  <c r="AF13" i="72"/>
  <c r="AF11" i="72"/>
  <c r="AI32" i="72"/>
  <c r="AJ32" i="72"/>
  <c r="AK32" i="72" s="1"/>
  <c r="I15" i="2"/>
  <c r="H15" i="2"/>
  <c r="AI26" i="72"/>
  <c r="AJ26" i="72"/>
  <c r="AK26" i="72" s="1"/>
  <c r="AB10" i="72"/>
  <c r="AB9" i="72"/>
  <c r="AB13" i="72"/>
  <c r="AB11" i="72"/>
  <c r="AB12" i="72"/>
  <c r="AH11" i="2"/>
  <c r="AC10" i="72"/>
  <c r="AC11" i="72"/>
  <c r="AC13" i="72"/>
  <c r="AC12" i="72"/>
  <c r="AC9" i="72"/>
  <c r="AJ33" i="72"/>
  <c r="AK33" i="72" s="1"/>
  <c r="AI33" i="72"/>
  <c r="F10" i="72"/>
  <c r="F9" i="72"/>
  <c r="F11" i="72"/>
  <c r="F13" i="72"/>
  <c r="F12" i="72"/>
  <c r="AF15" i="2"/>
  <c r="AD11" i="72"/>
  <c r="AD13" i="72"/>
  <c r="AD12" i="72"/>
  <c r="AD10" i="72"/>
  <c r="AD9" i="72"/>
  <c r="U12" i="72"/>
  <c r="U10" i="72"/>
  <c r="U11" i="72"/>
  <c r="U13" i="72"/>
  <c r="U9" i="72"/>
  <c r="M11" i="72"/>
  <c r="M12" i="72"/>
  <c r="M13" i="72"/>
  <c r="M10" i="72"/>
  <c r="M9" i="72"/>
  <c r="S15" i="2"/>
  <c r="AJ23" i="72"/>
  <c r="AK23" i="72" s="1"/>
  <c r="AI23" i="72"/>
  <c r="AF14" i="72" l="1"/>
  <c r="AB14" i="72"/>
  <c r="AD14" i="72"/>
  <c r="AC14" i="72"/>
  <c r="X14" i="72"/>
  <c r="M14" i="72"/>
  <c r="V14" i="72"/>
  <c r="H14" i="72"/>
  <c r="R14" i="72"/>
  <c r="I14" i="72"/>
  <c r="Z14" i="72"/>
  <c r="N14" i="72"/>
  <c r="F14" i="72"/>
  <c r="S14" i="72"/>
  <c r="T14" i="72"/>
  <c r="AG14" i="72"/>
  <c r="AA14" i="72"/>
  <c r="K14" i="72"/>
  <c r="P14" i="72"/>
  <c r="E14" i="72"/>
  <c r="G14" i="72"/>
  <c r="L14" i="72"/>
  <c r="U14" i="72"/>
  <c r="AE14" i="72"/>
  <c r="J14" i="72"/>
  <c r="Y14" i="72"/>
  <c r="O14" i="72"/>
  <c r="W14" i="72"/>
  <c r="D14" i="72"/>
  <c r="Q14" i="72"/>
  <c r="F33" i="289"/>
  <c r="F33" i="288"/>
  <c r="F33" i="287"/>
  <c r="F33" i="286"/>
  <c r="F33" i="285"/>
  <c r="F33" i="284"/>
  <c r="F33" i="283"/>
  <c r="F33" i="282"/>
  <c r="F33" i="281"/>
  <c r="F33" i="280"/>
  <c r="F33" i="279"/>
  <c r="F33" i="278"/>
  <c r="F33" i="290"/>
  <c r="F33" i="277"/>
  <c r="F33" i="276"/>
  <c r="F33" i="275"/>
  <c r="F33" i="274"/>
  <c r="F33" i="273"/>
  <c r="F33" i="272"/>
  <c r="F33" i="271"/>
  <c r="F33" i="270"/>
  <c r="F33" i="269"/>
  <c r="F33" i="268"/>
  <c r="F33" i="267"/>
  <c r="F33" i="266"/>
  <c r="F33" i="265"/>
  <c r="F33" i="264"/>
  <c r="F33" i="263"/>
  <c r="F33" i="262"/>
  <c r="F33" i="261"/>
  <c r="F33" i="260"/>
  <c r="F33" i="5"/>
  <c r="AA31" i="3"/>
  <c r="Z31" i="3"/>
  <c r="Y31" i="3"/>
  <c r="W31" i="3"/>
  <c r="V31" i="3"/>
  <c r="U31" i="3"/>
  <c r="S31" i="3"/>
  <c r="R31" i="3"/>
  <c r="P31" i="3"/>
  <c r="O31" i="3"/>
  <c r="N31" i="3"/>
  <c r="M31" i="3"/>
  <c r="L31" i="3"/>
  <c r="K31" i="3"/>
  <c r="J31" i="3"/>
  <c r="I31" i="3"/>
  <c r="H31" i="3"/>
  <c r="G31" i="3"/>
  <c r="F31" i="3"/>
  <c r="E31" i="3"/>
  <c r="D31" i="3"/>
  <c r="C31" i="3"/>
  <c r="B31" i="3" s="1"/>
  <c r="AA30" i="3"/>
  <c r="Z30" i="3"/>
  <c r="Y30" i="3"/>
  <c r="W30" i="3"/>
  <c r="V30" i="3"/>
  <c r="U30" i="3"/>
  <c r="S30" i="3"/>
  <c r="R30" i="3"/>
  <c r="P30" i="3"/>
  <c r="O30" i="3"/>
  <c r="N30" i="3"/>
  <c r="M30" i="3"/>
  <c r="L30" i="3"/>
  <c r="K30" i="3"/>
  <c r="J30" i="3"/>
  <c r="I30" i="3"/>
  <c r="H30" i="3"/>
  <c r="G30" i="3"/>
  <c r="F30" i="3"/>
  <c r="E30" i="3"/>
  <c r="D30" i="3"/>
  <c r="C30" i="3"/>
  <c r="B30" i="3" s="1"/>
  <c r="AA29" i="3"/>
  <c r="Z29" i="3"/>
  <c r="Y29" i="3"/>
  <c r="W29" i="3"/>
  <c r="V29" i="3"/>
  <c r="U29" i="3"/>
  <c r="S29" i="3"/>
  <c r="R29" i="3"/>
  <c r="P29" i="3"/>
  <c r="O29" i="3"/>
  <c r="N29" i="3"/>
  <c r="M29" i="3"/>
  <c r="L29" i="3"/>
  <c r="K29" i="3"/>
  <c r="J29" i="3"/>
  <c r="I29" i="3"/>
  <c r="H29" i="3"/>
  <c r="G29" i="3"/>
  <c r="F29" i="3"/>
  <c r="E29" i="3"/>
  <c r="D29" i="3"/>
  <c r="C29" i="3"/>
  <c r="B29" i="3" s="1"/>
  <c r="AA28" i="3"/>
  <c r="Z28" i="3"/>
  <c r="Y28" i="3"/>
  <c r="W28" i="3"/>
  <c r="V28" i="3"/>
  <c r="U28" i="3"/>
  <c r="S28" i="3"/>
  <c r="R28" i="3"/>
  <c r="P28" i="3"/>
  <c r="O28" i="3"/>
  <c r="N28" i="3"/>
  <c r="M28" i="3"/>
  <c r="L28" i="3"/>
  <c r="K28" i="3"/>
  <c r="J28" i="3"/>
  <c r="I28" i="3"/>
  <c r="H28" i="3"/>
  <c r="G28" i="3"/>
  <c r="F28" i="3"/>
  <c r="E28" i="3"/>
  <c r="D28" i="3"/>
  <c r="C28" i="3"/>
  <c r="B28" i="3" s="1"/>
  <c r="AA27" i="3"/>
  <c r="Z27" i="3"/>
  <c r="Y27" i="3"/>
  <c r="W27" i="3"/>
  <c r="V27" i="3"/>
  <c r="U27" i="3"/>
  <c r="S27" i="3"/>
  <c r="R27" i="3"/>
  <c r="P27" i="3"/>
  <c r="O27" i="3"/>
  <c r="N27" i="3"/>
  <c r="M27" i="3"/>
  <c r="L27" i="3"/>
  <c r="K27" i="3"/>
  <c r="J27" i="3"/>
  <c r="I27" i="3"/>
  <c r="H27" i="3"/>
  <c r="G27" i="3"/>
  <c r="F27" i="3"/>
  <c r="E27" i="3"/>
  <c r="D27" i="3"/>
  <c r="C27" i="3"/>
  <c r="B27" i="3" s="1"/>
  <c r="AA26" i="3"/>
  <c r="Z26" i="3"/>
  <c r="Y26" i="3"/>
  <c r="W26" i="3"/>
  <c r="V26" i="3"/>
  <c r="U26" i="3"/>
  <c r="S26" i="3"/>
  <c r="R26" i="3"/>
  <c r="P26" i="3"/>
  <c r="O26" i="3"/>
  <c r="N26" i="3"/>
  <c r="M26" i="3"/>
  <c r="L26" i="3"/>
  <c r="K26" i="3"/>
  <c r="J26" i="3"/>
  <c r="I26" i="3"/>
  <c r="H26" i="3"/>
  <c r="G26" i="3"/>
  <c r="F26" i="3"/>
  <c r="E26" i="3"/>
  <c r="D26" i="3"/>
  <c r="C26" i="3"/>
  <c r="B26" i="3" s="1"/>
  <c r="AA25" i="3"/>
  <c r="Z25" i="3"/>
  <c r="Y25" i="3"/>
  <c r="W25" i="3"/>
  <c r="V25" i="3"/>
  <c r="U25" i="3"/>
  <c r="S25" i="3"/>
  <c r="R25" i="3"/>
  <c r="P25" i="3"/>
  <c r="O25" i="3"/>
  <c r="N25" i="3"/>
  <c r="M25" i="3"/>
  <c r="L25" i="3"/>
  <c r="K25" i="3"/>
  <c r="J25" i="3"/>
  <c r="I25" i="3"/>
  <c r="H25" i="3"/>
  <c r="G25" i="3"/>
  <c r="F25" i="3"/>
  <c r="E25" i="3"/>
  <c r="D25" i="3"/>
  <c r="C25" i="3"/>
  <c r="B25" i="3" s="1"/>
  <c r="AA24" i="3"/>
  <c r="Z24" i="3"/>
  <c r="Y24" i="3"/>
  <c r="W24" i="3"/>
  <c r="V24" i="3"/>
  <c r="U24" i="3"/>
  <c r="S24" i="3"/>
  <c r="R24" i="3"/>
  <c r="P24" i="3"/>
  <c r="O24" i="3"/>
  <c r="N24" i="3"/>
  <c r="M24" i="3"/>
  <c r="L24" i="3"/>
  <c r="K24" i="3"/>
  <c r="J24" i="3"/>
  <c r="I24" i="3"/>
  <c r="H24" i="3"/>
  <c r="G24" i="3"/>
  <c r="F24" i="3"/>
  <c r="E24" i="3"/>
  <c r="D24" i="3"/>
  <c r="C24" i="3"/>
  <c r="B24" i="3" s="1"/>
  <c r="AA23" i="3"/>
  <c r="Z23" i="3"/>
  <c r="Y23" i="3"/>
  <c r="W23" i="3"/>
  <c r="V23" i="3"/>
  <c r="U23" i="3"/>
  <c r="S23" i="3"/>
  <c r="R23" i="3"/>
  <c r="P23" i="3"/>
  <c r="O23" i="3"/>
  <c r="N23" i="3"/>
  <c r="M23" i="3"/>
  <c r="L23" i="3"/>
  <c r="K23" i="3"/>
  <c r="J23" i="3"/>
  <c r="I23" i="3"/>
  <c r="H23" i="3"/>
  <c r="G23" i="3"/>
  <c r="F23" i="3"/>
  <c r="E23" i="3"/>
  <c r="D23" i="3"/>
  <c r="C23" i="3"/>
  <c r="B23" i="3" s="1"/>
  <c r="AA22" i="3"/>
  <c r="Z22" i="3"/>
  <c r="Y22" i="3"/>
  <c r="W22" i="3"/>
  <c r="V22" i="3"/>
  <c r="U22" i="3"/>
  <c r="S22" i="3"/>
  <c r="R22" i="3"/>
  <c r="P22" i="3"/>
  <c r="O22" i="3"/>
  <c r="N22" i="3"/>
  <c r="M22" i="3"/>
  <c r="L22" i="3"/>
  <c r="K22" i="3"/>
  <c r="J22" i="3"/>
  <c r="I22" i="3"/>
  <c r="H22" i="3"/>
  <c r="G22" i="3"/>
  <c r="F22" i="3"/>
  <c r="E22" i="3"/>
  <c r="D22" i="3"/>
  <c r="C22" i="3"/>
  <c r="B22" i="3" s="1"/>
  <c r="AA21" i="3"/>
  <c r="Z21" i="3"/>
  <c r="Y21" i="3"/>
  <c r="W21" i="3"/>
  <c r="V21" i="3"/>
  <c r="U21" i="3"/>
  <c r="S21" i="3"/>
  <c r="R21" i="3"/>
  <c r="P21" i="3"/>
  <c r="O21" i="3"/>
  <c r="N21" i="3"/>
  <c r="M21" i="3"/>
  <c r="L21" i="3"/>
  <c r="K21" i="3"/>
  <c r="J21" i="3"/>
  <c r="I21" i="3"/>
  <c r="H21" i="3"/>
  <c r="G21" i="3"/>
  <c r="F21" i="3"/>
  <c r="E21" i="3"/>
  <c r="D21" i="3"/>
  <c r="C21" i="3"/>
  <c r="B21" i="3" s="1"/>
  <c r="AA20" i="3"/>
  <c r="Z20" i="3"/>
  <c r="Y20" i="3"/>
  <c r="W20" i="3"/>
  <c r="V20" i="3"/>
  <c r="U20" i="3"/>
  <c r="S20" i="3"/>
  <c r="R20" i="3"/>
  <c r="P20" i="3"/>
  <c r="O20" i="3"/>
  <c r="N20" i="3"/>
  <c r="M20" i="3"/>
  <c r="L20" i="3"/>
  <c r="K20" i="3"/>
  <c r="J20" i="3"/>
  <c r="I20" i="3"/>
  <c r="H20" i="3"/>
  <c r="G20" i="3"/>
  <c r="F20" i="3"/>
  <c r="E20" i="3"/>
  <c r="D20" i="3"/>
  <c r="C20" i="3"/>
  <c r="B20" i="3" s="1"/>
  <c r="AA19" i="3"/>
  <c r="Z19" i="3"/>
  <c r="Y19" i="3"/>
  <c r="W19" i="3"/>
  <c r="V19" i="3"/>
  <c r="U19" i="3"/>
  <c r="S19" i="3"/>
  <c r="R19" i="3"/>
  <c r="P19" i="3"/>
  <c r="O19" i="3"/>
  <c r="N19" i="3"/>
  <c r="M19" i="3"/>
  <c r="L19" i="3"/>
  <c r="K19" i="3"/>
  <c r="J19" i="3"/>
  <c r="I19" i="3"/>
  <c r="H19" i="3"/>
  <c r="G19" i="3"/>
  <c r="F19" i="3"/>
  <c r="E19" i="3"/>
  <c r="D19" i="3"/>
  <c r="C19" i="3"/>
  <c r="B19" i="3" s="1"/>
  <c r="AA18" i="3"/>
  <c r="Z18" i="3"/>
  <c r="Y18" i="3"/>
  <c r="W18" i="3"/>
  <c r="V18" i="3"/>
  <c r="U18" i="3"/>
  <c r="S18" i="3"/>
  <c r="R18" i="3"/>
  <c r="P18" i="3"/>
  <c r="O18" i="3"/>
  <c r="N18" i="3"/>
  <c r="M18" i="3"/>
  <c r="L18" i="3"/>
  <c r="K18" i="3"/>
  <c r="J18" i="3"/>
  <c r="I18" i="3"/>
  <c r="H18" i="3"/>
  <c r="G18" i="3"/>
  <c r="F18" i="3"/>
  <c r="E18" i="3"/>
  <c r="D18" i="3"/>
  <c r="C18" i="3"/>
  <c r="B18" i="3" s="1"/>
  <c r="AA17" i="3"/>
  <c r="Z17" i="3"/>
  <c r="Y17" i="3"/>
  <c r="W17" i="3"/>
  <c r="V17" i="3"/>
  <c r="U17" i="3"/>
  <c r="S17" i="3"/>
  <c r="R17" i="3"/>
  <c r="P17" i="3"/>
  <c r="O17" i="3"/>
  <c r="N17" i="3"/>
  <c r="M17" i="3"/>
  <c r="L17" i="3"/>
  <c r="K17" i="3"/>
  <c r="J17" i="3"/>
  <c r="I17" i="3"/>
  <c r="H17" i="3"/>
  <c r="G17" i="3"/>
  <c r="F17" i="3"/>
  <c r="E17" i="3"/>
  <c r="D17" i="3"/>
  <c r="C17" i="3"/>
  <c r="B17" i="3" s="1"/>
  <c r="AA16" i="3"/>
  <c r="Z16" i="3"/>
  <c r="Y16" i="3"/>
  <c r="W16" i="3"/>
  <c r="V16" i="3"/>
  <c r="U16" i="3"/>
  <c r="S16" i="3"/>
  <c r="R16" i="3"/>
  <c r="P16" i="3"/>
  <c r="O16" i="3"/>
  <c r="N16" i="3"/>
  <c r="M16" i="3"/>
  <c r="L16" i="3"/>
  <c r="K16" i="3"/>
  <c r="J16" i="3"/>
  <c r="I16" i="3"/>
  <c r="H16" i="3"/>
  <c r="G16" i="3"/>
  <c r="F16" i="3"/>
  <c r="E16" i="3"/>
  <c r="D16" i="3"/>
  <c r="C16" i="3"/>
  <c r="B16" i="3" s="1"/>
  <c r="AA15" i="3"/>
  <c r="Z15" i="3"/>
  <c r="Y15" i="3"/>
  <c r="W15" i="3"/>
  <c r="V15" i="3"/>
  <c r="U15" i="3"/>
  <c r="S15" i="3"/>
  <c r="R15" i="3"/>
  <c r="P15" i="3"/>
  <c r="O15" i="3"/>
  <c r="N15" i="3"/>
  <c r="M15" i="3"/>
  <c r="L15" i="3"/>
  <c r="K15" i="3"/>
  <c r="J15" i="3"/>
  <c r="I15" i="3"/>
  <c r="H15" i="3"/>
  <c r="G15" i="3"/>
  <c r="F15" i="3"/>
  <c r="E15" i="3"/>
  <c r="D15" i="3"/>
  <c r="C15" i="3"/>
  <c r="B15" i="3" s="1"/>
  <c r="AA14" i="3"/>
  <c r="Z14" i="3"/>
  <c r="Y14" i="3"/>
  <c r="W14" i="3"/>
  <c r="V14" i="3"/>
  <c r="U14" i="3"/>
  <c r="S14" i="3"/>
  <c r="R14" i="3"/>
  <c r="P14" i="3"/>
  <c r="O14" i="3"/>
  <c r="N14" i="3"/>
  <c r="M14" i="3"/>
  <c r="L14" i="3"/>
  <c r="K14" i="3"/>
  <c r="J14" i="3"/>
  <c r="I14" i="3"/>
  <c r="H14" i="3"/>
  <c r="G14" i="3"/>
  <c r="F14" i="3"/>
  <c r="E14" i="3"/>
  <c r="D14" i="3"/>
  <c r="C14" i="3"/>
  <c r="B14" i="3" s="1"/>
  <c r="AA13" i="3"/>
  <c r="Z13" i="3"/>
  <c r="Y13" i="3"/>
  <c r="W13" i="3"/>
  <c r="V13" i="3"/>
  <c r="U13" i="3"/>
  <c r="S13" i="3"/>
  <c r="R13" i="3"/>
  <c r="P13" i="3"/>
  <c r="O13" i="3"/>
  <c r="N13" i="3"/>
  <c r="M13" i="3"/>
  <c r="L13" i="3"/>
  <c r="K13" i="3"/>
  <c r="J13" i="3"/>
  <c r="I13" i="3"/>
  <c r="H13" i="3"/>
  <c r="G13" i="3"/>
  <c r="F13" i="3"/>
  <c r="E13" i="3"/>
  <c r="D13" i="3"/>
  <c r="C13" i="3"/>
  <c r="B13" i="3" s="1"/>
  <c r="AA12" i="3"/>
  <c r="Z12" i="3"/>
  <c r="Y12" i="3"/>
  <c r="W12" i="3"/>
  <c r="V12" i="3"/>
  <c r="U12" i="3"/>
  <c r="S12" i="3"/>
  <c r="R12" i="3"/>
  <c r="P12" i="3"/>
  <c r="O12" i="3"/>
  <c r="N12" i="3"/>
  <c r="M12" i="3"/>
  <c r="L12" i="3"/>
  <c r="K12" i="3"/>
  <c r="J12" i="3"/>
  <c r="I12" i="3"/>
  <c r="H12" i="3"/>
  <c r="G12" i="3"/>
  <c r="F12" i="3"/>
  <c r="E12" i="3"/>
  <c r="D12" i="3"/>
  <c r="C12" i="3"/>
  <c r="B12" i="3" s="1"/>
  <c r="AA11" i="3"/>
  <c r="Z11" i="3"/>
  <c r="Y11" i="3"/>
  <c r="W11" i="3"/>
  <c r="V11" i="3"/>
  <c r="U11" i="3"/>
  <c r="S11" i="3"/>
  <c r="R11" i="3"/>
  <c r="P11" i="3"/>
  <c r="O11" i="3"/>
  <c r="N11" i="3"/>
  <c r="M11" i="3"/>
  <c r="L11" i="3"/>
  <c r="K11" i="3"/>
  <c r="J11" i="3"/>
  <c r="I11" i="3"/>
  <c r="H11" i="3"/>
  <c r="G11" i="3"/>
  <c r="F11" i="3"/>
  <c r="E11" i="3"/>
  <c r="D11" i="3"/>
  <c r="C11" i="3"/>
  <c r="B11" i="3" s="1"/>
  <c r="AA10" i="3"/>
  <c r="Z10" i="3"/>
  <c r="Y10" i="3"/>
  <c r="W10" i="3"/>
  <c r="V10" i="3"/>
  <c r="U10" i="3"/>
  <c r="S10" i="3"/>
  <c r="R10" i="3"/>
  <c r="P10" i="3"/>
  <c r="O10" i="3"/>
  <c r="N10" i="3"/>
  <c r="M10" i="3"/>
  <c r="L10" i="3"/>
  <c r="K10" i="3"/>
  <c r="J10" i="3"/>
  <c r="I10" i="3"/>
  <c r="H10" i="3"/>
  <c r="G10" i="3"/>
  <c r="F10" i="3"/>
  <c r="E10" i="3"/>
  <c r="D10" i="3"/>
  <c r="C10" i="3"/>
  <c r="B10" i="3" s="1"/>
  <c r="AA9" i="3"/>
  <c r="Z9" i="3"/>
  <c r="Y9" i="3"/>
  <c r="W9" i="3"/>
  <c r="V9" i="3"/>
  <c r="U9" i="3"/>
  <c r="S9" i="3"/>
  <c r="R9" i="3"/>
  <c r="P9" i="3"/>
  <c r="O9" i="3"/>
  <c r="N9" i="3"/>
  <c r="M9" i="3"/>
  <c r="L9" i="3"/>
  <c r="K9" i="3"/>
  <c r="J9" i="3"/>
  <c r="I9" i="3"/>
  <c r="H9" i="3"/>
  <c r="G9" i="3"/>
  <c r="F9" i="3"/>
  <c r="E9" i="3"/>
  <c r="D9" i="3"/>
  <c r="C9" i="3"/>
  <c r="B9" i="3" s="1"/>
  <c r="AA8" i="3"/>
  <c r="Z8" i="3"/>
  <c r="Y8" i="3"/>
  <c r="W8" i="3"/>
  <c r="V8" i="3"/>
  <c r="U8" i="3"/>
  <c r="S8" i="3"/>
  <c r="R8" i="3"/>
  <c r="P8" i="3"/>
  <c r="O8" i="3"/>
  <c r="N8" i="3"/>
  <c r="M8" i="3"/>
  <c r="L8" i="3"/>
  <c r="K8" i="3"/>
  <c r="J8" i="3"/>
  <c r="I8" i="3"/>
  <c r="H8" i="3"/>
  <c r="G8" i="3"/>
  <c r="F8" i="3"/>
  <c r="E8" i="3"/>
  <c r="D8" i="3"/>
  <c r="C8" i="3"/>
  <c r="B8" i="3" s="1"/>
  <c r="AA7" i="3"/>
  <c r="Z7" i="3"/>
  <c r="Y7" i="3"/>
  <c r="W7" i="3"/>
  <c r="V7" i="3"/>
  <c r="U7" i="3"/>
  <c r="S7" i="3"/>
  <c r="R7" i="3"/>
  <c r="P7" i="3"/>
  <c r="O7" i="3"/>
  <c r="N7" i="3"/>
  <c r="M7" i="3"/>
  <c r="L7" i="3"/>
  <c r="K7" i="3"/>
  <c r="J7" i="3"/>
  <c r="I7" i="3"/>
  <c r="H7" i="3"/>
  <c r="G7" i="3"/>
  <c r="F7" i="3"/>
  <c r="E7" i="3"/>
  <c r="D7" i="3"/>
  <c r="C7" i="3"/>
  <c r="B7" i="3" s="1"/>
  <c r="AA6" i="3"/>
  <c r="Z6" i="3"/>
  <c r="Y6" i="3"/>
  <c r="W6" i="3"/>
  <c r="V6" i="3"/>
  <c r="U6" i="3"/>
  <c r="S6" i="3"/>
  <c r="R6" i="3"/>
  <c r="P6" i="3"/>
  <c r="O6" i="3"/>
  <c r="N6" i="3"/>
  <c r="M6" i="3"/>
  <c r="L6" i="3"/>
  <c r="K6" i="3"/>
  <c r="J6" i="3"/>
  <c r="I6" i="3"/>
  <c r="H6" i="3"/>
  <c r="G6" i="3"/>
  <c r="F6" i="3"/>
  <c r="E6" i="3"/>
  <c r="D6" i="3"/>
  <c r="C6" i="3"/>
  <c r="B6" i="3" s="1"/>
  <c r="AA5" i="3"/>
  <c r="Z5" i="3"/>
  <c r="Y5" i="3"/>
  <c r="W5" i="3"/>
  <c r="V5" i="3"/>
  <c r="U5" i="3"/>
  <c r="S5" i="3"/>
  <c r="R5" i="3"/>
  <c r="P5" i="3"/>
  <c r="O5" i="3"/>
  <c r="N5" i="3"/>
  <c r="M5" i="3"/>
  <c r="L5" i="3"/>
  <c r="K5" i="3"/>
  <c r="J5" i="3"/>
  <c r="I5" i="3"/>
  <c r="H5" i="3"/>
  <c r="G5" i="3"/>
  <c r="F5" i="3"/>
  <c r="E5" i="3"/>
  <c r="D5" i="3"/>
  <c r="C5" i="3"/>
  <c r="B5" i="3" s="1"/>
  <c r="AA4" i="3"/>
  <c r="Z4" i="3"/>
  <c r="Y4" i="3"/>
  <c r="W4" i="3"/>
  <c r="V4" i="3"/>
  <c r="U4" i="3"/>
  <c r="S4" i="3"/>
  <c r="R4" i="3"/>
  <c r="P4" i="3"/>
  <c r="O4" i="3"/>
  <c r="N4" i="3"/>
  <c r="M4" i="3"/>
  <c r="L4" i="3"/>
  <c r="K4" i="3"/>
  <c r="J4" i="3"/>
  <c r="I4" i="3"/>
  <c r="H4" i="3"/>
  <c r="G4" i="3"/>
  <c r="F4" i="3"/>
  <c r="E4" i="3"/>
  <c r="D4" i="3"/>
  <c r="C4" i="3"/>
  <c r="B4" i="3" s="1"/>
  <c r="AA3" i="3"/>
  <c r="Z3" i="3"/>
  <c r="Y3" i="3"/>
  <c r="W3" i="3"/>
  <c r="V3" i="3"/>
  <c r="U3" i="3"/>
  <c r="S3" i="3"/>
  <c r="R3" i="3"/>
  <c r="P3" i="3"/>
  <c r="O3" i="3"/>
  <c r="N3" i="3"/>
  <c r="M3" i="3"/>
  <c r="L3" i="3"/>
  <c r="K3" i="3"/>
  <c r="J3" i="3"/>
  <c r="I3" i="3"/>
  <c r="H3" i="3"/>
  <c r="G3" i="3"/>
  <c r="F3" i="3"/>
  <c r="E3" i="3"/>
  <c r="D3" i="3"/>
  <c r="C3" i="3"/>
  <c r="B3" i="3" s="1"/>
  <c r="AA2" i="3"/>
  <c r="Z2" i="3"/>
  <c r="Y2" i="3"/>
  <c r="W2" i="3"/>
  <c r="W32" i="3" s="1"/>
  <c r="V2" i="3"/>
  <c r="V32" i="3" s="1"/>
  <c r="U2" i="3"/>
  <c r="U32" i="3" s="1"/>
  <c r="S2" i="3"/>
  <c r="R2" i="3"/>
  <c r="P2" i="3"/>
  <c r="O2" i="3"/>
  <c r="N2" i="3"/>
  <c r="M2" i="3"/>
  <c r="L2" i="3"/>
  <c r="K2" i="3"/>
  <c r="J2" i="3"/>
  <c r="I2" i="3"/>
  <c r="H2" i="3"/>
  <c r="G2" i="3"/>
  <c r="F2" i="3"/>
  <c r="E2" i="3"/>
  <c r="D2" i="3"/>
  <c r="C2" i="3"/>
  <c r="J15" i="293" l="1"/>
  <c r="B18" i="292"/>
  <c r="B2" i="3"/>
  <c r="B32" i="3" s="1"/>
  <c r="C32" i="3"/>
  <c r="J15" i="104" s="1"/>
  <c r="W15" i="293"/>
  <c r="B19" i="292"/>
  <c r="D32" i="3"/>
  <c r="W15" i="104" s="1"/>
  <c r="I10" i="293"/>
  <c r="B6" i="292"/>
  <c r="E32" i="3"/>
  <c r="I10" i="104" s="1"/>
  <c r="U10" i="293"/>
  <c r="B7" i="292"/>
  <c r="F32" i="3"/>
  <c r="U10" i="104" s="1"/>
  <c r="B8" i="292"/>
  <c r="AG10" i="293"/>
  <c r="G32" i="3"/>
  <c r="AG10" i="104" s="1"/>
  <c r="B9" i="292"/>
  <c r="I11" i="293"/>
  <c r="H32" i="3"/>
  <c r="I11" i="104" s="1"/>
  <c r="U11" i="293"/>
  <c r="B10" i="292"/>
  <c r="I32" i="3"/>
  <c r="U11" i="104" s="1"/>
  <c r="AG11" i="293"/>
  <c r="B11" i="292"/>
  <c r="J32" i="3"/>
  <c r="AG11" i="104" s="1"/>
  <c r="B12" i="292"/>
  <c r="I12" i="293"/>
  <c r="K32" i="3"/>
  <c r="I12" i="104" s="1"/>
  <c r="U12" i="293"/>
  <c r="B13" i="292"/>
  <c r="L32" i="3"/>
  <c r="U12" i="104" s="1"/>
  <c r="AG12" i="293"/>
  <c r="B14" i="292"/>
  <c r="M32" i="3"/>
  <c r="AG12" i="104" s="1"/>
  <c r="I13" i="293"/>
  <c r="N32" i="3"/>
  <c r="B16" i="292"/>
  <c r="U13" i="293"/>
  <c r="O32" i="3"/>
  <c r="U13" i="104" s="1"/>
  <c r="AG13" i="293"/>
  <c r="B17" i="292"/>
  <c r="P32" i="3"/>
  <c r="AG13" i="104" s="1"/>
</calcChain>
</file>

<file path=xl/metadata.xml><?xml version="1.0" encoding="utf-8"?>
<metadata xmlns="http://schemas.openxmlformats.org/spreadsheetml/2006/main" xmlns:xlrd="http://schemas.microsoft.com/office/spreadsheetml/2017/richdata" xmlns:xda="http://schemas.microsoft.com/office/spreadsheetml/2017/dynamicarray">
  <metadataTypes count="2">
    <metadataType name="XLRICHVALUE" minSupportedVersion="120000" copy="1" pasteAll="1" pasteValues="1" merge="1" splitFirst="1" rowColShift="1" clearFormats="1" clearComments="1" assign="1" coerce="1"/>
    <metadataType name="XLDAPR" minSupportedVersion="120000" copy="1" pasteAll="1" pasteValues="1" merge="1" splitFirst="1" rowColShift="1" clearFormats="1" clearComments="1" assign="1" coerce="1" cellMeta="1"/>
  </metadataTypes>
  <futureMetadata name="XLRICHVALUE" count="13">
    <bk>
      <extLst>
        <ext uri="{3e2802c4-a4d2-4d8b-9148-e3be6c30e623}">
          <xlrd:rvb i="0"/>
        </ext>
      </extLst>
    </bk>
    <bk>
      <extLst>
        <ext uri="{3e2802c4-a4d2-4d8b-9148-e3be6c30e623}">
          <xlrd:rvb i="1"/>
        </ext>
      </extLst>
    </bk>
    <bk>
      <extLst>
        <ext uri="{3e2802c4-a4d2-4d8b-9148-e3be6c30e623}">
          <xlrd:rvb i="2"/>
        </ext>
      </extLst>
    </bk>
    <bk>
      <extLst>
        <ext uri="{3e2802c4-a4d2-4d8b-9148-e3be6c30e623}">
          <xlrd:rvb i="3"/>
        </ext>
      </extLst>
    </bk>
    <bk>
      <extLst>
        <ext uri="{3e2802c4-a4d2-4d8b-9148-e3be6c30e623}">
          <xlrd:rvb i="4"/>
        </ext>
      </extLst>
    </bk>
    <bk>
      <extLst>
        <ext uri="{3e2802c4-a4d2-4d8b-9148-e3be6c30e623}">
          <xlrd:rvb i="5"/>
        </ext>
      </extLst>
    </bk>
    <bk>
      <extLst>
        <ext uri="{3e2802c4-a4d2-4d8b-9148-e3be6c30e623}">
          <xlrd:rvb i="6"/>
        </ext>
      </extLst>
    </bk>
    <bk>
      <extLst>
        <ext uri="{3e2802c4-a4d2-4d8b-9148-e3be6c30e623}">
          <xlrd:rvb i="7"/>
        </ext>
      </extLst>
    </bk>
    <bk>
      <extLst>
        <ext uri="{3e2802c4-a4d2-4d8b-9148-e3be6c30e623}">
          <xlrd:rvb i="8"/>
        </ext>
      </extLst>
    </bk>
    <bk>
      <extLst>
        <ext uri="{3e2802c4-a4d2-4d8b-9148-e3be6c30e623}">
          <xlrd:rvb i="9"/>
        </ext>
      </extLst>
    </bk>
    <bk>
      <extLst>
        <ext uri="{3e2802c4-a4d2-4d8b-9148-e3be6c30e623}">
          <xlrd:rvb i="10"/>
        </ext>
      </extLst>
    </bk>
    <bk>
      <extLst>
        <ext uri="{3e2802c4-a4d2-4d8b-9148-e3be6c30e623}">
          <xlrd:rvb i="11"/>
        </ext>
      </extLst>
    </bk>
    <bk>
      <extLst>
        <ext uri="{3e2802c4-a4d2-4d8b-9148-e3be6c30e623}">
          <xlrd:rvb i="12"/>
        </ext>
      </extLst>
    </bk>
  </futureMetadata>
  <futureMetadata name="XLDAPR" count="1">
    <bk>
      <extLst>
        <ext uri="{bdbb8cdc-fa1e-496e-a857-3c3f30c029c3}">
          <xda:dynamicArrayProperties fDynamic="1" fCollapsed="0"/>
        </ext>
      </extLst>
    </bk>
  </futureMetadata>
  <cellMetadata count="1">
    <bk>
      <rc t="2" v="0"/>
    </bk>
  </cellMetadata>
  <valueMetadata count="13">
    <bk>
      <rc t="1" v="0"/>
    </bk>
    <bk>
      <rc t="1" v="1"/>
    </bk>
    <bk>
      <rc t="1" v="2"/>
    </bk>
    <bk>
      <rc t="1" v="3"/>
    </bk>
    <bk>
      <rc t="1" v="4"/>
    </bk>
    <bk>
      <rc t="1" v="5"/>
    </bk>
    <bk>
      <rc t="1" v="6"/>
    </bk>
    <bk>
      <rc t="1" v="7"/>
    </bk>
    <bk>
      <rc t="1" v="8"/>
    </bk>
    <bk>
      <rc t="1" v="9"/>
    </bk>
    <bk>
      <rc t="1" v="10"/>
    </bk>
    <bk>
      <rc t="1" v="11"/>
    </bk>
    <bk>
      <rc t="1" v="12"/>
    </bk>
  </valueMetadata>
</metadata>
</file>

<file path=xl/sharedStrings.xml><?xml version="1.0" encoding="utf-8"?>
<sst xmlns="http://schemas.openxmlformats.org/spreadsheetml/2006/main" count="14334" uniqueCount="1052">
  <si>
    <t>西暦で入力</t>
    <rPh sb="0" eb="2">
      <t>セイレキ</t>
    </rPh>
    <rPh sb="3" eb="5">
      <t>ニュウリョク</t>
    </rPh>
    <phoneticPr fontId="3"/>
  </si>
  <si>
    <t>年</t>
    <rPh sb="0" eb="1">
      <t>ネン</t>
    </rPh>
    <phoneticPr fontId="3"/>
  </si>
  <si>
    <t>月</t>
    <rPh sb="0" eb="1">
      <t>ツキ</t>
    </rPh>
    <phoneticPr fontId="3"/>
  </si>
  <si>
    <t>日</t>
    <rPh sb="0" eb="1">
      <t>ニチ</t>
    </rPh>
    <phoneticPr fontId="2"/>
  </si>
  <si>
    <t>氏名</t>
    <rPh sb="0" eb="2">
      <t>シメイ</t>
    </rPh>
    <phoneticPr fontId="3"/>
  </si>
  <si>
    <t>鍵点検</t>
    <rPh sb="0" eb="3">
      <t>カギテンケン</t>
    </rPh>
    <phoneticPr fontId="3"/>
  </si>
  <si>
    <t>異常有無</t>
    <rPh sb="0" eb="2">
      <t>イジョウ</t>
    </rPh>
    <rPh sb="2" eb="4">
      <t>ウム</t>
    </rPh>
    <phoneticPr fontId="3"/>
  </si>
  <si>
    <t>天気</t>
  </si>
  <si>
    <t>勤務種別</t>
    <rPh sb="0" eb="2">
      <t>キンム</t>
    </rPh>
    <rPh sb="2" eb="4">
      <t>シュベツ</t>
    </rPh>
    <phoneticPr fontId="2"/>
  </si>
  <si>
    <t>GP色</t>
    <rPh sb="2" eb="3">
      <t>イロ</t>
    </rPh>
    <phoneticPr fontId="2"/>
  </si>
  <si>
    <t>地震</t>
    <rPh sb="0" eb="2">
      <t>ジシン</t>
    </rPh>
    <phoneticPr fontId="2"/>
  </si>
  <si>
    <t>イベント種別</t>
    <rPh sb="4" eb="6">
      <t>シュベツ</t>
    </rPh>
    <phoneticPr fontId="2"/>
  </si>
  <si>
    <t>藤井隆幸</t>
    <rPh sb="0" eb="2">
      <t>フジイ</t>
    </rPh>
    <rPh sb="2" eb="4">
      <t>タカユキ</t>
    </rPh>
    <phoneticPr fontId="4"/>
  </si>
  <si>
    <t>藤井</t>
    <rPh sb="0" eb="2">
      <t>フジイ</t>
    </rPh>
    <phoneticPr fontId="3"/>
  </si>
  <si>
    <t>Yes</t>
    <phoneticPr fontId="3"/>
  </si>
  <si>
    <t>快晴</t>
  </si>
  <si>
    <t>日勤A(責)</t>
    <rPh sb="0" eb="2">
      <t>ニッキン</t>
    </rPh>
    <rPh sb="4" eb="5">
      <t>セキ</t>
    </rPh>
    <phoneticPr fontId="2"/>
  </si>
  <si>
    <t>赤</t>
    <rPh sb="0" eb="1">
      <t>アカ</t>
    </rPh>
    <phoneticPr fontId="2"/>
  </si>
  <si>
    <t>未発生</t>
    <rPh sb="0" eb="3">
      <t>ミハッセイ</t>
    </rPh>
    <phoneticPr fontId="2"/>
  </si>
  <si>
    <t>ブルガリ関係</t>
    <rPh sb="4" eb="6">
      <t>カンケイ</t>
    </rPh>
    <phoneticPr fontId="2"/>
  </si>
  <si>
    <t>三角龍彦</t>
  </si>
  <si>
    <t>三角</t>
    <rPh sb="0" eb="2">
      <t>ミスミ</t>
    </rPh>
    <phoneticPr fontId="3"/>
  </si>
  <si>
    <t>No</t>
    <phoneticPr fontId="3"/>
  </si>
  <si>
    <t>晴</t>
  </si>
  <si>
    <t>日勤B</t>
    <rPh sb="0" eb="2">
      <t>ニッキン</t>
    </rPh>
    <phoneticPr fontId="2"/>
  </si>
  <si>
    <t>青</t>
    <rPh sb="0" eb="1">
      <t>アオ</t>
    </rPh>
    <phoneticPr fontId="2"/>
  </si>
  <si>
    <t>震度5未満発生（1週間以内）</t>
    <rPh sb="0" eb="2">
      <t>シンド</t>
    </rPh>
    <rPh sb="3" eb="5">
      <t>ミマン</t>
    </rPh>
    <rPh sb="5" eb="7">
      <t>ハッセイ</t>
    </rPh>
    <rPh sb="9" eb="11">
      <t>シュウカン</t>
    </rPh>
    <rPh sb="11" eb="13">
      <t>イナイ</t>
    </rPh>
    <phoneticPr fontId="2"/>
  </si>
  <si>
    <t>ウエディング</t>
    <phoneticPr fontId="2"/>
  </si>
  <si>
    <t>松葉眞</t>
  </si>
  <si>
    <t>松葉</t>
    <rPh sb="0" eb="2">
      <t>マツバ</t>
    </rPh>
    <phoneticPr fontId="3"/>
  </si>
  <si>
    <t>薄曇</t>
  </si>
  <si>
    <t>日勤C</t>
    <rPh sb="0" eb="2">
      <t>ニッキン</t>
    </rPh>
    <phoneticPr fontId="2"/>
  </si>
  <si>
    <t>緑</t>
    <rPh sb="0" eb="1">
      <t>ミドリ</t>
    </rPh>
    <phoneticPr fontId="2"/>
  </si>
  <si>
    <t>震度5以上発生（1週間以内）</t>
    <rPh sb="0" eb="2">
      <t>シンド</t>
    </rPh>
    <rPh sb="3" eb="5">
      <t>イジョウ</t>
    </rPh>
    <rPh sb="5" eb="7">
      <t>ハッセイ</t>
    </rPh>
    <rPh sb="9" eb="11">
      <t>シュウカン</t>
    </rPh>
    <rPh sb="11" eb="13">
      <t>イナイ</t>
    </rPh>
    <phoneticPr fontId="2"/>
  </si>
  <si>
    <t>インスペクション</t>
    <phoneticPr fontId="2"/>
  </si>
  <si>
    <t>木村重明</t>
    <phoneticPr fontId="2"/>
  </si>
  <si>
    <t>木村</t>
    <rPh sb="0" eb="2">
      <t>キムラ</t>
    </rPh>
    <phoneticPr fontId="3"/>
  </si>
  <si>
    <t>曇</t>
  </si>
  <si>
    <t>夜勤A</t>
    <rPh sb="0" eb="2">
      <t>ヤキン</t>
    </rPh>
    <phoneticPr fontId="2"/>
  </si>
  <si>
    <t>黄</t>
    <rPh sb="0" eb="1">
      <t>キ</t>
    </rPh>
    <phoneticPr fontId="2"/>
  </si>
  <si>
    <t>関東-震度5未満発生（1週間以内）</t>
    <rPh sb="0" eb="2">
      <t>カントウ</t>
    </rPh>
    <phoneticPr fontId="2"/>
  </si>
  <si>
    <t>パーティー</t>
    <phoneticPr fontId="2"/>
  </si>
  <si>
    <t>山本喜久</t>
  </si>
  <si>
    <t>山本</t>
    <rPh sb="0" eb="2">
      <t>ヤマモト</t>
    </rPh>
    <phoneticPr fontId="3"/>
  </si>
  <si>
    <t>煙霧</t>
  </si>
  <si>
    <t>夜勤B</t>
    <rPh sb="0" eb="2">
      <t>ヤキン</t>
    </rPh>
    <phoneticPr fontId="2"/>
  </si>
  <si>
    <t>赤/紫</t>
    <rPh sb="0" eb="1">
      <t>アカ</t>
    </rPh>
    <rPh sb="2" eb="3">
      <t>ムラサキ</t>
    </rPh>
    <phoneticPr fontId="2"/>
  </si>
  <si>
    <t>関東-震度5以上発生（1週間以内）</t>
    <rPh sb="0" eb="2">
      <t>カントウ</t>
    </rPh>
    <phoneticPr fontId="2"/>
  </si>
  <si>
    <t>子供向け</t>
    <rPh sb="0" eb="3">
      <t>コドモム</t>
    </rPh>
    <phoneticPr fontId="2"/>
  </si>
  <si>
    <t>末廣信行</t>
  </si>
  <si>
    <t>末廣</t>
    <rPh sb="0" eb="2">
      <t>スエヒロ</t>
    </rPh>
    <phoneticPr fontId="3"/>
  </si>
  <si>
    <t>霧</t>
  </si>
  <si>
    <t>日勤研修</t>
    <rPh sb="0" eb="2">
      <t>ニッキン</t>
    </rPh>
    <rPh sb="2" eb="4">
      <t>ケンシュウ</t>
    </rPh>
    <phoneticPr fontId="2"/>
  </si>
  <si>
    <t>青/紫</t>
    <rPh sb="0" eb="1">
      <t>アオ</t>
    </rPh>
    <rPh sb="2" eb="3">
      <t>ムラサキ</t>
    </rPh>
    <phoneticPr fontId="2"/>
  </si>
  <si>
    <t>大人向け</t>
    <rPh sb="0" eb="3">
      <t>オトナム</t>
    </rPh>
    <phoneticPr fontId="2"/>
  </si>
  <si>
    <t>小園行聖</t>
    <phoneticPr fontId="2"/>
  </si>
  <si>
    <t>佐藤</t>
    <rPh sb="0" eb="2">
      <t>サトウ</t>
    </rPh>
    <phoneticPr fontId="3"/>
  </si>
  <si>
    <t>霧雨</t>
  </si>
  <si>
    <t>夜勤研修</t>
    <rPh sb="0" eb="2">
      <t>ヤキン</t>
    </rPh>
    <rPh sb="2" eb="4">
      <t>ケンシュウ</t>
    </rPh>
    <phoneticPr fontId="2"/>
  </si>
  <si>
    <t>緑/紫</t>
    <rPh sb="0" eb="1">
      <t>ミドリ</t>
    </rPh>
    <rPh sb="2" eb="3">
      <t>ムラサキ</t>
    </rPh>
    <phoneticPr fontId="2"/>
  </si>
  <si>
    <t>男性向け</t>
    <rPh sb="0" eb="2">
      <t>ダンセイ</t>
    </rPh>
    <rPh sb="2" eb="3">
      <t>ム</t>
    </rPh>
    <phoneticPr fontId="2"/>
  </si>
  <si>
    <t>二野宮慧太</t>
  </si>
  <si>
    <t>二野宮</t>
    <rPh sb="0" eb="1">
      <t>ニ</t>
    </rPh>
    <rPh sb="1" eb="3">
      <t>ノミヤ</t>
    </rPh>
    <phoneticPr fontId="3"/>
  </si>
  <si>
    <t>雨</t>
  </si>
  <si>
    <t>臨時</t>
    <rPh sb="0" eb="2">
      <t>リンジ</t>
    </rPh>
    <phoneticPr fontId="2"/>
  </si>
  <si>
    <t>黄/紫</t>
    <rPh sb="0" eb="1">
      <t>キ</t>
    </rPh>
    <rPh sb="2" eb="3">
      <t>ムラサキ</t>
    </rPh>
    <phoneticPr fontId="2"/>
  </si>
  <si>
    <t>女性向け</t>
    <rPh sb="0" eb="3">
      <t>ジョセイム</t>
    </rPh>
    <phoneticPr fontId="2"/>
  </si>
  <si>
    <t>片山薫</t>
  </si>
  <si>
    <t>石井</t>
    <rPh sb="0" eb="2">
      <t>イシイ</t>
    </rPh>
    <phoneticPr fontId="3"/>
  </si>
  <si>
    <t>みぞれ</t>
  </si>
  <si>
    <t>花火大会</t>
    <rPh sb="0" eb="4">
      <t>ハナビタイカイ</t>
    </rPh>
    <phoneticPr fontId="2"/>
  </si>
  <si>
    <t>石井忠志</t>
  </si>
  <si>
    <t>片山</t>
    <rPh sb="0" eb="2">
      <t>カタヤマ</t>
    </rPh>
    <phoneticPr fontId="3"/>
  </si>
  <si>
    <t>雪</t>
  </si>
  <si>
    <t>ELV停止</t>
    <rPh sb="3" eb="5">
      <t>テイシ</t>
    </rPh>
    <phoneticPr fontId="2"/>
  </si>
  <si>
    <t>その他</t>
    <rPh sb="2" eb="3">
      <t>タ</t>
    </rPh>
    <phoneticPr fontId="2"/>
  </si>
  <si>
    <t>辻嵐</t>
  </si>
  <si>
    <t>辻</t>
    <rPh sb="0" eb="1">
      <t>ツジ</t>
    </rPh>
    <phoneticPr fontId="3"/>
  </si>
  <si>
    <t>あられ</t>
  </si>
  <si>
    <t>-</t>
    <phoneticPr fontId="2"/>
  </si>
  <si>
    <t>武田崇将</t>
  </si>
  <si>
    <t>武田</t>
    <rPh sb="0" eb="2">
      <t>タケダ</t>
    </rPh>
    <phoneticPr fontId="2"/>
  </si>
  <si>
    <t>ひょう</t>
  </si>
  <si>
    <t>●</t>
    <phoneticPr fontId="2"/>
  </si>
  <si>
    <t>小園</t>
    <rPh sb="0" eb="2">
      <t>コゾノ</t>
    </rPh>
    <phoneticPr fontId="2"/>
  </si>
  <si>
    <t>雷</t>
  </si>
  <si>
    <t>配置表</t>
    <rPh sb="0" eb="2">
      <t>ハイチ</t>
    </rPh>
    <rPh sb="2" eb="3">
      <t>ヒョウ</t>
    </rPh>
    <phoneticPr fontId="3"/>
  </si>
  <si>
    <t>令和</t>
    <rPh sb="0" eb="2">
      <t>レイワ</t>
    </rPh>
    <phoneticPr fontId="3"/>
  </si>
  <si>
    <t>年</t>
  </si>
  <si>
    <t>自</t>
  </si>
  <si>
    <t>月</t>
  </si>
  <si>
    <t>日</t>
  </si>
  <si>
    <t>所属営業所：</t>
    <rPh sb="0" eb="2">
      <t>ショゾク</t>
    </rPh>
    <rPh sb="2" eb="5">
      <t>エイギョウショ</t>
    </rPh>
    <phoneticPr fontId="3"/>
  </si>
  <si>
    <t>東京</t>
    <rPh sb="0" eb="2">
      <t>トウキョウ</t>
    </rPh>
    <phoneticPr fontId="3"/>
  </si>
  <si>
    <t>至</t>
  </si>
  <si>
    <t>日</t>
    <rPh sb="0" eb="1">
      <t>ニチ</t>
    </rPh>
    <phoneticPr fontId="3"/>
  </si>
  <si>
    <t>現場名：</t>
    <rPh sb="0" eb="2">
      <t>ゲンバ</t>
    </rPh>
    <rPh sb="2" eb="3">
      <t>メイ</t>
    </rPh>
    <phoneticPr fontId="3"/>
  </si>
  <si>
    <t>ブルガリホテル東京</t>
    <rPh sb="7" eb="9">
      <t>トウキョウ</t>
    </rPh>
    <phoneticPr fontId="3"/>
  </si>
  <si>
    <t>業務種別：</t>
    <rPh sb="0" eb="2">
      <t>ギョウム</t>
    </rPh>
    <rPh sb="2" eb="4">
      <t>シュベツ</t>
    </rPh>
    <phoneticPr fontId="3"/>
  </si>
  <si>
    <t>1号</t>
    <rPh sb="1" eb="2">
      <t>ゴウ</t>
    </rPh>
    <phoneticPr fontId="3"/>
  </si>
  <si>
    <t>受注形態：</t>
    <rPh sb="0" eb="2">
      <t>ジュチュウ</t>
    </rPh>
    <rPh sb="2" eb="4">
      <t>ケイタイ</t>
    </rPh>
    <phoneticPr fontId="3"/>
  </si>
  <si>
    <t>常駐</t>
    <rPh sb="0" eb="2">
      <t>ジョウチュウ</t>
    </rPh>
    <phoneticPr fontId="3"/>
  </si>
  <si>
    <t>日付</t>
    <rPh sb="0" eb="2">
      <t>ヒヅケ</t>
    </rPh>
    <phoneticPr fontId="3"/>
  </si>
  <si>
    <t>備考</t>
    <rPh sb="0" eb="2">
      <t>ビコウ</t>
    </rPh>
    <phoneticPr fontId="3"/>
  </si>
  <si>
    <t>氏名</t>
    <phoneticPr fontId="3"/>
  </si>
  <si>
    <t>曜日</t>
    <phoneticPr fontId="2"/>
  </si>
  <si>
    <t>責</t>
    <rPh sb="0" eb="1">
      <t>セキ</t>
    </rPh>
    <phoneticPr fontId="3"/>
  </si>
  <si>
    <t>日B</t>
    <rPh sb="0" eb="1">
      <t>ヒ</t>
    </rPh>
    <phoneticPr fontId="3"/>
  </si>
  <si>
    <t>日C</t>
    <rPh sb="0" eb="1">
      <t>ヒ</t>
    </rPh>
    <phoneticPr fontId="3"/>
  </si>
  <si>
    <t>夜A</t>
    <rPh sb="0" eb="1">
      <t>ヨル</t>
    </rPh>
    <phoneticPr fontId="3"/>
  </si>
  <si>
    <t>夜B</t>
    <rPh sb="0" eb="1">
      <t>ヨル</t>
    </rPh>
    <phoneticPr fontId="3"/>
  </si>
  <si>
    <t>臨時</t>
    <rPh sb="0" eb="2">
      <t>リンジ</t>
    </rPh>
    <phoneticPr fontId="3"/>
  </si>
  <si>
    <t>*研</t>
    <rPh sb="1" eb="2">
      <t>ケン</t>
    </rPh>
    <phoneticPr fontId="3"/>
  </si>
  <si>
    <t>（凡例）</t>
  </si>
  <si>
    <t>計（研除く）</t>
    <rPh sb="0" eb="1">
      <t>ケイ</t>
    </rPh>
    <rPh sb="2" eb="3">
      <t>ケン</t>
    </rPh>
    <rPh sb="3" eb="4">
      <t>ノゾ</t>
    </rPh>
    <phoneticPr fontId="3"/>
  </si>
  <si>
    <t>社員</t>
    <rPh sb="0" eb="2">
      <t>シャイン</t>
    </rPh>
    <phoneticPr fontId="2"/>
  </si>
  <si>
    <t>責</t>
    <rPh sb="0" eb="1">
      <t>セキ</t>
    </rPh>
    <phoneticPr fontId="2"/>
  </si>
  <si>
    <t>・・・</t>
  </si>
  <si>
    <t>8：00～20：00</t>
    <phoneticPr fontId="3"/>
  </si>
  <si>
    <t>藤井隆幸</t>
  </si>
  <si>
    <t>責A</t>
    <rPh sb="0" eb="1">
      <t>セキ</t>
    </rPh>
    <phoneticPr fontId="2"/>
  </si>
  <si>
    <t>8：00～14：00</t>
    <phoneticPr fontId="3"/>
  </si>
  <si>
    <t>武田崇将</t>
    <phoneticPr fontId="2"/>
  </si>
  <si>
    <t>責B</t>
    <rPh sb="0" eb="1">
      <t>セキ</t>
    </rPh>
    <phoneticPr fontId="2"/>
  </si>
  <si>
    <t>14：00～20：00</t>
    <phoneticPr fontId="3"/>
  </si>
  <si>
    <t>石井秀幸</t>
    <rPh sb="0" eb="4">
      <t>イシイヒデユキ</t>
    </rPh>
    <phoneticPr fontId="2"/>
  </si>
  <si>
    <t>日B-1</t>
    <rPh sb="0" eb="1">
      <t>ヒ</t>
    </rPh>
    <phoneticPr fontId="3"/>
  </si>
  <si>
    <t>8：00～12：00</t>
    <phoneticPr fontId="3"/>
  </si>
  <si>
    <t>辻嵐</t>
    <rPh sb="0" eb="1">
      <t>ツジ</t>
    </rPh>
    <rPh sb="1" eb="2">
      <t>アラシ</t>
    </rPh>
    <phoneticPr fontId="2"/>
  </si>
  <si>
    <t>日B-2</t>
    <rPh sb="0" eb="1">
      <t>ヒ</t>
    </rPh>
    <phoneticPr fontId="3"/>
  </si>
  <si>
    <t>12：00～20：00</t>
    <phoneticPr fontId="3"/>
  </si>
  <si>
    <t>日B-3</t>
    <rPh sb="0" eb="1">
      <t>ヒ</t>
    </rPh>
    <phoneticPr fontId="3"/>
  </si>
  <si>
    <t>日B-4</t>
    <rPh sb="0" eb="1">
      <t>ヒ</t>
    </rPh>
    <phoneticPr fontId="3"/>
  </si>
  <si>
    <t>佐藤聖哉</t>
  </si>
  <si>
    <t>9：30～18：30</t>
    <phoneticPr fontId="2"/>
  </si>
  <si>
    <t>二野宮慧太</t>
    <phoneticPr fontId="3"/>
  </si>
  <si>
    <t>20：00～翌8：00</t>
    <rPh sb="6" eb="7">
      <t>ヨク</t>
    </rPh>
    <phoneticPr fontId="3"/>
  </si>
  <si>
    <t>片山薫</t>
    <rPh sb="0" eb="3">
      <t>カタヤマカオル</t>
    </rPh>
    <phoneticPr fontId="3"/>
  </si>
  <si>
    <t>石井忠志</t>
    <rPh sb="0" eb="2">
      <t>イシイ</t>
    </rPh>
    <rPh sb="2" eb="4">
      <t>タダシ</t>
    </rPh>
    <phoneticPr fontId="3"/>
  </si>
  <si>
    <t>契約人区数</t>
    <rPh sb="0" eb="2">
      <t>ケイヤク</t>
    </rPh>
    <rPh sb="2" eb="3">
      <t>ジン</t>
    </rPh>
    <rPh sb="3" eb="4">
      <t>ク</t>
    </rPh>
    <rPh sb="4" eb="5">
      <t>スウ</t>
    </rPh>
    <phoneticPr fontId="3"/>
  </si>
  <si>
    <t>人区計</t>
    <rPh sb="0" eb="1">
      <t>ヒト</t>
    </rPh>
    <rPh sb="1" eb="2">
      <t>ク</t>
    </rPh>
    <rPh sb="2" eb="3">
      <t>ケイ</t>
    </rPh>
    <phoneticPr fontId="3"/>
  </si>
  <si>
    <t>契約・実勤差</t>
    <phoneticPr fontId="2"/>
  </si>
  <si>
    <t>現場業務研修</t>
    <phoneticPr fontId="2"/>
  </si>
  <si>
    <t>新任研修</t>
    <phoneticPr fontId="2"/>
  </si>
  <si>
    <t>現任研修</t>
    <phoneticPr fontId="2"/>
  </si>
  <si>
    <t>研修計</t>
    <phoneticPr fontId="2"/>
  </si>
  <si>
    <t>休日数</t>
    <rPh sb="0" eb="2">
      <t>キュウジツ</t>
    </rPh>
    <rPh sb="2" eb="3">
      <t>スウ</t>
    </rPh>
    <phoneticPr fontId="3"/>
  </si>
  <si>
    <t>労働時間</t>
    <rPh sb="0" eb="2">
      <t>ロウドウ</t>
    </rPh>
    <rPh sb="2" eb="4">
      <t>ジカン</t>
    </rPh>
    <phoneticPr fontId="3"/>
  </si>
  <si>
    <t>残業時間</t>
    <rPh sb="0" eb="2">
      <t>ザンギョウ</t>
    </rPh>
    <rPh sb="2" eb="4">
      <t>ジカン</t>
    </rPh>
    <phoneticPr fontId="2"/>
  </si>
  <si>
    <t>石井秀幸</t>
    <rPh sb="0" eb="2">
      <t>イシイ</t>
    </rPh>
    <rPh sb="2" eb="4">
      <t>ヒデユキ</t>
    </rPh>
    <phoneticPr fontId="2"/>
  </si>
  <si>
    <t>木村重明</t>
    <rPh sb="0" eb="2">
      <t>キムラ</t>
    </rPh>
    <rPh sb="2" eb="4">
      <t>シゲアキ</t>
    </rPh>
    <phoneticPr fontId="2"/>
  </si>
  <si>
    <t>新基①</t>
    <rPh sb="0" eb="1">
      <t>シン</t>
    </rPh>
    <rPh sb="1" eb="2">
      <t>キ</t>
    </rPh>
    <phoneticPr fontId="3"/>
  </si>
  <si>
    <t>・・・</t>
    <phoneticPr fontId="3"/>
  </si>
  <si>
    <t>新任基本・１日目</t>
    <rPh sb="0" eb="2">
      <t>シンニン</t>
    </rPh>
    <rPh sb="2" eb="4">
      <t>キホン</t>
    </rPh>
    <rPh sb="6" eb="7">
      <t>ニチ</t>
    </rPh>
    <rPh sb="7" eb="8">
      <t>メ</t>
    </rPh>
    <phoneticPr fontId="3"/>
  </si>
  <si>
    <t>新基②</t>
    <rPh sb="0" eb="1">
      <t>シン</t>
    </rPh>
    <rPh sb="1" eb="2">
      <t>モト</t>
    </rPh>
    <phoneticPr fontId="3"/>
  </si>
  <si>
    <t>新任基本・２日目</t>
    <rPh sb="0" eb="2">
      <t>シンニン</t>
    </rPh>
    <rPh sb="2" eb="4">
      <t>キホン</t>
    </rPh>
    <rPh sb="6" eb="8">
      <t>ニチメ</t>
    </rPh>
    <phoneticPr fontId="3"/>
  </si>
  <si>
    <t>新2①</t>
    <rPh sb="0" eb="1">
      <t>シン</t>
    </rPh>
    <phoneticPr fontId="3"/>
  </si>
  <si>
    <t>新任２号・１日目</t>
    <rPh sb="0" eb="2">
      <t>シンニン</t>
    </rPh>
    <rPh sb="3" eb="4">
      <t>ゴウ</t>
    </rPh>
    <rPh sb="6" eb="7">
      <t>ニチ</t>
    </rPh>
    <rPh sb="7" eb="8">
      <t>メ</t>
    </rPh>
    <phoneticPr fontId="3"/>
  </si>
  <si>
    <t>新2②</t>
    <rPh sb="0" eb="1">
      <t>シン</t>
    </rPh>
    <phoneticPr fontId="3"/>
  </si>
  <si>
    <t>新任２号・２日目</t>
    <rPh sb="0" eb="2">
      <t>シンニン</t>
    </rPh>
    <rPh sb="3" eb="4">
      <t>ゴウ</t>
    </rPh>
    <rPh sb="6" eb="8">
      <t>ニチメ</t>
    </rPh>
    <phoneticPr fontId="3"/>
  </si>
  <si>
    <t>現2</t>
    <rPh sb="0" eb="1">
      <t>ゲン</t>
    </rPh>
    <phoneticPr fontId="33"/>
  </si>
  <si>
    <t>現任基本・２号</t>
    <phoneticPr fontId="35"/>
  </si>
  <si>
    <t>業1</t>
    <rPh sb="0" eb="1">
      <t>ギョウ</t>
    </rPh>
    <phoneticPr fontId="33"/>
  </si>
  <si>
    <t>現任業務別１号</t>
    <rPh sb="0" eb="2">
      <t>ゲンニン</t>
    </rPh>
    <rPh sb="2" eb="5">
      <t>ギョウムベツ</t>
    </rPh>
    <rPh sb="6" eb="7">
      <t>ゴウ</t>
    </rPh>
    <phoneticPr fontId="33"/>
  </si>
  <si>
    <t>業2</t>
    <rPh sb="0" eb="1">
      <t>ギョウ</t>
    </rPh>
    <phoneticPr fontId="33"/>
  </si>
  <si>
    <t>現任業務別２号</t>
    <rPh sb="0" eb="2">
      <t>ゲンニン</t>
    </rPh>
    <rPh sb="2" eb="5">
      <t>ギョウムベツ</t>
    </rPh>
    <rPh sb="6" eb="7">
      <t>ゴウ</t>
    </rPh>
    <phoneticPr fontId="33"/>
  </si>
  <si>
    <t>警　備　月　報</t>
    <rPh sb="0" eb="1">
      <t>ケイ</t>
    </rPh>
    <rPh sb="2" eb="3">
      <t>ビ</t>
    </rPh>
    <rPh sb="4" eb="5">
      <t>ゲツ</t>
    </rPh>
    <rPh sb="6" eb="7">
      <t>ホウ</t>
    </rPh>
    <phoneticPr fontId="3"/>
  </si>
  <si>
    <t>アサヒファシリティズ</t>
    <phoneticPr fontId="3"/>
  </si>
  <si>
    <t>【ブルガリホテル東京】</t>
  </si>
  <si>
    <t>年</t>
    <rPh sb="0" eb="1">
      <t>ネン</t>
    </rPh>
    <phoneticPr fontId="2"/>
  </si>
  <si>
    <t>月</t>
    <rPh sb="0" eb="1">
      <t>ツキ</t>
    </rPh>
    <phoneticPr fontId="2"/>
  </si>
  <si>
    <t>～</t>
    <phoneticPr fontId="2"/>
  </si>
  <si>
    <t>報告者</t>
    <rPh sb="0" eb="3">
      <t>ホウコクシャ</t>
    </rPh>
    <phoneticPr fontId="2"/>
  </si>
  <si>
    <t>三角龍彦</t>
    <rPh sb="0" eb="2">
      <t>ミスミ</t>
    </rPh>
    <rPh sb="2" eb="4">
      <t>タツヒコ</t>
    </rPh>
    <phoneticPr fontId="2"/>
  </si>
  <si>
    <t>業務対応件数等報告事項</t>
    <rPh sb="0" eb="1">
      <t>ゴウ</t>
    </rPh>
    <rPh sb="1" eb="2">
      <t>ツトム</t>
    </rPh>
    <rPh sb="2" eb="3">
      <t>タイ</t>
    </rPh>
    <phoneticPr fontId="4"/>
  </si>
  <si>
    <t>巡回時未施錠</t>
    <rPh sb="3" eb="4">
      <t>ミ</t>
    </rPh>
    <phoneticPr fontId="4"/>
  </si>
  <si>
    <t>件</t>
    <rPh sb="0" eb="1">
      <t>ケン</t>
    </rPh>
    <phoneticPr fontId="2"/>
  </si>
  <si>
    <t>警察対応</t>
    <phoneticPr fontId="4"/>
  </si>
  <si>
    <t>自火報発報</t>
    <phoneticPr fontId="4"/>
  </si>
  <si>
    <t>ジュエリーケース発報</t>
    <phoneticPr fontId="4"/>
  </si>
  <si>
    <t>救急対応</t>
    <phoneticPr fontId="4"/>
  </si>
  <si>
    <t>不審物対応</t>
    <phoneticPr fontId="4"/>
  </si>
  <si>
    <t>不審者対応</t>
    <phoneticPr fontId="4"/>
  </si>
  <si>
    <t>エレベーター呼出</t>
    <phoneticPr fontId="4"/>
  </si>
  <si>
    <t>緊急呼出</t>
    <phoneticPr fontId="4"/>
  </si>
  <si>
    <t>未返却</t>
    <phoneticPr fontId="4"/>
  </si>
  <si>
    <t>階段室 誤進入</t>
    <phoneticPr fontId="4"/>
  </si>
  <si>
    <t>セキュリティカード登録・変更</t>
    <rPh sb="9" eb="11">
      <t>トウロク</t>
    </rPh>
    <rPh sb="12" eb="14">
      <t>ヘンコウ</t>
    </rPh>
    <phoneticPr fontId="4"/>
  </si>
  <si>
    <t>対応内容等報告事項</t>
    <rPh sb="0" eb="1">
      <t>タイ</t>
    </rPh>
    <rPh sb="1" eb="2">
      <t>オウ</t>
    </rPh>
    <rPh sb="2" eb="3">
      <t>ウチ</t>
    </rPh>
    <rPh sb="3" eb="4">
      <t>カタチ</t>
    </rPh>
    <rPh sb="4" eb="5">
      <t>ナド</t>
    </rPh>
    <rPh sb="5" eb="6">
      <t>ホウ</t>
    </rPh>
    <rPh sb="6" eb="7">
      <t>コク</t>
    </rPh>
    <rPh sb="7" eb="8">
      <t>コト</t>
    </rPh>
    <rPh sb="8" eb="9">
      <t>コウ</t>
    </rPh>
    <phoneticPr fontId="4"/>
  </si>
  <si>
    <t>※</t>
    <phoneticPr fontId="2"/>
  </si>
  <si>
    <t>納品・業者　入館数</t>
    <phoneticPr fontId="2"/>
  </si>
  <si>
    <t>外部スタッフ入館数</t>
    <phoneticPr fontId="2"/>
  </si>
  <si>
    <t>先月比</t>
    <rPh sb="0" eb="2">
      <t>センゲツ</t>
    </rPh>
    <rPh sb="2" eb="3">
      <t>ヒ</t>
    </rPh>
    <phoneticPr fontId="2"/>
  </si>
  <si>
    <t>①自火報・緊急対応　警備対応事案</t>
    <phoneticPr fontId="2"/>
  </si>
  <si>
    <t>自火報発報　1件</t>
    <phoneticPr fontId="2"/>
  </si>
  <si>
    <t>光電アナログ注意発報（41階7区36番4108号室）ゲストが戸を開けたまま入浴した為。</t>
    <phoneticPr fontId="2"/>
  </si>
  <si>
    <t>緊急呼出　6件</t>
    <phoneticPr fontId="2"/>
  </si>
  <si>
    <t>6月4日</t>
  </si>
  <si>
    <t>緊急呼出発報(40F レストランWC2) 清掃スタッフが清掃中に誤って接触した為。</t>
  </si>
  <si>
    <t>6月5日</t>
  </si>
  <si>
    <t>緊急呼出発報（客室4110号室）ゲストによる押し間違い。</t>
  </si>
  <si>
    <t>6月10日</t>
  </si>
  <si>
    <t>緊急呼出発報（客室4101号室）HSKPが清掃中に誤って接触した為。</t>
  </si>
  <si>
    <t>6月12日</t>
  </si>
  <si>
    <t>緊急呼出発報(40階女性用ハマム・サウナ) 業者が誤って接触した為。</t>
    <rPh sb="22" eb="24">
      <t>ギョウシャ</t>
    </rPh>
    <rPh sb="25" eb="26">
      <t>アヤマ</t>
    </rPh>
    <rPh sb="28" eb="30">
      <t>セッショク</t>
    </rPh>
    <rPh sb="32" eb="33">
      <t>タメ</t>
    </rPh>
    <phoneticPr fontId="2"/>
  </si>
  <si>
    <t>6月22日</t>
  </si>
  <si>
    <t>緊急呼出発報（4101号室）。FDへ連絡後、LP三角及び藤井が現地確認を実施。</t>
  </si>
  <si>
    <t>6月24日</t>
  </si>
  <si>
    <t>緊急呼出発報（客室4110号室）ゲストが誤って接触した為。</t>
    <phoneticPr fontId="2"/>
  </si>
  <si>
    <t>不審者対応　4件</t>
  </si>
  <si>
    <t>6月19日</t>
    <phoneticPr fontId="2"/>
  </si>
  <si>
    <t>45F BARに不審ゲストがいるとのことで、FBよりLPへ応援要請あり。</t>
    <phoneticPr fontId="2"/>
  </si>
  <si>
    <t>対象者が1階前室6（商業側）より退館したことを確認し、観察終了。　</t>
    <phoneticPr fontId="2"/>
  </si>
  <si>
    <t>1F風除室7付近（外）に黒人女性が滞留しているとのことでDutyより連絡あり。</t>
    <phoneticPr fontId="2"/>
  </si>
  <si>
    <t>DutyとLPが対象者へ声掛けを行い、東京駅方面へ移動したことを確認。</t>
    <phoneticPr fontId="2"/>
  </si>
  <si>
    <t>6月20日</t>
    <phoneticPr fontId="2"/>
  </si>
  <si>
    <t>不審ゲスト対応。Dutyより、スマートフォンで館内撮影をしていると連絡あり。</t>
    <rPh sb="23" eb="25">
      <t>カンナイ</t>
    </rPh>
    <phoneticPr fontId="2"/>
  </si>
  <si>
    <t>宿泊ゲストよりクレームが発生した為、行動履歴確認依頼あり対応実施。</t>
    <rPh sb="28" eb="30">
      <t>タイオウ</t>
    </rPh>
    <rPh sb="30" eb="32">
      <t>ジッシ</t>
    </rPh>
    <phoneticPr fontId="2"/>
  </si>
  <si>
    <t>6月22日</t>
    <phoneticPr fontId="2"/>
  </si>
  <si>
    <t>Dutyより対象者のITV監視依頼あり。（6/19～45F BARの不審ゲスト）</t>
    <rPh sb="34" eb="36">
      <t>フシン</t>
    </rPh>
    <phoneticPr fontId="2"/>
  </si>
  <si>
    <t>対象者は支払いができず、翌日に支払いを行うことで対応を進める事となった。（未決）</t>
    <rPh sb="37" eb="39">
      <t>ミケツ</t>
    </rPh>
    <phoneticPr fontId="2"/>
  </si>
  <si>
    <t>ガス遮断弁対応</t>
    <phoneticPr fontId="2"/>
  </si>
  <si>
    <t>6月1日～30日</t>
  </si>
  <si>
    <t>ガス遮断弁未閉鎖・ガス漏れ検知の特記事項なし。</t>
  </si>
  <si>
    <t>扉未施錠対応</t>
    <phoneticPr fontId="2"/>
  </si>
  <si>
    <t>6月1日～30日</t>
    <phoneticPr fontId="2"/>
  </si>
  <si>
    <t>未閉鎖回数54件　※詳細は別途提出　扉未施錠対応一覧参照</t>
    <phoneticPr fontId="2"/>
  </si>
  <si>
    <t>月</t>
    <rPh sb="0" eb="1">
      <t>ゲツ</t>
    </rPh>
    <phoneticPr fontId="2"/>
  </si>
  <si>
    <t>非常階段誤進入対応</t>
    <phoneticPr fontId="2"/>
  </si>
  <si>
    <t>42階B階段 非常解錠釦を押下。防災センターから発報連絡あり。スタッフが誤進入。</t>
    <rPh sb="36" eb="39">
      <t>ゴシンニュウ</t>
    </rPh>
    <phoneticPr fontId="2"/>
  </si>
  <si>
    <t>電子錠（ジュエリーケース発報）　1件</t>
    <phoneticPr fontId="2"/>
  </si>
  <si>
    <t>6月30日</t>
  </si>
  <si>
    <t>ジュエリーケース発報（40BV04jwewelry） 現地にて確認したが、異常無し。</t>
    <phoneticPr fontId="2"/>
  </si>
  <si>
    <t>エレベーター呼出　2件</t>
  </si>
  <si>
    <t>HSP1-ELVにてエレベーター呼出。外来ゲストが帰路が分からず迷い込んだ為。</t>
  </si>
  <si>
    <t>HL-01ELVにてエレベーター呼出。ゲストが誤って接触した為。</t>
  </si>
  <si>
    <t>傷病者・救急対応　2件</t>
    <phoneticPr fontId="2"/>
  </si>
  <si>
    <t>救急対応（SPA）SPA水谷さんより、SPA利用ゲストがケガをしたとの連絡あり。</t>
  </si>
  <si>
    <t>症状：（ドイツ人男性11歳）がBox Jumpトレーニング中に誤って着地し、両手首を負傷。</t>
    <phoneticPr fontId="2"/>
  </si>
  <si>
    <t>40Fラウンジにて日本人女性が体調不良ということでCon清水さんから連絡あり。</t>
  </si>
  <si>
    <t>警察対応</t>
    <rPh sb="0" eb="2">
      <t>ケイサツ</t>
    </rPh>
    <rPh sb="2" eb="4">
      <t>タイオウ</t>
    </rPh>
    <phoneticPr fontId="2"/>
  </si>
  <si>
    <t>無し。</t>
  </si>
  <si>
    <t>②災害、対策対応</t>
  </si>
  <si>
    <t>6月16日</t>
  </si>
  <si>
    <t>地震発生 震源地 茨木県南部 最大震度５弱 中央区 震度３  ELV等異常無し</t>
    <rPh sb="15" eb="17">
      <t>サイダイ</t>
    </rPh>
    <phoneticPr fontId="2"/>
  </si>
  <si>
    <t>地震発生 震源地 岩手県沖 現地震度6強 中央区 震度２  ELV等異常無し</t>
    <phoneticPr fontId="2"/>
  </si>
  <si>
    <t>6月26日</t>
  </si>
  <si>
    <t>地震発生 震源地 千葉県北東部、最大震度４。中央区震度2を観測  ELV等異常無し</t>
    <phoneticPr fontId="2"/>
  </si>
  <si>
    <t>地震発生 震源地 山梨県東部、最大震度6弱。中央区震度3を観測。</t>
    <phoneticPr fontId="2"/>
  </si>
  <si>
    <t>HS-1～4、HB-1～2ELV一時停止。即復旧。閉じ込め等異常なし。</t>
    <rPh sb="16" eb="18">
      <t>イチジ</t>
    </rPh>
    <rPh sb="18" eb="20">
      <t>テイシ</t>
    </rPh>
    <rPh sb="21" eb="24">
      <t>ソクフッキュウ</t>
    </rPh>
    <rPh sb="25" eb="26">
      <t>ト</t>
    </rPh>
    <rPh sb="27" eb="28">
      <t>コ</t>
    </rPh>
    <rPh sb="29" eb="30">
      <t>トウ</t>
    </rPh>
    <rPh sb="30" eb="32">
      <t>イジョウ</t>
    </rPh>
    <phoneticPr fontId="2"/>
  </si>
  <si>
    <t>6月27日</t>
  </si>
  <si>
    <t>地震発生 震源地 岩手県沖 現地震度5弱 中央区 震度記録無し、 ELV等異常無し</t>
    <rPh sb="36" eb="37">
      <t>ナド</t>
    </rPh>
    <phoneticPr fontId="2"/>
  </si>
  <si>
    <t>③訓練</t>
  </si>
  <si>
    <t>4106を火点とした避難訓練、消防訓練を実施する。</t>
    <phoneticPr fontId="2"/>
  </si>
  <si>
    <t>模擬消火器による初期消火訓練の実施。</t>
    <rPh sb="0" eb="2">
      <t>モギ</t>
    </rPh>
    <rPh sb="2" eb="5">
      <t>ショウカキ</t>
    </rPh>
    <rPh sb="8" eb="10">
      <t>ショキ</t>
    </rPh>
    <rPh sb="10" eb="12">
      <t>ショウカ</t>
    </rPh>
    <rPh sb="12" eb="14">
      <t>クンレン</t>
    </rPh>
    <rPh sb="15" eb="17">
      <t>ジッシ</t>
    </rPh>
    <phoneticPr fontId="2"/>
  </si>
  <si>
    <t>④継続不具合</t>
  </si>
  <si>
    <t>⑤未返却</t>
    <phoneticPr fontId="2"/>
  </si>
  <si>
    <t>⑥その他</t>
    <phoneticPr fontId="2"/>
  </si>
  <si>
    <t>6月1～17日</t>
    <rPh sb="1" eb="2">
      <t>ガツ</t>
    </rPh>
    <rPh sb="6" eb="7">
      <t>ニチ</t>
    </rPh>
    <phoneticPr fontId="2"/>
  </si>
  <si>
    <t>SSAの提出内容物の確認、資料整備を実施。</t>
    <phoneticPr fontId="2"/>
  </si>
  <si>
    <t>6月1日</t>
  </si>
  <si>
    <t>MIRAへインシデントレポートの入力作業及び提出を行う。</t>
    <phoneticPr fontId="2"/>
  </si>
  <si>
    <t>6月2日</t>
    <phoneticPr fontId="2"/>
  </si>
  <si>
    <t>FLS　新規採用者へのオリエンテーションを実施する。LP三角</t>
    <phoneticPr fontId="2"/>
  </si>
  <si>
    <t>クレジットカード決済端末管理台帳作成に伴い、設置端末の撮影・機器情報の記録を実施。</t>
    <phoneticPr fontId="2"/>
  </si>
  <si>
    <t>6月8日</t>
  </si>
  <si>
    <t>拾得物届出あり。（財布 現金12,000円）配膳会堀内さん、拾得者 CSS塩谷さん。</t>
  </si>
  <si>
    <t>6月9日</t>
  </si>
  <si>
    <t>ロッカーインスペクション実施。HR 渡部さん、LP藤井。11:10終了</t>
  </si>
  <si>
    <t>サエグサ薬品による救急箱点検（補充交換作業）立会。10：55終了。LP三角</t>
  </si>
  <si>
    <t>6月15日</t>
  </si>
  <si>
    <t>6/17～VVVIPの宿泊予定に伴い、セキュリティチームと館内ウォークスルーを行う。</t>
    <phoneticPr fontId="2"/>
  </si>
  <si>
    <t>6月17日</t>
    <phoneticPr fontId="2"/>
  </si>
  <si>
    <t>SSAの資料をVaultへアップロードと提出を完了させる。</t>
    <phoneticPr fontId="2"/>
  </si>
  <si>
    <t>6月18日</t>
  </si>
  <si>
    <t>ASSAABLOYのLock Service 3G、のシステム異常の確認作業を行う。</t>
    <phoneticPr fontId="2"/>
  </si>
  <si>
    <t>VIPに伴うELV対応実施。</t>
    <rPh sb="11" eb="13">
      <t>ジッシ</t>
    </rPh>
    <phoneticPr fontId="2"/>
  </si>
  <si>
    <t>6月20日</t>
  </si>
  <si>
    <t>配膳スタッフ用ロッカーの暗証番号失念により、本人、社員同席のもとLPにて解錠実施。</t>
    <rPh sb="6" eb="7">
      <t>ヨウ</t>
    </rPh>
    <rPh sb="12" eb="16">
      <t>アンショウバンゴウ</t>
    </rPh>
    <rPh sb="16" eb="18">
      <t>シツネン</t>
    </rPh>
    <rPh sb="22" eb="24">
      <t>ホンニン</t>
    </rPh>
    <rPh sb="25" eb="27">
      <t>シャイン</t>
    </rPh>
    <rPh sb="27" eb="29">
      <t>ドウセキ</t>
    </rPh>
    <rPh sb="36" eb="38">
      <t>カイジョウ</t>
    </rPh>
    <rPh sb="38" eb="40">
      <t>ジッシ</t>
    </rPh>
    <phoneticPr fontId="2"/>
  </si>
  <si>
    <t>MIRAへ6/21発生のインシデントレポートの入力作業補助及び提出補助を行う。</t>
    <phoneticPr fontId="2"/>
  </si>
  <si>
    <t>建築設備点検 排煙風量測定に伴う、解錠対応および業者立会い実施。LP三角。</t>
  </si>
  <si>
    <t>6月25日</t>
  </si>
  <si>
    <t>客室カードの確認作業を行う。LP三角</t>
    <rPh sb="16" eb="18">
      <t>ミスミ</t>
    </rPh>
    <phoneticPr fontId="2"/>
  </si>
  <si>
    <t>6月1～30日</t>
    <rPh sb="1" eb="2">
      <t>ガツ</t>
    </rPh>
    <rPh sb="6" eb="7">
      <t>ニチ</t>
    </rPh>
    <phoneticPr fontId="2"/>
  </si>
  <si>
    <t>ENG ミーティング参加。DOE大渡さん、EC牧野さん、ENG高橋さん、LP三角。</t>
  </si>
  <si>
    <t>随時</t>
  </si>
  <si>
    <t>・セキュリティカード（登録、修正、削除、確認）作業　随時　6月合計20件</t>
    <phoneticPr fontId="2"/>
  </si>
  <si>
    <t>毎日</t>
  </si>
  <si>
    <t>・40F宴会場の臭気確認　毎日7時実施。（24/11/25開始　継続中）</t>
  </si>
  <si>
    <t>・CTEへゲストパスカラー入力作業　(25/1/16開始　継続中）</t>
  </si>
  <si>
    <t>・ＩＴサーバールーム内　ログデータカートリッジ交換作業　毎日17時実施（23/10/16開始　継続中）</t>
    <phoneticPr fontId="2"/>
  </si>
  <si>
    <t>・メール室にて郵便物確認、仕分け作業　毎日14時・21時実施(24/5/13開始　継続中）</t>
  </si>
  <si>
    <t>曜日</t>
    <rPh sb="0" eb="2">
      <t>ヨウビ</t>
    </rPh>
    <phoneticPr fontId="2"/>
  </si>
  <si>
    <t>～</t>
  </si>
  <si>
    <t/>
  </si>
  <si>
    <t>①自火報・緊急対応　警備対応事案</t>
  </si>
  <si>
    <t>自火報発報　1件</t>
  </si>
  <si>
    <t>6月3日</t>
  </si>
  <si>
    <t>緊急呼出　6件</t>
  </si>
  <si>
    <t>緊急呼出発報(40階女性用ハマム・サウナ)</t>
  </si>
  <si>
    <t>緊急呼出発報（客室4110号室）ゲストが誤って接触した為。</t>
  </si>
  <si>
    <t>45F BARに不審ゲストがいるとのことで、FB山岡さんよりLPへ応援要請あり。</t>
  </si>
  <si>
    <t>1F風除室7付近（外）に黒人女性が滞留しているとのことでDuty大庭さんより連絡あり。</t>
  </si>
  <si>
    <t>不審ゲスト対応（女性3名組）。Duty福浪さんより、館内でスマートフォンによる撮影をしているとの連絡あり。</t>
  </si>
  <si>
    <t>Duty福浪さんより対象者のITV監視依頼あり。（5/19～要注意人物。）</t>
  </si>
  <si>
    <t>未閉鎖回数54件　※詳細は別途提出　扉未施錠対応一覧参照</t>
  </si>
  <si>
    <t>非常階段誤進入対応</t>
  </si>
  <si>
    <t>42階B階段 非常解錠釦を押下。防災センターから発報連絡あり。</t>
    <phoneticPr fontId="2"/>
  </si>
  <si>
    <t>電子錠（ジュエリーケース発報）　1件</t>
  </si>
  <si>
    <t>ジュエリーケース発報（40BV04jwewelry） 現地にて確認したが、異常無し。</t>
  </si>
  <si>
    <t>傷病者・救急対応　3件</t>
    <phoneticPr fontId="2"/>
  </si>
  <si>
    <t>MIRAへインシデントレポートの入力作業及び提出を行う。2件 BQT、従業員ケガ</t>
  </si>
  <si>
    <t>警察対応</t>
  </si>
  <si>
    <t>地震発生 震源地 茨木県南部 震度５弱 中央区 震度３ ホテル側ELV異常無し</t>
  </si>
  <si>
    <t>地震発生 岩手県沖 現地震度6強 中央区 震度２ EV等異常無し</t>
  </si>
  <si>
    <t>地震発生。震源：千葉県北東部、最大震度４。中央区震度2を観測。</t>
  </si>
  <si>
    <t>地震発生。震源：山梨県東部、最大震度6弱。中央区震度3を観測。</t>
  </si>
  <si>
    <t>地震発生 岩手県沖 現地震度5弱 中央区 震度記録無し、 EV等異常無し。</t>
  </si>
  <si>
    <t>消防訓練打合せ実施。DOE大渡さん及びLP三角にて訓練内容、実施スケジュール等を確認。</t>
  </si>
  <si>
    <t>消防訓練に伴い、事前確認の一環として訓練用消火器の水圧・放水確認を行う。異常無し</t>
  </si>
  <si>
    <t>6月29日</t>
  </si>
  <si>
    <t>消火器訓練に伴い、事前打合せを行う。</t>
  </si>
  <si>
    <t>4106を火点とした避難訓練、消防訓練を実施する。</t>
  </si>
  <si>
    <t>⑤未返却・セキュリティカード対応</t>
  </si>
  <si>
    <t>セキュリティカード 2254 をNASHIに権限変更を行う。</t>
  </si>
  <si>
    <t>セキュリティカード新規発行届に伴うカード発行手続きを4件行う。</t>
  </si>
  <si>
    <t>セキュリティカード2206，2226，2408に権限登録を行う。</t>
  </si>
  <si>
    <t>セキュリティカード2245が磁気不良に伴い、2474へ再発行を行う。</t>
  </si>
  <si>
    <t>HSKPに貸出していたGRMKのM137583が磁気不良の為、M137624を転用する。</t>
  </si>
  <si>
    <t>セキュリティカード2221が紛失した為、権限を停止する。</t>
  </si>
  <si>
    <t>セキュリティカード2413に個別権限付与を行う。</t>
  </si>
  <si>
    <t>セキュリティカード2358、2369の権限確認と権限付与を行う。</t>
  </si>
  <si>
    <t>セキュリティカード19539，28400，19603，19572，28392，28393，19579の7件</t>
  </si>
  <si>
    <t>セキュリティカード2440の権限を変更する。</t>
  </si>
  <si>
    <t>⑥その他</t>
  </si>
  <si>
    <t>FB アンドレアさんCCTV閲覧。5/31にBAR利用ゲストの紛失したサングラス確認の為。</t>
    <phoneticPr fontId="2"/>
  </si>
  <si>
    <t>ITV確認実施。該当部屋4316 5/24 7：00～12：00 該当者なし</t>
  </si>
  <si>
    <t>1 ITV確認実施。該当部屋4316 5/23 16：00～5/24 7：00 該当者なし</t>
  </si>
  <si>
    <t>ITV確認実施。該当部屋4316の該当人物及び関係者の映像の確認を行う。</t>
  </si>
  <si>
    <t>ITV確認実施。該当部屋4316の該当人物について確認が取れたため、映像の抽出を行う。</t>
  </si>
  <si>
    <t>Duty福浪さんより連絡あり、4311号室のゲストエージェントからゲストが身の危険を</t>
  </si>
  <si>
    <t>6月11日</t>
  </si>
  <si>
    <t>6月19日</t>
  </si>
  <si>
    <t>45F男性トイレ内で喫煙している利用客がいるとのことで、FB山岡さんより対応要請あり。</t>
  </si>
  <si>
    <t>BARアンドリューさんより、対象者２団体利用客が引き続きトイレ内で喫煙し、</t>
  </si>
  <si>
    <t>ITV確認対応。FD矢野さんより、4418号室宿泊ゲストへ手紙を渡すよう要求したゲスト</t>
  </si>
  <si>
    <t>6月21日</t>
  </si>
  <si>
    <t>DM フクナミさんより、館内を撮影している女性のがいて、①その方の行動内容と、</t>
  </si>
  <si>
    <t>4418号室の4419号室側のドアが解錠状態となっていた為、Duty福浪さんよりITV確認依頼</t>
  </si>
  <si>
    <t>40F男性パブリックトイレ更衣室内にゲストが閉じ込められていることを、巡回中の</t>
  </si>
  <si>
    <t>EV故障警報（ HB-2） 39Fにてホテルスタッフ２名が降りた後、扉が閉まらなくなり</t>
  </si>
  <si>
    <t>EV故障警報（ HB-2） 39Fにて停止状態で故障警報作動。HSKPスタッフが3名乗って</t>
  </si>
  <si>
    <t>MIRAへインシデントレポートの入力作業及び提出を行う。2件 BAR泥酔、BAR汚損</t>
    <phoneticPr fontId="2"/>
  </si>
  <si>
    <t>GSSAの打ち合わせを行う。DOE大渡さん、LP三角。</t>
  </si>
  <si>
    <t>SSA1.1、SSA2.4、SSA4.3、SSA3.5、SSA6.4の資料整備を行う。進捗度36.7％ 18/49</t>
  </si>
  <si>
    <t>ENG定例ミーティング参加。DOE大渡さん、EC直美さん、ENG高橋さん、LP三角。</t>
  </si>
  <si>
    <t>SSA3.4の資料整備を行う。進捗度38.8％ 21/49</t>
  </si>
  <si>
    <t>6月2日</t>
  </si>
  <si>
    <t>F&amp;S オリエンテーションの実施。DOE大渡さん、LP三角。</t>
  </si>
  <si>
    <t>ENGオフィス レイアウト変更に伴う第一期施工実施。配線移設及びキャビ移動作業を実施。</t>
  </si>
  <si>
    <t>6月6日</t>
  </si>
  <si>
    <t>MIRAへインシデントレポートの入力作業及び提出を行う。</t>
  </si>
  <si>
    <t>職場体験学習に伴う、立会、案内を行う。EC直美さん、ENG高橋さん、LP三角。</t>
  </si>
  <si>
    <t>SSAの資料整備を行う。進捗度48.97％ 24/49</t>
  </si>
  <si>
    <t>配膳スタッフ男性（FINE）のリンテトコウさんが、配膳スタッフ用ロッカーの暗証</t>
  </si>
  <si>
    <t>HSKP Kooさんとの打合せを行う。DOE大渡さん、ECナオミさん、LP三角。</t>
  </si>
  <si>
    <t>SSAの資料整備を行う。進捗度53.06％ 26/49</t>
  </si>
  <si>
    <t>経理部池水さん、ジョナサンさんが監査準備でジェネラルキャッシャーのモニター確認</t>
  </si>
  <si>
    <t>6月13日</t>
  </si>
  <si>
    <t>SSAの資料整備を行う。進捗度71.42％ 35/49</t>
  </si>
  <si>
    <t>SSAの資料をフォームに提出する。SSA1～SSA5</t>
  </si>
  <si>
    <t>SSAの資料をVaultへアップロード及び回答を全て行い、保存を行う。</t>
  </si>
  <si>
    <t>【続き】月次報告書貼付用（追加行）</t>
  </si>
  <si>
    <t>日付</t>
  </si>
  <si>
    <t>内容</t>
  </si>
  <si>
    <t>6月17日</t>
  </si>
  <si>
    <t>Orientation EA 野中さん。DOE大渡さん、LP三角。LP業務について説明実施。</t>
  </si>
  <si>
    <t>経理監査に伴う資料整備、説明実施。Finance 木村さん、LP三角。</t>
  </si>
  <si>
    <t>SSAの提出前、打ち合わせを行う。HMアントニオさん、DOE大渡さん、ECナオミさん、</t>
  </si>
  <si>
    <t>ASSAABLOYのVisionLine、客室カード読み取り、時刻確認の為、4103にて操作を行う。</t>
  </si>
  <si>
    <t>ASSAABLOYのLock Service 3G、のシステム異常の確認作業を行う。IT Pundyさん、LP三角</t>
    <phoneticPr fontId="2"/>
  </si>
  <si>
    <t>Transendent QRコード出力を行う。</t>
  </si>
  <si>
    <t>配膳スタッフ女性（FINE）のヤダナさんが、配膳スタッフ用ロッカーの暗証</t>
    <phoneticPr fontId="2"/>
  </si>
  <si>
    <t>MIRAへ6/21発生のインシデントレポートの入力作業補助及び提出補助を行う。</t>
  </si>
  <si>
    <t>6月23日</t>
  </si>
  <si>
    <t>本事案についてMIRAへ登録、提出済み。</t>
  </si>
  <si>
    <t>Transendent 7/1 STD 2.10 Eye wash station (Weekly)の点検結果を入力する。</t>
  </si>
  <si>
    <t>BHT緊急時対応ハンドブックの更新作業を行う。期日6/30</t>
  </si>
  <si>
    <t>Duty福波さんからITVでゲストの動向確認依頼あり。客室4208、4209へ入室するのを確認。</t>
  </si>
  <si>
    <t>客室対応（4105号室）。GE森本さんより、13:00チェックアウト予定のゲストが客室内に</t>
  </si>
  <si>
    <t>テラス巡回実施。台風による植栽、家具等異常無し。</t>
  </si>
  <si>
    <t>1階前室6 自動扉 解錠。宴会イベントに伴う前倒し解錠対応依頼。</t>
  </si>
  <si>
    <t>LP定例教育実施。See Something, Say Somethingについて教育実施。</t>
  </si>
  <si>
    <t>LP定例教育実施。警備日報の記載方法について教育実施。</t>
  </si>
  <si>
    <t>パニックアラームテスト実施 40F SPA 11ヵ所 異常なし。</t>
  </si>
  <si>
    <t>パニックアラームテスト実施 41F SPA TR 5ヵ所 異常なし。</t>
  </si>
  <si>
    <t>6月7日</t>
  </si>
  <si>
    <t>パニックアラームテスト実施。40F WCF 6ヵ所 HWC 1ヵ所 異常なし。</t>
  </si>
  <si>
    <t>パニックアラームテスト実施。45F BAR WC 3ヵ所 異常なし。</t>
  </si>
  <si>
    <t>客室カードキーについての打ち合わせを行う。DOE大渡さん、LP三角。</t>
  </si>
  <si>
    <t>パナソニック防災 設備員によるシステム異常点検実施。 復旧済み</t>
  </si>
  <si>
    <t>GE森本さんが入室確認し、HSKPの接触によるものと確認が取れたため、LPOにて復旧済み。</t>
  </si>
  <si>
    <t>パニックアラームテスト実施 40F Restaurant 2ヵ所 異常なし。</t>
  </si>
  <si>
    <t>パニックアラームテスト実施 40F Reception 2ヵ所 異常なし。</t>
  </si>
  <si>
    <t>客室カードキーの確認作業を行う。</t>
  </si>
  <si>
    <t>パニックアラームテスト実施 39階 GC 1カ所 異常無し。</t>
  </si>
  <si>
    <t>VIPに伴うELV対応。1階にてHB-1ELV 専用運転へ切換実施。</t>
  </si>
  <si>
    <t>VIPに伴うELV対応。44階にてHB-2ELV 専用運転へ切換実施。</t>
  </si>
  <si>
    <t>対象者が1階前室6（商業側）より退館したことを確認し、観察終了。 ※以下 対象者１</t>
  </si>
  <si>
    <t>BARスタッフより複数回注意を行うも改善されず。 ※以下 対象者2</t>
  </si>
  <si>
    <t>昼間に対応した対象者1を40Fラウンジにて確認。Duty大庭さんが対応を実施。</t>
  </si>
  <si>
    <t>Duty大庭さんより、対象者１が1Fへ移動したとの連絡あり。</t>
  </si>
  <si>
    <t>パニックアラームテスト実施 客室4101、4110 計8カ所 異常無し。</t>
  </si>
  <si>
    <t>客室カードの確認作業を行う。</t>
  </si>
  <si>
    <t>6月28日</t>
  </si>
  <si>
    <t>GE森本さんから客室4408号に多人数の外来者が入室しているので巡回時に室内で騒いで</t>
  </si>
  <si>
    <t>セキュリティカード（登録、修正、削除、確認）作業　6月合計20件</t>
  </si>
  <si>
    <t>メール室にて郵便物確認、仕分け作業を継続実施。</t>
  </si>
  <si>
    <t>40F宴会場の臭気確認、CTEゲストパスカラー入力、ITサーバールーム内ログデータカートリッジ交換作業を継続実施。</t>
  </si>
  <si>
    <t>警備月報まとめ（6月）</t>
  </si>
  <si>
    <t>対象期間</t>
  </si>
  <si>
    <t>2026年6月1日 ～ 2026年6月30日</t>
  </si>
  <si>
    <t>報告者</t>
  </si>
  <si>
    <t>項目</t>
  </si>
  <si>
    <t>件数</t>
  </si>
  <si>
    <t>単位</t>
  </si>
  <si>
    <t>抽出分類</t>
  </si>
  <si>
    <t>記載数</t>
  </si>
  <si>
    <t>巡回時未施錠</t>
  </si>
  <si>
    <t>件</t>
  </si>
  <si>
    <t>自火報発報</t>
  </si>
  <si>
    <t>緊急呼出</t>
  </si>
  <si>
    <t>電子錠（ジュエリーケース発報）</t>
  </si>
  <si>
    <t>ジュエリーケース発報</t>
  </si>
  <si>
    <t>エレベーター呼出</t>
  </si>
  <si>
    <t>救急対応</t>
  </si>
  <si>
    <t>傷病者・救急対応</t>
  </si>
  <si>
    <t>不審物対応</t>
  </si>
  <si>
    <t>非常階段・誤進入対応</t>
  </si>
  <si>
    <t>不審者対応</t>
  </si>
  <si>
    <t>災害・対策対応</t>
  </si>
  <si>
    <t>訓練</t>
  </si>
  <si>
    <t>セキュリティカード・未返却</t>
  </si>
  <si>
    <t>未返却</t>
  </si>
  <si>
    <t>その他警備対応</t>
  </si>
  <si>
    <t>階段室 誤進入</t>
  </si>
  <si>
    <t>その他業務・継続対応</t>
  </si>
  <si>
    <t>セキュリティカード登録・変更</t>
  </si>
  <si>
    <t>その他</t>
  </si>
  <si>
    <t>納品・業者 入館数</t>
  </si>
  <si>
    <t>外部スタッフ入館数</t>
  </si>
  <si>
    <t>分類</t>
  </si>
  <si>
    <t>光電アナログ注意発報（41階7区36番4108号室）ゲストが戸を開けたまま入浴した為。</t>
  </si>
  <si>
    <t>42階B階段 非常解錠釦を押下。防災センターから発報連絡あり。</t>
  </si>
  <si>
    <t>FB アンドレアさんCCTV閲覧。5/31にBAR利用ゲストの紛失したサングラス確認の為。</t>
  </si>
  <si>
    <t>クレジットカード決済端末管理台帳作成に伴い、設置端末の撮影・機器情報の記録を実施。</t>
  </si>
  <si>
    <t>不審ゲスト対応（女性3名組）。Duty福浪さんより、館内でスマートフォンによる撮影を</t>
  </si>
  <si>
    <t>MIRAへインシデントレポートの入力作業及び提出を行う。2件 BAR泥酔、BAR汚損</t>
  </si>
  <si>
    <t>6/17～VVVIPの宿泊予定に伴い、セキュリティチームと館内ウォークスルーを行う。</t>
  </si>
  <si>
    <t>SSAの提出内容物の確認、資料整備を実施。</t>
  </si>
  <si>
    <t>SSAの資料をVaultへアップロードと提出を完了させる。</t>
  </si>
  <si>
    <t>ASSAABLOYのLock Service 3G、のシステム異常の確認作業を行う。IT Pundyさん、LP三角</t>
  </si>
  <si>
    <t>配膳スタッフ女性（FINE）のヤダナさんが、配膳スタッフ用ロッカーの暗証</t>
  </si>
  <si>
    <t>ガス遮断弁対応</t>
  </si>
  <si>
    <t>ガス遮断弁未閉鎖・ガス漏れ検知の特記事項は抽出されませんでした。</t>
  </si>
  <si>
    <t>扉未施錠対応</t>
  </si>
  <si>
    <t>未閉鎖回数は上記「巡回時未施錠」件数を参照。詳細は別途一覧参照。</t>
  </si>
  <si>
    <t>継続不具合</t>
  </si>
  <si>
    <t>継続不具合としての特記事項は抽出されませんでした。</t>
  </si>
  <si>
    <t>日常継続業務</t>
  </si>
  <si>
    <t>メール室確認、40F宴会場臭気確認、CTEゲストパスカ��ー入力、ITサーバールームログデータカートリッジ交換等を継続実施。</t>
  </si>
  <si>
    <t>警 備 日 報 記 入 例</t>
  </si>
  <si>
    <t>記入例を参照し日報記入をお願いします。</t>
  </si>
  <si>
    <t>勤務員間で記入方法が異なるため、下記の記入方法に統一してください。</t>
  </si>
  <si>
    <t>【記入ルール】</t>
  </si>
  <si>
    <t>・「場所＋事象＋原因＋確認結果＋対応内容」の順で記載すること。</t>
  </si>
  <si>
    <t>・推測や感想は記載せず、事実のみを記載すること。</t>
  </si>
  <si>
    <t>・異常が無かった場合は「異常無し」と記載すること。</t>
  </si>
  <si>
    <t>・復旧、修理、引継ぎ等を実施した場合は必ず記載すること。</t>
  </si>
  <si>
    <t>─────────────────────</t>
  </si>
  <si>
    <t>■ 緊急呼出（誤報）</t>
  </si>
  <si>
    <t>例　緊急呼出発報（40F WCF ブース3）外国人ゲストが誤って押した為。GE●●さんが現地確認し異常無し。LPにて復旧対応実施。</t>
    <phoneticPr fontId="2"/>
  </si>
  <si>
    <t>例　緊急呼出発報（45F WC2 女性トイレ）ゲストが誤って押した為。現地確認し異常無し。復旧対応実施。</t>
  </si>
  <si>
    <t>例　緊急呼出発報（40F HWC）ゲストが誤って押した為。ITV確認及び現地確認し異常無し。</t>
  </si>
  <si>
    <t>■ 緊急呼出（真報）</t>
  </si>
  <si>
    <t>例　緊急呼出発報（45F WC2 女性トイレ）現地確認したところ、ゲストが体調不良により座り込んでいる状態を確認。スタッフへ引継ぎ対応実施。</t>
  </si>
  <si>
    <t>例　緊急呼出発報（40F SPA 女性浴室）現地確認したところ、ゲストが転倒していた為。救急対応実施。</t>
  </si>
  <si>
    <t>■ 自火報発報（非火災）</t>
  </si>
  <si>
    <t>例　光電アナログ注意発報（44階西156番4422号室）ゲストが戸を開けたまま入浴した為。</t>
  </si>
  <si>
    <t>例　防火戸シャッター閉鎖（39階0区8番HBコリドー1）IRDスタッフが台車を接触した為。</t>
  </si>
  <si>
    <t>例　防火戸シャッター閉鎖（44階0区4番客室廊下）ゲストが拾得物を拾う際に接触した為。</t>
  </si>
  <si>
    <t>■ 自火報発報（真報）</t>
  </si>
  <si>
    <t>例　光電アナログ注意発報（44階西156番4422号室）現地確認したところ、ゴミ箱内より発煙を確認。初期消火実施し鎮火確認。</t>
  </si>
  <si>
    <t>■ トイレ対応</t>
  </si>
  <si>
    <t>例　長時間滞在警告アナウンス鳴動（40F WCHトイレ）ゲストが内側のボタンを押した為。</t>
  </si>
  <si>
    <t>例　トイレ内異臭確認（40F WCHトイレ）現地確認するも異常無し。</t>
  </si>
  <si>
    <t>■ トイレ対応（真報）</t>
  </si>
  <si>
    <t>例　長時間滞在警告アナウンス鳴動（40F WCHトイレ）現地確認したところ、ゲストが体調不良により個室内で動けない状態を確認。スタッフへ引継ぎ対応実施。</t>
  </si>
  <si>
    <t>■ 非常階段誤進入</t>
  </si>
  <si>
    <t>例　42階B階段インターフォン呼出。ホテルスタッフが誤って進入した為。</t>
  </si>
  <si>
    <t>例　42階A階段インターフォン呼出。BAR利用ゲスト（日本人女性）が誤って進入した為。LP●●が現地対応し、Duty●●さんと合流後、40階BAR前EVまで案内実施。</t>
    <phoneticPr fontId="2"/>
  </si>
  <si>
    <t>■ エレベーター呼出</t>
  </si>
  <si>
    <t>例　EV呼出（HS-1）ゲストが体で呼出ボタンに接触した為。現地確認し異常無し。</t>
  </si>
  <si>
    <t>■ エレベーター呼出（真報）</t>
  </si>
  <si>
    <t>例　EV呼出（HS-1）エレベーター内閉じ込め発生。業者担当へ連絡し救出対応実施。</t>
    <rPh sb="26" eb="28">
      <t>ギョウシャ</t>
    </rPh>
    <phoneticPr fontId="2"/>
  </si>
  <si>
    <t>■ 電子錠（ジュエリーケース発報）</t>
  </si>
  <si>
    <t>例　ジュエリーケース発報（40BV03jewelry）付近を通行した人物なし。</t>
    <phoneticPr fontId="2"/>
  </si>
  <si>
    <t>例　ジュエリーケース発報（40BV01jewelry）扉付近に接触していたが関係性不明。</t>
  </si>
  <si>
    <t>■ ガス遮断弁対応</t>
  </si>
  <si>
    <t>例　○○キッチン ガス遮断弁未閉鎖。閉鎖対応実施済み。</t>
  </si>
  <si>
    <t>例　○○キッチン ガス漏れ検知。ENG立会いのもと確認し異常無し。</t>
  </si>
  <si>
    <t>■ 設備不具合</t>
  </si>
  <si>
    <t>例　40F 客用男性WC個室ドアノブ破損。LP●●が巡回中に発見。ENG●●さんへ修理依頼し、20:44修理完了。</t>
    <phoneticPr fontId="2"/>
  </si>
  <si>
    <t>■ 忘れ物・拾得物対応</t>
  </si>
  <si>
    <t>例　ゲスト拾得物対応（●●）。Duty●●さんより動線確認依頼あり。モニター確認を実施したところ、当該ゲストはBAR多目的トイレ入室時点でサングラスを着用しておらず、所在は確認できなかった。</t>
    <phoneticPr fontId="2"/>
  </si>
  <si>
    <t>■ メール室確認</t>
  </si>
  <si>
    <t>例　メール室確認。郵便物●通を確認し、仕分け実施済み。</t>
    <phoneticPr fontId="2"/>
  </si>
  <si>
    <t>例　メール室確認。郵便物無し。</t>
    <phoneticPr fontId="2"/>
  </si>
  <si>
    <t>■ 巡回結果</t>
  </si>
  <si>
    <t>例　ボールルーム1・2・3、テラスルーム巡回実施。異常無し。</t>
    <phoneticPr fontId="2"/>
  </si>
  <si>
    <t>総数</t>
  </si>
  <si>
    <t>入館者</t>
  </si>
  <si>
    <t>外部スタッフ</t>
  </si>
  <si>
    <t>誤進入</t>
  </si>
  <si>
    <t>天気日</t>
    <rPh sb="0" eb="2">
      <t>テンキ</t>
    </rPh>
    <rPh sb="2" eb="3">
      <t>ニチ</t>
    </rPh>
    <phoneticPr fontId="2"/>
  </si>
  <si>
    <t>天気夜</t>
    <rPh sb="0" eb="2">
      <t>テンキ</t>
    </rPh>
    <rPh sb="2" eb="3">
      <t>ヨル</t>
    </rPh>
    <phoneticPr fontId="2"/>
  </si>
  <si>
    <t>IN</t>
    <phoneticPr fontId="2"/>
  </si>
  <si>
    <t>OUT</t>
    <phoneticPr fontId="2"/>
  </si>
  <si>
    <t>稼働率</t>
    <rPh sb="0" eb="3">
      <t>カドウリツ</t>
    </rPh>
    <phoneticPr fontId="2"/>
  </si>
  <si>
    <t>地区</t>
    <rPh sb="0" eb="2">
      <t>チク</t>
    </rPh>
    <phoneticPr fontId="2"/>
  </si>
  <si>
    <t>合計</t>
  </si>
  <si>
    <t>I10</t>
    <phoneticPr fontId="2"/>
  </si>
  <si>
    <t>U10</t>
    <phoneticPr fontId="2"/>
  </si>
  <si>
    <t>AG10</t>
    <phoneticPr fontId="2"/>
  </si>
  <si>
    <t>I11</t>
  </si>
  <si>
    <t>U11</t>
  </si>
  <si>
    <t>AG11</t>
  </si>
  <si>
    <t>I12</t>
  </si>
  <si>
    <t>U12</t>
  </si>
  <si>
    <t>AG12</t>
  </si>
  <si>
    <t>I13</t>
  </si>
  <si>
    <t>U13</t>
  </si>
  <si>
    <t>AG13</t>
  </si>
  <si>
    <t>V7</t>
    <phoneticPr fontId="2"/>
  </si>
  <si>
    <t>V8</t>
    <phoneticPr fontId="2"/>
  </si>
  <si>
    <t>AU39</t>
    <phoneticPr fontId="2"/>
  </si>
  <si>
    <t>AU40</t>
    <phoneticPr fontId="2"/>
  </si>
  <si>
    <t>AV40</t>
    <phoneticPr fontId="2"/>
  </si>
  <si>
    <t>AU22</t>
    <phoneticPr fontId="2"/>
  </si>
  <si>
    <t>AU23</t>
  </si>
  <si>
    <t>AW23</t>
  </si>
  <si>
    <t>Security Daily Report</t>
  </si>
  <si>
    <t>【Bvlgari Hotel Tokyo】</t>
  </si>
  <si>
    <t>天気</t>
    <rPh sb="0" eb="2">
      <t>テンキ</t>
    </rPh>
    <phoneticPr fontId="2"/>
  </si>
  <si>
    <t>D</t>
    <phoneticPr fontId="2"/>
  </si>
  <si>
    <t>報告者</t>
    <rPh sb="0" eb="2">
      <t>ホウコク</t>
    </rPh>
    <rPh sb="2" eb="3">
      <t>シャ</t>
    </rPh>
    <phoneticPr fontId="2"/>
  </si>
  <si>
    <t>データ項目</t>
    <phoneticPr fontId="2"/>
  </si>
  <si>
    <t>件数</t>
    <rPh sb="0" eb="2">
      <t>ケンスウ</t>
    </rPh>
    <phoneticPr fontId="3"/>
  </si>
  <si>
    <t>N</t>
    <phoneticPr fontId="2"/>
  </si>
  <si>
    <t>Incident Count Summary</t>
    <phoneticPr fontId="4"/>
  </si>
  <si>
    <t>納品業者受付</t>
    <rPh sb="0" eb="2">
      <t>ノウヒン</t>
    </rPh>
    <rPh sb="2" eb="4">
      <t>ギョウシャ</t>
    </rPh>
    <rPh sb="4" eb="6">
      <t>ウケツケ</t>
    </rPh>
    <phoneticPr fontId="2"/>
  </si>
  <si>
    <t>日誌№</t>
    <rPh sb="0" eb="2">
      <t>ニッシ</t>
    </rPh>
    <phoneticPr fontId="3"/>
  </si>
  <si>
    <t>配置</t>
    <rPh sb="0" eb="2">
      <t>ハイチ</t>
    </rPh>
    <phoneticPr fontId="3"/>
  </si>
  <si>
    <t>配置表氏名</t>
    <rPh sb="0" eb="2">
      <t>ハイチ</t>
    </rPh>
    <rPh sb="2" eb="3">
      <t>ヒョウ</t>
    </rPh>
    <rPh sb="3" eb="5">
      <t>シメイ</t>
    </rPh>
    <phoneticPr fontId="3"/>
  </si>
  <si>
    <t>配置名</t>
    <rPh sb="0" eb="2">
      <t>ハイチ</t>
    </rPh>
    <rPh sb="2" eb="3">
      <t>メイ</t>
    </rPh>
    <phoneticPr fontId="3"/>
  </si>
  <si>
    <t>種別</t>
    <rPh sb="0" eb="2">
      <t>シュベツ</t>
    </rPh>
    <phoneticPr fontId="3"/>
  </si>
  <si>
    <t>開始</t>
    <rPh sb="0" eb="2">
      <t>カイシ</t>
    </rPh>
    <phoneticPr fontId="3"/>
  </si>
  <si>
    <t>終了</t>
    <rPh sb="0" eb="2">
      <t>シュウリョウ</t>
    </rPh>
    <phoneticPr fontId="3"/>
  </si>
  <si>
    <t>予定貼り付け</t>
    <rPh sb="0" eb="2">
      <t>ヨテイ</t>
    </rPh>
    <rPh sb="2" eb="3">
      <t>ハ</t>
    </rPh>
    <rPh sb="4" eb="5">
      <t>ツ</t>
    </rPh>
    <phoneticPr fontId="3"/>
  </si>
  <si>
    <t>Unlocked doors</t>
    <phoneticPr fontId="4"/>
  </si>
  <si>
    <t>Police dispatch request</t>
    <phoneticPr fontId="4"/>
  </si>
  <si>
    <t>Fire alarm activation</t>
    <phoneticPr fontId="4"/>
  </si>
  <si>
    <t>搬出入（紫）</t>
    <rPh sb="0" eb="3">
      <t>ハンシュツニュウ</t>
    </rPh>
    <rPh sb="4" eb="5">
      <t>ムラサキ</t>
    </rPh>
    <phoneticPr fontId="2"/>
  </si>
  <si>
    <t>責</t>
    <rPh sb="0" eb="1">
      <t>セキ</t>
    </rPh>
    <phoneticPr fontId="10"/>
  </si>
  <si>
    <t>責任者</t>
    <rPh sb="0" eb="3">
      <t>セキニンシャ</t>
    </rPh>
    <phoneticPr fontId="3"/>
  </si>
  <si>
    <t>Jewelry case alarm</t>
    <phoneticPr fontId="4"/>
  </si>
  <si>
    <t>EMS dispatch request</t>
    <phoneticPr fontId="4"/>
  </si>
  <si>
    <t>Suspicious objects</t>
    <phoneticPr fontId="4"/>
  </si>
  <si>
    <t>CSS/センダン</t>
    <phoneticPr fontId="2"/>
  </si>
  <si>
    <t>責A</t>
    <rPh sb="0" eb="1">
      <t>セキ</t>
    </rPh>
    <phoneticPr fontId="10"/>
  </si>
  <si>
    <t>責任者</t>
    <rPh sb="0" eb="3">
      <t>セキニンシャ</t>
    </rPh>
    <phoneticPr fontId="10"/>
  </si>
  <si>
    <t>ゲスト</t>
    <phoneticPr fontId="3"/>
  </si>
  <si>
    <t>緑</t>
  </si>
  <si>
    <t>青</t>
  </si>
  <si>
    <t>赤</t>
  </si>
  <si>
    <t>黄</t>
  </si>
  <si>
    <t>Suspicious persons</t>
    <phoneticPr fontId="4"/>
  </si>
  <si>
    <t>Elevator call-out</t>
    <phoneticPr fontId="4"/>
  </si>
  <si>
    <t>Panic alarm</t>
    <phoneticPr fontId="4"/>
  </si>
  <si>
    <t>配膳会</t>
    <rPh sb="0" eb="2">
      <t>ハイゼン</t>
    </rPh>
    <rPh sb="2" eb="3">
      <t>カイ</t>
    </rPh>
    <phoneticPr fontId="2"/>
  </si>
  <si>
    <t>責B</t>
    <rPh sb="0" eb="1">
      <t>セキ</t>
    </rPh>
    <phoneticPr fontId="10"/>
  </si>
  <si>
    <t>Unreturned keys</t>
    <phoneticPr fontId="4"/>
  </si>
  <si>
    <t>Stairwell unauthorized entry</t>
    <phoneticPr fontId="4"/>
  </si>
  <si>
    <t>Access card registration / update</t>
    <phoneticPr fontId="4"/>
  </si>
  <si>
    <t>セキュリティカード</t>
    <phoneticPr fontId="2"/>
  </si>
  <si>
    <t>日B</t>
    <rPh sb="0" eb="1">
      <t>ヒ</t>
    </rPh>
    <phoneticPr fontId="10"/>
  </si>
  <si>
    <t>日勤</t>
    <rPh sb="0" eb="2">
      <t>ニッキン</t>
    </rPh>
    <phoneticPr fontId="3"/>
  </si>
  <si>
    <t>日勤A</t>
    <rPh sb="0" eb="2">
      <t>ニッキン</t>
    </rPh>
    <phoneticPr fontId="3"/>
  </si>
  <si>
    <t>Incident Details</t>
    <phoneticPr fontId="4"/>
  </si>
  <si>
    <t>未施錠</t>
    <phoneticPr fontId="2"/>
  </si>
  <si>
    <t>日C</t>
    <rPh sb="0" eb="1">
      <t>ニチ</t>
    </rPh>
    <phoneticPr fontId="3"/>
  </si>
  <si>
    <t>日勤B</t>
    <rPh sb="0" eb="2">
      <t>ニッキン</t>
    </rPh>
    <phoneticPr fontId="3"/>
  </si>
  <si>
    <t>木村重明</t>
  </si>
  <si>
    <t>Vendor entries</t>
    <phoneticPr fontId="2"/>
  </si>
  <si>
    <t>External staff entries</t>
    <phoneticPr fontId="2"/>
  </si>
  <si>
    <t>Guest pass color：</t>
    <phoneticPr fontId="2"/>
  </si>
  <si>
    <t>未消灯</t>
    <phoneticPr fontId="2"/>
  </si>
  <si>
    <t>臨日</t>
    <rPh sb="0" eb="1">
      <t>ノゾ</t>
    </rPh>
    <rPh sb="1" eb="2">
      <t>ニチ</t>
    </rPh>
    <phoneticPr fontId="10"/>
  </si>
  <si>
    <t>石井秀幸</t>
  </si>
  <si>
    <t>【日常巡回】</t>
    <phoneticPr fontId="2"/>
  </si>
  <si>
    <t>物品放置</t>
    <phoneticPr fontId="2"/>
  </si>
  <si>
    <t>夜A</t>
    <rPh sb="0" eb="1">
      <t>ヨル</t>
    </rPh>
    <phoneticPr fontId="10"/>
  </si>
  <si>
    <t>夜勤</t>
    <rPh sb="0" eb="2">
      <t>ヤキン</t>
    </rPh>
    <phoneticPr fontId="3"/>
  </si>
  <si>
    <t>翌8:00</t>
    <rPh sb="0" eb="1">
      <t>ヨク</t>
    </rPh>
    <phoneticPr fontId="4"/>
  </si>
  <si>
    <t>夜勤A</t>
    <rPh sb="0" eb="2">
      <t>ヤキン</t>
    </rPh>
    <phoneticPr fontId="3"/>
  </si>
  <si>
    <t>日勤巡回</t>
    <phoneticPr fontId="2"/>
  </si>
  <si>
    <t>異常なし</t>
    <rPh sb="0" eb="2">
      <t>イジョウ</t>
    </rPh>
    <phoneticPr fontId="2"/>
  </si>
  <si>
    <t>鍵・ｶｰﾄﾞの忘れ</t>
    <phoneticPr fontId="2"/>
  </si>
  <si>
    <t>夜B</t>
    <rPh sb="0" eb="1">
      <t>ヨル</t>
    </rPh>
    <phoneticPr fontId="10"/>
  </si>
  <si>
    <t>夜勤B</t>
    <rPh sb="0" eb="2">
      <t>ヤキン</t>
    </rPh>
    <phoneticPr fontId="3"/>
  </si>
  <si>
    <t>夜勤巡回</t>
    <phoneticPr fontId="2"/>
  </si>
  <si>
    <t>臨時警備</t>
    <rPh sb="0" eb="2">
      <t>リンジ</t>
    </rPh>
    <rPh sb="2" eb="4">
      <t>ケイビ</t>
    </rPh>
    <phoneticPr fontId="2"/>
  </si>
  <si>
    <t>夜研</t>
    <rPh sb="0" eb="1">
      <t>ヨル</t>
    </rPh>
    <rPh sb="1" eb="2">
      <t>ケン</t>
    </rPh>
    <phoneticPr fontId="3"/>
  </si>
  <si>
    <t>夜間作業</t>
    <rPh sb="0" eb="4">
      <t>ヤカンサギョウ</t>
    </rPh>
    <phoneticPr fontId="2"/>
  </si>
  <si>
    <t>40階トイレ</t>
    <rPh sb="2" eb="3">
      <t>カイ</t>
    </rPh>
    <phoneticPr fontId="2"/>
  </si>
  <si>
    <t>緊急呼出</t>
    <rPh sb="0" eb="2">
      <t>キンキュウ</t>
    </rPh>
    <rPh sb="2" eb="4">
      <t>ヨビダシ</t>
    </rPh>
    <phoneticPr fontId="2"/>
  </si>
  <si>
    <t>45階トイレ</t>
    <rPh sb="2" eb="3">
      <t>カイ</t>
    </rPh>
    <phoneticPr fontId="2"/>
  </si>
  <si>
    <t>客室</t>
    <rPh sb="0" eb="2">
      <t>キャクシツ</t>
    </rPh>
    <phoneticPr fontId="2"/>
  </si>
  <si>
    <t>地震発生後</t>
    <rPh sb="0" eb="2">
      <t>ジシン</t>
    </rPh>
    <rPh sb="2" eb="4">
      <t>ハッセイ</t>
    </rPh>
    <rPh sb="4" eb="5">
      <t>ゴ</t>
    </rPh>
    <phoneticPr fontId="2"/>
  </si>
  <si>
    <t>周辺イベント①</t>
    <rPh sb="0" eb="2">
      <t>シュウヘン</t>
    </rPh>
    <phoneticPr fontId="2"/>
  </si>
  <si>
    <t>SPA</t>
    <phoneticPr fontId="2"/>
  </si>
  <si>
    <t>発生場所</t>
    <rPh sb="0" eb="4">
      <t>ハッセイバショ</t>
    </rPh>
    <phoneticPr fontId="2"/>
  </si>
  <si>
    <t>-</t>
  </si>
  <si>
    <t>イベント①名</t>
    <rPh sb="5" eb="6">
      <t>メイ</t>
    </rPh>
    <phoneticPr fontId="2"/>
  </si>
  <si>
    <t>ELV呼出</t>
    <rPh sb="3" eb="5">
      <t>ヨビダシ</t>
    </rPh>
    <phoneticPr fontId="2"/>
  </si>
  <si>
    <t>周辺イベント②</t>
    <rPh sb="0" eb="2">
      <t>シュウヘン</t>
    </rPh>
    <phoneticPr fontId="2"/>
  </si>
  <si>
    <t>防火戸</t>
    <phoneticPr fontId="2"/>
  </si>
  <si>
    <t>イベント②名</t>
    <rPh sb="5" eb="6">
      <t>メイ</t>
    </rPh>
    <phoneticPr fontId="2"/>
  </si>
  <si>
    <t>自火報</t>
    <phoneticPr fontId="2"/>
  </si>
  <si>
    <t>未施錠の記録</t>
    <rPh sb="0" eb="3">
      <t>ミセジョウ</t>
    </rPh>
    <rPh sb="4" eb="6">
      <t>キロク</t>
    </rPh>
    <phoneticPr fontId="2"/>
  </si>
  <si>
    <t>ジュエリーケース</t>
    <phoneticPr fontId="2"/>
  </si>
  <si>
    <t>時間</t>
    <rPh sb="0" eb="2">
      <t>ジカン</t>
    </rPh>
    <phoneticPr fontId="2"/>
  </si>
  <si>
    <t>階数 場所</t>
    <rPh sb="0" eb="2">
      <t>カイスウ</t>
    </rPh>
    <rPh sb="3" eb="5">
      <t>バショ</t>
    </rPh>
    <phoneticPr fontId="2"/>
  </si>
  <si>
    <t>↓ブルガリ内でのイベント　</t>
    <rPh sb="5" eb="6">
      <t>ナイ</t>
    </rPh>
    <phoneticPr fontId="2"/>
  </si>
  <si>
    <t>誤進入</t>
    <rPh sb="0" eb="3">
      <t>ゴシンニュウ</t>
    </rPh>
    <phoneticPr fontId="2"/>
  </si>
  <si>
    <t>例 31:00</t>
    <rPh sb="0" eb="1">
      <t>レイ</t>
    </rPh>
    <phoneticPr fontId="2"/>
  </si>
  <si>
    <t>45階屋外ストレージ1</t>
    <phoneticPr fontId="2"/>
  </si>
  <si>
    <t>施設イベント①</t>
    <rPh sb="0" eb="2">
      <t>シセツ</t>
    </rPh>
    <phoneticPr fontId="2"/>
  </si>
  <si>
    <t>カード返却忘れ</t>
    <rPh sb="3" eb="5">
      <t>ヘンキャク</t>
    </rPh>
    <rPh sb="5" eb="6">
      <t>ワス</t>
    </rPh>
    <phoneticPr fontId="2"/>
  </si>
  <si>
    <t>施設イベント②</t>
    <rPh sb="0" eb="2">
      <t>シセツ</t>
    </rPh>
    <phoneticPr fontId="2"/>
  </si>
  <si>
    <t>鍵返却忘れ</t>
    <rPh sb="0" eb="1">
      <t>カギ</t>
    </rPh>
    <rPh sb="1" eb="3">
      <t>ヘンキャク</t>
    </rPh>
    <rPh sb="3" eb="4">
      <t>ワス</t>
    </rPh>
    <phoneticPr fontId="2"/>
  </si>
  <si>
    <t>【特記事項・その他】</t>
    <phoneticPr fontId="2"/>
  </si>
  <si>
    <t>施設イベント③</t>
    <rPh sb="0" eb="2">
      <t>シセツ</t>
    </rPh>
    <phoneticPr fontId="2"/>
  </si>
  <si>
    <t>Unlocked</t>
    <phoneticPr fontId="2"/>
  </si>
  <si>
    <t>不審者対応</t>
    <phoneticPr fontId="2"/>
  </si>
  <si>
    <t>イベント③名</t>
    <rPh sb="5" eb="6">
      <t>メイ</t>
    </rPh>
    <phoneticPr fontId="2"/>
  </si>
  <si>
    <t>Unreturned</t>
    <phoneticPr fontId="2"/>
  </si>
  <si>
    <t>不審物対応</t>
    <phoneticPr fontId="2"/>
  </si>
  <si>
    <t>施設イベント④</t>
    <rPh sb="0" eb="2">
      <t>シセツ</t>
    </rPh>
    <phoneticPr fontId="2"/>
  </si>
  <si>
    <t>Sub fire panel</t>
    <phoneticPr fontId="2"/>
  </si>
  <si>
    <t>10/7　7:31～連動遮断中 (ビル側制御)</t>
    <rPh sb="10" eb="14">
      <t>レンドウシャダン</t>
    </rPh>
    <rPh sb="14" eb="15">
      <t>チュウ</t>
    </rPh>
    <rPh sb="19" eb="20">
      <t>ガワ</t>
    </rPh>
    <rPh sb="20" eb="22">
      <t>セイギョ</t>
    </rPh>
    <phoneticPr fontId="2"/>
  </si>
  <si>
    <t>FACP check</t>
    <phoneticPr fontId="2"/>
  </si>
  <si>
    <t>No faults</t>
    <phoneticPr fontId="2"/>
  </si>
  <si>
    <t>イベント④名</t>
    <rPh sb="5" eb="6">
      <t>メイ</t>
    </rPh>
    <phoneticPr fontId="2"/>
  </si>
  <si>
    <t>Key check</t>
    <phoneticPr fontId="2"/>
  </si>
  <si>
    <t>Checked by</t>
    <phoneticPr fontId="2"/>
  </si>
  <si>
    <t>・</t>
    <phoneticPr fontId="2"/>
  </si>
  <si>
    <t>Irregularities (Y/N)</t>
    <phoneticPr fontId="2"/>
  </si>
  <si>
    <t>救急対応</t>
    <phoneticPr fontId="2"/>
  </si>
  <si>
    <t>Details (if any)</t>
    <phoneticPr fontId="2"/>
  </si>
  <si>
    <t>AED inspection</t>
    <phoneticPr fontId="2"/>
  </si>
  <si>
    <t>Fire extinguisher daily check</t>
    <phoneticPr fontId="2"/>
  </si>
  <si>
    <t>Shift Report</t>
    <phoneticPr fontId="4"/>
  </si>
  <si>
    <t>地震</t>
    <rPh sb="0" eb="2">
      <t>ジシン</t>
    </rPh>
    <phoneticPr fontId="23"/>
  </si>
  <si>
    <t>業務内容</t>
    <phoneticPr fontId="2"/>
  </si>
  <si>
    <t>勤務時間</t>
    <rPh sb="0" eb="4">
      <t>キンムジカン</t>
    </rPh>
    <phoneticPr fontId="2"/>
  </si>
  <si>
    <t>警備員氏名</t>
    <rPh sb="0" eb="3">
      <t>ケイビイン</t>
    </rPh>
    <rPh sb="3" eb="5">
      <t>シメイ</t>
    </rPh>
    <phoneticPr fontId="2"/>
  </si>
  <si>
    <t>業務内容</t>
    <rPh sb="0" eb="4">
      <t>ギョウムナイヨウ</t>
    </rPh>
    <phoneticPr fontId="2"/>
  </si>
  <si>
    <t>警備員氏名</t>
    <phoneticPr fontId="2"/>
  </si>
  <si>
    <t>火災</t>
    <rPh sb="0" eb="2">
      <t>カサイ</t>
    </rPh>
    <phoneticPr fontId="23"/>
  </si>
  <si>
    <t>～</t>
    <phoneticPr fontId="4"/>
  </si>
  <si>
    <t>停電(営業中)</t>
    <rPh sb="0" eb="2">
      <t>テイデン</t>
    </rPh>
    <rPh sb="3" eb="6">
      <t>エイギョウチュウ</t>
    </rPh>
    <phoneticPr fontId="23"/>
  </si>
  <si>
    <t>停電(夜間)</t>
    <rPh sb="0" eb="2">
      <t>テイデン</t>
    </rPh>
    <rPh sb="3" eb="5">
      <t>ヤカン</t>
    </rPh>
    <phoneticPr fontId="23"/>
  </si>
  <si>
    <t>CTEの情報を入力する。</t>
    <rPh sb="4" eb="6">
      <t>ジョウホウ</t>
    </rPh>
    <rPh sb="7" eb="9">
      <t>ニュウリョク</t>
    </rPh>
    <phoneticPr fontId="2"/>
  </si>
  <si>
    <t>風水害</t>
    <rPh sb="0" eb="3">
      <t>フウスイガイ</t>
    </rPh>
    <phoneticPr fontId="23"/>
  </si>
  <si>
    <t>人身事故</t>
    <rPh sb="0" eb="4">
      <t>ジンシンジコ</t>
    </rPh>
    <phoneticPr fontId="23"/>
  </si>
  <si>
    <t>物損事故</t>
    <phoneticPr fontId="2"/>
  </si>
  <si>
    <t>転倒・怪我</t>
    <phoneticPr fontId="2"/>
  </si>
  <si>
    <t>建築・設備</t>
    <phoneticPr fontId="2"/>
  </si>
  <si>
    <t>ボールルーム１・２・３、テラスルーム、異臭無し。</t>
    <phoneticPr fontId="2"/>
  </si>
  <si>
    <t>漏水</t>
    <phoneticPr fontId="2"/>
  </si>
  <si>
    <t>そのほか事故</t>
    <phoneticPr fontId="2"/>
  </si>
  <si>
    <t>爆破予告</t>
    <phoneticPr fontId="2"/>
  </si>
  <si>
    <t>自殺・殺人事件</t>
    <phoneticPr fontId="2"/>
  </si>
  <si>
    <t>喧嘩・傷害事件</t>
    <phoneticPr fontId="2"/>
  </si>
  <si>
    <t>置き引き</t>
    <phoneticPr fontId="2"/>
  </si>
  <si>
    <t>万引き</t>
    <phoneticPr fontId="2"/>
  </si>
  <si>
    <t>窃盗</t>
    <phoneticPr fontId="2"/>
  </si>
  <si>
    <t>そのほか事故事件</t>
    <phoneticPr fontId="2"/>
  </si>
  <si>
    <t>近隣からクレーム</t>
    <phoneticPr fontId="2"/>
  </si>
  <si>
    <t>スタッフからクレーム</t>
    <phoneticPr fontId="2"/>
  </si>
  <si>
    <t>その他のクレーム</t>
    <phoneticPr fontId="2"/>
  </si>
  <si>
    <t>急病</t>
    <phoneticPr fontId="2"/>
  </si>
  <si>
    <t>食中毒</t>
    <phoneticPr fontId="2"/>
  </si>
  <si>
    <t>【継続不具合事項】</t>
    <phoneticPr fontId="2"/>
  </si>
  <si>
    <t>非常誘導灯（通路誘導灯）客室4412号室付近　不点灯。</t>
    <phoneticPr fontId="2"/>
  </si>
  <si>
    <t>非常誘導灯（通路誘導灯）客室4221号室付近　不点灯。</t>
    <phoneticPr fontId="2"/>
  </si>
  <si>
    <t>責/夜A</t>
    <rPh sb="0" eb="1">
      <t>セキ</t>
    </rPh>
    <phoneticPr fontId="10"/>
  </si>
  <si>
    <t>MIRAへインシデントレポートの入力作業及び提出を行う。2件　BAR泥酔、BAR汚損</t>
    <rPh sb="16" eb="20">
      <t>ニュウリョクサギョウ</t>
    </rPh>
    <rPh sb="20" eb="21">
      <t>オヨ</t>
    </rPh>
    <rPh sb="22" eb="24">
      <t>テイシュツ</t>
    </rPh>
    <rPh sb="25" eb="26">
      <t>オコナ</t>
    </rPh>
    <rPh sb="29" eb="30">
      <t>ケン</t>
    </rPh>
    <rPh sb="34" eb="36">
      <t>デイスイ</t>
    </rPh>
    <rPh sb="40" eb="42">
      <t>オソン</t>
    </rPh>
    <phoneticPr fontId="2"/>
  </si>
  <si>
    <t>MIRAへインシデントレポートの入力作業及び提出を行う。2件　BQT、従業員ケガ</t>
    <rPh sb="16" eb="20">
      <t>ニュウリョクサギョウ</t>
    </rPh>
    <rPh sb="20" eb="21">
      <t>オヨ</t>
    </rPh>
    <rPh sb="22" eb="24">
      <t>テイシュツ</t>
    </rPh>
    <rPh sb="25" eb="26">
      <t>オコナ</t>
    </rPh>
    <rPh sb="29" eb="30">
      <t>ケン</t>
    </rPh>
    <rPh sb="35" eb="38">
      <t>ジュウギョウイン</t>
    </rPh>
    <phoneticPr fontId="2"/>
  </si>
  <si>
    <t>GSSAの打ち合わせを行う。DOE大渡さん、LP三角。</t>
    <rPh sb="5" eb="6">
      <t>ウ</t>
    </rPh>
    <rPh sb="7" eb="8">
      <t>ア</t>
    </rPh>
    <rPh sb="11" eb="12">
      <t>オコナ</t>
    </rPh>
    <rPh sb="17" eb="19">
      <t>オオワタリ</t>
    </rPh>
    <rPh sb="24" eb="26">
      <t>ミスミ</t>
    </rPh>
    <phoneticPr fontId="2"/>
  </si>
  <si>
    <t>SSA1.1、SSA2.4、SSA4.3、SSA3.5、SSA6.4の資料整備を行う。進捗度36.7％ 18/49</t>
    <rPh sb="35" eb="37">
      <t>シリョウ</t>
    </rPh>
    <rPh sb="37" eb="39">
      <t>セイビ</t>
    </rPh>
    <rPh sb="40" eb="41">
      <t>オコナ</t>
    </rPh>
    <rPh sb="43" eb="45">
      <t>シンチョク</t>
    </rPh>
    <rPh sb="45" eb="46">
      <t>ド</t>
    </rPh>
    <phoneticPr fontId="2"/>
  </si>
  <si>
    <t>メール室確認。郵便物17通、仕分け実施済み。</t>
    <rPh sb="3" eb="4">
      <t>シツ</t>
    </rPh>
    <rPh sb="4" eb="6">
      <t>カクニン</t>
    </rPh>
    <rPh sb="7" eb="10">
      <t>ユウビンブツ</t>
    </rPh>
    <rPh sb="12" eb="13">
      <t>ツウ</t>
    </rPh>
    <rPh sb="14" eb="16">
      <t>シワ</t>
    </rPh>
    <rPh sb="17" eb="19">
      <t>ジッシ</t>
    </rPh>
    <rPh sb="19" eb="20">
      <t>ズ</t>
    </rPh>
    <phoneticPr fontId="2"/>
  </si>
  <si>
    <t>ENG定例ミーティング参加。DOE大渡さん、EC直美さん、ENG高橋さん、LP三角。</t>
    <rPh sb="3" eb="5">
      <t>テイレイ</t>
    </rPh>
    <rPh sb="11" eb="13">
      <t>サンカ</t>
    </rPh>
    <rPh sb="17" eb="19">
      <t>オオワタリ</t>
    </rPh>
    <rPh sb="24" eb="26">
      <t>ナオミ</t>
    </rPh>
    <rPh sb="32" eb="34">
      <t>タカハシ</t>
    </rPh>
    <rPh sb="39" eb="41">
      <t>ミスミ</t>
    </rPh>
    <phoneticPr fontId="2"/>
  </si>
  <si>
    <t>メール室確認。郵便物無し。</t>
    <phoneticPr fontId="2"/>
  </si>
  <si>
    <t>FB アンドレアさんCCTV閲覧。5/31にBAR利用ゲストの紛失したサングラス確認の為。</t>
    <rPh sb="14" eb="16">
      <t>エツラン</t>
    </rPh>
    <rPh sb="25" eb="27">
      <t>リヨウ</t>
    </rPh>
    <rPh sb="40" eb="42">
      <t>カクニン</t>
    </rPh>
    <rPh sb="43" eb="44">
      <t>タメ</t>
    </rPh>
    <phoneticPr fontId="2"/>
  </si>
  <si>
    <t>Duty福波さんからITVでゲストの動向確認依頼あり。客室4208、4209へ入室するのを確認。</t>
    <rPh sb="4" eb="6">
      <t>フクナミ</t>
    </rPh>
    <rPh sb="18" eb="20">
      <t>ドウコウ</t>
    </rPh>
    <rPh sb="20" eb="22">
      <t>カクニン</t>
    </rPh>
    <rPh sb="22" eb="24">
      <t>イライ</t>
    </rPh>
    <rPh sb="27" eb="29">
      <t>キャクシツ</t>
    </rPh>
    <rPh sb="39" eb="41">
      <t>ニュウシツ</t>
    </rPh>
    <rPh sb="45" eb="47">
      <t>カクニン</t>
    </rPh>
    <phoneticPr fontId="2"/>
  </si>
  <si>
    <t>SSA3.4の資料整備を行う。進捗度38.8％ 21/49</t>
    <rPh sb="7" eb="9">
      <t>シリョウ</t>
    </rPh>
    <rPh sb="9" eb="11">
      <t>セイビ</t>
    </rPh>
    <rPh sb="12" eb="13">
      <t>オコナ</t>
    </rPh>
    <rPh sb="15" eb="17">
      <t>シンチョク</t>
    </rPh>
    <rPh sb="17" eb="18">
      <t>ド</t>
    </rPh>
    <phoneticPr fontId="2"/>
  </si>
  <si>
    <t>セキュリティカード 2254 をNASHIに権限変更を行う。</t>
    <rPh sb="22" eb="24">
      <t>ケンゲン</t>
    </rPh>
    <rPh sb="24" eb="26">
      <t>ヘンコウ</t>
    </rPh>
    <rPh sb="27" eb="28">
      <t>オコナ</t>
    </rPh>
    <phoneticPr fontId="2"/>
  </si>
  <si>
    <t>45階ルーフトップテラス1</t>
    <rPh sb="2" eb="3">
      <t>カイ</t>
    </rPh>
    <phoneticPr fontId="2"/>
  </si>
  <si>
    <t>45階ルーフトップテラス2</t>
    <rPh sb="2" eb="3">
      <t>カイ</t>
    </rPh>
    <phoneticPr fontId="2"/>
  </si>
  <si>
    <t>45階屋外ストレージ2</t>
    <rPh sb="2" eb="3">
      <t>カイ</t>
    </rPh>
    <rPh sb="3" eb="5">
      <t>オクガイ</t>
    </rPh>
    <phoneticPr fontId="2"/>
  </si>
  <si>
    <t>No</t>
  </si>
  <si>
    <t>入退室管理設備 システム異常。DVDドライブ異常　データ自動バックアップ失敗。</t>
    <rPh sb="0" eb="5">
      <t>ニュウタイシツカンリ</t>
    </rPh>
    <rPh sb="5" eb="7">
      <t>セツビ</t>
    </rPh>
    <rPh sb="12" eb="14">
      <t>イジョウ</t>
    </rPh>
    <rPh sb="22" eb="24">
      <t>イジョウ</t>
    </rPh>
    <rPh sb="28" eb="30">
      <t>ジドウ</t>
    </rPh>
    <rPh sb="36" eb="38">
      <t>シッパイ</t>
    </rPh>
    <phoneticPr fontId="2"/>
  </si>
  <si>
    <t>F&amp;S オリエンテーションの実施。DOE大渡さん、LP三角。</t>
    <rPh sb="14" eb="16">
      <t>ジッシ</t>
    </rPh>
    <rPh sb="20" eb="22">
      <t>オオワタリ</t>
    </rPh>
    <rPh sb="27" eb="29">
      <t>ミスミ</t>
    </rPh>
    <phoneticPr fontId="2"/>
  </si>
  <si>
    <t>メール室確認。郵便物18通、仕分け実施済み。</t>
    <rPh sb="3" eb="4">
      <t>シツ</t>
    </rPh>
    <rPh sb="4" eb="6">
      <t>カクニン</t>
    </rPh>
    <rPh sb="7" eb="10">
      <t>ユウビンブツ</t>
    </rPh>
    <rPh sb="12" eb="13">
      <t>ツウ</t>
    </rPh>
    <rPh sb="14" eb="16">
      <t>シワ</t>
    </rPh>
    <rPh sb="17" eb="19">
      <t>ジッシ</t>
    </rPh>
    <rPh sb="19" eb="20">
      <t>ズ</t>
    </rPh>
    <phoneticPr fontId="2"/>
  </si>
  <si>
    <t>5/8非常誘導灯（通路誘導灯）客室4412号室付近　不点灯。は交換済み。</t>
    <rPh sb="31" eb="33">
      <t>コウカン</t>
    </rPh>
    <rPh sb="33" eb="34">
      <t>ズ</t>
    </rPh>
    <phoneticPr fontId="2"/>
  </si>
  <si>
    <t>5/19非常誘導灯（通路誘導灯）客室4221号室付近　不点灯。は交換済み。</t>
    <phoneticPr fontId="2"/>
  </si>
  <si>
    <t>ボールルーム１・２・３、テラスルーム、異臭無し。</t>
  </si>
  <si>
    <t>メール室確認。郵便物27通、仕分け実施済み。</t>
    <rPh sb="3" eb="4">
      <t>シツ</t>
    </rPh>
    <rPh sb="4" eb="6">
      <t>カクニン</t>
    </rPh>
    <rPh sb="7" eb="10">
      <t>ユウビンブツ</t>
    </rPh>
    <rPh sb="12" eb="13">
      <t>ツウ</t>
    </rPh>
    <rPh sb="14" eb="16">
      <t>シワ</t>
    </rPh>
    <rPh sb="17" eb="19">
      <t>ジッシ</t>
    </rPh>
    <rPh sb="19" eb="20">
      <t>ズ</t>
    </rPh>
    <phoneticPr fontId="2"/>
  </si>
  <si>
    <t>客室対応（4105号室）。GE森本さんより、13:00チェックアウト予定のゲストが客室内に</t>
    <phoneticPr fontId="2"/>
  </si>
  <si>
    <t>滞在している為、チェックアウト催促の立会依頼あり。</t>
    <rPh sb="15" eb="17">
      <t>サイソク</t>
    </rPh>
    <phoneticPr fontId="2"/>
  </si>
  <si>
    <t>LP松葉及びCon管さんと合流し客室へ向かう。</t>
    <rPh sb="2" eb="4">
      <t>マツバ</t>
    </rPh>
    <rPh sb="9" eb="10">
      <t>カン</t>
    </rPh>
    <phoneticPr fontId="2"/>
  </si>
  <si>
    <t>ゲストとコンタクトを取り、チェックアウトを促したところ了承を得た。</t>
    <phoneticPr fontId="2"/>
  </si>
  <si>
    <t>テラス巡回実施。台風による植栽、家具等異常無し。</t>
    <rPh sb="3" eb="5">
      <t>ジュンカイ</t>
    </rPh>
    <rPh sb="5" eb="7">
      <t>ジッシ</t>
    </rPh>
    <rPh sb="8" eb="10">
      <t>タイフウ</t>
    </rPh>
    <rPh sb="13" eb="15">
      <t>ショクサイ</t>
    </rPh>
    <rPh sb="16" eb="19">
      <t>カグトウ</t>
    </rPh>
    <rPh sb="19" eb="22">
      <t>イジョウナ</t>
    </rPh>
    <phoneticPr fontId="2"/>
  </si>
  <si>
    <t>光電アナログ注意発報（41階7区36番4108号室）ゲストが戸を開けたまま入浴した為。</t>
    <rPh sb="0" eb="2">
      <t>コウデン</t>
    </rPh>
    <rPh sb="6" eb="8">
      <t>チュウイ</t>
    </rPh>
    <rPh sb="8" eb="10">
      <t>ハッポウ</t>
    </rPh>
    <rPh sb="13" eb="14">
      <t>カイ</t>
    </rPh>
    <rPh sb="15" eb="16">
      <t>ク</t>
    </rPh>
    <rPh sb="18" eb="19">
      <t>バン</t>
    </rPh>
    <rPh sb="23" eb="24">
      <t>ゴウ</t>
    </rPh>
    <rPh sb="24" eb="25">
      <t>シツ</t>
    </rPh>
    <rPh sb="30" eb="31">
      <t>ト</t>
    </rPh>
    <rPh sb="32" eb="33">
      <t>ア</t>
    </rPh>
    <rPh sb="37" eb="39">
      <t>ニュウヨク</t>
    </rPh>
    <rPh sb="41" eb="42">
      <t>タメ</t>
    </rPh>
    <phoneticPr fontId="2"/>
  </si>
  <si>
    <t>注意回復。　DM大庭さんが電話により状況確認。</t>
    <rPh sb="0" eb="2">
      <t>チュウイ</t>
    </rPh>
    <rPh sb="2" eb="4">
      <t>カイフク</t>
    </rPh>
    <rPh sb="8" eb="10">
      <t>オオバ</t>
    </rPh>
    <rPh sb="13" eb="15">
      <t>デンワ</t>
    </rPh>
    <rPh sb="18" eb="20">
      <t>ジョウキョウ</t>
    </rPh>
    <rPh sb="20" eb="22">
      <t>カクニン</t>
    </rPh>
    <phoneticPr fontId="2"/>
  </si>
  <si>
    <t>防災センターヒグチさん、ENG江木さんへ共有済み。 非火災</t>
    <rPh sb="0" eb="2">
      <t>ボウサイ</t>
    </rPh>
    <rPh sb="15" eb="17">
      <t>エギ</t>
    </rPh>
    <rPh sb="20" eb="23">
      <t>キョウユウズ</t>
    </rPh>
    <rPh sb="26" eb="29">
      <t>ヒカサイ</t>
    </rPh>
    <phoneticPr fontId="2"/>
  </si>
  <si>
    <t>40階風除室4</t>
    <rPh sb="2" eb="3">
      <t>カイ</t>
    </rPh>
    <rPh sb="3" eb="6">
      <t>フウジョシツ</t>
    </rPh>
    <phoneticPr fontId="2"/>
  </si>
  <si>
    <t>40階ジム</t>
    <rPh sb="2" eb="3">
      <t>カイ</t>
    </rPh>
    <phoneticPr fontId="2"/>
  </si>
  <si>
    <t>40階風除室7</t>
    <rPh sb="2" eb="3">
      <t>カイ</t>
    </rPh>
    <phoneticPr fontId="2"/>
  </si>
  <si>
    <t>40階白洋舎1ヵ所</t>
    <rPh sb="2" eb="3">
      <t>カイ</t>
    </rPh>
    <rPh sb="3" eb="6">
      <t>ハクヨウシャ</t>
    </rPh>
    <rPh sb="8" eb="9">
      <t>ショ</t>
    </rPh>
    <phoneticPr fontId="2"/>
  </si>
  <si>
    <t>メール室確認。郵便物19通、仕分け実施済み。</t>
    <rPh sb="3" eb="4">
      <t>シツ</t>
    </rPh>
    <rPh sb="4" eb="6">
      <t>カクニン</t>
    </rPh>
    <rPh sb="7" eb="10">
      <t>ユウビンブツ</t>
    </rPh>
    <rPh sb="12" eb="13">
      <t>ツウ</t>
    </rPh>
    <rPh sb="14" eb="16">
      <t>シワ</t>
    </rPh>
    <rPh sb="17" eb="19">
      <t>ジッシ</t>
    </rPh>
    <rPh sb="19" eb="20">
      <t>ズ</t>
    </rPh>
    <phoneticPr fontId="2"/>
  </si>
  <si>
    <t>消防訓練打合せ実施。DOE大渡さん及びLP三角にて訓練内容、実施スケジュール等を確認。</t>
    <rPh sb="0" eb="2">
      <t>ショウボウ</t>
    </rPh>
    <rPh sb="2" eb="4">
      <t>クンレン</t>
    </rPh>
    <rPh sb="4" eb="6">
      <t>ウチアワ</t>
    </rPh>
    <rPh sb="7" eb="9">
      <t>ジッシ</t>
    </rPh>
    <rPh sb="13" eb="15">
      <t>オオワタリ</t>
    </rPh>
    <rPh sb="17" eb="18">
      <t>オヨ</t>
    </rPh>
    <rPh sb="21" eb="23">
      <t>ミスミ</t>
    </rPh>
    <rPh sb="25" eb="27">
      <t>クンレン</t>
    </rPh>
    <rPh sb="27" eb="29">
      <t>ナイヨウ</t>
    </rPh>
    <rPh sb="30" eb="32">
      <t>ジッシ</t>
    </rPh>
    <rPh sb="38" eb="39">
      <t>トウ</t>
    </rPh>
    <rPh sb="40" eb="42">
      <t>カクニン</t>
    </rPh>
    <phoneticPr fontId="2"/>
  </si>
  <si>
    <t>ENGオフィス レイアウト変更に伴う第一期施工実施。配線移設及びキャビ移動作業を実施。</t>
    <phoneticPr fontId="2"/>
  </si>
  <si>
    <t>緊急呼出発報(40F レストランWC2) 清掃スタッフが清掃中に誤って接触した為。</t>
    <rPh sb="0" eb="6">
      <t>キンキュウヨビダシハッポウ</t>
    </rPh>
    <rPh sb="21" eb="23">
      <t>セイソウ</t>
    </rPh>
    <rPh sb="28" eb="31">
      <t>セイソウチュウ</t>
    </rPh>
    <rPh sb="32" eb="33">
      <t>アヤマ</t>
    </rPh>
    <rPh sb="35" eb="37">
      <t>セッショク</t>
    </rPh>
    <rPh sb="39" eb="40">
      <t>タメ</t>
    </rPh>
    <phoneticPr fontId="2"/>
  </si>
  <si>
    <t>SNBスタッフ サンさんが清掃中に気付かないうちに誤って接触していた。</t>
    <rPh sb="13" eb="16">
      <t>セイソウチュウ</t>
    </rPh>
    <rPh sb="17" eb="19">
      <t>キヅ</t>
    </rPh>
    <rPh sb="25" eb="26">
      <t>アヤマ</t>
    </rPh>
    <rPh sb="28" eb="30">
      <t>セッショク</t>
    </rPh>
    <phoneticPr fontId="2"/>
  </si>
  <si>
    <t>LP片山とENG上間さんで現場確認実施。異常無しを確認し、復旧させた。</t>
    <rPh sb="2" eb="4">
      <t>カタヤマ</t>
    </rPh>
    <rPh sb="8" eb="10">
      <t>ウエマ</t>
    </rPh>
    <rPh sb="13" eb="17">
      <t>ゲンバカクニン</t>
    </rPh>
    <rPh sb="17" eb="19">
      <t>ジッシ</t>
    </rPh>
    <rPh sb="20" eb="23">
      <t>イジョウナ</t>
    </rPh>
    <rPh sb="25" eb="27">
      <t>カクニン</t>
    </rPh>
    <rPh sb="29" eb="31">
      <t>フッキュウ</t>
    </rPh>
    <phoneticPr fontId="2"/>
  </si>
  <si>
    <t>HSP1-ELVにてエレベーター呼出。外来ゲストが帰路が分からず迷い込んだ為。</t>
    <rPh sb="16" eb="18">
      <t>ヨビダシ</t>
    </rPh>
    <rPh sb="19" eb="21">
      <t>ガイライ</t>
    </rPh>
    <rPh sb="25" eb="27">
      <t>キロ</t>
    </rPh>
    <rPh sb="28" eb="29">
      <t>ワ</t>
    </rPh>
    <rPh sb="32" eb="33">
      <t>マヨ</t>
    </rPh>
    <rPh sb="34" eb="35">
      <t>コ</t>
    </rPh>
    <rPh sb="37" eb="38">
      <t>タメ</t>
    </rPh>
    <phoneticPr fontId="2"/>
  </si>
  <si>
    <t>44階より退館しようとしたが、誤ってSPA用エレベーターへ乗車し、客室カードキーを</t>
    <phoneticPr fontId="2"/>
  </si>
  <si>
    <t>所持していなかったことから呼出ボタンを押下。</t>
    <phoneticPr fontId="2"/>
  </si>
  <si>
    <t>ゲストへ状況確認を実施し、その場で待機するよう案内。</t>
    <phoneticPr fontId="2"/>
  </si>
  <si>
    <t>45階ルーフトップテラス１</t>
    <rPh sb="2" eb="3">
      <t>カイ</t>
    </rPh>
    <phoneticPr fontId="2"/>
  </si>
  <si>
    <t>FD矢野さんへ対応依頼し、Duty大庭さんが現地対応の上、1階まで案内実施。</t>
    <phoneticPr fontId="2"/>
  </si>
  <si>
    <t>45階ルーフトップテラス２</t>
    <rPh sb="2" eb="3">
      <t>カイ</t>
    </rPh>
    <phoneticPr fontId="2"/>
  </si>
  <si>
    <t>LP片山が現地確認し、エレベーター内異常無し。</t>
    <phoneticPr fontId="2"/>
  </si>
  <si>
    <t>45階風除室２</t>
    <rPh sb="2" eb="3">
      <t>カイ</t>
    </rPh>
    <rPh sb="3" eb="6">
      <t>フウジョシツ</t>
    </rPh>
    <phoneticPr fontId="2"/>
  </si>
  <si>
    <t>39階オフィス</t>
    <rPh sb="2" eb="3">
      <t>カイ</t>
    </rPh>
    <phoneticPr fontId="2"/>
  </si>
  <si>
    <t>39階カフェテリアキッチン</t>
    <rPh sb="2" eb="3">
      <t>カイ</t>
    </rPh>
    <phoneticPr fontId="2"/>
  </si>
  <si>
    <t>45階屋外ストレージ２</t>
    <phoneticPr fontId="2"/>
  </si>
  <si>
    <t>クレジットカード決済端末点検実施。対象22台中8台の点検を実施。（達成率36.4％）</t>
    <phoneticPr fontId="2"/>
  </si>
  <si>
    <t>1階前室6 自動扉 解錠。宴会イベントに伴う前倒し解錠対応依頼。</t>
    <rPh sb="1" eb="2">
      <t>カイ</t>
    </rPh>
    <rPh sb="2" eb="4">
      <t>ゼンシツ</t>
    </rPh>
    <rPh sb="6" eb="9">
      <t>ジドウトビラ</t>
    </rPh>
    <rPh sb="10" eb="12">
      <t>カイジョウ</t>
    </rPh>
    <rPh sb="13" eb="15">
      <t>エンカイ</t>
    </rPh>
    <rPh sb="20" eb="21">
      <t>トモナ</t>
    </rPh>
    <rPh sb="22" eb="24">
      <t>マエダオ</t>
    </rPh>
    <rPh sb="25" eb="27">
      <t>カイジョウ</t>
    </rPh>
    <rPh sb="27" eb="29">
      <t>タイオウ</t>
    </rPh>
    <rPh sb="29" eb="31">
      <t>イライ</t>
    </rPh>
    <phoneticPr fontId="2"/>
  </si>
  <si>
    <t>セキュリティカード新規発行届に伴うカード発行手続きを4件行う。</t>
    <rPh sb="9" eb="13">
      <t>シンキハッコウ</t>
    </rPh>
    <rPh sb="13" eb="14">
      <t>トドケ</t>
    </rPh>
    <rPh sb="15" eb="16">
      <t>トモナ</t>
    </rPh>
    <rPh sb="20" eb="22">
      <t>ハッコウ</t>
    </rPh>
    <rPh sb="22" eb="24">
      <t>テツヅ</t>
    </rPh>
    <rPh sb="27" eb="28">
      <t>ケン</t>
    </rPh>
    <rPh sb="28" eb="29">
      <t>オコナ</t>
    </rPh>
    <phoneticPr fontId="2"/>
  </si>
  <si>
    <t>救急対応（SPA）SPA水谷さんより、SPA利用ゲストがケガをしたとの連絡あり。</t>
    <phoneticPr fontId="2"/>
  </si>
  <si>
    <t>LP三角にて救急要請実施。2階防災センターへ受入要請し、ENG及びGSへ共有。</t>
    <rPh sb="0" eb="2">
      <t>キョウユウ</t>
    </rPh>
    <phoneticPr fontId="2"/>
  </si>
  <si>
    <t>現場でのLP対応は不要との事でENG山中さんとLP木村は現場離脱、</t>
    <rPh sb="0" eb="2">
      <t>ゲンバ</t>
    </rPh>
    <rPh sb="6" eb="8">
      <t>タイオウ</t>
    </rPh>
    <rPh sb="9" eb="11">
      <t>フヨウ</t>
    </rPh>
    <rPh sb="13" eb="14">
      <t>コト</t>
    </rPh>
    <rPh sb="18" eb="20">
      <t>ヤマナカ</t>
    </rPh>
    <rPh sb="25" eb="27">
      <t>キムラ</t>
    </rPh>
    <rPh sb="28" eb="32">
      <t>ゲンバリダツ</t>
    </rPh>
    <phoneticPr fontId="2"/>
  </si>
  <si>
    <t>LP木村は救急車受入れの為１階にて待機。救急車到着。</t>
    <rPh sb="20" eb="23">
      <t>キュウキュウシャ</t>
    </rPh>
    <rPh sb="23" eb="25">
      <t>トウチャク</t>
    </rPh>
    <phoneticPr fontId="2"/>
  </si>
  <si>
    <t>救急車出庫。搬送先：日本大学病院。</t>
    <rPh sb="0" eb="3">
      <t>キュウキュウシャ</t>
    </rPh>
    <rPh sb="3" eb="5">
      <t>シュッコ</t>
    </rPh>
    <rPh sb="6" eb="9">
      <t>ハンソウサキ</t>
    </rPh>
    <rPh sb="10" eb="12">
      <t>ニホン</t>
    </rPh>
    <rPh sb="12" eb="14">
      <t>ダイガク</t>
    </rPh>
    <rPh sb="14" eb="16">
      <t>ビョウイン</t>
    </rPh>
    <phoneticPr fontId="2"/>
  </si>
  <si>
    <t>傷病者情報　</t>
    <rPh sb="0" eb="3">
      <t>ショウビョウシャ</t>
    </rPh>
    <rPh sb="3" eb="5">
      <t>ジョウホウ</t>
    </rPh>
    <phoneticPr fontId="2"/>
  </si>
  <si>
    <t>ドイツ人男性（11歳）がBox Jumpトレーニング中に誤って着地し、両手首を負傷。</t>
    <phoneticPr fontId="2"/>
  </si>
  <si>
    <t>セキュリティカード2206，2226，2408に権限登録を行う。</t>
    <rPh sb="24" eb="26">
      <t>ケンゲン</t>
    </rPh>
    <rPh sb="26" eb="28">
      <t>トウロク</t>
    </rPh>
    <rPh sb="29" eb="30">
      <t>オコナ</t>
    </rPh>
    <phoneticPr fontId="2"/>
  </si>
  <si>
    <t>セキュリティカード2254に権限登録と個別権限付与を行う。</t>
    <rPh sb="14" eb="16">
      <t>ケンゲン</t>
    </rPh>
    <rPh sb="16" eb="18">
      <t>トウロク</t>
    </rPh>
    <rPh sb="19" eb="25">
      <t>コベツケンゲンフヨ</t>
    </rPh>
    <rPh sb="26" eb="27">
      <t>オコナ</t>
    </rPh>
    <phoneticPr fontId="2"/>
  </si>
  <si>
    <t>40Fラウンジにて日本人女性が体調不良ということでCon清水さんから連絡あり。</t>
    <rPh sb="9" eb="14">
      <t>ニホンジンジョセイ</t>
    </rPh>
    <rPh sb="15" eb="19">
      <t>タイチョウフリョウ</t>
    </rPh>
    <rPh sb="28" eb="30">
      <t>シミズ</t>
    </rPh>
    <rPh sb="34" eb="36">
      <t>レンラク</t>
    </rPh>
    <phoneticPr fontId="2"/>
  </si>
  <si>
    <t>山本現着。現場スタッフから一旦様子見でとの事で現場対応を終了する。</t>
    <rPh sb="0" eb="4">
      <t>ヤマモトゲンチャク</t>
    </rPh>
    <rPh sb="5" eb="7">
      <t>ゲンバ</t>
    </rPh>
    <rPh sb="13" eb="15">
      <t>イッタン</t>
    </rPh>
    <rPh sb="15" eb="18">
      <t>ヨウスミ</t>
    </rPh>
    <rPh sb="21" eb="22">
      <t>コト</t>
    </rPh>
    <rPh sb="23" eb="25">
      <t>ゲンバ</t>
    </rPh>
    <rPh sb="25" eb="27">
      <t>タイオウ</t>
    </rPh>
    <rPh sb="28" eb="30">
      <t>シュウリョウ</t>
    </rPh>
    <phoneticPr fontId="2"/>
  </si>
  <si>
    <t>HL-01ELVにてエレベーター呼出。ゲストが誤って接触した為。</t>
    <rPh sb="16" eb="18">
      <t>ヨビダシ</t>
    </rPh>
    <rPh sb="23" eb="24">
      <t>アヤマ</t>
    </rPh>
    <rPh sb="26" eb="28">
      <t>セッショク</t>
    </rPh>
    <rPh sb="30" eb="31">
      <t>タメ</t>
    </rPh>
    <phoneticPr fontId="2"/>
  </si>
  <si>
    <t>メール室確認。郵便物1通。（HR宛）</t>
    <rPh sb="3" eb="4">
      <t>シツ</t>
    </rPh>
    <rPh sb="4" eb="6">
      <t>カクニン</t>
    </rPh>
    <rPh sb="7" eb="10">
      <t>ユウビンブツ</t>
    </rPh>
    <rPh sb="11" eb="12">
      <t>ツウ</t>
    </rPh>
    <rPh sb="16" eb="17">
      <t>アテ</t>
    </rPh>
    <phoneticPr fontId="2"/>
  </si>
  <si>
    <t>緊急呼出発報（客室4110号室）ゲストによる押し間違い。</t>
    <rPh sb="0" eb="4">
      <t>キンキュウヨビダシ</t>
    </rPh>
    <rPh sb="4" eb="6">
      <t>ハッポウ</t>
    </rPh>
    <rPh sb="7" eb="9">
      <t>キャクシツ</t>
    </rPh>
    <rPh sb="13" eb="15">
      <t>ゴウシツ</t>
    </rPh>
    <rPh sb="22" eb="23">
      <t>オ</t>
    </rPh>
    <rPh sb="24" eb="26">
      <t>マチガ</t>
    </rPh>
    <phoneticPr fontId="2"/>
  </si>
  <si>
    <t>Duty福浪さんがゲストとコンタクトを取り押し間違いと判明し復旧させた。ENG共有済み</t>
    <rPh sb="4" eb="6">
      <t>フクナミ</t>
    </rPh>
    <rPh sb="19" eb="20">
      <t>ト</t>
    </rPh>
    <rPh sb="21" eb="22">
      <t>オ</t>
    </rPh>
    <rPh sb="23" eb="25">
      <t>マチガ</t>
    </rPh>
    <rPh sb="27" eb="29">
      <t>ハンメイ</t>
    </rPh>
    <rPh sb="30" eb="32">
      <t>フッキュウ</t>
    </rPh>
    <rPh sb="39" eb="41">
      <t>キョウユウ</t>
    </rPh>
    <rPh sb="41" eb="42">
      <t>ズ</t>
    </rPh>
    <phoneticPr fontId="2"/>
  </si>
  <si>
    <t>LP定例教育実施。See Something, Say Somethingについて教育実施。</t>
    <phoneticPr fontId="2"/>
  </si>
  <si>
    <t>LP定例教育実施。副防災盤 発報対応の基本について教育実施。</t>
    <rPh sb="9" eb="13">
      <t>フクボウサイバン</t>
    </rPh>
    <rPh sb="14" eb="18">
      <t>ハッポウタイオウ</t>
    </rPh>
    <rPh sb="19" eb="21">
      <t>キホン</t>
    </rPh>
    <phoneticPr fontId="2"/>
  </si>
  <si>
    <t>LP定例教育実施。警備日報の記載方法について教育実施。</t>
    <rPh sb="9" eb="11">
      <t>ケイビ</t>
    </rPh>
    <rPh sb="11" eb="13">
      <t>ニッポウ</t>
    </rPh>
    <rPh sb="14" eb="18">
      <t>キサイホウホウ</t>
    </rPh>
    <phoneticPr fontId="2"/>
  </si>
  <si>
    <t>パニックアラームテスト実施 40F SPA 11ヵ所　異常なし。</t>
    <rPh sb="11" eb="13">
      <t>ジッシ</t>
    </rPh>
    <rPh sb="25" eb="26">
      <t>ショ</t>
    </rPh>
    <rPh sb="27" eb="29">
      <t>イジョウ</t>
    </rPh>
    <phoneticPr fontId="2"/>
  </si>
  <si>
    <t>パニックアラームテスト実施 41F SPA TR 5ヵ所　異常なし。</t>
    <rPh sb="11" eb="13">
      <t>ジッシ</t>
    </rPh>
    <rPh sb="27" eb="28">
      <t>ショ</t>
    </rPh>
    <rPh sb="29" eb="31">
      <t>イジョウ</t>
    </rPh>
    <phoneticPr fontId="2"/>
  </si>
  <si>
    <t>メール室確認。郵便物なし。</t>
    <rPh sb="3" eb="4">
      <t>シツ</t>
    </rPh>
    <rPh sb="4" eb="6">
      <t>カクニン</t>
    </rPh>
    <rPh sb="7" eb="10">
      <t>ユウビンブツ</t>
    </rPh>
    <phoneticPr fontId="2"/>
  </si>
  <si>
    <t>パニックアラームテスト実施。40F WCF 6ヵ所 HWC 1ヵ所　異常なし。</t>
    <rPh sb="11" eb="13">
      <t>ジッシ</t>
    </rPh>
    <rPh sb="24" eb="25">
      <t>ショ</t>
    </rPh>
    <rPh sb="32" eb="33">
      <t>ショ</t>
    </rPh>
    <rPh sb="34" eb="36">
      <t>イジョウ</t>
    </rPh>
    <phoneticPr fontId="2"/>
  </si>
  <si>
    <t>パニックアラームテスト実施。45F BAR WC 3ヵ所 　異常なし。</t>
    <rPh sb="11" eb="13">
      <t>ジッシ</t>
    </rPh>
    <rPh sb="27" eb="28">
      <t>ショ</t>
    </rPh>
    <rPh sb="30" eb="32">
      <t>イジョウ</t>
    </rPh>
    <phoneticPr fontId="2"/>
  </si>
  <si>
    <t>拾得物届出あり。（財布 現金12,000円）配膳会堀内さん、拾得者 CSS塩谷さん。</t>
    <rPh sb="0" eb="3">
      <t>シュウトクブツ</t>
    </rPh>
    <rPh sb="3" eb="5">
      <t>トドケデ</t>
    </rPh>
    <rPh sb="9" eb="11">
      <t>サイフ</t>
    </rPh>
    <rPh sb="12" eb="14">
      <t>ゲンキン</t>
    </rPh>
    <rPh sb="20" eb="21">
      <t>エン</t>
    </rPh>
    <rPh sb="22" eb="25">
      <t>ハイゼンカイ</t>
    </rPh>
    <rPh sb="25" eb="27">
      <t>ホリウチ</t>
    </rPh>
    <rPh sb="30" eb="32">
      <t>シュウトク</t>
    </rPh>
    <rPh sb="32" eb="33">
      <t>シャ</t>
    </rPh>
    <rPh sb="37" eb="39">
      <t>シオヤ</t>
    </rPh>
    <phoneticPr fontId="2"/>
  </si>
  <si>
    <t>免許証にて氏名、生年月日による本人確認実施し、本人へ返却済み。</t>
    <rPh sb="0" eb="3">
      <t>メンキョショウ</t>
    </rPh>
    <rPh sb="5" eb="7">
      <t>シメイ</t>
    </rPh>
    <rPh sb="8" eb="12">
      <t>セイネンガッピ</t>
    </rPh>
    <rPh sb="15" eb="19">
      <t>ホンニンカクニン</t>
    </rPh>
    <rPh sb="19" eb="21">
      <t>ジッシ</t>
    </rPh>
    <rPh sb="23" eb="25">
      <t>ホンニン</t>
    </rPh>
    <rPh sb="26" eb="29">
      <t>ヘンキャクズ</t>
    </rPh>
    <phoneticPr fontId="2"/>
  </si>
  <si>
    <t>メール室確認。郵便物13通、仕分け実施済み。</t>
    <rPh sb="3" eb="4">
      <t>シツ</t>
    </rPh>
    <rPh sb="4" eb="6">
      <t>カクニン</t>
    </rPh>
    <rPh sb="7" eb="10">
      <t>ユウビンブツ</t>
    </rPh>
    <rPh sb="12" eb="13">
      <t>ツウ</t>
    </rPh>
    <rPh sb="14" eb="16">
      <t>シワ</t>
    </rPh>
    <rPh sb="17" eb="19">
      <t>ジッシ</t>
    </rPh>
    <rPh sb="19" eb="20">
      <t>ズ</t>
    </rPh>
    <phoneticPr fontId="2"/>
  </si>
  <si>
    <t>職場体験学習に伴う、立会、案内を行う。EC直美さん、ENG高橋さん、LP三角。</t>
    <rPh sb="0" eb="2">
      <t>ショクバ</t>
    </rPh>
    <rPh sb="2" eb="6">
      <t>タイケンガクシュウ</t>
    </rPh>
    <rPh sb="7" eb="8">
      <t>トモナ</t>
    </rPh>
    <rPh sb="10" eb="12">
      <t>タチアイ</t>
    </rPh>
    <rPh sb="13" eb="15">
      <t>アンナイ</t>
    </rPh>
    <rPh sb="16" eb="17">
      <t>オコナ</t>
    </rPh>
    <rPh sb="21" eb="23">
      <t>ナオミ</t>
    </rPh>
    <rPh sb="29" eb="31">
      <t>タカハシ</t>
    </rPh>
    <rPh sb="36" eb="38">
      <t>ミスミ</t>
    </rPh>
    <phoneticPr fontId="2"/>
  </si>
  <si>
    <t>客室カードキーについての打ち合わせを行う。DOE大渡さん、LP三角。</t>
    <rPh sb="0" eb="2">
      <t>キャクシツ</t>
    </rPh>
    <rPh sb="12" eb="13">
      <t>ウ</t>
    </rPh>
    <rPh sb="14" eb="15">
      <t>ア</t>
    </rPh>
    <rPh sb="18" eb="19">
      <t>オコナ</t>
    </rPh>
    <rPh sb="24" eb="26">
      <t>オオワタリ</t>
    </rPh>
    <rPh sb="31" eb="33">
      <t>ミスミ</t>
    </rPh>
    <phoneticPr fontId="2"/>
  </si>
  <si>
    <t xml:space="preserve">ロッカーインスペクション実施。HR 渡部さん、LP藤井。11:10終了																													</t>
    <rPh sb="25" eb="27">
      <t>フジイ</t>
    </rPh>
    <rPh sb="33" eb="35">
      <t>シュウリョウ</t>
    </rPh>
    <phoneticPr fontId="2"/>
  </si>
  <si>
    <t>ITV確認実施。該当部屋4316　5/24　7：00～12：00　該当者なし</t>
    <rPh sb="3" eb="5">
      <t>カクニン</t>
    </rPh>
    <rPh sb="5" eb="7">
      <t>ジッシ</t>
    </rPh>
    <rPh sb="8" eb="10">
      <t>ガイトウ</t>
    </rPh>
    <rPh sb="10" eb="12">
      <t>ベヤ</t>
    </rPh>
    <rPh sb="33" eb="36">
      <t>ガイトウシャ</t>
    </rPh>
    <phoneticPr fontId="2"/>
  </si>
  <si>
    <t>SSAの資料整備を行う。進捗度48.97％ 24/49</t>
    <rPh sb="4" eb="6">
      <t>シリョウ</t>
    </rPh>
    <rPh sb="6" eb="8">
      <t>セイビ</t>
    </rPh>
    <rPh sb="9" eb="10">
      <t>オコナ</t>
    </rPh>
    <rPh sb="12" eb="14">
      <t>シンチョク</t>
    </rPh>
    <rPh sb="14" eb="15">
      <t>ド</t>
    </rPh>
    <phoneticPr fontId="2"/>
  </si>
  <si>
    <t>メール室確認。郵便物  1通、仕分け実施済み。</t>
    <rPh sb="3" eb="4">
      <t>シツ</t>
    </rPh>
    <rPh sb="4" eb="6">
      <t>カクニン</t>
    </rPh>
    <rPh sb="7" eb="10">
      <t>ユウビンブツ</t>
    </rPh>
    <rPh sb="13" eb="14">
      <t>ツウ</t>
    </rPh>
    <rPh sb="15" eb="17">
      <t>シワ</t>
    </rPh>
    <rPh sb="18" eb="20">
      <t>ジッシ</t>
    </rPh>
    <rPh sb="20" eb="21">
      <t>ズ</t>
    </rPh>
    <phoneticPr fontId="2"/>
  </si>
  <si>
    <t>配膳スタッフ男性（FINE）のリンテトコウさんが、配膳スタッフ用ロッカーの暗証</t>
    <rPh sb="0" eb="2">
      <t>ハイゼン</t>
    </rPh>
    <rPh sb="6" eb="8">
      <t>ダンセイ</t>
    </rPh>
    <rPh sb="25" eb="27">
      <t>ハイゼン</t>
    </rPh>
    <rPh sb="31" eb="32">
      <t>ヨウ</t>
    </rPh>
    <rPh sb="37" eb="39">
      <t>アンショウ</t>
    </rPh>
    <phoneticPr fontId="2"/>
  </si>
  <si>
    <t>番号が分からなくなり、LPOに解錠依頼あり。ご本人、LP石井、BQT真田さん</t>
    <rPh sb="0" eb="2">
      <t>バンゴウ</t>
    </rPh>
    <rPh sb="3" eb="4">
      <t>ワ</t>
    </rPh>
    <rPh sb="15" eb="17">
      <t>カイジョウ</t>
    </rPh>
    <rPh sb="17" eb="19">
      <t>イライ</t>
    </rPh>
    <rPh sb="23" eb="25">
      <t>ホンニン</t>
    </rPh>
    <rPh sb="28" eb="30">
      <t>イシイ</t>
    </rPh>
    <rPh sb="34" eb="36">
      <t>サナダ</t>
    </rPh>
    <phoneticPr fontId="2"/>
  </si>
  <si>
    <t>立会にて解錠を行う。</t>
    <rPh sb="0" eb="2">
      <t>タチアイ</t>
    </rPh>
    <rPh sb="4" eb="6">
      <t>カイジョウ</t>
    </rPh>
    <rPh sb="7" eb="8">
      <t>オコナ</t>
    </rPh>
    <phoneticPr fontId="2"/>
  </si>
  <si>
    <t>ITV確認実施。該当部屋4316　5/23　16：00～5/24　7：00　該当者なし</t>
    <rPh sb="3" eb="5">
      <t>カクニン</t>
    </rPh>
    <rPh sb="5" eb="7">
      <t>ジッシ</t>
    </rPh>
    <rPh sb="8" eb="10">
      <t>ガイトウ</t>
    </rPh>
    <rPh sb="10" eb="12">
      <t>ベヤ</t>
    </rPh>
    <rPh sb="38" eb="41">
      <t>ガイトウシャ</t>
    </rPh>
    <phoneticPr fontId="2"/>
  </si>
  <si>
    <t>45階屋外ストレージ2</t>
    <phoneticPr fontId="2"/>
  </si>
  <si>
    <t>サエグサ薬品による救急箱点検（補充交換作業）立会。10：55終了。LP三角</t>
    <rPh sb="35" eb="37">
      <t>ミスミ</t>
    </rPh>
    <phoneticPr fontId="2"/>
  </si>
  <si>
    <t>パナソニック防災 設備員によるシステム異常点検実施。　復旧済み</t>
    <rPh sb="6" eb="8">
      <t>ボウサイ</t>
    </rPh>
    <rPh sb="9" eb="12">
      <t>セツビイン</t>
    </rPh>
    <rPh sb="19" eb="21">
      <t>イジョウ</t>
    </rPh>
    <rPh sb="21" eb="23">
      <t>テンケン</t>
    </rPh>
    <rPh sb="23" eb="25">
      <t>ジッシ</t>
    </rPh>
    <rPh sb="27" eb="30">
      <t>フッキュウズ</t>
    </rPh>
    <phoneticPr fontId="2"/>
  </si>
  <si>
    <t>ITV確認実施。該当部屋4316の該当人物及び関係者の映像の確認を行う。</t>
    <rPh sb="3" eb="5">
      <t>カクニン</t>
    </rPh>
    <rPh sb="5" eb="7">
      <t>ジッシ</t>
    </rPh>
    <rPh sb="8" eb="12">
      <t>ガイトウベヤ</t>
    </rPh>
    <rPh sb="17" eb="21">
      <t>ガイトウジンブツ</t>
    </rPh>
    <rPh sb="21" eb="22">
      <t>オヨ</t>
    </rPh>
    <rPh sb="23" eb="26">
      <t>カンケイシャ</t>
    </rPh>
    <rPh sb="27" eb="29">
      <t>エイゾウ</t>
    </rPh>
    <rPh sb="30" eb="32">
      <t>カクニン</t>
    </rPh>
    <rPh sb="33" eb="34">
      <t>オコナ</t>
    </rPh>
    <phoneticPr fontId="2"/>
  </si>
  <si>
    <t>5/22　15：00～5/23　17：00　22時台と23時台に2名が退館するのを確認した。</t>
    <rPh sb="24" eb="25">
      <t>ジ</t>
    </rPh>
    <rPh sb="25" eb="26">
      <t>ダイ</t>
    </rPh>
    <rPh sb="29" eb="30">
      <t>ジ</t>
    </rPh>
    <rPh sb="30" eb="31">
      <t>ダイ</t>
    </rPh>
    <rPh sb="33" eb="34">
      <t>メイ</t>
    </rPh>
    <rPh sb="35" eb="37">
      <t>タイカン</t>
    </rPh>
    <rPh sb="41" eb="43">
      <t>カクニン</t>
    </rPh>
    <phoneticPr fontId="2"/>
  </si>
  <si>
    <t>42階B階段 非常解錠釦を押下。防災センターから発報連絡あり。</t>
    <rPh sb="2" eb="3">
      <t>カイ</t>
    </rPh>
    <rPh sb="4" eb="6">
      <t>カイダン</t>
    </rPh>
    <rPh sb="7" eb="11">
      <t>ヒジョウカイジョウ</t>
    </rPh>
    <rPh sb="11" eb="12">
      <t>ボタン</t>
    </rPh>
    <rPh sb="13" eb="15">
      <t>オウカ</t>
    </rPh>
    <rPh sb="16" eb="18">
      <t>ボウサイ</t>
    </rPh>
    <rPh sb="24" eb="28">
      <t>ハッポウレンラク</t>
    </rPh>
    <phoneticPr fontId="2"/>
  </si>
  <si>
    <t>LP三角が現地確認実施。39階から43階まで確認したが、階段室内に人物無し。</t>
    <rPh sb="2" eb="4">
      <t>ミスミ</t>
    </rPh>
    <rPh sb="5" eb="7">
      <t>ゲンチ</t>
    </rPh>
    <rPh sb="7" eb="9">
      <t>カクニン</t>
    </rPh>
    <rPh sb="9" eb="11">
      <t>ジッシ</t>
    </rPh>
    <rPh sb="14" eb="15">
      <t>カイ</t>
    </rPh>
    <rPh sb="19" eb="20">
      <t>カイ</t>
    </rPh>
    <rPh sb="22" eb="24">
      <t>カクニン</t>
    </rPh>
    <rPh sb="28" eb="32">
      <t>カイダンシツナイ</t>
    </rPh>
    <rPh sb="33" eb="36">
      <t>ジンブツナ</t>
    </rPh>
    <phoneticPr fontId="2"/>
  </si>
  <si>
    <t>ITV確認実施した所、CSSスタッフ堀越さんが通行するのを確認した。本人に確認済み。</t>
    <rPh sb="3" eb="5">
      <t>カクニン</t>
    </rPh>
    <rPh sb="5" eb="7">
      <t>ジッシ</t>
    </rPh>
    <rPh sb="9" eb="10">
      <t>トコロ</t>
    </rPh>
    <rPh sb="18" eb="20">
      <t>ホリコシ</t>
    </rPh>
    <rPh sb="23" eb="25">
      <t>ツウコウ</t>
    </rPh>
    <rPh sb="29" eb="31">
      <t>カクニン</t>
    </rPh>
    <rPh sb="34" eb="36">
      <t>ホンニン</t>
    </rPh>
    <rPh sb="37" eb="40">
      <t>カクニンズ</t>
    </rPh>
    <phoneticPr fontId="2"/>
  </si>
  <si>
    <t>メール室確認。郵便物3通、仕分け実施済み。</t>
    <rPh sb="3" eb="4">
      <t>シツ</t>
    </rPh>
    <rPh sb="4" eb="6">
      <t>カクニン</t>
    </rPh>
    <rPh sb="7" eb="10">
      <t>ユウビンブツ</t>
    </rPh>
    <rPh sb="11" eb="12">
      <t>ツウ</t>
    </rPh>
    <rPh sb="13" eb="15">
      <t>シワ</t>
    </rPh>
    <rPh sb="16" eb="18">
      <t>ジッシ</t>
    </rPh>
    <rPh sb="18" eb="19">
      <t>ズ</t>
    </rPh>
    <phoneticPr fontId="2"/>
  </si>
  <si>
    <t>緊急呼出発報（客室4101号室）HSKPが清掃中に誤って接触した為。</t>
    <rPh sb="0" eb="6">
      <t>キンキュウヨビダシハッポウ</t>
    </rPh>
    <rPh sb="7" eb="9">
      <t>キャクシツ</t>
    </rPh>
    <rPh sb="13" eb="15">
      <t>ゴウシツ</t>
    </rPh>
    <rPh sb="21" eb="24">
      <t>セイソウチュウ</t>
    </rPh>
    <rPh sb="25" eb="26">
      <t>アヤマ</t>
    </rPh>
    <rPh sb="28" eb="30">
      <t>セッショク</t>
    </rPh>
    <rPh sb="32" eb="33">
      <t>タメ</t>
    </rPh>
    <phoneticPr fontId="2"/>
  </si>
  <si>
    <t>GE森本さんが入室確認し、HSKPの接触によるものと確認が取れたため、LPOにて復旧済み。</t>
    <rPh sb="2" eb="4">
      <t>モリモト</t>
    </rPh>
    <rPh sb="7" eb="9">
      <t>ニュウシツ</t>
    </rPh>
    <rPh sb="9" eb="11">
      <t>カクニン</t>
    </rPh>
    <rPh sb="18" eb="20">
      <t>セッショク</t>
    </rPh>
    <rPh sb="26" eb="28">
      <t>カクニン</t>
    </rPh>
    <rPh sb="29" eb="30">
      <t>ト</t>
    </rPh>
    <rPh sb="40" eb="43">
      <t>フッキュウズ</t>
    </rPh>
    <phoneticPr fontId="2"/>
  </si>
  <si>
    <t>HSKP Kooさんとの打合せを行う。DOE大渡さん、ECナオミさん、LP三角。</t>
    <rPh sb="12" eb="14">
      <t>ウチアワ</t>
    </rPh>
    <rPh sb="16" eb="17">
      <t>オコナ</t>
    </rPh>
    <rPh sb="22" eb="24">
      <t>オオワタリ</t>
    </rPh>
    <rPh sb="37" eb="39">
      <t>ミスミ</t>
    </rPh>
    <phoneticPr fontId="2"/>
  </si>
  <si>
    <t>ITV確認実施。該当部屋4316の該当人物について確認が取れたため、映像の抽出を行う。</t>
    <rPh sb="3" eb="5">
      <t>カクニン</t>
    </rPh>
    <rPh sb="5" eb="7">
      <t>ジッシ</t>
    </rPh>
    <rPh sb="8" eb="12">
      <t>ガイトウベヤ</t>
    </rPh>
    <rPh sb="17" eb="21">
      <t>ガイトウジンブツ</t>
    </rPh>
    <rPh sb="25" eb="27">
      <t>カクニン</t>
    </rPh>
    <rPh sb="28" eb="29">
      <t>ト</t>
    </rPh>
    <rPh sb="34" eb="36">
      <t>エイゾウ</t>
    </rPh>
    <rPh sb="37" eb="39">
      <t>チュウシュツ</t>
    </rPh>
    <rPh sb="40" eb="41">
      <t>オコナ</t>
    </rPh>
    <phoneticPr fontId="2"/>
  </si>
  <si>
    <t>Duty福浪さんより連絡あり、4311号室のゲストエージェントからゲストが身の危険を</t>
    <rPh sb="4" eb="6">
      <t>フクナミ</t>
    </rPh>
    <rPh sb="10" eb="12">
      <t>レンラク</t>
    </rPh>
    <rPh sb="19" eb="20">
      <t>ゴウ</t>
    </rPh>
    <rPh sb="20" eb="21">
      <t>シツ</t>
    </rPh>
    <rPh sb="37" eb="38">
      <t>ミ</t>
    </rPh>
    <rPh sb="39" eb="41">
      <t>キケン</t>
    </rPh>
    <phoneticPr fontId="2"/>
  </si>
  <si>
    <t>感じている為、警護して欲しいとの事。Duty福浪さんとLP片山が現場へ急行する。</t>
    <rPh sb="0" eb="1">
      <t>カン</t>
    </rPh>
    <rPh sb="5" eb="6">
      <t>タメ</t>
    </rPh>
    <rPh sb="7" eb="9">
      <t>ケイゴ</t>
    </rPh>
    <rPh sb="11" eb="12">
      <t>ホ</t>
    </rPh>
    <rPh sb="16" eb="17">
      <t>コト</t>
    </rPh>
    <rPh sb="22" eb="24">
      <t>フクナミ</t>
    </rPh>
    <rPh sb="29" eb="31">
      <t>カタヤマ</t>
    </rPh>
    <rPh sb="32" eb="34">
      <t>ゲンバ</t>
    </rPh>
    <rPh sb="35" eb="37">
      <t>キュウコウ</t>
    </rPh>
    <phoneticPr fontId="2"/>
  </si>
  <si>
    <t>Duty福浪さんがドア越しに話掛けると、特に問題は無いと言う事で、一旦解散する。</t>
    <rPh sb="4" eb="6">
      <t>フクナミ</t>
    </rPh>
    <rPh sb="11" eb="12">
      <t>コ</t>
    </rPh>
    <rPh sb="14" eb="15">
      <t>ハナシ</t>
    </rPh>
    <rPh sb="15" eb="16">
      <t>カ</t>
    </rPh>
    <rPh sb="20" eb="21">
      <t>トク</t>
    </rPh>
    <rPh sb="22" eb="24">
      <t>モンダイ</t>
    </rPh>
    <rPh sb="25" eb="26">
      <t>ナ</t>
    </rPh>
    <rPh sb="28" eb="29">
      <t>イ</t>
    </rPh>
    <rPh sb="30" eb="31">
      <t>コト</t>
    </rPh>
    <rPh sb="33" eb="35">
      <t>イッタン</t>
    </rPh>
    <rPh sb="35" eb="37">
      <t>カイサン</t>
    </rPh>
    <phoneticPr fontId="2"/>
  </si>
  <si>
    <t>（23日17時～20時）特に出入りする人物無し。</t>
    <rPh sb="3" eb="4">
      <t>ヒ</t>
    </rPh>
    <rPh sb="6" eb="7">
      <t>ジ</t>
    </rPh>
    <rPh sb="10" eb="11">
      <t>ジ</t>
    </rPh>
    <rPh sb="12" eb="13">
      <t>トク</t>
    </rPh>
    <rPh sb="14" eb="16">
      <t>デハイ</t>
    </rPh>
    <rPh sb="19" eb="21">
      <t>ジンブツ</t>
    </rPh>
    <rPh sb="21" eb="22">
      <t>ナ</t>
    </rPh>
    <phoneticPr fontId="2"/>
  </si>
  <si>
    <t>SSAの資料整備を行う。進捗度53.06％ 26/49</t>
    <rPh sb="4" eb="6">
      <t>シリョウ</t>
    </rPh>
    <rPh sb="6" eb="8">
      <t>セイビ</t>
    </rPh>
    <rPh sb="9" eb="10">
      <t>オコナ</t>
    </rPh>
    <rPh sb="12" eb="14">
      <t>シンチョク</t>
    </rPh>
    <rPh sb="14" eb="15">
      <t>ド</t>
    </rPh>
    <phoneticPr fontId="2"/>
  </si>
  <si>
    <t>メール室確認。郵便物14通、仕分け実施済み。</t>
    <rPh sb="3" eb="4">
      <t>シツ</t>
    </rPh>
    <rPh sb="4" eb="6">
      <t>カクニン</t>
    </rPh>
    <rPh sb="7" eb="10">
      <t>ユウビンブツ</t>
    </rPh>
    <rPh sb="12" eb="13">
      <t>ツウ</t>
    </rPh>
    <rPh sb="14" eb="16">
      <t>シワ</t>
    </rPh>
    <rPh sb="17" eb="19">
      <t>ジッシ</t>
    </rPh>
    <rPh sb="19" eb="20">
      <t>ズ</t>
    </rPh>
    <phoneticPr fontId="2"/>
  </si>
  <si>
    <t>メール室確認。郵便物２通。仕分け実施済み。(GS宛)</t>
    <rPh sb="3" eb="4">
      <t>シツ</t>
    </rPh>
    <rPh sb="4" eb="6">
      <t>カクニン</t>
    </rPh>
    <rPh sb="7" eb="10">
      <t>ユウビンブツ</t>
    </rPh>
    <rPh sb="11" eb="12">
      <t>ツウ</t>
    </rPh>
    <rPh sb="13" eb="15">
      <t>シワ</t>
    </rPh>
    <rPh sb="16" eb="18">
      <t>ジッシ</t>
    </rPh>
    <rPh sb="18" eb="19">
      <t>スミ</t>
    </rPh>
    <rPh sb="24" eb="25">
      <t>アテ</t>
    </rPh>
    <phoneticPr fontId="2"/>
  </si>
  <si>
    <t>パニックアラームテスト実施 40F Restaurant 2ヵ所　異常なし。</t>
    <phoneticPr fontId="2"/>
  </si>
  <si>
    <t>パニックアラームテスト実施 40F Reception 2ヵ所　異常なし。</t>
    <phoneticPr fontId="2"/>
  </si>
  <si>
    <t>メール室確認。郵便物8通、仕分け実施済み。</t>
    <rPh sb="3" eb="4">
      <t>シツ</t>
    </rPh>
    <rPh sb="4" eb="6">
      <t>カクニン</t>
    </rPh>
    <rPh sb="7" eb="10">
      <t>ユウビンブツ</t>
    </rPh>
    <rPh sb="11" eb="12">
      <t>ツウ</t>
    </rPh>
    <rPh sb="13" eb="15">
      <t>シワ</t>
    </rPh>
    <rPh sb="16" eb="18">
      <t>ジッシ</t>
    </rPh>
    <rPh sb="18" eb="19">
      <t>ズ</t>
    </rPh>
    <phoneticPr fontId="2"/>
  </si>
  <si>
    <t>経理部池水さん、ジョナサンさんが監査準備でジェネラルキャッシャーのモニター確認</t>
    <rPh sb="0" eb="2">
      <t>ケイリ</t>
    </rPh>
    <rPh sb="2" eb="3">
      <t>ブ</t>
    </rPh>
    <rPh sb="3" eb="5">
      <t>イケミズ</t>
    </rPh>
    <rPh sb="16" eb="18">
      <t>カンサ</t>
    </rPh>
    <rPh sb="18" eb="20">
      <t>ジュンビ</t>
    </rPh>
    <rPh sb="37" eb="39">
      <t>カクニン</t>
    </rPh>
    <phoneticPr fontId="2"/>
  </si>
  <si>
    <t>のためLPへ入室する。立会 大渡DOE、LP藤井　17:19終了。</t>
    <rPh sb="6" eb="8">
      <t>ニュウシツ</t>
    </rPh>
    <rPh sb="11" eb="13">
      <t>タチアイ</t>
    </rPh>
    <rPh sb="14" eb="16">
      <t>オオワタリ</t>
    </rPh>
    <rPh sb="22" eb="24">
      <t>フジイ</t>
    </rPh>
    <rPh sb="30" eb="32">
      <t>シュウリョウ</t>
    </rPh>
    <phoneticPr fontId="2"/>
  </si>
  <si>
    <t>メール室確認。郵便物１通、仕分け実施済み。(GS宛)</t>
    <rPh sb="3" eb="4">
      <t>シツ</t>
    </rPh>
    <rPh sb="4" eb="6">
      <t>カクニン</t>
    </rPh>
    <rPh sb="7" eb="10">
      <t>ユウビンブツ</t>
    </rPh>
    <rPh sb="11" eb="12">
      <t>ツウ</t>
    </rPh>
    <rPh sb="13" eb="15">
      <t>シワ</t>
    </rPh>
    <rPh sb="16" eb="18">
      <t>ジッシ</t>
    </rPh>
    <rPh sb="18" eb="19">
      <t>ズ</t>
    </rPh>
    <rPh sb="24" eb="25">
      <t>アテ</t>
    </rPh>
    <phoneticPr fontId="2"/>
  </si>
  <si>
    <t>緊急呼出発報(40階女性用ハマム・サウナ)</t>
    <rPh sb="0" eb="2">
      <t>キンキュウ</t>
    </rPh>
    <rPh sb="2" eb="4">
      <t>ヨビダシ</t>
    </rPh>
    <rPh sb="4" eb="6">
      <t>ハッポウ</t>
    </rPh>
    <rPh sb="9" eb="10">
      <t>カイ</t>
    </rPh>
    <rPh sb="10" eb="13">
      <t>ジョセイヨウ</t>
    </rPh>
    <phoneticPr fontId="2"/>
  </si>
  <si>
    <t>テルマリウムさんによる緊急呼出ボタンのチェックの作業。</t>
    <rPh sb="11" eb="15">
      <t>キンキュウヨビダシ</t>
    </rPh>
    <rPh sb="24" eb="26">
      <t>サギョウ</t>
    </rPh>
    <phoneticPr fontId="2"/>
  </si>
  <si>
    <t>SPAの受付でDuty福浪さんとLP末廣が合流後復旧。</t>
    <rPh sb="4" eb="6">
      <t>ウケツケ</t>
    </rPh>
    <rPh sb="11" eb="13">
      <t>フクナミ</t>
    </rPh>
    <rPh sb="18" eb="20">
      <t>スエヒロ</t>
    </rPh>
    <rPh sb="21" eb="23">
      <t>ゴウリュウ</t>
    </rPh>
    <rPh sb="23" eb="24">
      <t>ゴ</t>
    </rPh>
    <rPh sb="24" eb="26">
      <t>フッキュウ</t>
    </rPh>
    <phoneticPr fontId="2"/>
  </si>
  <si>
    <t>男性用ハマム・サウナの緊急呼出ボタンのチェックの為LP末廣が立会い発報。その後復旧。</t>
    <rPh sb="0" eb="2">
      <t>ダンセイ</t>
    </rPh>
    <rPh sb="2" eb="3">
      <t>ヨウ</t>
    </rPh>
    <rPh sb="11" eb="15">
      <t>キンキュウヨビダシ</t>
    </rPh>
    <rPh sb="24" eb="25">
      <t>タメ</t>
    </rPh>
    <rPh sb="27" eb="29">
      <t>スエヒロ</t>
    </rPh>
    <rPh sb="30" eb="32">
      <t>タチア</t>
    </rPh>
    <rPh sb="33" eb="35">
      <t>ハッポウ</t>
    </rPh>
    <rPh sb="38" eb="39">
      <t>ゴ</t>
    </rPh>
    <rPh sb="39" eb="41">
      <t>フッキュウ</t>
    </rPh>
    <phoneticPr fontId="2"/>
  </si>
  <si>
    <t>SSAの資料整備を行う。進捗度71.42％ 35/49</t>
    <rPh sb="4" eb="6">
      <t>シリョウ</t>
    </rPh>
    <rPh sb="6" eb="8">
      <t>セイビ</t>
    </rPh>
    <rPh sb="9" eb="10">
      <t>オコナ</t>
    </rPh>
    <rPh sb="12" eb="14">
      <t>シンチョク</t>
    </rPh>
    <rPh sb="14" eb="15">
      <t>ド</t>
    </rPh>
    <phoneticPr fontId="2"/>
  </si>
  <si>
    <t>SSAの資料をフォームに提出する。SSA1～SSA5</t>
    <rPh sb="4" eb="6">
      <t>シリョウ</t>
    </rPh>
    <rPh sb="12" eb="14">
      <t>テイシュツ</t>
    </rPh>
    <phoneticPr fontId="2"/>
  </si>
  <si>
    <t>メール室確認。郵便物2通、仕分け実施済み。</t>
    <rPh sb="11" eb="12">
      <t>ツウ</t>
    </rPh>
    <rPh sb="13" eb="15">
      <t>シワ</t>
    </rPh>
    <rPh sb="16" eb="18">
      <t>ジッシ</t>
    </rPh>
    <rPh sb="18" eb="19">
      <t>ズ</t>
    </rPh>
    <phoneticPr fontId="2"/>
  </si>
  <si>
    <t>45階屋外ストレージ2</t>
  </si>
  <si>
    <t>45階ルーフトップテラス2</t>
    <phoneticPr fontId="2"/>
  </si>
  <si>
    <t>45階風除室2</t>
    <rPh sb="3" eb="6">
      <t>フウジョシツ</t>
    </rPh>
    <phoneticPr fontId="2"/>
  </si>
  <si>
    <t>45階ルーフトップテラス１</t>
    <phoneticPr fontId="2"/>
  </si>
  <si>
    <t>45階ルーフトップテラス２</t>
    <phoneticPr fontId="2"/>
  </si>
  <si>
    <t>CCTV　EXT1-1　RAID5 DOWN　</t>
    <phoneticPr fontId="2"/>
  </si>
  <si>
    <t>CCTV　EXT1-3　RAID5 DOWN　</t>
    <phoneticPr fontId="2"/>
  </si>
  <si>
    <t>SSAの資料をVaultへアップロード及び回答を全て行い、保存を行う。</t>
    <rPh sb="19" eb="20">
      <t>オヨ</t>
    </rPh>
    <rPh sb="21" eb="23">
      <t>カイトウ</t>
    </rPh>
    <rPh sb="24" eb="25">
      <t>スベ</t>
    </rPh>
    <rPh sb="26" eb="27">
      <t>オコナ</t>
    </rPh>
    <rPh sb="29" eb="31">
      <t>ホゾン</t>
    </rPh>
    <rPh sb="32" eb="33">
      <t>オコナ</t>
    </rPh>
    <phoneticPr fontId="2"/>
  </si>
  <si>
    <t>メール室確認。郵便物16通、仕分け実施済み。</t>
    <rPh sb="3" eb="4">
      <t>シツ</t>
    </rPh>
    <rPh sb="4" eb="6">
      <t>カクニン</t>
    </rPh>
    <rPh sb="7" eb="10">
      <t>ユウビンブツ</t>
    </rPh>
    <rPh sb="12" eb="13">
      <t>ツウ</t>
    </rPh>
    <rPh sb="14" eb="16">
      <t>シワ</t>
    </rPh>
    <rPh sb="17" eb="19">
      <t>ジッシ</t>
    </rPh>
    <rPh sb="19" eb="20">
      <t>ズ</t>
    </rPh>
    <phoneticPr fontId="2"/>
  </si>
  <si>
    <t>6/17～VVVIPの宿泊予定に伴い、セキュリティチームと館内ウォークスルーを行う。</t>
    <rPh sb="11" eb="13">
      <t>シュクハク</t>
    </rPh>
    <rPh sb="13" eb="15">
      <t>ヨテイ</t>
    </rPh>
    <rPh sb="16" eb="17">
      <t>トモナ</t>
    </rPh>
    <rPh sb="29" eb="31">
      <t>カンナイ</t>
    </rPh>
    <rPh sb="39" eb="40">
      <t>オコナ</t>
    </rPh>
    <phoneticPr fontId="2"/>
  </si>
  <si>
    <t>リリアンさん、GE 森本さん、LP三角。</t>
    <rPh sb="10" eb="12">
      <t>モリモト</t>
    </rPh>
    <rPh sb="17" eb="19">
      <t>ミスミ</t>
    </rPh>
    <phoneticPr fontId="2"/>
  </si>
  <si>
    <t>セキュリティカード2245が磁気不良に伴い、2474へ再発行を行う。</t>
    <rPh sb="14" eb="18">
      <t>ジキフリョウ</t>
    </rPh>
    <rPh sb="19" eb="20">
      <t>トモナ</t>
    </rPh>
    <rPh sb="27" eb="30">
      <t>サイハッコウ</t>
    </rPh>
    <rPh sb="31" eb="32">
      <t>オコナ</t>
    </rPh>
    <phoneticPr fontId="2"/>
  </si>
  <si>
    <t>客室カードキーの確認作業を行う。</t>
    <rPh sb="0" eb="2">
      <t>キャクシツ</t>
    </rPh>
    <rPh sb="8" eb="12">
      <t>カクニンサギョウ</t>
    </rPh>
    <rPh sb="13" eb="14">
      <t>オコナ</t>
    </rPh>
    <phoneticPr fontId="2"/>
  </si>
  <si>
    <t>ルーフトップテラス２</t>
    <phoneticPr fontId="2"/>
  </si>
  <si>
    <t>ルーフトップテラス１</t>
    <phoneticPr fontId="2"/>
  </si>
  <si>
    <t>屋外ストレージ１</t>
    <rPh sb="0" eb="2">
      <t>オクガイ</t>
    </rPh>
    <phoneticPr fontId="2"/>
  </si>
  <si>
    <t>屋外ストレージ２</t>
    <rPh sb="0" eb="2">
      <t>オクガイ</t>
    </rPh>
    <phoneticPr fontId="2"/>
  </si>
  <si>
    <t>パニックアラームテスト実施 39階 GC 1カ所 異常無し。　</t>
    <phoneticPr fontId="2"/>
  </si>
  <si>
    <t>メール室確認。郵便物6通、仕分け実施済み。</t>
    <rPh sb="3" eb="4">
      <t>シツ</t>
    </rPh>
    <rPh sb="4" eb="6">
      <t>カクニン</t>
    </rPh>
    <rPh sb="7" eb="10">
      <t>ユウビンブツ</t>
    </rPh>
    <rPh sb="11" eb="12">
      <t>ツウ</t>
    </rPh>
    <rPh sb="13" eb="15">
      <t>シワ</t>
    </rPh>
    <rPh sb="16" eb="18">
      <t>ジッシ</t>
    </rPh>
    <rPh sb="18" eb="19">
      <t>ズ</t>
    </rPh>
    <phoneticPr fontId="2"/>
  </si>
  <si>
    <t>地震発生 震源地 茨木県南部 震度５弱 中央区 震度３ ホテル側ELV異常無し</t>
    <rPh sb="0" eb="4">
      <t>ジシンハッセイ</t>
    </rPh>
    <rPh sb="5" eb="8">
      <t>シンゲンチ</t>
    </rPh>
    <rPh sb="9" eb="12">
      <t>イバラギケン</t>
    </rPh>
    <rPh sb="12" eb="14">
      <t>ナンブ</t>
    </rPh>
    <rPh sb="15" eb="17">
      <t>シンド</t>
    </rPh>
    <rPh sb="18" eb="19">
      <t>ジャク</t>
    </rPh>
    <rPh sb="20" eb="23">
      <t>チュウオウク</t>
    </rPh>
    <rPh sb="24" eb="26">
      <t>シンド</t>
    </rPh>
    <phoneticPr fontId="2"/>
  </si>
  <si>
    <t>ビル側EV一部P波受信地震管制作動・自動復旧　防災側で地震放送を流す。</t>
    <rPh sb="2" eb="3">
      <t>ガワ</t>
    </rPh>
    <rPh sb="5" eb="7">
      <t>イチブ</t>
    </rPh>
    <rPh sb="8" eb="9">
      <t>ハ</t>
    </rPh>
    <rPh sb="9" eb="11">
      <t>ジュシン</t>
    </rPh>
    <rPh sb="11" eb="15">
      <t>ジシンカンセイ</t>
    </rPh>
    <rPh sb="15" eb="17">
      <t>サドウ</t>
    </rPh>
    <rPh sb="18" eb="20">
      <t>ジドウ</t>
    </rPh>
    <rPh sb="20" eb="22">
      <t>フッキュウ</t>
    </rPh>
    <phoneticPr fontId="2"/>
  </si>
  <si>
    <t>メール室確認。郵便物５通、仕分け実施済み。（GS1通、購買部2通、F＆B2通）</t>
    <rPh sb="3" eb="4">
      <t>シツ</t>
    </rPh>
    <rPh sb="4" eb="6">
      <t>カクニン</t>
    </rPh>
    <rPh sb="7" eb="10">
      <t>ユウビンブツ</t>
    </rPh>
    <rPh sb="11" eb="12">
      <t>ツウ</t>
    </rPh>
    <rPh sb="13" eb="15">
      <t>シワ</t>
    </rPh>
    <rPh sb="16" eb="18">
      <t>ジッシ</t>
    </rPh>
    <rPh sb="18" eb="19">
      <t>ズ</t>
    </rPh>
    <rPh sb="25" eb="26">
      <t>ツウ</t>
    </rPh>
    <rPh sb="27" eb="29">
      <t>コウバイ</t>
    </rPh>
    <rPh sb="29" eb="30">
      <t>ブ</t>
    </rPh>
    <rPh sb="31" eb="32">
      <t>ツウ</t>
    </rPh>
    <rPh sb="37" eb="38">
      <t>ツウ</t>
    </rPh>
    <phoneticPr fontId="2"/>
  </si>
  <si>
    <t>SSAの提出内容物の確認、資料整備を実施。</t>
    <rPh sb="4" eb="6">
      <t>テイシュツ</t>
    </rPh>
    <rPh sb="6" eb="8">
      <t>ナイヨウ</t>
    </rPh>
    <rPh sb="8" eb="9">
      <t>ブツ</t>
    </rPh>
    <rPh sb="10" eb="12">
      <t>カクニン</t>
    </rPh>
    <rPh sb="13" eb="17">
      <t>シリョウセイビ</t>
    </rPh>
    <rPh sb="18" eb="20">
      <t>ジッシ</t>
    </rPh>
    <phoneticPr fontId="2"/>
  </si>
  <si>
    <t>Orientation　EA 野中さん。DOE大渡さん、LP三角。LP業務について説明実施。</t>
    <rPh sb="15" eb="17">
      <t>ノナカ</t>
    </rPh>
    <rPh sb="23" eb="25">
      <t>オオワタリ</t>
    </rPh>
    <rPh sb="30" eb="32">
      <t>ミスミ</t>
    </rPh>
    <rPh sb="35" eb="37">
      <t>ギョウム</t>
    </rPh>
    <rPh sb="41" eb="43">
      <t>セツメイ</t>
    </rPh>
    <rPh sb="43" eb="45">
      <t>ジッシ</t>
    </rPh>
    <phoneticPr fontId="2"/>
  </si>
  <si>
    <t>経理監査に伴う資料整備、説明実施。Finance 木村さん、LP三角。</t>
    <rPh sb="0" eb="2">
      <t>ケイリ</t>
    </rPh>
    <rPh sb="2" eb="4">
      <t>カンサ</t>
    </rPh>
    <rPh sb="5" eb="6">
      <t>トモナ</t>
    </rPh>
    <rPh sb="7" eb="11">
      <t>シリョウセイビ</t>
    </rPh>
    <rPh sb="12" eb="14">
      <t>セツメイ</t>
    </rPh>
    <rPh sb="14" eb="16">
      <t>ジッシ</t>
    </rPh>
    <rPh sb="25" eb="27">
      <t>キムラ</t>
    </rPh>
    <rPh sb="32" eb="34">
      <t>ミスミ</t>
    </rPh>
    <phoneticPr fontId="2"/>
  </si>
  <si>
    <t>メール室確認。郵便物2通、仕分け実施済み。</t>
    <rPh sb="3" eb="4">
      <t>シツ</t>
    </rPh>
    <rPh sb="4" eb="6">
      <t>カクニン</t>
    </rPh>
    <rPh sb="7" eb="10">
      <t>ユウビンブツ</t>
    </rPh>
    <rPh sb="11" eb="12">
      <t>ツウ</t>
    </rPh>
    <rPh sb="13" eb="15">
      <t>シワ</t>
    </rPh>
    <rPh sb="16" eb="18">
      <t>ジッシ</t>
    </rPh>
    <rPh sb="18" eb="19">
      <t>ズ</t>
    </rPh>
    <phoneticPr fontId="2"/>
  </si>
  <si>
    <t>SSAの提出前、打ち合わせを行う。HMアントニオさん、DOE大渡さん、ECナオミさん、</t>
    <rPh sb="4" eb="6">
      <t>テイシュツ</t>
    </rPh>
    <rPh sb="6" eb="7">
      <t>マエ</t>
    </rPh>
    <rPh sb="8" eb="9">
      <t>ウ</t>
    </rPh>
    <rPh sb="10" eb="11">
      <t>ア</t>
    </rPh>
    <rPh sb="14" eb="15">
      <t>オコナ</t>
    </rPh>
    <rPh sb="30" eb="32">
      <t>オオワタリ</t>
    </rPh>
    <phoneticPr fontId="2"/>
  </si>
  <si>
    <t>ENG高橋さん、LP三角。　是正箇所、補填資料の確認等を実施。</t>
    <rPh sb="3" eb="5">
      <t>タカハシ</t>
    </rPh>
    <rPh sb="10" eb="12">
      <t>ミスミ</t>
    </rPh>
    <rPh sb="14" eb="18">
      <t>ゼセイカショ</t>
    </rPh>
    <rPh sb="19" eb="23">
      <t>ホテンシリョウ</t>
    </rPh>
    <rPh sb="24" eb="26">
      <t>カクニン</t>
    </rPh>
    <rPh sb="26" eb="27">
      <t>トウ</t>
    </rPh>
    <rPh sb="28" eb="30">
      <t>ジッシ</t>
    </rPh>
    <phoneticPr fontId="2"/>
  </si>
  <si>
    <t>ASSAABLOYのVisionLine、客室カード読み取り、時刻確認の為、4103にて操作を行う。</t>
    <rPh sb="21" eb="23">
      <t>キャクシツ</t>
    </rPh>
    <rPh sb="26" eb="27">
      <t>ヨ</t>
    </rPh>
    <rPh sb="28" eb="29">
      <t>ト</t>
    </rPh>
    <rPh sb="31" eb="33">
      <t>ジコク</t>
    </rPh>
    <rPh sb="33" eb="35">
      <t>カクニン</t>
    </rPh>
    <rPh sb="36" eb="37">
      <t>タメ</t>
    </rPh>
    <rPh sb="44" eb="46">
      <t>ソウサ</t>
    </rPh>
    <rPh sb="47" eb="48">
      <t>オコナ</t>
    </rPh>
    <phoneticPr fontId="2"/>
  </si>
  <si>
    <t>PCのシステム異常により、未確認。18日に確認予定。</t>
    <rPh sb="7" eb="9">
      <t>イジョウ</t>
    </rPh>
    <rPh sb="13" eb="16">
      <t>ミカクニン</t>
    </rPh>
    <rPh sb="19" eb="20">
      <t>ニチ</t>
    </rPh>
    <rPh sb="21" eb="25">
      <t>カクニンヨテイ</t>
    </rPh>
    <phoneticPr fontId="2"/>
  </si>
  <si>
    <t>メール室確認。郵便物1通、仕分け実施済み。（GS 1通）</t>
    <rPh sb="3" eb="4">
      <t>シツ</t>
    </rPh>
    <rPh sb="4" eb="6">
      <t>カクニン</t>
    </rPh>
    <rPh sb="7" eb="10">
      <t>ユウビンブツ</t>
    </rPh>
    <rPh sb="11" eb="12">
      <t>ツウ</t>
    </rPh>
    <rPh sb="13" eb="15">
      <t>シワ</t>
    </rPh>
    <rPh sb="16" eb="18">
      <t>ジッシ</t>
    </rPh>
    <rPh sb="18" eb="19">
      <t>ズ</t>
    </rPh>
    <rPh sb="26" eb="27">
      <t>ツウ</t>
    </rPh>
    <phoneticPr fontId="2"/>
  </si>
  <si>
    <t>ASSAABLOYのLock Service 3G、のシステム異常の確認作業を行う。IT Pundyさん、LP三角</t>
    <rPh sb="31" eb="33">
      <t>イジョウ</t>
    </rPh>
    <rPh sb="34" eb="38">
      <t>カクニンサギョウ</t>
    </rPh>
    <rPh sb="39" eb="40">
      <t>オコナ</t>
    </rPh>
    <rPh sb="55" eb="57">
      <t>ミスミ</t>
    </rPh>
    <phoneticPr fontId="2"/>
  </si>
  <si>
    <t>客室4103号室でカードロックシステムの確認作業を実施。異常なく使用可能。</t>
    <rPh sb="0" eb="2">
      <t>キャクシツ</t>
    </rPh>
    <rPh sb="6" eb="8">
      <t>ゴウシツ</t>
    </rPh>
    <rPh sb="20" eb="24">
      <t>カクニンサギョウ</t>
    </rPh>
    <rPh sb="25" eb="27">
      <t>ジッシ</t>
    </rPh>
    <rPh sb="28" eb="30">
      <t>イジョウ</t>
    </rPh>
    <rPh sb="32" eb="34">
      <t>シヨウ</t>
    </rPh>
    <rPh sb="34" eb="36">
      <t>カノウ</t>
    </rPh>
    <phoneticPr fontId="2"/>
  </si>
  <si>
    <t>VIPに伴うELV対応。1階にてHB-1ELV 専用運転へ切換実施。</t>
    <phoneticPr fontId="2"/>
  </si>
  <si>
    <t>キャンセルになり、通常運転へ戻す。</t>
    <rPh sb="9" eb="13">
      <t>ツウジョウウンテン</t>
    </rPh>
    <rPh sb="14" eb="15">
      <t>モド</t>
    </rPh>
    <phoneticPr fontId="2"/>
  </si>
  <si>
    <t>VIPに伴うELV対応。1階にてHB-1ELV 専用運転へ切換実施。</t>
    <rPh sb="4" eb="5">
      <t>トモナ</t>
    </rPh>
    <rPh sb="9" eb="11">
      <t>タイオウ</t>
    </rPh>
    <rPh sb="13" eb="14">
      <t>カイ</t>
    </rPh>
    <rPh sb="24" eb="28">
      <t>センヨウウンテン</t>
    </rPh>
    <rPh sb="29" eb="33">
      <t>キリカエジッシ</t>
    </rPh>
    <phoneticPr fontId="2"/>
  </si>
  <si>
    <t>ゲスト到着し客室へ入室した為、通常運転へ戻す。</t>
    <rPh sb="3" eb="5">
      <t>トウチャク</t>
    </rPh>
    <rPh sb="6" eb="8">
      <t>キャクシツ</t>
    </rPh>
    <rPh sb="9" eb="11">
      <t>ニュウシツ</t>
    </rPh>
    <rPh sb="13" eb="14">
      <t>タメ</t>
    </rPh>
    <rPh sb="15" eb="19">
      <t>ツウジョウウンテン</t>
    </rPh>
    <rPh sb="20" eb="21">
      <t>モド</t>
    </rPh>
    <phoneticPr fontId="2"/>
  </si>
  <si>
    <t>Transendent QRコード出力を行う。</t>
    <rPh sb="17" eb="19">
      <t>シュツリョク</t>
    </rPh>
    <rPh sb="20" eb="21">
      <t>オコナ</t>
    </rPh>
    <phoneticPr fontId="2"/>
  </si>
  <si>
    <t>VIPに伴うELV対応。44階にてHB-2ELV 専用運転へ切換実施。</t>
    <rPh sb="4" eb="5">
      <t>トモナ</t>
    </rPh>
    <rPh sb="9" eb="11">
      <t>タイオウ</t>
    </rPh>
    <rPh sb="14" eb="15">
      <t>カイ</t>
    </rPh>
    <rPh sb="25" eb="29">
      <t>センヨウウンテン</t>
    </rPh>
    <rPh sb="30" eb="34">
      <t>キリカエジッシ</t>
    </rPh>
    <phoneticPr fontId="2"/>
  </si>
  <si>
    <t>Transcendent　LP対応分</t>
    <rPh sb="15" eb="18">
      <t>タイオウブン</t>
    </rPh>
    <phoneticPr fontId="2"/>
  </si>
  <si>
    <t>6/24  STD 2.10 Eye wash station (Weekly)</t>
    <phoneticPr fontId="2"/>
  </si>
  <si>
    <t>6/30  Credit Card Payment (Monthly)</t>
    <phoneticPr fontId="2"/>
  </si>
  <si>
    <t>メール室確認。郵便物5通、仕分け実施済み。</t>
    <rPh sb="3" eb="4">
      <t>シツ</t>
    </rPh>
    <rPh sb="4" eb="6">
      <t>カクニン</t>
    </rPh>
    <rPh sb="7" eb="10">
      <t>ユウビンブツ</t>
    </rPh>
    <rPh sb="11" eb="12">
      <t>ツウ</t>
    </rPh>
    <rPh sb="13" eb="15">
      <t>シワ</t>
    </rPh>
    <rPh sb="16" eb="18">
      <t>ジッシ</t>
    </rPh>
    <rPh sb="18" eb="19">
      <t>ズ</t>
    </rPh>
    <phoneticPr fontId="2"/>
  </si>
  <si>
    <t>45F BARに不審ゲストがいるとのことで、FB山岡さんよりLPへ応援要請あり。</t>
    <phoneticPr fontId="2"/>
  </si>
  <si>
    <t>LP木村が現地及びITVにて対象者の観察を実施。</t>
    <phoneticPr fontId="2"/>
  </si>
  <si>
    <t>対象者が1階前室6（商業側）より退館したことを確認し、観察終了。</t>
    <rPh sb="0" eb="3">
      <t>タイショウシャ</t>
    </rPh>
    <rPh sb="5" eb="6">
      <t>カイ</t>
    </rPh>
    <rPh sb="6" eb="8">
      <t>ゼンシツ</t>
    </rPh>
    <rPh sb="10" eb="12">
      <t>ショウギョウ</t>
    </rPh>
    <rPh sb="12" eb="13">
      <t>ガワ</t>
    </rPh>
    <rPh sb="16" eb="18">
      <t>タイカン</t>
    </rPh>
    <rPh sb="23" eb="25">
      <t>カクニン</t>
    </rPh>
    <rPh sb="27" eb="29">
      <t>カンサツ</t>
    </rPh>
    <rPh sb="29" eb="31">
      <t>シュウリョウ</t>
    </rPh>
    <phoneticPr fontId="2"/>
  </si>
  <si>
    <t>【対象者特徴】　30代外国人女性/薄黄色ワンピース着用/黒色ハンドバッグ所持</t>
    <rPh sb="1" eb="4">
      <t>タイショウシャ</t>
    </rPh>
    <rPh sb="4" eb="6">
      <t>トクチョウ</t>
    </rPh>
    <rPh sb="10" eb="11">
      <t>ダイ</t>
    </rPh>
    <rPh sb="11" eb="13">
      <t>ガイコク</t>
    </rPh>
    <rPh sb="13" eb="14">
      <t>ジン</t>
    </rPh>
    <rPh sb="14" eb="16">
      <t>ジョセイ</t>
    </rPh>
    <rPh sb="17" eb="18">
      <t>ウス</t>
    </rPh>
    <rPh sb="18" eb="20">
      <t>キイロ</t>
    </rPh>
    <rPh sb="25" eb="27">
      <t>チャクヨウ</t>
    </rPh>
    <rPh sb="28" eb="30">
      <t>コクショク</t>
    </rPh>
    <rPh sb="36" eb="38">
      <t>ショジ</t>
    </rPh>
    <phoneticPr fontId="2"/>
  </si>
  <si>
    <t>【行動】　宿泊ゲスト及び利用ゲストのテーブルへ無断で着席する行為。</t>
    <rPh sb="1" eb="3">
      <t>コウドウ</t>
    </rPh>
    <rPh sb="5" eb="7">
      <t>シュクハク</t>
    </rPh>
    <rPh sb="10" eb="11">
      <t>オヨ</t>
    </rPh>
    <rPh sb="12" eb="14">
      <t>リヨウ</t>
    </rPh>
    <rPh sb="23" eb="25">
      <t>ムダン</t>
    </rPh>
    <rPh sb="26" eb="28">
      <t>チャクセキ</t>
    </rPh>
    <rPh sb="30" eb="32">
      <t>コウイ</t>
    </rPh>
    <phoneticPr fontId="2"/>
  </si>
  <si>
    <t>45F男性トイレ内で喫煙している利用客がいるとのことで、FB山岡さんより対応要請あり。</t>
    <phoneticPr fontId="2"/>
  </si>
  <si>
    <t>LP二野宮が現地対応を実施。対象者はBAR利用の8名団体のうち外部利用客1名。</t>
    <phoneticPr fontId="2"/>
  </si>
  <si>
    <t>BARスタッフより複数回注意を行うも改善されず。</t>
    <phoneticPr fontId="2"/>
  </si>
  <si>
    <t>対象者が男性トイレへ入室したため確認したところ、電子タバコの吸殻を確認。</t>
    <phoneticPr fontId="2"/>
  </si>
  <si>
    <t>ゴミ箱内より電子タバコの箱及び多数の吸殻を確認。SNBへ清掃依頼し対応完了。</t>
    <phoneticPr fontId="2"/>
  </si>
  <si>
    <t>対象者の動向監視を終了。</t>
    <phoneticPr fontId="2"/>
  </si>
  <si>
    <t>1F風除室6付近に女性が滞留しているとのことでDuty大庭さんより連絡あり。</t>
    <phoneticPr fontId="2"/>
  </si>
  <si>
    <t>LP二野宮が現地対応を実施。</t>
    <phoneticPr fontId="2"/>
  </si>
  <si>
    <t>Duty大庭さんが対象女性へ退館を促し、東京駅方面へ移動したことを確認。</t>
    <phoneticPr fontId="2"/>
  </si>
  <si>
    <t>昼間に対応した対象者を40Fラウンジにて確認。Duty大庭さんが対応を実施。</t>
    <phoneticPr fontId="2"/>
  </si>
  <si>
    <t>対象者が45F BARへ移動したため経過観察とした。</t>
    <phoneticPr fontId="2"/>
  </si>
  <si>
    <t>Bar山岡さんから45F男性トイレでタバコを吸っている方がいる為来て欲しいと連絡あり。</t>
    <rPh sb="3" eb="5">
      <t>ヤマオカ</t>
    </rPh>
    <rPh sb="12" eb="14">
      <t>ダンセイ</t>
    </rPh>
    <rPh sb="22" eb="23">
      <t>ス</t>
    </rPh>
    <rPh sb="27" eb="28">
      <t>カタ</t>
    </rPh>
    <rPh sb="31" eb="32">
      <t>タメ</t>
    </rPh>
    <rPh sb="32" eb="33">
      <t>キ</t>
    </rPh>
    <rPh sb="34" eb="35">
      <t>ホ</t>
    </rPh>
    <rPh sb="38" eb="40">
      <t>レンラク</t>
    </rPh>
    <phoneticPr fontId="2"/>
  </si>
  <si>
    <t>LP二野宮現着後、Bar山岡さんと接触。その時既に対象者はBarソファーに戻っていた。</t>
    <rPh sb="2" eb="5">
      <t>ニノミヤ</t>
    </rPh>
    <rPh sb="5" eb="7">
      <t>ゲンチャク</t>
    </rPh>
    <rPh sb="7" eb="8">
      <t>ゴ</t>
    </rPh>
    <rPh sb="12" eb="14">
      <t>ヤマオカ</t>
    </rPh>
    <rPh sb="17" eb="19">
      <t>セッショク</t>
    </rPh>
    <rPh sb="22" eb="23">
      <t>トキ</t>
    </rPh>
    <rPh sb="23" eb="24">
      <t>スデ</t>
    </rPh>
    <rPh sb="25" eb="27">
      <t>タイショウ</t>
    </rPh>
    <rPh sb="27" eb="28">
      <t>シャ</t>
    </rPh>
    <rPh sb="37" eb="38">
      <t>モド</t>
    </rPh>
    <phoneticPr fontId="2"/>
  </si>
  <si>
    <t>8名団体で宿泊客3名を含み、対象客は外部の方。複数回注意促すが喫煙を止めないとの事</t>
    <rPh sb="1" eb="2">
      <t>メイ</t>
    </rPh>
    <rPh sb="2" eb="4">
      <t>ダンタイ</t>
    </rPh>
    <rPh sb="5" eb="7">
      <t>シュクハク</t>
    </rPh>
    <rPh sb="7" eb="8">
      <t>キャク</t>
    </rPh>
    <rPh sb="9" eb="10">
      <t>メイ</t>
    </rPh>
    <rPh sb="11" eb="12">
      <t>フク</t>
    </rPh>
    <rPh sb="14" eb="16">
      <t>タイショウ</t>
    </rPh>
    <rPh sb="16" eb="17">
      <t>キャク</t>
    </rPh>
    <rPh sb="18" eb="20">
      <t>ガイブ</t>
    </rPh>
    <rPh sb="21" eb="22">
      <t>カタ</t>
    </rPh>
    <rPh sb="23" eb="26">
      <t>フクスウカイ</t>
    </rPh>
    <rPh sb="26" eb="28">
      <t>チュウイ</t>
    </rPh>
    <rPh sb="28" eb="29">
      <t>ウナガ</t>
    </rPh>
    <rPh sb="31" eb="33">
      <t>キツエン</t>
    </rPh>
    <rPh sb="34" eb="35">
      <t>ヤ</t>
    </rPh>
    <rPh sb="40" eb="41">
      <t>コト</t>
    </rPh>
    <phoneticPr fontId="2"/>
  </si>
  <si>
    <t>立哨依頼があり開始。対象客がトイレに入った為その後を確認すると電子タバコ吸殻確認</t>
    <rPh sb="0" eb="2">
      <t>リッショウ</t>
    </rPh>
    <rPh sb="2" eb="4">
      <t>イライ</t>
    </rPh>
    <rPh sb="7" eb="9">
      <t>カイシ</t>
    </rPh>
    <rPh sb="10" eb="12">
      <t>タイショウ</t>
    </rPh>
    <rPh sb="12" eb="13">
      <t>キャク</t>
    </rPh>
    <rPh sb="18" eb="19">
      <t>ハイ</t>
    </rPh>
    <rPh sb="21" eb="22">
      <t>タメ</t>
    </rPh>
    <rPh sb="24" eb="25">
      <t>アト</t>
    </rPh>
    <rPh sb="26" eb="28">
      <t>カクニン</t>
    </rPh>
    <rPh sb="31" eb="33">
      <t>デンシ</t>
    </rPh>
    <rPh sb="36" eb="38">
      <t>スイガラ</t>
    </rPh>
    <rPh sb="38" eb="40">
      <t>カクニン</t>
    </rPh>
    <phoneticPr fontId="2"/>
  </si>
  <si>
    <t>ゴミ箱の中身は電子タバコの箱と20本相当の吸殻があった。SNB依頼し清掃済み。</t>
    <rPh sb="2" eb="3">
      <t>バコ</t>
    </rPh>
    <rPh sb="4" eb="6">
      <t>ナカミ</t>
    </rPh>
    <rPh sb="7" eb="9">
      <t>デンシ</t>
    </rPh>
    <rPh sb="13" eb="14">
      <t>ハコ</t>
    </rPh>
    <rPh sb="17" eb="18">
      <t>ポン</t>
    </rPh>
    <rPh sb="18" eb="20">
      <t>ソウトウ</t>
    </rPh>
    <rPh sb="21" eb="23">
      <t>スイガラ</t>
    </rPh>
    <rPh sb="31" eb="33">
      <t>イライ</t>
    </rPh>
    <rPh sb="34" eb="37">
      <t>セイソウズ</t>
    </rPh>
    <phoneticPr fontId="2"/>
  </si>
  <si>
    <t>1階風除7施錠の為一旦離脱。又何かあったら連絡を入れてくれるとの事。</t>
    <rPh sb="1" eb="2">
      <t>カイ</t>
    </rPh>
    <rPh sb="2" eb="4">
      <t>フウジョ</t>
    </rPh>
    <rPh sb="5" eb="7">
      <t>セジョウ</t>
    </rPh>
    <rPh sb="8" eb="9">
      <t>タメ</t>
    </rPh>
    <rPh sb="9" eb="11">
      <t>イッタン</t>
    </rPh>
    <rPh sb="11" eb="13">
      <t>リダツ</t>
    </rPh>
    <rPh sb="14" eb="16">
      <t>マタナニ</t>
    </rPh>
    <rPh sb="21" eb="23">
      <t>レンラク</t>
    </rPh>
    <rPh sb="24" eb="25">
      <t>イ</t>
    </rPh>
    <rPh sb="32" eb="33">
      <t>コト</t>
    </rPh>
    <phoneticPr fontId="2"/>
  </si>
  <si>
    <t>1F風除６に黒人女性が居座っている為Duty大庭さんから連絡あり。※以下大庭さんと記載</t>
    <rPh sb="2" eb="4">
      <t>フウジョ</t>
    </rPh>
    <rPh sb="6" eb="8">
      <t>コクジン</t>
    </rPh>
    <rPh sb="8" eb="10">
      <t>ジョセイ</t>
    </rPh>
    <rPh sb="11" eb="13">
      <t>イスワ</t>
    </rPh>
    <rPh sb="17" eb="18">
      <t>タメ</t>
    </rPh>
    <rPh sb="22" eb="24">
      <t>オオバ</t>
    </rPh>
    <rPh sb="28" eb="30">
      <t>レンラク</t>
    </rPh>
    <phoneticPr fontId="2"/>
  </si>
  <si>
    <t>LP二野宮と大庭さん接触後対象女性に大庭さんが敷地外に出るよう促し東京駅方面にいく</t>
    <rPh sb="2" eb="5">
      <t>ニノミヤ</t>
    </rPh>
    <rPh sb="6" eb="8">
      <t>オオバ</t>
    </rPh>
    <rPh sb="10" eb="13">
      <t>セッショクゴ</t>
    </rPh>
    <rPh sb="13" eb="15">
      <t>タイショウ</t>
    </rPh>
    <rPh sb="15" eb="17">
      <t>ジョセイ</t>
    </rPh>
    <rPh sb="18" eb="20">
      <t>オオバ</t>
    </rPh>
    <rPh sb="23" eb="26">
      <t>シキチガイ</t>
    </rPh>
    <rPh sb="27" eb="28">
      <t>デ</t>
    </rPh>
    <rPh sb="31" eb="32">
      <t>ウナガ</t>
    </rPh>
    <rPh sb="33" eb="36">
      <t>トウキョウエキ</t>
    </rPh>
    <rPh sb="36" eb="38">
      <t>ホウメン</t>
    </rPh>
    <phoneticPr fontId="2"/>
  </si>
  <si>
    <t>のを一緒に確認した。</t>
    <rPh sb="2" eb="4">
      <t>イッショ</t>
    </rPh>
    <phoneticPr fontId="2"/>
  </si>
  <si>
    <t>昼間の白人女性が40階ラウンジにいたため大庭さんが対応。</t>
    <rPh sb="0" eb="2">
      <t>ヒルマ</t>
    </rPh>
    <rPh sb="3" eb="7">
      <t>ハクジンジョセイ</t>
    </rPh>
    <rPh sb="10" eb="11">
      <t>カイ</t>
    </rPh>
    <rPh sb="20" eb="22">
      <t>オオバ</t>
    </rPh>
    <rPh sb="25" eb="27">
      <t>タイオウ</t>
    </rPh>
    <phoneticPr fontId="2"/>
  </si>
  <si>
    <t>大庭さんより45階Barへ行ったとの事で一時解散。</t>
    <rPh sb="0" eb="2">
      <t>オオバ</t>
    </rPh>
    <rPh sb="8" eb="9">
      <t>カイ</t>
    </rPh>
    <rPh sb="13" eb="14">
      <t>イ</t>
    </rPh>
    <rPh sb="18" eb="19">
      <t>コト</t>
    </rPh>
    <rPh sb="20" eb="24">
      <t>イチジカイサン</t>
    </rPh>
    <phoneticPr fontId="2"/>
  </si>
  <si>
    <t>Barアンドリューさんから例の団体客が引き続きトイレで喫煙を行い、酒に酔って迷惑を</t>
    <rPh sb="13" eb="14">
      <t>レイ</t>
    </rPh>
    <rPh sb="15" eb="18">
      <t>ダンタイキャク</t>
    </rPh>
    <rPh sb="19" eb="20">
      <t>ヒ</t>
    </rPh>
    <rPh sb="21" eb="22">
      <t>ツヅ</t>
    </rPh>
    <rPh sb="27" eb="29">
      <t>キツエン</t>
    </rPh>
    <rPh sb="30" eb="31">
      <t>オコナ</t>
    </rPh>
    <rPh sb="33" eb="34">
      <t>サケ</t>
    </rPh>
    <rPh sb="35" eb="36">
      <t>ヨ</t>
    </rPh>
    <rPh sb="38" eb="40">
      <t>メイワク</t>
    </rPh>
    <phoneticPr fontId="2"/>
  </si>
  <si>
    <t>被っている為来て欲しいという依頼の電話あり。</t>
    <rPh sb="0" eb="1">
      <t>コウム</t>
    </rPh>
    <rPh sb="5" eb="6">
      <t>タメ</t>
    </rPh>
    <rPh sb="6" eb="7">
      <t>キ</t>
    </rPh>
    <rPh sb="8" eb="9">
      <t>ホ</t>
    </rPh>
    <rPh sb="14" eb="16">
      <t>イライ</t>
    </rPh>
    <rPh sb="17" eb="19">
      <t>デンワ</t>
    </rPh>
    <phoneticPr fontId="2"/>
  </si>
  <si>
    <t>LP山本現着。</t>
    <rPh sb="2" eb="4">
      <t>ヤマモト</t>
    </rPh>
    <rPh sb="4" eb="6">
      <t>ゲンチャク</t>
    </rPh>
    <phoneticPr fontId="2"/>
  </si>
  <si>
    <t>8名団体客チェックとなり、帰宅。喫煙者も帰宅確認。</t>
    <rPh sb="1" eb="2">
      <t>メイ</t>
    </rPh>
    <rPh sb="2" eb="5">
      <t>ダンタイキャク</t>
    </rPh>
    <rPh sb="13" eb="15">
      <t>キタク</t>
    </rPh>
    <rPh sb="16" eb="19">
      <t>キツエンシャ</t>
    </rPh>
    <rPh sb="20" eb="22">
      <t>キタク</t>
    </rPh>
    <rPh sb="22" eb="24">
      <t>カクニン</t>
    </rPh>
    <phoneticPr fontId="2"/>
  </si>
  <si>
    <t>大庭さんから昼間の白人女性が1Fへ降りたため来て欲しいという連絡あり。</t>
    <rPh sb="0" eb="2">
      <t>オオバ</t>
    </rPh>
    <rPh sb="6" eb="8">
      <t>ヒルマ</t>
    </rPh>
    <rPh sb="9" eb="13">
      <t>ハクジンジョセイ</t>
    </rPh>
    <rPh sb="17" eb="18">
      <t>オ</t>
    </rPh>
    <rPh sb="22" eb="23">
      <t>キ</t>
    </rPh>
    <rPh sb="24" eb="25">
      <t>ホ</t>
    </rPh>
    <rPh sb="30" eb="32">
      <t>レンラク</t>
    </rPh>
    <phoneticPr fontId="2"/>
  </si>
  <si>
    <t>LP山本現着。ホテルで預かっていた紙袋を白人女性へ返却</t>
    <rPh sb="2" eb="4">
      <t>ヤマモト</t>
    </rPh>
    <rPh sb="4" eb="6">
      <t>ゲンチャク</t>
    </rPh>
    <rPh sb="11" eb="12">
      <t>アズ</t>
    </rPh>
    <rPh sb="17" eb="19">
      <t>カミブクロ</t>
    </rPh>
    <rPh sb="20" eb="24">
      <t>ハクジンジョセイ</t>
    </rPh>
    <rPh sb="25" eb="27">
      <t>ヘンキャク</t>
    </rPh>
    <phoneticPr fontId="2"/>
  </si>
  <si>
    <t>１F車寄せにタクシーを呼び、帰宅</t>
    <rPh sb="2" eb="4">
      <t>クルマヨ</t>
    </rPh>
    <rPh sb="11" eb="12">
      <t>ヨ</t>
    </rPh>
    <rPh sb="14" eb="16">
      <t>キタク</t>
    </rPh>
    <phoneticPr fontId="2"/>
  </si>
  <si>
    <t>対象者が1階前室6（商業側）より退館したことを確認し、観察終了。　※以下 対象者１</t>
    <rPh sb="0" eb="3">
      <t>タイショウシャ</t>
    </rPh>
    <rPh sb="5" eb="6">
      <t>カイ</t>
    </rPh>
    <rPh sb="6" eb="8">
      <t>ゼンシツ</t>
    </rPh>
    <rPh sb="10" eb="12">
      <t>ショウギョウ</t>
    </rPh>
    <rPh sb="12" eb="13">
      <t>ガワ</t>
    </rPh>
    <rPh sb="16" eb="18">
      <t>タイカン</t>
    </rPh>
    <rPh sb="23" eb="25">
      <t>カクニン</t>
    </rPh>
    <rPh sb="27" eb="29">
      <t>カンサツ</t>
    </rPh>
    <rPh sb="29" eb="31">
      <t>シュウリョウ</t>
    </rPh>
    <rPh sb="34" eb="36">
      <t>イカ</t>
    </rPh>
    <rPh sb="37" eb="39">
      <t>タイショウ</t>
    </rPh>
    <rPh sb="39" eb="40">
      <t>シャ</t>
    </rPh>
    <phoneticPr fontId="2"/>
  </si>
  <si>
    <t>BARスタッフより複数回注意を行うも改善されず。　※以下 対象者2</t>
    <rPh sb="26" eb="28">
      <t>イカ</t>
    </rPh>
    <phoneticPr fontId="2"/>
  </si>
  <si>
    <t>対象者2の動向監視を終了。</t>
    <phoneticPr fontId="2"/>
  </si>
  <si>
    <t>1F風除室7付近（外）に黒人女性が滞留しているとのことでDuty大庭さんより連絡あり。</t>
    <rPh sb="9" eb="10">
      <t>ソト</t>
    </rPh>
    <rPh sb="12" eb="14">
      <t>コクジン</t>
    </rPh>
    <phoneticPr fontId="2"/>
  </si>
  <si>
    <t>Duty大庭さんが対象者へ声掛けを行い、東京駅方面へ移動したことを確認。</t>
    <rPh sb="11" eb="12">
      <t>シャ</t>
    </rPh>
    <phoneticPr fontId="2"/>
  </si>
  <si>
    <t>昼間に対応した対象者1を40Fラウンジにて確認。Duty大庭さんが対応を実施。</t>
    <phoneticPr fontId="2"/>
  </si>
  <si>
    <t>対象者1が45F BARへ移動したため経過観察とした。</t>
    <phoneticPr fontId="2"/>
  </si>
  <si>
    <t>BARアンドリューさんより、対象者２団体利用客が引き続きトイレ内で喫煙し、</t>
    <rPh sb="14" eb="17">
      <t>タイショウシャ</t>
    </rPh>
    <phoneticPr fontId="2"/>
  </si>
  <si>
    <t>他ゲストへ迷惑を掛けているとの連絡あり。</t>
    <phoneticPr fontId="2"/>
  </si>
  <si>
    <t>LP山本が現地対応を実施。</t>
    <phoneticPr fontId="2"/>
  </si>
  <si>
    <t>対象者２団体及び喫煙者の退館を確認し、対応終了。</t>
    <rPh sb="2" eb="3">
      <t>シャ</t>
    </rPh>
    <phoneticPr fontId="2"/>
  </si>
  <si>
    <t>Duty大庭さんより、対象者１が1Fへ移動したとの連絡あり。</t>
    <rPh sb="11" eb="14">
      <t>タイショウシャ</t>
    </rPh>
    <phoneticPr fontId="2"/>
  </si>
  <si>
    <t>LP山本が現地対応を実施。Duty大庭さんがホテル保管中の紙袋を返却。</t>
    <phoneticPr fontId="2"/>
  </si>
  <si>
    <t>1Fホテル車寄せよりタクシーへ乗車し退館を確認。</t>
    <phoneticPr fontId="2"/>
  </si>
  <si>
    <t>ITV確認対応。FD矢野さんより、4418号室宿泊ゲストへ手紙を渡すよう要求したゲスト</t>
    <phoneticPr fontId="2"/>
  </si>
  <si>
    <t>について、行動確認依頼あり。ITV映像を確認したところ、対象男性は19:07にフロント</t>
    <phoneticPr fontId="2"/>
  </si>
  <si>
    <t>デスクを離れた後、1階へ移動。ホテル車寄せに停車していた黒色車両（No.5512）へ乗車</t>
    <phoneticPr fontId="2"/>
  </si>
  <si>
    <t>し、19:11にホテルを離れたことを確認。確認結果をFD矢野さんへ報告実施。</t>
    <phoneticPr fontId="2"/>
  </si>
  <si>
    <t>メール室確認。郵便物3通。（1通はGSへ、2通はLPO保管中）</t>
    <rPh sb="3" eb="4">
      <t>シツ</t>
    </rPh>
    <rPh sb="4" eb="6">
      <t>カクニン</t>
    </rPh>
    <rPh sb="7" eb="10">
      <t>ユウビンブツ</t>
    </rPh>
    <rPh sb="11" eb="12">
      <t>ツウ</t>
    </rPh>
    <rPh sb="15" eb="16">
      <t>ツウ</t>
    </rPh>
    <rPh sb="22" eb="23">
      <t>ツウ</t>
    </rPh>
    <rPh sb="27" eb="29">
      <t>ホカン</t>
    </rPh>
    <rPh sb="29" eb="30">
      <t>チュウ</t>
    </rPh>
    <phoneticPr fontId="2"/>
  </si>
  <si>
    <t>配膳スタッフ女性（FINE）のヤダナさんが、配膳スタッフ用ロッカーの暗証</t>
    <rPh sb="0" eb="2">
      <t>ハイゼン</t>
    </rPh>
    <rPh sb="6" eb="8">
      <t>ジョセイ</t>
    </rPh>
    <rPh sb="22" eb="24">
      <t>ハイゼン</t>
    </rPh>
    <rPh sb="28" eb="29">
      <t>ヨウ</t>
    </rPh>
    <rPh sb="34" eb="36">
      <t>アンショウ</t>
    </rPh>
    <phoneticPr fontId="2"/>
  </si>
  <si>
    <t>番号が分からなくなり、LPOに解錠依頼あり。ご本人、LP二野宮、IRD鈴木さん</t>
    <rPh sb="0" eb="2">
      <t>バンゴウ</t>
    </rPh>
    <rPh sb="3" eb="4">
      <t>ワ</t>
    </rPh>
    <rPh sb="15" eb="17">
      <t>カイジョウ</t>
    </rPh>
    <rPh sb="17" eb="19">
      <t>イライ</t>
    </rPh>
    <rPh sb="23" eb="25">
      <t>ホンニン</t>
    </rPh>
    <rPh sb="28" eb="31">
      <t>ニノミヤ</t>
    </rPh>
    <rPh sb="35" eb="37">
      <t>スズキ</t>
    </rPh>
    <phoneticPr fontId="2"/>
  </si>
  <si>
    <t>不審ゲスト対応（女性3名組）。Duty福浪さんより、館内でスマートフォンによる撮影を</t>
    <phoneticPr fontId="2"/>
  </si>
  <si>
    <t>行っていた女性3名組について、宿泊ゲストよりクレームが発生した為、行動履歴確認依頼</t>
    <phoneticPr fontId="2"/>
  </si>
  <si>
    <t>ITV映像を確認し、入館時間、移動経路、撮影場所・時間及び退館経路について調査を実施。</t>
    <phoneticPr fontId="2"/>
  </si>
  <si>
    <t>確認結果を時系列にまとめ、Duty福浪さんへ報告実施。</t>
    <phoneticPr fontId="2"/>
  </si>
  <si>
    <t>パニックアラームテスト実施 客室4101、4110  計8カ所 異常無し。</t>
    <rPh sb="27" eb="28">
      <t>ケイ</t>
    </rPh>
    <phoneticPr fontId="2"/>
  </si>
  <si>
    <t>※</t>
  </si>
  <si>
    <t>メール室確認。郵便物無し。</t>
  </si>
  <si>
    <t>DM フクナミさんより、館内を撮影している女性のがいて、①その方の行動内容と、</t>
    <rPh sb="12" eb="14">
      <t>カンナイ</t>
    </rPh>
    <rPh sb="15" eb="17">
      <t>サツエイ</t>
    </rPh>
    <rPh sb="21" eb="23">
      <t>ジョセイ</t>
    </rPh>
    <rPh sb="31" eb="32">
      <t>カタ</t>
    </rPh>
    <rPh sb="33" eb="35">
      <t>コウドウ</t>
    </rPh>
    <rPh sb="35" eb="37">
      <t>ナイヨウ</t>
    </rPh>
    <phoneticPr fontId="2"/>
  </si>
  <si>
    <t>②宿泊のお客様が映りこむような迷惑がかかってないかCCTVで確認して欲しい。</t>
    <rPh sb="5" eb="7">
      <t>キャクサマ</t>
    </rPh>
    <rPh sb="8" eb="9">
      <t>ウツ</t>
    </rPh>
    <rPh sb="15" eb="17">
      <t>メイワク</t>
    </rPh>
    <rPh sb="30" eb="32">
      <t>カクニン</t>
    </rPh>
    <rPh sb="34" eb="35">
      <t>ホ</t>
    </rPh>
    <phoneticPr fontId="2"/>
  </si>
  <si>
    <t>との依頼があった。②宿泊のお客様に迷惑がかかることは無かった。</t>
    <rPh sb="2" eb="4">
      <t>イライ</t>
    </rPh>
    <rPh sb="10" eb="12">
      <t>シュクハク</t>
    </rPh>
    <rPh sb="14" eb="16">
      <t>キャクサマ</t>
    </rPh>
    <rPh sb="17" eb="19">
      <t>メイワク</t>
    </rPh>
    <rPh sb="26" eb="27">
      <t>ナ</t>
    </rPh>
    <phoneticPr fontId="2"/>
  </si>
  <si>
    <t>①その女性の行動は以下の通りだった。</t>
    <rPh sb="3" eb="5">
      <t>ジョセイ</t>
    </rPh>
    <rPh sb="6" eb="8">
      <t>コウドウ</t>
    </rPh>
    <rPh sb="9" eb="11">
      <t>イカ</t>
    </rPh>
    <rPh sb="12" eb="13">
      <t>トオ</t>
    </rPh>
    <phoneticPr fontId="2"/>
  </si>
  <si>
    <t xml:space="preserve"> 0:10　１Fエントランスから入場した。</t>
    <rPh sb="16" eb="18">
      <t>ニュウジョウ</t>
    </rPh>
    <phoneticPr fontId="2"/>
  </si>
  <si>
    <t xml:space="preserve"> 0:12～0:16　１FでGS Luさんと話されていた。</t>
    <rPh sb="22" eb="23">
      <t>ハナシ</t>
    </rPh>
    <phoneticPr fontId="2"/>
  </si>
  <si>
    <t xml:space="preserve"> 0:17 40FへEL-HS1で上がられ、エレベーターホールを撮影していた。</t>
    <rPh sb="17" eb="18">
      <t>ア</t>
    </rPh>
    <rPh sb="32" eb="34">
      <t>サツエイ</t>
    </rPh>
    <phoneticPr fontId="2"/>
  </si>
  <si>
    <t xml:space="preserve"> 0:19～ラウンジ方面へ姿を消した。</t>
    <rPh sb="10" eb="12">
      <t>ホウメン</t>
    </rPh>
    <rPh sb="13" eb="14">
      <t>スガタ</t>
    </rPh>
    <rPh sb="15" eb="16">
      <t>キ</t>
    </rPh>
    <phoneticPr fontId="2"/>
  </si>
  <si>
    <t xml:space="preserve"> 0:25～ブライダル方面へ姿を消した。</t>
    <rPh sb="14" eb="15">
      <t>スガタ</t>
    </rPh>
    <phoneticPr fontId="2"/>
  </si>
  <si>
    <t xml:space="preserve"> 0:30～0:41 盆栽「五葉松」を撮影する。　</t>
    <phoneticPr fontId="2"/>
  </si>
  <si>
    <t xml:space="preserve"> 0:41～0:43 フロント周辺を撮影する。</t>
    <phoneticPr fontId="2"/>
  </si>
  <si>
    <t xml:space="preserve"> 0:45～42FへELV HL-2で42Fへ上がられる。</t>
    <phoneticPr fontId="2"/>
  </si>
  <si>
    <t xml:space="preserve"> 0:45 CCTV 42F 客室廊下13の映像以降消えた。どの客室に入られたかは不明。</t>
    <rPh sb="32" eb="34">
      <t>キャクシツ</t>
    </rPh>
    <rPh sb="35" eb="36">
      <t>ハイ</t>
    </rPh>
    <rPh sb="41" eb="43">
      <t>フメイ</t>
    </rPh>
    <phoneticPr fontId="2"/>
  </si>
  <si>
    <t>日B-1</t>
    <rPh sb="0" eb="1">
      <t>ヒ</t>
    </rPh>
    <phoneticPr fontId="10"/>
  </si>
  <si>
    <t>日B-2</t>
    <rPh sb="0" eb="1">
      <t>ヒ</t>
    </rPh>
    <phoneticPr fontId="10"/>
  </si>
  <si>
    <t>MIRAへ6/21発生のインシデントレポートの入力作業補助及び提出補助を行う。</t>
    <rPh sb="27" eb="29">
      <t>ホジョ</t>
    </rPh>
    <rPh sb="33" eb="35">
      <t>ホジョ</t>
    </rPh>
    <phoneticPr fontId="2"/>
  </si>
  <si>
    <t>消防訓練に伴い、事前確認の一環として訓練用消火器の水圧・放水確認を行う。異常無し</t>
    <rPh sb="0" eb="4">
      <t>ショウボウクンレン</t>
    </rPh>
    <rPh sb="5" eb="6">
      <t>トモナ</t>
    </rPh>
    <rPh sb="8" eb="10">
      <t>ジゼン</t>
    </rPh>
    <rPh sb="10" eb="12">
      <t>カクニン</t>
    </rPh>
    <rPh sb="13" eb="15">
      <t>イッカン</t>
    </rPh>
    <rPh sb="18" eb="21">
      <t>クンレンヨウ</t>
    </rPh>
    <rPh sb="21" eb="24">
      <t>ショウカキ</t>
    </rPh>
    <rPh sb="25" eb="27">
      <t>スイアツ</t>
    </rPh>
    <rPh sb="28" eb="30">
      <t>ホウスイ</t>
    </rPh>
    <rPh sb="30" eb="32">
      <t>カクニン</t>
    </rPh>
    <rPh sb="33" eb="34">
      <t>オコナ</t>
    </rPh>
    <rPh sb="36" eb="39">
      <t>イジョウナ</t>
    </rPh>
    <phoneticPr fontId="2"/>
  </si>
  <si>
    <t>メール室確認。郵便物10通、仕分け実施済み。</t>
    <rPh sb="3" eb="4">
      <t>シツ</t>
    </rPh>
    <rPh sb="4" eb="6">
      <t>カクニン</t>
    </rPh>
    <rPh sb="7" eb="10">
      <t>ユウビンブツ</t>
    </rPh>
    <rPh sb="12" eb="13">
      <t>ツウ</t>
    </rPh>
    <rPh sb="14" eb="16">
      <t>シワ</t>
    </rPh>
    <rPh sb="17" eb="19">
      <t>ジッシ</t>
    </rPh>
    <rPh sb="19" eb="20">
      <t>ズ</t>
    </rPh>
    <phoneticPr fontId="2"/>
  </si>
  <si>
    <t>緊急呼出発報（4101号室）。FDへ連絡後、LP三角及び藤井が現地確認を実施。</t>
    <phoneticPr fontId="2"/>
  </si>
  <si>
    <t>ゲストは既にチェックアウト済みであり、HSKPスタッフが清掃作業中に非常ボタンへ</t>
    <phoneticPr fontId="2"/>
  </si>
  <si>
    <t>接触したことが原因と判明。現地確認後、14:35復旧対応実施。</t>
    <phoneticPr fontId="2"/>
  </si>
  <si>
    <t>HSKPに貸出していたGRMKのM137583が磁気不良の為、M137624を転用する。</t>
    <rPh sb="5" eb="7">
      <t>カシダ</t>
    </rPh>
    <rPh sb="24" eb="28">
      <t>ジキフリョウ</t>
    </rPh>
    <rPh sb="29" eb="30">
      <t>タメ</t>
    </rPh>
    <rPh sb="39" eb="41">
      <t>テンヨウ</t>
    </rPh>
    <phoneticPr fontId="2"/>
  </si>
  <si>
    <t>セキュリティカード2221が紛失した為、権限を停止する。</t>
    <rPh sb="14" eb="16">
      <t>フンシツ</t>
    </rPh>
    <rPh sb="18" eb="19">
      <t>タメ</t>
    </rPh>
    <rPh sb="20" eb="22">
      <t>ケンゲン</t>
    </rPh>
    <rPh sb="23" eb="25">
      <t>テイシ</t>
    </rPh>
    <phoneticPr fontId="2"/>
  </si>
  <si>
    <t>セキュリティカード19592を再発行し、個別権限付与を行う。</t>
    <rPh sb="15" eb="18">
      <t>サイハッコウ</t>
    </rPh>
    <rPh sb="20" eb="26">
      <t>コベツケンゲンフヨ</t>
    </rPh>
    <rPh sb="27" eb="28">
      <t>オコナ</t>
    </rPh>
    <phoneticPr fontId="2"/>
  </si>
  <si>
    <t>セキュリティカード2413に個別権限付与を行う。</t>
    <rPh sb="14" eb="20">
      <t>コベツケンゲンフヨ</t>
    </rPh>
    <rPh sb="21" eb="22">
      <t>オコナ</t>
    </rPh>
    <phoneticPr fontId="2"/>
  </si>
  <si>
    <t>45階ルーフトップテラス1</t>
    <phoneticPr fontId="2"/>
  </si>
  <si>
    <t>45階ルーフトップテラス2</t>
  </si>
  <si>
    <t>44階4418号室</t>
    <rPh sb="2" eb="3">
      <t>カイ</t>
    </rPh>
    <rPh sb="7" eb="9">
      <t>ゴウシツ</t>
    </rPh>
    <phoneticPr fontId="2"/>
  </si>
  <si>
    <t>45階屋外ストレージ２</t>
    <rPh sb="2" eb="3">
      <t>カイ</t>
    </rPh>
    <rPh sb="3" eb="5">
      <t>オクガイ</t>
    </rPh>
    <phoneticPr fontId="2"/>
  </si>
  <si>
    <t>Duty福浪さんより対象者のITV監視依頼あり。（6/19～要注意人物。）</t>
    <rPh sb="30" eb="35">
      <t>ヨウチュウイジンブツ</t>
    </rPh>
    <phoneticPr fontId="2"/>
  </si>
  <si>
    <t>Duty福浪さんより現場対応依頼あり。LP三角が現地対応を実施。</t>
    <phoneticPr fontId="2"/>
  </si>
  <si>
    <t>対象者は支払いができず、同行者との連絡を待っている状況を確認。</t>
    <phoneticPr fontId="2"/>
  </si>
  <si>
    <t>翌日に支払いを行うことで対応を進める事となり、Duty福浪さんより対応終了の指示あり。</t>
    <rPh sb="18" eb="19">
      <t>コト</t>
    </rPh>
    <phoneticPr fontId="2"/>
  </si>
  <si>
    <t>4418号室の4419号室側のドアが解錠状態となっていた為、Duty福浪さんよりITV確認依頼</t>
    <phoneticPr fontId="2"/>
  </si>
  <si>
    <t>あり。ITV映像を確認したところ、19:19にHSKPスタッフが解錠し入室していたことを確認。</t>
    <phoneticPr fontId="2"/>
  </si>
  <si>
    <t>Duty福浪さん指示によりLP三角が現地確認を実施。室内無人を確認し、施錠対応実施。</t>
    <phoneticPr fontId="2"/>
  </si>
  <si>
    <t>メール室確認。郵便物無し。</t>
    <rPh sb="3" eb="4">
      <t>シツ</t>
    </rPh>
    <rPh sb="4" eb="6">
      <t>カクニン</t>
    </rPh>
    <rPh sb="7" eb="10">
      <t>ユウビンブツ</t>
    </rPh>
    <rPh sb="10" eb="11">
      <t>ナ</t>
    </rPh>
    <phoneticPr fontId="2"/>
  </si>
  <si>
    <t>建築設備点検 排煙風量測定に伴う、解錠対応および業者立会い実施。LP三角。</t>
    <rPh sb="0" eb="2">
      <t>ケンチク</t>
    </rPh>
    <rPh sb="2" eb="4">
      <t>セツビ</t>
    </rPh>
    <rPh sb="4" eb="6">
      <t>テンケン</t>
    </rPh>
    <rPh sb="7" eb="9">
      <t>ハイエン</t>
    </rPh>
    <rPh sb="9" eb="11">
      <t>フウリョウ</t>
    </rPh>
    <rPh sb="11" eb="13">
      <t>ソクテイ</t>
    </rPh>
    <rPh sb="14" eb="15">
      <t>トモナ</t>
    </rPh>
    <rPh sb="17" eb="21">
      <t>カイジョウタイオウ</t>
    </rPh>
    <rPh sb="24" eb="26">
      <t>ギョウシャ</t>
    </rPh>
    <rPh sb="26" eb="28">
      <t>タチア</t>
    </rPh>
    <rPh sb="29" eb="31">
      <t>ジッシ</t>
    </rPh>
    <rPh sb="34" eb="36">
      <t>ミスミ</t>
    </rPh>
    <phoneticPr fontId="2"/>
  </si>
  <si>
    <t>メール室確認。郵便物7通、仕分け実施済み。</t>
    <rPh sb="3" eb="4">
      <t>シツ</t>
    </rPh>
    <rPh sb="4" eb="6">
      <t>カクニン</t>
    </rPh>
    <rPh sb="7" eb="10">
      <t>ユウビンブツ</t>
    </rPh>
    <rPh sb="11" eb="12">
      <t>ツウ</t>
    </rPh>
    <rPh sb="13" eb="15">
      <t>シワ</t>
    </rPh>
    <rPh sb="16" eb="18">
      <t>ジッシ</t>
    </rPh>
    <rPh sb="18" eb="19">
      <t>ズ</t>
    </rPh>
    <phoneticPr fontId="2"/>
  </si>
  <si>
    <t>セキュリティカード2358、2369の権限確認と権限付与を行う。</t>
    <rPh sb="19" eb="21">
      <t>ケンゲン</t>
    </rPh>
    <rPh sb="21" eb="23">
      <t>カクニン</t>
    </rPh>
    <rPh sb="24" eb="28">
      <t>ケンゲンフヨ</t>
    </rPh>
    <rPh sb="29" eb="30">
      <t>オコナ</t>
    </rPh>
    <phoneticPr fontId="2"/>
  </si>
  <si>
    <t>セキュリティカード2524に個別権限付与を行う。</t>
    <rPh sb="14" eb="20">
      <t>コベツケンゲンフヨ</t>
    </rPh>
    <rPh sb="21" eb="22">
      <t>オコナ</t>
    </rPh>
    <phoneticPr fontId="2"/>
  </si>
  <si>
    <t>緊急呼出発報（客室4110号室）ゲストが誤って接触した為。</t>
    <rPh sb="0" eb="2">
      <t>キンキュウ</t>
    </rPh>
    <rPh sb="2" eb="4">
      <t>ヨビダシ</t>
    </rPh>
    <rPh sb="4" eb="6">
      <t>ハッポウ</t>
    </rPh>
    <rPh sb="7" eb="9">
      <t>キャクシツ</t>
    </rPh>
    <rPh sb="13" eb="15">
      <t>ゴウシツ</t>
    </rPh>
    <rPh sb="20" eb="21">
      <t>アヤマ</t>
    </rPh>
    <rPh sb="23" eb="25">
      <t>セッショク</t>
    </rPh>
    <rPh sb="27" eb="28">
      <t>タメ</t>
    </rPh>
    <phoneticPr fontId="2"/>
  </si>
  <si>
    <t>ホテルスタッフも現場に居合わせており、電話にて誤報連絡あり。</t>
    <rPh sb="8" eb="10">
      <t>ゲンバ</t>
    </rPh>
    <rPh sb="11" eb="13">
      <t>イア</t>
    </rPh>
    <rPh sb="19" eb="21">
      <t>デンワ</t>
    </rPh>
    <rPh sb="23" eb="27">
      <t>ゴホウレンラク</t>
    </rPh>
    <phoneticPr fontId="2"/>
  </si>
  <si>
    <t>復旧。ENGに共有済み。</t>
    <rPh sb="0" eb="2">
      <t>フッキュウ</t>
    </rPh>
    <rPh sb="7" eb="10">
      <t>キョウユウズ</t>
    </rPh>
    <phoneticPr fontId="2"/>
  </si>
  <si>
    <t>地震発生 岩手県沖 現地震度6強 中央区 震度２ EV等異常無し</t>
    <rPh sb="0" eb="4">
      <t>ジシンハッセイ</t>
    </rPh>
    <rPh sb="5" eb="8">
      <t>イワテケン</t>
    </rPh>
    <rPh sb="8" eb="9">
      <t>オキ</t>
    </rPh>
    <rPh sb="10" eb="12">
      <t>ゲンチ</t>
    </rPh>
    <rPh sb="12" eb="14">
      <t>シンド</t>
    </rPh>
    <rPh sb="15" eb="16">
      <t>キョウ</t>
    </rPh>
    <rPh sb="17" eb="20">
      <t>チュウオウク</t>
    </rPh>
    <rPh sb="21" eb="23">
      <t>シンド</t>
    </rPh>
    <rPh sb="27" eb="28">
      <t>トウ</t>
    </rPh>
    <rPh sb="28" eb="31">
      <t>イジョウナ</t>
    </rPh>
    <phoneticPr fontId="2"/>
  </si>
  <si>
    <t>日C/夜A</t>
    <rPh sb="0" eb="1">
      <t>ニチ</t>
    </rPh>
    <phoneticPr fontId="3"/>
  </si>
  <si>
    <t>客室カードの確認作業を行う。</t>
    <rPh sb="0" eb="2">
      <t>キャクシツ</t>
    </rPh>
    <rPh sb="6" eb="10">
      <t>カクニンサギョウ</t>
    </rPh>
    <rPh sb="11" eb="12">
      <t>オコナ</t>
    </rPh>
    <phoneticPr fontId="2"/>
  </si>
  <si>
    <t>41階TR１室</t>
    <rPh sb="2" eb="3">
      <t>カイ</t>
    </rPh>
    <rPh sb="6" eb="7">
      <t>シツ</t>
    </rPh>
    <phoneticPr fontId="2"/>
  </si>
  <si>
    <t>４０階風除室４</t>
    <rPh sb="2" eb="3">
      <t>カイ</t>
    </rPh>
    <rPh sb="3" eb="6">
      <t>フウジョシツ</t>
    </rPh>
    <phoneticPr fontId="2"/>
  </si>
  <si>
    <t>３９階白洋舎</t>
    <phoneticPr fontId="2"/>
  </si>
  <si>
    <t>地震発生。震源：千葉県北東部、最大震度４。中央区震度2を観測。</t>
    <rPh sb="0" eb="4">
      <t>ジシンハッセイ</t>
    </rPh>
    <rPh sb="8" eb="11">
      <t>チバケン</t>
    </rPh>
    <rPh sb="11" eb="14">
      <t>ホクトウブ</t>
    </rPh>
    <rPh sb="15" eb="19">
      <t>サイダイシンド</t>
    </rPh>
    <rPh sb="21" eb="24">
      <t>チュウオウク</t>
    </rPh>
    <rPh sb="24" eb="26">
      <t>シンド</t>
    </rPh>
    <phoneticPr fontId="2"/>
  </si>
  <si>
    <t>館内及びエレベーターの状況を確認し、異常無し。</t>
    <phoneticPr fontId="2"/>
  </si>
  <si>
    <t>メール室確認。郵便物9通、仕分け実施済み。</t>
    <rPh sb="3" eb="4">
      <t>シツ</t>
    </rPh>
    <rPh sb="4" eb="6">
      <t>カクニン</t>
    </rPh>
    <rPh sb="7" eb="10">
      <t>ユウビンブツ</t>
    </rPh>
    <rPh sb="11" eb="12">
      <t>ツウ</t>
    </rPh>
    <rPh sb="13" eb="15">
      <t>シワ</t>
    </rPh>
    <rPh sb="16" eb="18">
      <t>ジッシ</t>
    </rPh>
    <rPh sb="18" eb="19">
      <t>ズ</t>
    </rPh>
    <phoneticPr fontId="2"/>
  </si>
  <si>
    <t>セキュリティカード19539，28400，19603，19572，28392，28393，19579の7件</t>
    <rPh sb="52" eb="53">
      <t>ケン</t>
    </rPh>
    <phoneticPr fontId="2"/>
  </si>
  <si>
    <t>　</t>
    <phoneticPr fontId="2"/>
  </si>
  <si>
    <t>権限変更を行う。</t>
    <rPh sb="0" eb="2">
      <t>ケンゲン</t>
    </rPh>
    <rPh sb="2" eb="4">
      <t>ヘンコウ</t>
    </rPh>
    <rPh sb="5" eb="6">
      <t>オコナ</t>
    </rPh>
    <phoneticPr fontId="2"/>
  </si>
  <si>
    <t>山梨県東部</t>
    <rPh sb="0" eb="3">
      <t>ヤマナシケン</t>
    </rPh>
    <rPh sb="3" eb="5">
      <t>トウブ</t>
    </rPh>
    <phoneticPr fontId="2"/>
  </si>
  <si>
    <t>●</t>
  </si>
  <si>
    <t>6/30に開催される消火器訓練に伴い、CTEへ掲載する文言、POPのデザインを作成。</t>
    <rPh sb="5" eb="7">
      <t>カイサイ</t>
    </rPh>
    <rPh sb="10" eb="13">
      <t>ショウカキ</t>
    </rPh>
    <rPh sb="13" eb="15">
      <t>クンレン</t>
    </rPh>
    <rPh sb="16" eb="17">
      <t>トモナ</t>
    </rPh>
    <rPh sb="23" eb="25">
      <t>ケイサイ</t>
    </rPh>
    <rPh sb="27" eb="29">
      <t>モンゴン</t>
    </rPh>
    <rPh sb="39" eb="41">
      <t>サクセイ</t>
    </rPh>
    <phoneticPr fontId="2"/>
  </si>
  <si>
    <t>CTEへ掲載する。</t>
    <rPh sb="4" eb="6">
      <t>ケイサイ</t>
    </rPh>
    <phoneticPr fontId="2"/>
  </si>
  <si>
    <t>地震発生。震源：山梨県東部、最大震度6弱。中央区震度3を観測。</t>
    <phoneticPr fontId="2"/>
  </si>
  <si>
    <t>全エレベーターの閉じ込めが無いことを確認し、ENG、フロントへ情報共有実施。</t>
    <phoneticPr fontId="2"/>
  </si>
  <si>
    <t>地震収束後、LP二野宮が44F～40Fの館内巡回を実施。</t>
    <rPh sb="0" eb="2">
      <t>ジシン</t>
    </rPh>
    <rPh sb="2" eb="4">
      <t>シュウソク</t>
    </rPh>
    <rPh sb="4" eb="5">
      <t>ゴ</t>
    </rPh>
    <rPh sb="8" eb="9">
      <t>ニ</t>
    </rPh>
    <rPh sb="9" eb="10">
      <t>ノ</t>
    </rPh>
    <rPh sb="10" eb="11">
      <t>ミヤ</t>
    </rPh>
    <rPh sb="20" eb="22">
      <t>カンナイ</t>
    </rPh>
    <rPh sb="22" eb="24">
      <t>ジュンカイ</t>
    </rPh>
    <rPh sb="25" eb="27">
      <t>ジッシ</t>
    </rPh>
    <phoneticPr fontId="2"/>
  </si>
  <si>
    <t>プール、照明設備及び館内に異常が無いことを確認。</t>
    <phoneticPr fontId="2"/>
  </si>
  <si>
    <t>防災センターにて館内放送を実施。エレベーターの通常運転復旧を案内。</t>
    <rPh sb="0" eb="2">
      <t>ボウサイ</t>
    </rPh>
    <rPh sb="8" eb="10">
      <t>カンナイ</t>
    </rPh>
    <rPh sb="10" eb="12">
      <t>ホウソウ</t>
    </rPh>
    <rPh sb="13" eb="15">
      <t>ジッシ</t>
    </rPh>
    <rPh sb="23" eb="25">
      <t>ツウジョウ</t>
    </rPh>
    <rPh sb="25" eb="27">
      <t>ウンテン</t>
    </rPh>
    <rPh sb="27" eb="29">
      <t>フッキュウ</t>
    </rPh>
    <rPh sb="30" eb="32">
      <t>アンナイ</t>
    </rPh>
    <phoneticPr fontId="2"/>
  </si>
  <si>
    <t>40F男性パブリックトイレ更衣室内にゲストが閉じ込められていることを、巡回中の</t>
    <phoneticPr fontId="2"/>
  </si>
  <si>
    <t>LP松葉が発見。戻りの遅いゲストを確認に来たBQT真田さんと合流。</t>
    <rPh sb="2" eb="4">
      <t>マツバ</t>
    </rPh>
    <rPh sb="5" eb="7">
      <t>ハッケン</t>
    </rPh>
    <rPh sb="8" eb="9">
      <t>モド</t>
    </rPh>
    <rPh sb="11" eb="12">
      <t>オソ</t>
    </rPh>
    <rPh sb="17" eb="19">
      <t>カクニン</t>
    </rPh>
    <rPh sb="20" eb="21">
      <t>キ</t>
    </rPh>
    <rPh sb="25" eb="27">
      <t>サナダ</t>
    </rPh>
    <rPh sb="30" eb="32">
      <t>ゴウリュウ</t>
    </rPh>
    <phoneticPr fontId="2"/>
  </si>
  <si>
    <t>ENGへ連絡し、ENG江木さん、二宮さん及び沼倉さんが現地対応を実施。</t>
    <phoneticPr fontId="2"/>
  </si>
  <si>
    <t>ENG作業中、LP松葉が立哨警備を実施。</t>
    <phoneticPr fontId="2"/>
  </si>
  <si>
    <t>ENGによる応急作業が完了。LPの立哨警備を終了し、通常業務へ復帰。</t>
    <phoneticPr fontId="2"/>
  </si>
  <si>
    <t>本事案についてMIRAへ登録、提出済み。</t>
    <rPh sb="15" eb="17">
      <t>テイシュツ</t>
    </rPh>
    <phoneticPr fontId="2"/>
  </si>
  <si>
    <t>巡回時40F男性WC 5ヶ所、喫煙室、多目的WCのドアノブ関係異常なし。</t>
    <rPh sb="0" eb="3">
      <t>ジュンカイジ</t>
    </rPh>
    <rPh sb="13" eb="14">
      <t>ショ</t>
    </rPh>
    <rPh sb="15" eb="18">
      <t>キツエンシツ</t>
    </rPh>
    <rPh sb="19" eb="22">
      <t>タモクテキ</t>
    </rPh>
    <rPh sb="29" eb="31">
      <t>カンケイ</t>
    </rPh>
    <rPh sb="31" eb="33">
      <t>イジョウ</t>
    </rPh>
    <phoneticPr fontId="2"/>
  </si>
  <si>
    <t>メール室確認。郵便物2通、仕分け実施済み。(GS、ウェディング）</t>
    <rPh sb="3" eb="4">
      <t>シツ</t>
    </rPh>
    <rPh sb="4" eb="6">
      <t>カクニン</t>
    </rPh>
    <rPh sb="7" eb="10">
      <t>ユウビンブツ</t>
    </rPh>
    <rPh sb="11" eb="12">
      <t>ツウ</t>
    </rPh>
    <rPh sb="13" eb="15">
      <t>シワ</t>
    </rPh>
    <rPh sb="16" eb="18">
      <t>ジッシ</t>
    </rPh>
    <rPh sb="18" eb="19">
      <t>ズ</t>
    </rPh>
    <phoneticPr fontId="2"/>
  </si>
  <si>
    <t>巡回時40F、41F、45F全エリア空鍵異常無し。</t>
    <rPh sb="0" eb="3">
      <t>ジュンカイジ</t>
    </rPh>
    <rPh sb="14" eb="15">
      <t>ゼン</t>
    </rPh>
    <rPh sb="18" eb="19">
      <t>カラ</t>
    </rPh>
    <rPh sb="19" eb="20">
      <t>カギ</t>
    </rPh>
    <rPh sb="20" eb="22">
      <t>イジョウ</t>
    </rPh>
    <rPh sb="22" eb="23">
      <t>ナ</t>
    </rPh>
    <phoneticPr fontId="2"/>
  </si>
  <si>
    <t>地震発生 岩手県沖 現地震度5弱 中央区 震度記録無し、 EV等異常無し。</t>
    <rPh sb="0" eb="4">
      <t>ジシンハッセイ</t>
    </rPh>
    <rPh sb="5" eb="8">
      <t>イワテケン</t>
    </rPh>
    <rPh sb="8" eb="9">
      <t>オキ</t>
    </rPh>
    <rPh sb="10" eb="12">
      <t>ゲンチ</t>
    </rPh>
    <rPh sb="12" eb="14">
      <t>シンド</t>
    </rPh>
    <rPh sb="15" eb="16">
      <t>ジャク</t>
    </rPh>
    <rPh sb="17" eb="20">
      <t>チュウオウク</t>
    </rPh>
    <rPh sb="21" eb="23">
      <t>シンド</t>
    </rPh>
    <rPh sb="23" eb="25">
      <t>キロク</t>
    </rPh>
    <rPh sb="25" eb="26">
      <t>ナ</t>
    </rPh>
    <rPh sb="31" eb="32">
      <t>トウ</t>
    </rPh>
    <rPh sb="32" eb="35">
      <t>イジョウナ</t>
    </rPh>
    <phoneticPr fontId="2"/>
  </si>
  <si>
    <t>DM福浪さんへ情報共有。</t>
    <rPh sb="2" eb="4">
      <t>フクナミ</t>
    </rPh>
    <rPh sb="7" eb="9">
      <t>ジョウホウ</t>
    </rPh>
    <rPh sb="9" eb="11">
      <t>キョウユウ</t>
    </rPh>
    <phoneticPr fontId="2"/>
  </si>
  <si>
    <t>GE森本さんから客室4408号に多人数の外来者が入室しているので巡回時に室内で騒いで</t>
    <rPh sb="2" eb="4">
      <t>モリモト</t>
    </rPh>
    <rPh sb="8" eb="10">
      <t>キャクシツ</t>
    </rPh>
    <rPh sb="14" eb="15">
      <t>ゴウ</t>
    </rPh>
    <rPh sb="16" eb="19">
      <t>タニンズウ</t>
    </rPh>
    <rPh sb="20" eb="23">
      <t>ガイライシャ</t>
    </rPh>
    <rPh sb="24" eb="26">
      <t>ニュウシツ</t>
    </rPh>
    <rPh sb="32" eb="35">
      <t>ジュンカイジ</t>
    </rPh>
    <rPh sb="36" eb="38">
      <t>シツナイ</t>
    </rPh>
    <rPh sb="39" eb="40">
      <t>サワ</t>
    </rPh>
    <phoneticPr fontId="2"/>
  </si>
  <si>
    <t>いないか様子を見てほしいとの依頼が入る。</t>
    <rPh sb="4" eb="6">
      <t>ヨウス</t>
    </rPh>
    <rPh sb="7" eb="8">
      <t>ミ</t>
    </rPh>
    <rPh sb="14" eb="16">
      <t>イライ</t>
    </rPh>
    <rPh sb="17" eb="18">
      <t>ハイ</t>
    </rPh>
    <phoneticPr fontId="2"/>
  </si>
  <si>
    <t>DM 矢野さんから、客室 4408号室に友人が８名来られていて、まだ在室されているか</t>
    <rPh sb="3" eb="5">
      <t>ヤノ</t>
    </rPh>
    <rPh sb="10" eb="12">
      <t>キャクシツ</t>
    </rPh>
    <rPh sb="17" eb="19">
      <t>ゴウシツ</t>
    </rPh>
    <rPh sb="20" eb="22">
      <t>ユウジン</t>
    </rPh>
    <rPh sb="24" eb="25">
      <t>メイ</t>
    </rPh>
    <rPh sb="25" eb="26">
      <t>コ</t>
    </rPh>
    <rPh sb="34" eb="36">
      <t>ザイシツ</t>
    </rPh>
    <phoneticPr fontId="2"/>
  </si>
  <si>
    <t>CCTVにて確認して欲しい。旨連絡があった。</t>
    <rPh sb="6" eb="8">
      <t>カクニン</t>
    </rPh>
    <rPh sb="10" eb="11">
      <t>ホ</t>
    </rPh>
    <rPh sb="14" eb="15">
      <t>ムネ</t>
    </rPh>
    <rPh sb="15" eb="17">
      <t>レンラク</t>
    </rPh>
    <phoneticPr fontId="2"/>
  </si>
  <si>
    <t>お調べした所、下記の内容で８名が退室・退館されたことが判明した。</t>
    <rPh sb="1" eb="2">
      <t>シラ</t>
    </rPh>
    <rPh sb="5" eb="6">
      <t>トコロ</t>
    </rPh>
    <rPh sb="7" eb="9">
      <t>カキ</t>
    </rPh>
    <rPh sb="10" eb="12">
      <t>ナイヨウ</t>
    </rPh>
    <rPh sb="14" eb="15">
      <t>メイ</t>
    </rPh>
    <rPh sb="16" eb="18">
      <t>タイシツ</t>
    </rPh>
    <rPh sb="19" eb="21">
      <t>タイカン</t>
    </rPh>
    <rPh sb="27" eb="29">
      <t>ハンメイ</t>
    </rPh>
    <phoneticPr fontId="2"/>
  </si>
  <si>
    <t>・21:17 女性１名が、HSP1を利用して40Fへ降りた。</t>
    <rPh sb="7" eb="9">
      <t>ジョセイ</t>
    </rPh>
    <rPh sb="10" eb="11">
      <t>メイ</t>
    </rPh>
    <rPh sb="18" eb="20">
      <t>リヨウ</t>
    </rPh>
    <rPh sb="26" eb="27">
      <t>オ</t>
    </rPh>
    <phoneticPr fontId="2"/>
  </si>
  <si>
    <t>・22:01 女性２名が、HSP1を利用して40Fへ降りた。</t>
    <rPh sb="7" eb="9">
      <t>ジョセイ</t>
    </rPh>
    <rPh sb="10" eb="11">
      <t>メイ</t>
    </rPh>
    <phoneticPr fontId="2"/>
  </si>
  <si>
    <t>・22:10 女性２名が、ＨＬ-1を利用して40Fへ降りた。</t>
    <rPh sb="7" eb="9">
      <t>ジョセイ</t>
    </rPh>
    <rPh sb="10" eb="11">
      <t>メイ</t>
    </rPh>
    <rPh sb="18" eb="20">
      <t>リヨウ</t>
    </rPh>
    <rPh sb="26" eb="27">
      <t>オ</t>
    </rPh>
    <phoneticPr fontId="2"/>
  </si>
  <si>
    <t>45階ﾙｰﾌﾄｯﾌﾟﾃﾗｽ１</t>
    <rPh sb="2" eb="3">
      <t>カイ</t>
    </rPh>
    <phoneticPr fontId="2"/>
  </si>
  <si>
    <t>・22:15 男性２名が、HSP1を利用して40Fへ降りた。</t>
    <rPh sb="7" eb="9">
      <t>ダンセイ</t>
    </rPh>
    <rPh sb="10" eb="11">
      <t>メイ</t>
    </rPh>
    <phoneticPr fontId="2"/>
  </si>
  <si>
    <t>45階ﾙｰﾌﾄｯﾌﾟﾃﾗｽ２</t>
    <rPh sb="2" eb="3">
      <t>カイ</t>
    </rPh>
    <phoneticPr fontId="2"/>
  </si>
  <si>
    <t>上記をDM 矢野さんへ報告した。</t>
    <rPh sb="0" eb="2">
      <t>ジョウキ</t>
    </rPh>
    <rPh sb="6" eb="8">
      <t>ヤノ</t>
    </rPh>
    <rPh sb="11" eb="13">
      <t>ホウコク</t>
    </rPh>
    <phoneticPr fontId="2"/>
  </si>
  <si>
    <t>日B-3</t>
    <rPh sb="0" eb="1">
      <t>ヒ</t>
    </rPh>
    <phoneticPr fontId="10"/>
  </si>
  <si>
    <t>日B-4</t>
    <rPh sb="0" eb="1">
      <t>ヒ</t>
    </rPh>
    <phoneticPr fontId="10"/>
  </si>
  <si>
    <t>消火器訓練に伴い、事前打合せを行う。</t>
    <rPh sb="0" eb="5">
      <t>ショウカキクンレン</t>
    </rPh>
    <rPh sb="6" eb="7">
      <t>トモナ</t>
    </rPh>
    <rPh sb="9" eb="11">
      <t>ジゼン</t>
    </rPh>
    <rPh sb="11" eb="13">
      <t>ウチアワ</t>
    </rPh>
    <rPh sb="15" eb="16">
      <t>オコナ</t>
    </rPh>
    <phoneticPr fontId="2"/>
  </si>
  <si>
    <t>セキュリティカード2440の権限を変更する。</t>
    <rPh sb="14" eb="16">
      <t>ケンゲン</t>
    </rPh>
    <rPh sb="17" eb="19">
      <t>ヘンコウ</t>
    </rPh>
    <phoneticPr fontId="2"/>
  </si>
  <si>
    <t>Transendent 7/1 STD 2.10 Eye wash station (Weekly)の点検結果を入力する。</t>
    <phoneticPr fontId="2"/>
  </si>
  <si>
    <t>Transendent 6/30  Credit Card Payment (Monthly)の点検結果を入力する。</t>
    <rPh sb="50" eb="52">
      <t>ケッカ</t>
    </rPh>
    <rPh sb="53" eb="55">
      <t>ニュウリョク</t>
    </rPh>
    <phoneticPr fontId="2"/>
  </si>
  <si>
    <t>BHT緊急時対応ハンドブックの更新作業を行う。期日6/30</t>
    <rPh sb="3" eb="6">
      <t>キンキュウジ</t>
    </rPh>
    <rPh sb="6" eb="8">
      <t>タイオウ</t>
    </rPh>
    <rPh sb="15" eb="17">
      <t>コウシン</t>
    </rPh>
    <rPh sb="17" eb="19">
      <t>サギョウ</t>
    </rPh>
    <rPh sb="20" eb="21">
      <t>オコナ</t>
    </rPh>
    <rPh sb="23" eb="25">
      <t>キジツ</t>
    </rPh>
    <phoneticPr fontId="2"/>
  </si>
  <si>
    <t>メール室確認。　1通あり。</t>
    <rPh sb="3" eb="4">
      <t>シツ</t>
    </rPh>
    <rPh sb="4" eb="6">
      <t>カクニン</t>
    </rPh>
    <rPh sb="9" eb="10">
      <t>ツウ</t>
    </rPh>
    <phoneticPr fontId="2"/>
  </si>
  <si>
    <t>巡回時40F、41F、45F全エリア空鍵異常無し。</t>
  </si>
  <si>
    <t>EV故障警報（ HB-2） 39Fにてホテルスタッフ２名が降りた後、扉が閉まらなくなり</t>
    <rPh sb="2" eb="4">
      <t>コショウ</t>
    </rPh>
    <rPh sb="4" eb="6">
      <t>ケイホウ</t>
    </rPh>
    <rPh sb="27" eb="28">
      <t>メイ</t>
    </rPh>
    <rPh sb="29" eb="30">
      <t>オ</t>
    </rPh>
    <rPh sb="32" eb="33">
      <t>アト</t>
    </rPh>
    <rPh sb="34" eb="35">
      <t>トビラ</t>
    </rPh>
    <rPh sb="36" eb="37">
      <t>シ</t>
    </rPh>
    <phoneticPr fontId="2"/>
  </si>
  <si>
    <t>故障警報となる。モニター確認により閉じ込め無しを確認。</t>
    <rPh sb="12" eb="14">
      <t>カクニン</t>
    </rPh>
    <rPh sb="17" eb="18">
      <t>ト</t>
    </rPh>
    <rPh sb="19" eb="20">
      <t>コ</t>
    </rPh>
    <rPh sb="21" eb="22">
      <t>ナ</t>
    </rPh>
    <rPh sb="24" eb="26">
      <t>カクニン</t>
    </rPh>
    <phoneticPr fontId="2"/>
  </si>
  <si>
    <t>防災センター、出勤された大渡DOEより連絡が入りLP二野宮が現場確認に向かう。</t>
    <rPh sb="30" eb="32">
      <t>ゲンバ</t>
    </rPh>
    <rPh sb="32" eb="34">
      <t>カクニン</t>
    </rPh>
    <rPh sb="35" eb="36">
      <t>ム</t>
    </rPh>
    <phoneticPr fontId="2"/>
  </si>
  <si>
    <t>大渡DOEより連絡をうけたENG飯田さんが合流し東芝エレベーターへ連絡する。</t>
    <rPh sb="12" eb="14">
      <t>レンラク</t>
    </rPh>
    <rPh sb="21" eb="23">
      <t>イイダ</t>
    </rPh>
    <rPh sb="26" eb="28">
      <t>ゴウリュウ</t>
    </rPh>
    <rPh sb="29" eb="31">
      <t>トウシバレンラク</t>
    </rPh>
    <phoneticPr fontId="2"/>
  </si>
  <si>
    <t>東芝エレベーター入館、ENG飯田さんが39Fへ案内し点検を開始する。</t>
    <rPh sb="0" eb="2">
      <t>トウシバ</t>
    </rPh>
    <rPh sb="8" eb="10">
      <t>ニュウカン</t>
    </rPh>
    <rPh sb="14" eb="16">
      <t>イイダ</t>
    </rPh>
    <rPh sb="23" eb="25">
      <t>アンナイ</t>
    </rPh>
    <rPh sb="26" eb="28">
      <t>テンケン</t>
    </rPh>
    <rPh sb="29" eb="31">
      <t>カイシ</t>
    </rPh>
    <phoneticPr fontId="2"/>
  </si>
  <si>
    <t>HB-2修理完了し通常運転へ復旧する。</t>
    <rPh sb="4" eb="6">
      <t>シュウリ</t>
    </rPh>
    <rPh sb="6" eb="8">
      <t>カンリョウ</t>
    </rPh>
    <rPh sb="9" eb="11">
      <t>ツウジョウ</t>
    </rPh>
    <rPh sb="11" eb="13">
      <t>ウンテン</t>
    </rPh>
    <rPh sb="14" eb="16">
      <t>フッキュウ</t>
    </rPh>
    <phoneticPr fontId="2"/>
  </si>
  <si>
    <t>エレベーター故障</t>
    <rPh sb="6" eb="8">
      <t>コショウ</t>
    </rPh>
    <phoneticPr fontId="2"/>
  </si>
  <si>
    <t>4106を火点とした避難訓練、消防訓練を実施する。</t>
    <rPh sb="5" eb="7">
      <t>カテン</t>
    </rPh>
    <rPh sb="10" eb="14">
      <t>ヒナンクンレン</t>
    </rPh>
    <rPh sb="15" eb="19">
      <t>ショウボウクンレン</t>
    </rPh>
    <rPh sb="20" eb="22">
      <t>ジッシ</t>
    </rPh>
    <phoneticPr fontId="2"/>
  </si>
  <si>
    <t>消火器訓練を実施する。</t>
    <rPh sb="0" eb="3">
      <t>ショウカキ</t>
    </rPh>
    <rPh sb="3" eb="5">
      <t>クンレン</t>
    </rPh>
    <rPh sb="6" eb="8">
      <t>ジッシ</t>
    </rPh>
    <phoneticPr fontId="2"/>
  </si>
  <si>
    <t>EV故障警報（ HB-2） 39Fにて停止状態で故障警報作動。HSKPスタッフが3名乗って</t>
    <rPh sb="2" eb="4">
      <t>コショウ</t>
    </rPh>
    <rPh sb="4" eb="6">
      <t>ケイホウ</t>
    </rPh>
    <rPh sb="19" eb="21">
      <t>テイシ</t>
    </rPh>
    <rPh sb="21" eb="23">
      <t>ジョウタイ</t>
    </rPh>
    <rPh sb="24" eb="28">
      <t>コショウケイホウ</t>
    </rPh>
    <rPh sb="28" eb="30">
      <t>サドウ</t>
    </rPh>
    <rPh sb="41" eb="42">
      <t>メイ</t>
    </rPh>
    <rPh sb="42" eb="43">
      <t>ノ</t>
    </rPh>
    <phoneticPr fontId="2"/>
  </si>
  <si>
    <t>いたためインターフォンにて降りるよう指示をする。ENG へ連絡し東芝エレベーター</t>
    <rPh sb="13" eb="14">
      <t>オ</t>
    </rPh>
    <rPh sb="18" eb="20">
      <t>シジ</t>
    </rPh>
    <rPh sb="29" eb="31">
      <t>レンラク</t>
    </rPh>
    <rPh sb="32" eb="34">
      <t>トウシバ</t>
    </rPh>
    <phoneticPr fontId="2"/>
  </si>
  <si>
    <t>への連絡を依頼する。</t>
    <rPh sb="2" eb="4">
      <t>レンラク</t>
    </rPh>
    <rPh sb="5" eb="7">
      <t>イライ</t>
    </rPh>
    <phoneticPr fontId="2"/>
  </si>
  <si>
    <t>12:05東芝エレベーター作業員2名到着、39Fにて作業を開始する。</t>
    <rPh sb="5" eb="7">
      <t>トウシバ</t>
    </rPh>
    <rPh sb="13" eb="16">
      <t>サギョウイン</t>
    </rPh>
    <rPh sb="17" eb="18">
      <t>メイ</t>
    </rPh>
    <rPh sb="18" eb="20">
      <t>トウチャク</t>
    </rPh>
    <rPh sb="26" eb="28">
      <t>サギョウ</t>
    </rPh>
    <rPh sb="29" eb="31">
      <t>カイシ</t>
    </rPh>
    <phoneticPr fontId="2"/>
  </si>
  <si>
    <t>14:52修理完了し復旧する。ENGへ報告の後、16:26退館する。</t>
    <rPh sb="5" eb="9">
      <t>シュウリカンリョウ</t>
    </rPh>
    <rPh sb="10" eb="12">
      <t>フッキュウ</t>
    </rPh>
    <rPh sb="19" eb="21">
      <t>ホウコク</t>
    </rPh>
    <rPh sb="22" eb="23">
      <t>ノチ</t>
    </rPh>
    <rPh sb="29" eb="31">
      <t>タイカン</t>
    </rPh>
    <phoneticPr fontId="2"/>
  </si>
  <si>
    <t>メール室確認。郵便物1通、GSへ届け済み。</t>
    <rPh sb="3" eb="4">
      <t>シツ</t>
    </rPh>
    <rPh sb="4" eb="6">
      <t>カクニン</t>
    </rPh>
    <rPh sb="7" eb="10">
      <t>ユウビンブツ</t>
    </rPh>
    <rPh sb="11" eb="12">
      <t>ツウ</t>
    </rPh>
    <rPh sb="16" eb="17">
      <t>トド</t>
    </rPh>
    <rPh sb="18" eb="19">
      <t>ズ</t>
    </rPh>
    <phoneticPr fontId="2"/>
  </si>
  <si>
    <t>ジュエリーケース発報（40BV04jwewelry） 現地にて確認したが、異常無し。</t>
    <rPh sb="8" eb="10">
      <t>ハッポウ</t>
    </rPh>
    <rPh sb="27" eb="29">
      <t>ゲンチ</t>
    </rPh>
    <rPh sb="31" eb="33">
      <t>カクニン</t>
    </rPh>
    <rPh sb="37" eb="39">
      <t>イジョウ</t>
    </rPh>
    <rPh sb="39" eb="40">
      <t>ナ</t>
    </rPh>
    <phoneticPr fontId="2"/>
  </si>
  <si>
    <t>発報時間前後のCCTVも確認したが原因不明。（DM大庭さん、ENG山中さん共有済み）</t>
    <rPh sb="12" eb="14">
      <t>カクニン</t>
    </rPh>
    <rPh sb="17" eb="19">
      <t>ゲンイン</t>
    </rPh>
    <rPh sb="19" eb="21">
      <t>フメイ</t>
    </rPh>
    <rPh sb="25" eb="27">
      <t>オオバ</t>
    </rPh>
    <rPh sb="33" eb="35">
      <t>ヤマナカ</t>
    </rPh>
    <rPh sb="37" eb="39">
      <t>キョウユウ</t>
    </rPh>
    <rPh sb="39" eb="40">
      <t>ズ</t>
    </rPh>
    <phoneticPr fontId="2"/>
  </si>
  <si>
    <t>ウェディングセット5本、40F風除室5 (2‐下‐22）1本</t>
    <rPh sb="10" eb="11">
      <t>ホン</t>
    </rPh>
    <rPh sb="15" eb="17">
      <t>フウジョ</t>
    </rPh>
    <rPh sb="17" eb="18">
      <t>シツ</t>
    </rPh>
    <rPh sb="22" eb="24">
      <t>-シタ</t>
    </rPh>
    <rPh sb="29" eb="30">
      <t>ホン</t>
    </rPh>
    <phoneticPr fontId="2"/>
  </si>
</sst>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1">
    <numFmt numFmtId="176" formatCode="yyyy"/>
    <numFmt numFmtId="177" formatCode="m"/>
    <numFmt numFmtId="178" formatCode="d"/>
    <numFmt numFmtId="179" formatCode="aaa"/>
    <numFmt numFmtId="180" formatCode="h:mm;@"/>
    <numFmt numFmtId="181" formatCode="0_);[Red]\(0\)"/>
    <numFmt numFmtId="182" formatCode="e"/>
    <numFmt numFmtId="183" formatCode="[h]:mm"/>
    <numFmt numFmtId="184" formatCode="[h]:mm;@"/>
    <numFmt numFmtId="185" formatCode="m/d;@"/>
    <numFmt numFmtId="186" formatCode="\(aaa\)"/>
  </numFmts>
  <fonts count="77">
    <font>
      <sz val="11"/>
      <color theme="1"/>
      <name val="游ゴシック"/>
      <family val="2"/>
      <charset val="128"/>
      <scheme val="minor"/>
    </font>
    <font>
      <sz val="12"/>
      <color theme="1"/>
      <name val="Meiryo"/>
      <family val="2"/>
      <charset val="128"/>
    </font>
    <font>
      <sz val="6"/>
      <name val="游ゴシック"/>
      <family val="2"/>
      <charset val="128"/>
      <scheme val="minor"/>
    </font>
    <font>
      <sz val="6"/>
      <name val="ＭＳ Ｐゴシック"/>
      <family val="3"/>
      <charset val="128"/>
    </font>
    <font>
      <sz val="11"/>
      <name val="ＭＳ Ｐゴシック"/>
      <family val="3"/>
      <charset val="128"/>
    </font>
    <font>
      <sz val="11"/>
      <color theme="1"/>
      <name val="HGPｺﾞｼｯｸM"/>
      <family val="3"/>
      <charset val="128"/>
    </font>
    <font>
      <sz val="11"/>
      <name val="HGPｺﾞｼｯｸM"/>
      <family val="3"/>
      <charset val="128"/>
    </font>
    <font>
      <sz val="12"/>
      <color rgb="FF333333"/>
      <name val="HGPｺﾞｼｯｸM"/>
      <family val="3"/>
      <charset val="128"/>
    </font>
    <font>
      <sz val="14"/>
      <color theme="1"/>
      <name val="HGPｺﾞｼｯｸM"/>
      <family val="3"/>
      <charset val="128"/>
    </font>
    <font>
      <sz val="11"/>
      <color rgb="FF333333"/>
      <name val="HGPｺﾞｼｯｸM"/>
      <family val="3"/>
      <charset val="128"/>
    </font>
    <font>
      <sz val="14"/>
      <name val="ＭＳ Ｐ明朝"/>
      <family val="1"/>
      <charset val="128"/>
    </font>
    <font>
      <sz val="10"/>
      <name val="HGSｺﾞｼｯｸM"/>
      <family val="3"/>
      <charset val="128"/>
    </font>
    <font>
      <sz val="11"/>
      <color theme="1"/>
      <name val="HGSｺﾞｼｯｸM"/>
      <family val="3"/>
      <charset val="128"/>
    </font>
    <font>
      <sz val="14"/>
      <name val="HGSｺﾞｼｯｸM"/>
      <family val="3"/>
      <charset val="128"/>
    </font>
    <font>
      <sz val="11"/>
      <name val="HGSｺﾞｼｯｸM"/>
      <family val="3"/>
      <charset val="128"/>
    </font>
    <font>
      <sz val="14"/>
      <color theme="1"/>
      <name val="HGSｺﾞｼｯｸM"/>
      <family val="3"/>
      <charset val="128"/>
    </font>
    <font>
      <sz val="26"/>
      <color theme="1"/>
      <name val="HGP明朝E"/>
      <family val="1"/>
      <charset val="128"/>
    </font>
    <font>
      <sz val="22"/>
      <color theme="1"/>
      <name val="HGP明朝E"/>
      <family val="1"/>
      <charset val="128"/>
    </font>
    <font>
      <sz val="12"/>
      <color theme="1"/>
      <name val="HGSｺﾞｼｯｸM"/>
      <family val="3"/>
      <charset val="128"/>
    </font>
    <font>
      <sz val="10"/>
      <color theme="1"/>
      <name val="HGSｺﾞｼｯｸM"/>
      <family val="3"/>
      <charset val="128"/>
    </font>
    <font>
      <sz val="9"/>
      <name val="ＭＳ 明朝"/>
      <family val="1"/>
      <charset val="128"/>
    </font>
    <font>
      <sz val="11"/>
      <color theme="1"/>
      <name val="ＭＳ 明朝"/>
      <family val="1"/>
      <charset val="128"/>
    </font>
    <font>
      <sz val="9"/>
      <name val="ＭＳ Ｐゴシック"/>
      <family val="3"/>
      <charset val="128"/>
    </font>
    <font>
      <sz val="6"/>
      <name val="游ゴシック"/>
      <family val="3"/>
      <charset val="128"/>
      <scheme val="minor"/>
    </font>
    <font>
      <sz val="11"/>
      <color theme="1"/>
      <name val="ＭＳ Ｐゴシック"/>
      <family val="3"/>
      <charset val="128"/>
    </font>
    <font>
      <sz val="9"/>
      <color rgb="FFFF0000"/>
      <name val="ＭＳ Ｐゴシック"/>
      <family val="3"/>
      <charset val="128"/>
    </font>
    <font>
      <sz val="11"/>
      <color rgb="FFFF0000"/>
      <name val="HGSｺﾞｼｯｸM"/>
      <family val="3"/>
      <charset val="128"/>
    </font>
    <font>
      <sz val="8"/>
      <color theme="1"/>
      <name val="HGSｺﾞｼｯｸM"/>
      <family val="3"/>
      <charset val="128"/>
    </font>
    <font>
      <sz val="22"/>
      <name val="ＭＳ Ｐゴシック"/>
      <family val="3"/>
      <charset val="128"/>
    </font>
    <font>
      <sz val="16"/>
      <name val="ＭＳ Ｐゴシック"/>
      <family val="3"/>
      <charset val="128"/>
    </font>
    <font>
      <sz val="14"/>
      <name val="ＭＳ Ｐゴシック"/>
      <family val="3"/>
      <charset val="128"/>
    </font>
    <font>
      <sz val="12"/>
      <name val="ＭＳ Ｐゴシック"/>
      <family val="3"/>
      <charset val="128"/>
    </font>
    <font>
      <sz val="18"/>
      <name val="ＭＳ Ｐゴシック"/>
      <family val="3"/>
      <charset val="128"/>
    </font>
    <font>
      <sz val="11"/>
      <name val="ＭＳ Ｐ明朝"/>
      <family val="1"/>
      <charset val="128"/>
    </font>
    <font>
      <sz val="16"/>
      <color theme="1"/>
      <name val="ＭＳ Ｐゴシック"/>
      <family val="3"/>
      <charset val="128"/>
    </font>
    <font>
      <b/>
      <sz val="11"/>
      <color indexed="52"/>
      <name val="ＭＳ Ｐゴシック"/>
      <family val="3"/>
      <charset val="128"/>
    </font>
    <font>
      <sz val="11"/>
      <color theme="1"/>
      <name val="游ゴシック"/>
      <family val="3"/>
      <charset val="128"/>
      <scheme val="minor"/>
    </font>
    <font>
      <sz val="11"/>
      <name val="游ゴシック"/>
      <family val="3"/>
      <charset val="128"/>
      <scheme val="minor"/>
    </font>
    <font>
      <sz val="8"/>
      <color theme="1"/>
      <name val="游ゴシック"/>
      <family val="3"/>
      <charset val="128"/>
      <scheme val="minor"/>
    </font>
    <font>
      <sz val="9"/>
      <color theme="1"/>
      <name val="游ゴシック"/>
      <family val="3"/>
      <charset val="128"/>
      <scheme val="minor"/>
    </font>
    <font>
      <b/>
      <sz val="11"/>
      <color rgb="FFC00000"/>
      <name val="HGSｺﾞｼｯｸM"/>
      <family val="3"/>
      <charset val="128"/>
    </font>
    <font>
      <sz val="10"/>
      <color theme="1"/>
      <name val="游ゴシック"/>
      <family val="2"/>
      <charset val="128"/>
      <scheme val="minor"/>
    </font>
    <font>
      <sz val="11"/>
      <color theme="1"/>
      <name val="Cambria Math"/>
      <family val="3"/>
    </font>
    <font>
      <sz val="11"/>
      <color theme="1"/>
      <name val="Segoe UI"/>
      <family val="2"/>
    </font>
    <font>
      <b/>
      <sz val="11"/>
      <color theme="1"/>
      <name val="Segoe UI"/>
      <family val="2"/>
    </font>
    <font>
      <b/>
      <sz val="8"/>
      <color theme="1"/>
      <name val="Segoe UI"/>
      <family val="2"/>
    </font>
    <font>
      <sz val="8"/>
      <color theme="1"/>
      <name val="Segoe UI"/>
      <family val="2"/>
    </font>
    <font>
      <b/>
      <sz val="18"/>
      <color theme="1"/>
      <name val="Segoe UI"/>
      <family val="2"/>
    </font>
    <font>
      <sz val="8"/>
      <color theme="1"/>
      <name val="游ゴシック"/>
      <family val="2"/>
      <charset val="128"/>
      <scheme val="minor"/>
    </font>
    <font>
      <sz val="6"/>
      <color rgb="FF000000"/>
      <name val="HGSｺﾞｼｯｸE"/>
      <family val="3"/>
      <charset val="128"/>
    </font>
    <font>
      <sz val="6"/>
      <color rgb="FF9C0006"/>
      <name val="HGSｺﾞｼｯｸE"/>
      <family val="3"/>
      <charset val="128"/>
    </font>
    <font>
      <sz val="16"/>
      <color theme="1"/>
      <name val="游ゴシック"/>
      <family val="2"/>
      <scheme val="minor"/>
    </font>
    <font>
      <b/>
      <sz val="14"/>
      <color theme="1"/>
      <name val="HGSｺﾞｼｯｸM"/>
      <family val="3"/>
      <charset val="128"/>
    </font>
    <font>
      <b/>
      <sz val="11"/>
      <color rgb="FF002060"/>
      <name val="HGSｺﾞｼｯｸM"/>
      <family val="3"/>
      <charset val="128"/>
    </font>
    <font>
      <sz val="11"/>
      <color theme="1"/>
      <name val="游ゴシック"/>
      <family val="2"/>
      <charset val="128"/>
      <scheme val="minor"/>
    </font>
    <font>
      <sz val="26"/>
      <color theme="1"/>
      <name val="Noto Sans JP"/>
      <family val="3"/>
      <charset val="128"/>
    </font>
    <font>
      <sz val="26"/>
      <color theme="1"/>
      <name val="Noto Sans JP Medium"/>
      <family val="3"/>
    </font>
    <font>
      <sz val="22"/>
      <color theme="1"/>
      <name val="Noto Sans JP"/>
      <family val="3"/>
      <charset val="128"/>
    </font>
    <font>
      <sz val="22"/>
      <color theme="1"/>
      <name val="Noto Sans JP Medium"/>
      <family val="3"/>
      <charset val="128"/>
    </font>
    <font>
      <sz val="11"/>
      <color theme="1"/>
      <name val="Noto Sans JP Medium"/>
      <family val="3"/>
      <charset val="128"/>
    </font>
    <font>
      <sz val="10"/>
      <name val="HGSｺﾞｼｯｸM"/>
      <family val="3"/>
    </font>
    <font>
      <sz val="14"/>
      <color theme="1"/>
      <name val="游ゴシック"/>
      <family val="3"/>
      <charset val="128"/>
      <scheme val="minor"/>
    </font>
    <font>
      <sz val="18"/>
      <color theme="1"/>
      <name val="游ゴシック"/>
      <family val="3"/>
      <charset val="128"/>
      <scheme val="minor"/>
    </font>
    <font>
      <sz val="10"/>
      <color theme="1"/>
      <name val="Yu Gothic"/>
      <family val="3"/>
      <charset val="128"/>
    </font>
    <font>
      <sz val="10"/>
      <color theme="1"/>
      <name val="Yu Gothic"/>
      <family val="3"/>
    </font>
    <font>
      <b/>
      <sz val="18"/>
      <color rgb="FFFFFFFF"/>
      <name val="Yu Gothic"/>
      <family val="3"/>
    </font>
    <font>
      <b/>
      <sz val="10"/>
      <color theme="1"/>
      <name val="Yu Gothic"/>
      <family val="3"/>
      <charset val="128"/>
    </font>
    <font>
      <b/>
      <sz val="10"/>
      <color rgb="FFFFFFFF"/>
      <name val="Yu Gothic"/>
      <family val="3"/>
      <charset val="128"/>
    </font>
    <font>
      <sz val="11"/>
      <color theme="1"/>
      <name val="HGSｺﾞｼｯｸM"/>
      <family val="3"/>
    </font>
    <font>
      <sz val="26"/>
      <color theme="1"/>
      <name val="HGP明朝E"/>
      <family val="1"/>
    </font>
    <font>
      <sz val="14"/>
      <name val="HGSｺﾞｼｯｸM"/>
      <family val="3"/>
    </font>
    <font>
      <sz val="11"/>
      <name val="HGSｺﾞｼｯｸM"/>
      <family val="3"/>
    </font>
    <font>
      <sz val="22"/>
      <color theme="1"/>
      <name val="HGP明朝E"/>
      <family val="1"/>
    </font>
    <font>
      <sz val="14"/>
      <color theme="1"/>
      <name val="HGSｺﾞｼｯｸM"/>
      <family val="3"/>
    </font>
    <font>
      <sz val="10"/>
      <color theme="1"/>
      <name val="HGSｺﾞｼｯｸM"/>
      <family val="3"/>
    </font>
    <font>
      <sz val="8"/>
      <color theme="1"/>
      <name val="HGSｺﾞｼｯｸM"/>
      <family val="3"/>
    </font>
    <font>
      <b/>
      <sz val="11"/>
      <color theme="1"/>
      <name val="HGSｺﾞｼｯｸM"/>
      <family val="3"/>
    </font>
  </fonts>
  <fills count="17">
    <fill>
      <patternFill patternType="none"/>
    </fill>
    <fill>
      <patternFill patternType="gray125"/>
    </fill>
    <fill>
      <patternFill patternType="solid">
        <fgColor rgb="FFFFFFFF"/>
        <bgColor indexed="64"/>
      </patternFill>
    </fill>
    <fill>
      <patternFill patternType="solid">
        <fgColor theme="3" tint="0.89999084444715716"/>
        <bgColor indexed="64"/>
      </patternFill>
    </fill>
    <fill>
      <patternFill patternType="solid">
        <fgColor theme="0"/>
        <bgColor indexed="64"/>
      </patternFill>
    </fill>
    <fill>
      <patternFill patternType="solid">
        <fgColor theme="5" tint="0.79998168889431442"/>
        <bgColor indexed="64"/>
      </patternFill>
    </fill>
    <fill>
      <patternFill patternType="solid">
        <fgColor rgb="FFFFFFFF"/>
        <bgColor rgb="FF000000"/>
      </patternFill>
    </fill>
    <fill>
      <patternFill patternType="solid">
        <fgColor theme="0" tint="-0.14999847407452621"/>
        <bgColor indexed="64"/>
      </patternFill>
    </fill>
    <fill>
      <patternFill patternType="solid">
        <fgColor rgb="FFFFFF00"/>
        <bgColor indexed="64"/>
      </patternFill>
    </fill>
    <fill>
      <patternFill patternType="solid">
        <fgColor rgb="FFF5F5F5"/>
        <bgColor indexed="64"/>
      </patternFill>
    </fill>
    <fill>
      <patternFill patternType="solid">
        <fgColor rgb="FFE6B8B7"/>
        <bgColor rgb="FF000000"/>
      </patternFill>
    </fill>
    <fill>
      <patternFill patternType="solid">
        <fgColor rgb="FF808080"/>
        <bgColor rgb="FF000000"/>
      </patternFill>
    </fill>
    <fill>
      <patternFill patternType="solid">
        <fgColor theme="7" tint="0.79998168889431442"/>
        <bgColor indexed="64"/>
      </patternFill>
    </fill>
    <fill>
      <patternFill patternType="solid">
        <fgColor rgb="FF1F4E78"/>
        <bgColor indexed="64"/>
      </patternFill>
    </fill>
    <fill>
      <patternFill patternType="solid">
        <fgColor rgb="FF70AD47"/>
        <bgColor indexed="64"/>
      </patternFill>
    </fill>
    <fill>
      <patternFill patternType="solid">
        <fgColor rgb="FF8064A2"/>
        <bgColor indexed="64"/>
      </patternFill>
    </fill>
    <fill>
      <patternFill patternType="solid">
        <fgColor rgb="FFD9EAF7"/>
        <bgColor indexed="64"/>
      </patternFill>
    </fill>
  </fills>
  <borders count="85">
    <border>
      <left/>
      <right/>
      <top/>
      <bottom/>
      <diagonal/>
    </border>
    <border>
      <left style="thin">
        <color auto="1"/>
      </left>
      <right style="thin">
        <color auto="1"/>
      </right>
      <top style="thin">
        <color auto="1"/>
      </top>
      <bottom style="thin">
        <color auto="1"/>
      </bottom>
      <diagonal/>
    </border>
    <border>
      <left/>
      <right/>
      <top/>
      <bottom style="medium">
        <color indexed="64"/>
      </bottom>
      <diagonal/>
    </border>
    <border>
      <left style="medium">
        <color indexed="64"/>
      </left>
      <right/>
      <top style="medium">
        <color indexed="64"/>
      </top>
      <bottom style="thin">
        <color indexed="64"/>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style="medium">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style="thin">
        <color indexed="64"/>
      </top>
      <bottom/>
      <diagonal/>
    </border>
    <border>
      <left/>
      <right style="medium">
        <color indexed="64"/>
      </right>
      <top style="thin">
        <color indexed="64"/>
      </top>
      <bottom/>
      <diagonal/>
    </border>
    <border>
      <left style="medium">
        <color indexed="64"/>
      </left>
      <right/>
      <top/>
      <bottom style="medium">
        <color indexed="64"/>
      </bottom>
      <diagonal/>
    </border>
    <border>
      <left/>
      <right style="thin">
        <color indexed="64"/>
      </right>
      <top/>
      <bottom style="medium">
        <color indexed="64"/>
      </bottom>
      <diagonal/>
    </border>
    <border>
      <left style="thin">
        <color indexed="64"/>
      </left>
      <right/>
      <top/>
      <bottom style="medium">
        <color indexed="64"/>
      </bottom>
      <diagonal/>
    </border>
    <border>
      <left/>
      <right style="medium">
        <color indexed="64"/>
      </right>
      <top/>
      <bottom/>
      <diagonal/>
    </border>
    <border>
      <left style="medium">
        <color indexed="64"/>
      </left>
      <right/>
      <top style="dotted">
        <color indexed="64"/>
      </top>
      <bottom style="dotted">
        <color indexed="64"/>
      </bottom>
      <diagonal/>
    </border>
    <border>
      <left/>
      <right style="medium">
        <color indexed="64"/>
      </right>
      <top style="medium">
        <color indexed="64"/>
      </top>
      <bottom style="thin">
        <color indexed="64"/>
      </bottom>
      <diagonal/>
    </border>
    <border>
      <left style="medium">
        <color indexed="64"/>
      </left>
      <right/>
      <top style="dotted">
        <color indexed="64"/>
      </top>
      <bottom style="thin">
        <color indexed="64"/>
      </bottom>
      <diagonal/>
    </border>
    <border>
      <left/>
      <right/>
      <top style="dotted">
        <color indexed="64"/>
      </top>
      <bottom style="thin">
        <color indexed="64"/>
      </bottom>
      <diagonal/>
    </border>
    <border>
      <left/>
      <right style="medium">
        <color indexed="64"/>
      </right>
      <top style="dotted">
        <color indexed="64"/>
      </top>
      <bottom style="thin">
        <color indexed="64"/>
      </bottom>
      <diagonal/>
    </border>
    <border>
      <left/>
      <right/>
      <top style="dotted">
        <color indexed="64"/>
      </top>
      <bottom style="dotted">
        <color indexed="64"/>
      </bottom>
      <diagonal/>
    </border>
    <border>
      <left/>
      <right style="medium">
        <color indexed="64"/>
      </right>
      <top style="dotted">
        <color indexed="64"/>
      </top>
      <bottom style="dotted">
        <color indexed="64"/>
      </bottom>
      <diagonal/>
    </border>
    <border>
      <left style="medium">
        <color indexed="64"/>
      </left>
      <right/>
      <top style="thin">
        <color indexed="64"/>
      </top>
      <bottom style="dotted">
        <color indexed="64"/>
      </bottom>
      <diagonal/>
    </border>
    <border>
      <left/>
      <right/>
      <top style="thin">
        <color indexed="64"/>
      </top>
      <bottom style="dotted">
        <color indexed="64"/>
      </bottom>
      <diagonal/>
    </border>
    <border>
      <left/>
      <right style="medium">
        <color indexed="64"/>
      </right>
      <top style="thin">
        <color indexed="64"/>
      </top>
      <bottom style="dotted">
        <color indexed="64"/>
      </bottom>
      <diagonal/>
    </border>
    <border>
      <left style="medium">
        <color indexed="64"/>
      </left>
      <right/>
      <top style="thin">
        <color indexed="64"/>
      </top>
      <bottom style="medium">
        <color indexed="64"/>
      </bottom>
      <diagonal/>
    </border>
    <border>
      <left/>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medium">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medium">
        <color indexed="64"/>
      </top>
      <bottom/>
      <diagonal/>
    </border>
    <border>
      <left/>
      <right/>
      <top style="medium">
        <color indexed="64"/>
      </top>
      <bottom/>
      <diagonal/>
    </border>
    <border>
      <left/>
      <right style="thin">
        <color indexed="64"/>
      </right>
      <top style="medium">
        <color indexed="64"/>
      </top>
      <bottom/>
      <diagonal/>
    </border>
    <border>
      <left style="thin">
        <color indexed="64"/>
      </left>
      <right/>
      <top style="thin">
        <color indexed="64"/>
      </top>
      <bottom style="thin">
        <color indexed="64"/>
      </bottom>
      <diagonal/>
    </border>
    <border>
      <left/>
      <right style="medium">
        <color indexed="64"/>
      </right>
      <top style="thin">
        <color indexed="64"/>
      </top>
      <bottom style="thin">
        <color indexed="64"/>
      </bottom>
      <diagonal/>
    </border>
    <border>
      <left/>
      <right/>
      <top/>
      <bottom style="thin">
        <color indexed="64"/>
      </bottom>
      <diagonal/>
    </border>
    <border>
      <left style="thin">
        <color indexed="64"/>
      </left>
      <right/>
      <top/>
      <bottom/>
      <diagonal/>
    </border>
    <border>
      <left/>
      <right style="medium">
        <color indexed="64"/>
      </right>
      <top/>
      <bottom style="thin">
        <color indexed="64"/>
      </bottom>
      <diagonal/>
    </border>
    <border>
      <left style="hair">
        <color auto="1"/>
      </left>
      <right style="hair">
        <color auto="1"/>
      </right>
      <top style="hair">
        <color auto="1"/>
      </top>
      <bottom style="hair">
        <color auto="1"/>
      </bottom>
      <diagonal/>
    </border>
    <border>
      <left style="medium">
        <color indexed="64"/>
      </left>
      <right/>
      <top style="medium">
        <color indexed="64"/>
      </top>
      <bottom/>
      <diagonal/>
    </border>
    <border>
      <left style="thin">
        <color auto="1"/>
      </left>
      <right style="thin">
        <color auto="1"/>
      </right>
      <top style="medium">
        <color indexed="64"/>
      </top>
      <bottom style="thin">
        <color auto="1"/>
      </bottom>
      <diagonal/>
    </border>
    <border>
      <left style="thin">
        <color auto="1"/>
      </left>
      <right style="medium">
        <color indexed="64"/>
      </right>
      <top style="medium">
        <color indexed="64"/>
      </top>
      <bottom style="thin">
        <color auto="1"/>
      </bottom>
      <diagonal/>
    </border>
    <border>
      <left style="medium">
        <color indexed="64"/>
      </left>
      <right/>
      <top/>
      <bottom style="thin">
        <color indexed="64"/>
      </bottom>
      <diagonal/>
    </border>
    <border>
      <left style="medium">
        <color indexed="64"/>
      </left>
      <right/>
      <top/>
      <bottom/>
      <diagonal/>
    </border>
    <border>
      <left/>
      <right style="medium">
        <color indexed="64"/>
      </right>
      <top style="thin">
        <color indexed="64"/>
      </top>
      <bottom style="medium">
        <color indexed="64"/>
      </bottom>
      <diagonal/>
    </border>
    <border>
      <left style="medium">
        <color indexed="64"/>
      </left>
      <right/>
      <top style="dotted">
        <color indexed="64"/>
      </top>
      <bottom style="medium">
        <color indexed="64"/>
      </bottom>
      <diagonal/>
    </border>
    <border>
      <left/>
      <right/>
      <top style="dotted">
        <color indexed="64"/>
      </top>
      <bottom style="medium">
        <color indexed="64"/>
      </bottom>
      <diagonal/>
    </border>
    <border>
      <left/>
      <right style="medium">
        <color indexed="64"/>
      </right>
      <top style="dotted">
        <color indexed="64"/>
      </top>
      <bottom style="medium">
        <color indexed="64"/>
      </bottom>
      <diagonal/>
    </border>
    <border>
      <left style="thin">
        <color auto="1"/>
      </left>
      <right style="medium">
        <color indexed="64"/>
      </right>
      <top style="thin">
        <color auto="1"/>
      </top>
      <bottom style="medium">
        <color indexed="64"/>
      </bottom>
      <diagonal/>
    </border>
    <border>
      <left style="thick">
        <color indexed="64"/>
      </left>
      <right style="thin">
        <color indexed="64"/>
      </right>
      <top style="thin">
        <color indexed="64"/>
      </top>
      <bottom style="thin">
        <color indexed="64"/>
      </bottom>
      <diagonal/>
    </border>
    <border>
      <left style="thin">
        <color auto="1"/>
      </left>
      <right style="thin">
        <color auto="1"/>
      </right>
      <top style="thin">
        <color auto="1"/>
      </top>
      <bottom/>
      <diagonal/>
    </border>
    <border>
      <left style="thin">
        <color auto="1"/>
      </left>
      <right style="thin">
        <color auto="1"/>
      </right>
      <top/>
      <bottom style="thin">
        <color auto="1"/>
      </bottom>
      <diagonal/>
    </border>
    <border>
      <left style="medium">
        <color indexed="64"/>
      </left>
      <right style="thin">
        <color auto="1"/>
      </right>
      <top style="medium">
        <color indexed="64"/>
      </top>
      <bottom style="thin">
        <color auto="1"/>
      </bottom>
      <diagonal/>
    </border>
    <border>
      <left style="medium">
        <color indexed="64"/>
      </left>
      <right style="thin">
        <color auto="1"/>
      </right>
      <top style="thin">
        <color auto="1"/>
      </top>
      <bottom style="thin">
        <color auto="1"/>
      </bottom>
      <diagonal/>
    </border>
    <border>
      <left style="thin">
        <color auto="1"/>
      </left>
      <right style="medium">
        <color indexed="64"/>
      </right>
      <top style="thin">
        <color auto="1"/>
      </top>
      <bottom style="thin">
        <color auto="1"/>
      </bottom>
      <diagonal/>
    </border>
    <border>
      <left style="medium">
        <color indexed="64"/>
      </left>
      <right style="thin">
        <color auto="1"/>
      </right>
      <top style="thin">
        <color auto="1"/>
      </top>
      <bottom style="medium">
        <color indexed="64"/>
      </bottom>
      <diagonal/>
    </border>
    <border>
      <left style="thin">
        <color auto="1"/>
      </left>
      <right style="thin">
        <color auto="1"/>
      </right>
      <top/>
      <bottom/>
      <diagonal/>
    </border>
    <border>
      <left/>
      <right style="medium">
        <color indexed="64"/>
      </right>
      <top/>
      <bottom style="medium">
        <color indexed="64"/>
      </bottom>
      <diagonal/>
    </border>
    <border>
      <left style="medium">
        <color indexed="64"/>
      </left>
      <right style="thin">
        <color auto="1"/>
      </right>
      <top style="medium">
        <color indexed="64"/>
      </top>
      <bottom style="medium">
        <color indexed="64"/>
      </bottom>
      <diagonal/>
    </border>
    <border>
      <left style="thin">
        <color auto="1"/>
      </left>
      <right style="thin">
        <color auto="1"/>
      </right>
      <top style="medium">
        <color indexed="64"/>
      </top>
      <bottom style="medium">
        <color indexed="64"/>
      </bottom>
      <diagonal/>
    </border>
    <border>
      <left style="thin">
        <color auto="1"/>
      </left>
      <right style="medium">
        <color indexed="64"/>
      </right>
      <top style="medium">
        <color indexed="64"/>
      </top>
      <bottom style="medium">
        <color indexed="64"/>
      </bottom>
      <diagonal/>
    </border>
    <border>
      <left style="thin">
        <color indexed="64"/>
      </left>
      <right style="thin">
        <color indexed="64"/>
      </right>
      <top style="thin">
        <color indexed="64"/>
      </top>
      <bottom style="medium">
        <color rgb="FF000000"/>
      </bottom>
      <diagonal/>
    </border>
    <border>
      <left style="medium">
        <color indexed="64"/>
      </left>
      <right style="thin">
        <color auto="1"/>
      </right>
      <top/>
      <bottom style="medium">
        <color indexed="64"/>
      </bottom>
      <diagonal/>
    </border>
    <border>
      <left style="thin">
        <color indexed="64"/>
      </left>
      <right style="thin">
        <color indexed="64"/>
      </right>
      <top/>
      <bottom style="medium">
        <color indexed="64"/>
      </bottom>
      <diagonal/>
    </border>
    <border>
      <left style="thin">
        <color auto="1"/>
      </left>
      <right style="medium">
        <color indexed="64"/>
      </right>
      <top/>
      <bottom style="medium">
        <color indexed="64"/>
      </bottom>
      <diagonal/>
    </border>
    <border>
      <left style="thin">
        <color rgb="FF000000"/>
      </left>
      <right style="thin">
        <color rgb="FF000000"/>
      </right>
      <top style="thin">
        <color rgb="FF000000"/>
      </top>
      <bottom style="thin">
        <color rgb="FF000000"/>
      </bottom>
      <diagonal/>
    </border>
    <border>
      <left style="medium">
        <color rgb="FF000000"/>
      </left>
      <right style="thin">
        <color rgb="FF000000"/>
      </right>
      <top style="thin">
        <color rgb="FF000000"/>
      </top>
      <bottom style="thin">
        <color rgb="FF000000"/>
      </bottom>
      <diagonal/>
    </border>
    <border>
      <left style="thin">
        <color rgb="FF000000"/>
      </left>
      <right style="thin">
        <color rgb="FF000000"/>
      </right>
      <top/>
      <bottom style="thin">
        <color rgb="FF000000"/>
      </bottom>
      <diagonal/>
    </border>
    <border>
      <left style="thin">
        <color rgb="FF000000"/>
      </left>
      <right style="thin">
        <color rgb="FF000000"/>
      </right>
      <top style="thin">
        <color rgb="FF000000"/>
      </top>
      <bottom/>
      <diagonal/>
    </border>
    <border>
      <left/>
      <right style="hair">
        <color auto="1"/>
      </right>
      <top style="hair">
        <color auto="1"/>
      </top>
      <bottom style="hair">
        <color auto="1"/>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right/>
      <top style="dotted">
        <color indexed="64"/>
      </top>
      <bottom/>
      <diagonal/>
    </border>
    <border>
      <left/>
      <right style="medium">
        <color indexed="64"/>
      </right>
      <top style="dotted">
        <color indexed="64"/>
      </top>
      <bottom/>
      <diagonal/>
    </border>
    <border>
      <left style="thin">
        <color indexed="64"/>
      </left>
      <right/>
      <top style="dotted">
        <color indexed="64"/>
      </top>
      <bottom style="thin">
        <color indexed="64"/>
      </bottom>
      <diagonal/>
    </border>
    <border>
      <left style="thin">
        <color indexed="64"/>
      </left>
      <right/>
      <top/>
      <bottom style="thin">
        <color indexed="64"/>
      </bottom>
      <diagonal/>
    </border>
    <border>
      <left style="medium">
        <color rgb="FF000000"/>
      </left>
      <right style="thin">
        <color rgb="FF000000"/>
      </right>
      <top style="medium">
        <color rgb="FF000000"/>
      </top>
      <bottom style="medium">
        <color rgb="FF000000"/>
      </bottom>
      <diagonal/>
    </border>
    <border>
      <left style="thin">
        <color rgb="FF000000"/>
      </left>
      <right style="thin">
        <color rgb="FF000000"/>
      </right>
      <top style="medium">
        <color rgb="FF000000"/>
      </top>
      <bottom style="medium">
        <color rgb="FF000000"/>
      </bottom>
      <diagonal/>
    </border>
    <border>
      <left style="medium">
        <color indexed="64"/>
      </left>
      <right/>
      <top/>
      <bottom style="dotted">
        <color indexed="64"/>
      </bottom>
      <diagonal/>
    </border>
    <border>
      <left/>
      <right/>
      <top/>
      <bottom style="dotted">
        <color indexed="64"/>
      </bottom>
      <diagonal/>
    </border>
    <border>
      <left/>
      <right style="medium">
        <color indexed="64"/>
      </right>
      <top/>
      <bottom style="dotted">
        <color indexed="64"/>
      </bottom>
      <diagonal/>
    </border>
  </borders>
  <cellStyleXfs count="5">
    <xf numFmtId="0" fontId="0" fillId="0" borderId="0">
      <alignment vertical="center"/>
    </xf>
    <xf numFmtId="0" fontId="1" fillId="0" borderId="0">
      <alignment vertical="center"/>
    </xf>
    <xf numFmtId="0" fontId="4" fillId="0" borderId="0">
      <alignment vertical="center"/>
    </xf>
    <xf numFmtId="0" fontId="4" fillId="0" borderId="0">
      <alignment vertical="center"/>
    </xf>
    <xf numFmtId="9" fontId="54" fillId="0" borderId="0" applyFont="0" applyFill="0" applyBorder="0" applyAlignment="0" applyProtection="0">
      <alignment vertical="center"/>
    </xf>
  </cellStyleXfs>
  <cellXfs count="570">
    <xf numFmtId="0" fontId="0" fillId="0" borderId="0" xfId="0">
      <alignment vertical="center"/>
    </xf>
    <xf numFmtId="0" fontId="0" fillId="0" borderId="1" xfId="0" applyBorder="1">
      <alignment vertical="center"/>
    </xf>
    <xf numFmtId="0" fontId="5" fillId="0" borderId="0" xfId="0" applyFont="1" applyAlignment="1"/>
    <xf numFmtId="0" fontId="5" fillId="0" borderId="0" xfId="0" applyFont="1">
      <alignment vertical="center"/>
    </xf>
    <xf numFmtId="0" fontId="6" fillId="0" borderId="0" xfId="0" applyFont="1" applyAlignment="1"/>
    <xf numFmtId="0" fontId="6" fillId="0" borderId="1" xfId="0" applyFont="1" applyBorder="1" applyAlignment="1"/>
    <xf numFmtId="0" fontId="6" fillId="0" borderId="1" xfId="0" applyFont="1" applyBorder="1">
      <alignment vertical="center"/>
    </xf>
    <xf numFmtId="0" fontId="7" fillId="2" borderId="1" xfId="0" applyFont="1" applyFill="1" applyBorder="1">
      <alignment vertical="center"/>
    </xf>
    <xf numFmtId="0" fontId="8" fillId="0" borderId="0" xfId="1" applyFont="1">
      <alignment vertical="center"/>
    </xf>
    <xf numFmtId="0" fontId="8" fillId="0" borderId="0" xfId="0" applyFont="1" applyAlignment="1"/>
    <xf numFmtId="0" fontId="8" fillId="0" borderId="0" xfId="0" applyFont="1">
      <alignment vertical="center"/>
    </xf>
    <xf numFmtId="0" fontId="8" fillId="0" borderId="0" xfId="1" applyFont="1" applyProtection="1">
      <alignment vertical="center"/>
      <protection locked="0"/>
    </xf>
    <xf numFmtId="0" fontId="9" fillId="2" borderId="1" xfId="0" applyFont="1" applyFill="1" applyBorder="1">
      <alignment vertical="center"/>
    </xf>
    <xf numFmtId="0" fontId="6" fillId="0" borderId="0" xfId="0" applyFont="1">
      <alignment vertical="center"/>
    </xf>
    <xf numFmtId="0" fontId="5" fillId="0" borderId="1" xfId="0" applyFont="1" applyBorder="1" applyAlignment="1"/>
    <xf numFmtId="0" fontId="6" fillId="0" borderId="1" xfId="0" applyFont="1" applyBorder="1" applyAlignment="1">
      <alignment horizontal="left" vertical="center"/>
    </xf>
    <xf numFmtId="0" fontId="6" fillId="0" borderId="1" xfId="0" applyFont="1" applyBorder="1" applyAlignment="1">
      <alignment horizontal="left" vertical="center" wrapText="1"/>
    </xf>
    <xf numFmtId="0" fontId="5" fillId="0" borderId="1" xfId="0" applyFont="1" applyBorder="1">
      <alignment vertical="center"/>
    </xf>
    <xf numFmtId="0" fontId="6" fillId="0" borderId="0" xfId="0" applyFont="1" applyAlignment="1">
      <alignment horizontal="center" vertical="center"/>
    </xf>
    <xf numFmtId="0" fontId="6" fillId="3" borderId="1" xfId="0" applyFont="1" applyFill="1" applyBorder="1" applyAlignment="1">
      <alignment horizontal="center" vertical="center"/>
    </xf>
    <xf numFmtId="0" fontId="5" fillId="0" borderId="1" xfId="0" applyFont="1" applyBorder="1" applyAlignment="1">
      <alignment horizontal="center" vertical="center"/>
    </xf>
    <xf numFmtId="0" fontId="5" fillId="0" borderId="0" xfId="0" applyFont="1" applyAlignment="1">
      <alignment horizontal="center" vertical="center"/>
    </xf>
    <xf numFmtId="0" fontId="5" fillId="3" borderId="1" xfId="0" applyFont="1" applyFill="1" applyBorder="1" applyAlignment="1">
      <alignment horizontal="center" vertical="center"/>
    </xf>
    <xf numFmtId="0" fontId="12" fillId="0" borderId="0" xfId="0" applyFont="1">
      <alignment vertical="center"/>
    </xf>
    <xf numFmtId="0" fontId="12" fillId="0" borderId="0" xfId="0" applyFont="1" applyAlignment="1"/>
    <xf numFmtId="0" fontId="13" fillId="0" borderId="0" xfId="2" applyFont="1" applyAlignment="1" applyProtection="1">
      <alignment horizontal="center" vertical="center" wrapText="1"/>
      <protection locked="0"/>
    </xf>
    <xf numFmtId="0" fontId="14" fillId="0" borderId="0" xfId="2" applyFont="1">
      <alignment vertical="center"/>
    </xf>
    <xf numFmtId="0" fontId="15" fillId="0" borderId="0" xfId="1" applyFont="1">
      <alignment vertical="center"/>
    </xf>
    <xf numFmtId="0" fontId="12" fillId="0" borderId="37" xfId="0" applyFont="1" applyBorder="1" applyAlignment="1">
      <alignment horizontal="center" vertical="center"/>
    </xf>
    <xf numFmtId="0" fontId="19" fillId="0" borderId="43" xfId="0" applyFont="1" applyBorder="1" applyAlignment="1">
      <alignment horizontal="center" vertical="center"/>
    </xf>
    <xf numFmtId="0" fontId="11" fillId="0" borderId="30" xfId="2" applyFont="1" applyBorder="1" applyAlignment="1">
      <alignment horizontal="center" vertical="center"/>
    </xf>
    <xf numFmtId="0" fontId="14" fillId="0" borderId="0" xfId="1" applyFont="1" applyProtection="1">
      <alignment vertical="center"/>
      <protection locked="0"/>
    </xf>
    <xf numFmtId="0" fontId="11" fillId="0" borderId="0" xfId="1" applyFont="1" applyAlignment="1" applyProtection="1">
      <alignment vertical="center" shrinkToFit="1"/>
      <protection locked="0"/>
    </xf>
    <xf numFmtId="0" fontId="19" fillId="0" borderId="29" xfId="0" applyFont="1" applyBorder="1" applyAlignment="1">
      <alignment horizontal="center" vertical="center"/>
    </xf>
    <xf numFmtId="0" fontId="12" fillId="0" borderId="10" xfId="0" applyFont="1" applyBorder="1" applyAlignment="1">
      <alignment horizontal="center" vertical="center"/>
    </xf>
    <xf numFmtId="0" fontId="19" fillId="0" borderId="22" xfId="1" applyFont="1" applyBorder="1" applyAlignment="1" applyProtection="1">
      <alignment horizontal="center" vertical="center"/>
      <protection locked="0"/>
    </xf>
    <xf numFmtId="0" fontId="19" fillId="0" borderId="15" xfId="1" applyFont="1" applyBorder="1" applyAlignment="1" applyProtection="1">
      <alignment horizontal="center" vertical="center"/>
      <protection locked="0"/>
    </xf>
    <xf numFmtId="0" fontId="19" fillId="0" borderId="17" xfId="1" applyFont="1" applyBorder="1" applyAlignment="1" applyProtection="1">
      <alignment horizontal="center" vertical="center"/>
      <protection locked="0"/>
    </xf>
    <xf numFmtId="0" fontId="12" fillId="0" borderId="15" xfId="0" applyFont="1" applyBorder="1" applyAlignment="1" applyProtection="1">
      <alignment horizontal="center" vertical="center"/>
      <protection locked="0"/>
    </xf>
    <xf numFmtId="0" fontId="12" fillId="0" borderId="15" xfId="0" applyFont="1" applyBorder="1" applyProtection="1">
      <alignment vertical="center"/>
      <protection locked="0"/>
    </xf>
    <xf numFmtId="0" fontId="0" fillId="0" borderId="31" xfId="0" applyBorder="1" applyAlignment="1" applyProtection="1">
      <alignment horizontal="center" vertical="center"/>
      <protection locked="0"/>
    </xf>
    <xf numFmtId="0" fontId="19" fillId="0" borderId="48" xfId="1" applyFont="1" applyBorder="1" applyAlignment="1" applyProtection="1">
      <alignment horizontal="center" vertical="center"/>
      <protection locked="0"/>
    </xf>
    <xf numFmtId="0" fontId="12" fillId="0" borderId="1" xfId="0" applyFont="1" applyBorder="1" applyAlignment="1" applyProtection="1">
      <alignment horizontal="center" vertical="center"/>
      <protection locked="0"/>
    </xf>
    <xf numFmtId="0" fontId="12" fillId="0" borderId="0" xfId="0" applyFont="1" applyProtection="1">
      <alignment vertical="center"/>
      <protection locked="0"/>
    </xf>
    <xf numFmtId="0" fontId="20" fillId="0" borderId="41" xfId="2" applyFont="1" applyBorder="1" applyAlignment="1" applyProtection="1">
      <alignment horizontal="center" vertical="center"/>
      <protection locked="0"/>
    </xf>
    <xf numFmtId="180" fontId="20" fillId="0" borderId="41" xfId="2" applyNumberFormat="1" applyFont="1" applyBorder="1" applyAlignment="1" applyProtection="1">
      <alignment horizontal="center" vertical="center"/>
      <protection locked="0"/>
    </xf>
    <xf numFmtId="0" fontId="21" fillId="0" borderId="41" xfId="2" applyFont="1" applyBorder="1" applyAlignment="1" applyProtection="1">
      <alignment horizontal="center" vertical="center"/>
      <protection locked="0"/>
    </xf>
    <xf numFmtId="180" fontId="21" fillId="0" borderId="41" xfId="2" applyNumberFormat="1" applyFont="1" applyBorder="1" applyAlignment="1" applyProtection="1">
      <alignment horizontal="center" vertical="center"/>
      <protection locked="0"/>
    </xf>
    <xf numFmtId="0" fontId="12" fillId="0" borderId="0" xfId="0" applyFont="1" applyAlignment="1" applyProtection="1">
      <alignment vertical="center" shrinkToFit="1"/>
      <protection locked="0"/>
    </xf>
    <xf numFmtId="0" fontId="0" fillId="0" borderId="0" xfId="0" applyProtection="1">
      <alignment vertical="center"/>
      <protection locked="0"/>
    </xf>
    <xf numFmtId="180" fontId="22" fillId="0" borderId="0" xfId="2" applyNumberFormat="1" applyFont="1" applyAlignment="1">
      <alignment horizontal="right" vertical="center"/>
    </xf>
    <xf numFmtId="181" fontId="24" fillId="0" borderId="0" xfId="2" applyNumberFormat="1" applyFont="1" applyAlignment="1">
      <alignment horizontal="right" vertical="center"/>
    </xf>
    <xf numFmtId="180" fontId="25" fillId="0" borderId="0" xfId="2" applyNumberFormat="1" applyFont="1" applyAlignment="1">
      <alignment horizontal="right" vertical="center"/>
    </xf>
    <xf numFmtId="180" fontId="25" fillId="0" borderId="0" xfId="2" applyNumberFormat="1" applyFont="1" applyAlignment="1">
      <alignment horizontal="right" vertical="center" shrinkToFit="1"/>
    </xf>
    <xf numFmtId="180" fontId="22" fillId="0" borderId="0" xfId="2" applyNumberFormat="1" applyFont="1" applyAlignment="1">
      <alignment horizontal="right" vertical="center" shrinkToFit="1"/>
    </xf>
    <xf numFmtId="0" fontId="18" fillId="0" borderId="31" xfId="0" applyFont="1" applyBorder="1" applyAlignment="1" applyProtection="1">
      <alignment horizontal="center" vertical="center"/>
      <protection locked="0"/>
    </xf>
    <xf numFmtId="0" fontId="12" fillId="0" borderId="51" xfId="0" applyFont="1" applyBorder="1" applyAlignment="1" applyProtection="1">
      <alignment horizontal="center" vertical="center"/>
      <protection locked="0"/>
    </xf>
    <xf numFmtId="0" fontId="19" fillId="0" borderId="45" xfId="1" applyFont="1" applyBorder="1" applyAlignment="1" applyProtection="1">
      <alignment horizontal="center" vertical="center"/>
      <protection locked="0"/>
    </xf>
    <xf numFmtId="0" fontId="12" fillId="0" borderId="53" xfId="0" applyFont="1" applyBorder="1" applyAlignment="1" applyProtection="1">
      <alignment horizontal="center" vertical="center"/>
      <protection locked="0"/>
    </xf>
    <xf numFmtId="0" fontId="12" fillId="0" borderId="54" xfId="0" applyFont="1" applyBorder="1" applyAlignment="1" applyProtection="1">
      <alignment horizontal="center" vertical="center"/>
      <protection locked="0"/>
    </xf>
    <xf numFmtId="0" fontId="12" fillId="0" borderId="44" xfId="0" applyFont="1" applyBorder="1" applyAlignment="1" applyProtection="1">
      <alignment horizontal="center" vertical="center"/>
      <protection locked="0"/>
    </xf>
    <xf numFmtId="0" fontId="12" fillId="0" borderId="59" xfId="0" applyFont="1" applyBorder="1" applyAlignment="1" applyProtection="1">
      <alignment horizontal="center" vertical="center"/>
      <protection locked="0"/>
    </xf>
    <xf numFmtId="0" fontId="14" fillId="0" borderId="44" xfId="0" applyFont="1" applyBorder="1" applyAlignment="1" applyProtection="1">
      <alignment horizontal="center" vertical="center"/>
      <protection locked="0"/>
    </xf>
    <xf numFmtId="0" fontId="14" fillId="0" borderId="57" xfId="0" applyFont="1" applyBorder="1" applyAlignment="1" applyProtection="1">
      <alignment horizontal="center" vertical="center"/>
      <protection locked="0"/>
    </xf>
    <xf numFmtId="0" fontId="14" fillId="0" borderId="51" xfId="0" applyFont="1" applyBorder="1" applyAlignment="1" applyProtection="1">
      <alignment horizontal="center" vertical="center"/>
      <protection locked="0"/>
    </xf>
    <xf numFmtId="0" fontId="14" fillId="0" borderId="63" xfId="0" applyFont="1" applyBorder="1" applyAlignment="1" applyProtection="1">
      <alignment horizontal="center" vertical="center"/>
      <protection locked="0"/>
    </xf>
    <xf numFmtId="0" fontId="14" fillId="0" borderId="54" xfId="0" applyFont="1" applyBorder="1" applyAlignment="1" applyProtection="1">
      <alignment horizontal="center" vertical="center"/>
      <protection locked="0"/>
    </xf>
    <xf numFmtId="0" fontId="14" fillId="0" borderId="1" xfId="0" applyFont="1" applyBorder="1" applyAlignment="1" applyProtection="1">
      <alignment horizontal="center" vertical="center"/>
      <protection locked="0"/>
    </xf>
    <xf numFmtId="0" fontId="4" fillId="0" borderId="0" xfId="3">
      <alignment vertical="center"/>
    </xf>
    <xf numFmtId="0" fontId="29" fillId="4" borderId="0" xfId="3" applyFont="1" applyFill="1" applyAlignment="1">
      <alignment horizontal="left" vertical="center"/>
    </xf>
    <xf numFmtId="0" fontId="30" fillId="4" borderId="0" xfId="3" applyFont="1" applyFill="1" applyAlignment="1">
      <alignment horizontal="center" vertical="center"/>
    </xf>
    <xf numFmtId="0" fontId="4" fillId="4" borderId="0" xfId="3" applyFill="1">
      <alignment vertical="center"/>
    </xf>
    <xf numFmtId="0" fontId="4" fillId="4" borderId="0" xfId="3" applyFill="1" applyAlignment="1">
      <alignment horizontal="right" vertical="center"/>
    </xf>
    <xf numFmtId="0" fontId="4" fillId="4" borderId="0" xfId="3" applyFill="1" applyAlignment="1">
      <alignment horizontal="center" vertical="center"/>
    </xf>
    <xf numFmtId="0" fontId="0" fillId="0" borderId="0" xfId="0" applyAlignment="1"/>
    <xf numFmtId="0" fontId="4" fillId="0" borderId="0" xfId="3" applyAlignment="1">
      <alignment horizontal="right" vertical="center"/>
    </xf>
    <xf numFmtId="0" fontId="30" fillId="0" borderId="0" xfId="3" applyFont="1">
      <alignment vertical="center"/>
    </xf>
    <xf numFmtId="0" fontId="32" fillId="0" borderId="0" xfId="3" applyFont="1" applyAlignment="1">
      <alignment horizontal="center" vertical="center" wrapText="1"/>
    </xf>
    <xf numFmtId="0" fontId="4" fillId="4" borderId="0" xfId="3" applyFill="1" applyAlignment="1">
      <alignment horizontal="left" vertical="center"/>
    </xf>
    <xf numFmtId="0" fontId="4" fillId="0" borderId="1" xfId="3" applyBorder="1" applyAlignment="1">
      <alignment horizontal="right" vertical="center"/>
    </xf>
    <xf numFmtId="0" fontId="4" fillId="4" borderId="1" xfId="3" applyFill="1" applyBorder="1" applyAlignment="1">
      <alignment horizontal="center" vertical="center"/>
    </xf>
    <xf numFmtId="0" fontId="31" fillId="0" borderId="1" xfId="3" applyFont="1" applyBorder="1" applyAlignment="1">
      <alignment horizontal="center" vertical="center"/>
    </xf>
    <xf numFmtId="0" fontId="4" fillId="0" borderId="54" xfId="3" applyBorder="1" applyAlignment="1">
      <alignment horizontal="center" vertical="center"/>
    </xf>
    <xf numFmtId="0" fontId="4" fillId="0" borderId="0" xfId="3" applyAlignment="1">
      <alignment horizontal="center" vertical="center"/>
    </xf>
    <xf numFmtId="0" fontId="29" fillId="4" borderId="1" xfId="3" applyFont="1" applyFill="1" applyBorder="1" applyAlignment="1">
      <alignment horizontal="center" vertical="center" shrinkToFit="1"/>
    </xf>
    <xf numFmtId="0" fontId="4" fillId="0" borderId="54" xfId="3" applyBorder="1">
      <alignment vertical="center"/>
    </xf>
    <xf numFmtId="0" fontId="33" fillId="0" borderId="0" xfId="3" applyFont="1">
      <alignment vertical="center"/>
    </xf>
    <xf numFmtId="0" fontId="29" fillId="0" borderId="0" xfId="3" applyFont="1" applyAlignment="1">
      <alignment horizontal="right" vertical="center"/>
    </xf>
    <xf numFmtId="0" fontId="0" fillId="0" borderId="0" xfId="3" applyFont="1">
      <alignment vertical="center"/>
    </xf>
    <xf numFmtId="0" fontId="0" fillId="0" borderId="54" xfId="3" applyFont="1" applyBorder="1">
      <alignment vertical="center"/>
    </xf>
    <xf numFmtId="0" fontId="29" fillId="0" borderId="39" xfId="3" applyFont="1" applyBorder="1" applyAlignment="1">
      <alignment horizontal="right" vertical="center"/>
    </xf>
    <xf numFmtId="177" fontId="4" fillId="4" borderId="0" xfId="3" applyNumberFormat="1" applyFill="1">
      <alignment vertical="center"/>
    </xf>
    <xf numFmtId="178" fontId="4" fillId="4" borderId="0" xfId="3" applyNumberFormat="1" applyFill="1">
      <alignment vertical="center"/>
    </xf>
    <xf numFmtId="179" fontId="0" fillId="4" borderId="32" xfId="3" applyNumberFormat="1" applyFont="1" applyFill="1" applyBorder="1" applyAlignment="1">
      <alignment horizontal="center" vertical="center"/>
    </xf>
    <xf numFmtId="0" fontId="0" fillId="0" borderId="0" xfId="0" applyAlignment="1">
      <alignment horizontal="center" vertical="center"/>
    </xf>
    <xf numFmtId="0" fontId="31" fillId="0" borderId="54" xfId="3" applyFont="1" applyBorder="1" applyAlignment="1">
      <alignment horizontal="center" vertical="center"/>
    </xf>
    <xf numFmtId="0" fontId="0" fillId="0" borderId="1" xfId="0" applyBorder="1" applyAlignment="1">
      <alignment horizontal="center" vertical="center"/>
    </xf>
    <xf numFmtId="0" fontId="0" fillId="4" borderId="32" xfId="3" applyFont="1" applyFill="1" applyBorder="1" applyAlignment="1">
      <alignment horizontal="center" vertical="center"/>
    </xf>
    <xf numFmtId="0" fontId="4" fillId="0" borderId="1" xfId="3" applyBorder="1">
      <alignment vertical="center"/>
    </xf>
    <xf numFmtId="0" fontId="4" fillId="0" borderId="1" xfId="3" applyBorder="1" applyAlignment="1">
      <alignment horizontal="center" vertical="center"/>
    </xf>
    <xf numFmtId="0" fontId="37" fillId="0" borderId="0" xfId="3" applyFont="1">
      <alignment vertical="center"/>
    </xf>
    <xf numFmtId="0" fontId="36" fillId="0" borderId="0" xfId="0" applyFont="1" applyAlignment="1"/>
    <xf numFmtId="0" fontId="4" fillId="0" borderId="0" xfId="0" applyFont="1" applyAlignment="1">
      <alignment vertical="center" shrinkToFit="1"/>
    </xf>
    <xf numFmtId="0" fontId="0" fillId="0" borderId="0" xfId="0" applyAlignment="1">
      <alignment horizontal="center" vertical="center" shrinkToFit="1"/>
    </xf>
    <xf numFmtId="0" fontId="4" fillId="0" borderId="0" xfId="0" applyFont="1" applyAlignment="1">
      <alignment horizontal="center" vertical="center" shrinkToFit="1"/>
    </xf>
    <xf numFmtId="0" fontId="36" fillId="0" borderId="0" xfId="0" applyFont="1" applyAlignment="1">
      <alignment horizontal="center" vertical="center"/>
    </xf>
    <xf numFmtId="0" fontId="37" fillId="0" borderId="0" xfId="3" applyFont="1" applyAlignment="1">
      <alignment horizontal="center" vertical="center"/>
    </xf>
    <xf numFmtId="0" fontId="36" fillId="0" borderId="0" xfId="3" applyFont="1" applyAlignment="1">
      <alignment horizontal="center" vertical="center"/>
    </xf>
    <xf numFmtId="0" fontId="0" fillId="0" borderId="0" xfId="0" applyAlignment="1">
      <alignment vertical="center" wrapText="1"/>
    </xf>
    <xf numFmtId="0" fontId="0" fillId="0" borderId="1" xfId="0" applyBorder="1" applyAlignment="1">
      <alignment horizontal="center" vertical="center" wrapText="1"/>
    </xf>
    <xf numFmtId="0" fontId="38" fillId="0" borderId="1" xfId="0" applyFont="1" applyBorder="1" applyAlignment="1">
      <alignment horizontal="center" vertical="center" wrapText="1"/>
    </xf>
    <xf numFmtId="0" fontId="39" fillId="0" borderId="1" xfId="0" applyFont="1" applyBorder="1" applyAlignment="1">
      <alignment vertical="center" wrapText="1"/>
    </xf>
    <xf numFmtId="0" fontId="0" fillId="7" borderId="1" xfId="0" applyFill="1" applyBorder="1" applyAlignment="1">
      <alignment horizontal="center" vertical="center"/>
    </xf>
    <xf numFmtId="0" fontId="0" fillId="0" borderId="61" xfId="0" applyBorder="1" applyAlignment="1">
      <alignment horizontal="center" vertical="center"/>
    </xf>
    <xf numFmtId="0" fontId="0" fillId="7" borderId="62" xfId="0" applyFill="1" applyBorder="1" applyAlignment="1">
      <alignment horizontal="center" vertical="center"/>
    </xf>
    <xf numFmtId="0" fontId="0" fillId="0" borderId="62" xfId="0" applyBorder="1">
      <alignment vertical="center"/>
    </xf>
    <xf numFmtId="0" fontId="0" fillId="0" borderId="63" xfId="0" applyBorder="1">
      <alignment vertical="center"/>
    </xf>
    <xf numFmtId="0" fontId="12" fillId="0" borderId="63" xfId="0" applyFont="1" applyBorder="1" applyAlignment="1" applyProtection="1">
      <alignment horizontal="center" vertical="center"/>
      <protection locked="0"/>
    </xf>
    <xf numFmtId="0" fontId="5" fillId="3" borderId="1" xfId="0" applyFont="1" applyFill="1" applyBorder="1">
      <alignment vertical="center"/>
    </xf>
    <xf numFmtId="0" fontId="12" fillId="0" borderId="7" xfId="0" applyFont="1" applyBorder="1" applyAlignment="1" applyProtection="1">
      <alignment horizontal="center" vertical="center"/>
      <protection locked="0"/>
    </xf>
    <xf numFmtId="0" fontId="12" fillId="0" borderId="0" xfId="0" applyFont="1" applyAlignment="1" applyProtection="1">
      <alignment horizontal="center" vertical="center"/>
      <protection locked="0"/>
    </xf>
    <xf numFmtId="0" fontId="0" fillId="0" borderId="1" xfId="0" applyBorder="1" applyProtection="1">
      <alignment vertical="center"/>
      <protection locked="0"/>
    </xf>
    <xf numFmtId="0" fontId="12" fillId="0" borderId="67" xfId="0" applyFont="1" applyBorder="1" applyAlignment="1" applyProtection="1">
      <alignment horizontal="center" vertical="center"/>
      <protection locked="0"/>
    </xf>
    <xf numFmtId="0" fontId="12" fillId="8" borderId="0" xfId="0" applyFont="1" applyFill="1" applyProtection="1">
      <alignment vertical="center"/>
      <protection locked="0"/>
    </xf>
    <xf numFmtId="0" fontId="12" fillId="0" borderId="22" xfId="1" applyFont="1" applyBorder="1">
      <alignment vertical="center"/>
    </xf>
    <xf numFmtId="0" fontId="27" fillId="0" borderId="0" xfId="0" applyFont="1">
      <alignment vertical="center"/>
    </xf>
    <xf numFmtId="0" fontId="48" fillId="0" borderId="0" xfId="0" applyFont="1">
      <alignment vertical="center"/>
    </xf>
    <xf numFmtId="0" fontId="43" fillId="0" borderId="0" xfId="0" applyFont="1">
      <alignment vertical="center"/>
    </xf>
    <xf numFmtId="0" fontId="44" fillId="9" borderId="0" xfId="0" applyFont="1" applyFill="1" applyAlignment="1">
      <alignment horizontal="center" vertical="center" wrapText="1"/>
    </xf>
    <xf numFmtId="56" fontId="43" fillId="0" borderId="0" xfId="0" applyNumberFormat="1" applyFont="1" applyAlignment="1">
      <alignment vertical="center" wrapText="1"/>
    </xf>
    <xf numFmtId="20" fontId="43" fillId="0" borderId="0" xfId="0" applyNumberFormat="1" applyFont="1" applyAlignment="1">
      <alignment vertical="center" wrapText="1"/>
    </xf>
    <xf numFmtId="0" fontId="45" fillId="0" borderId="0" xfId="0" applyFont="1" applyAlignment="1">
      <alignment vertical="center" wrapText="1"/>
    </xf>
    <xf numFmtId="0" fontId="43" fillId="0" borderId="0" xfId="0" applyFont="1" applyAlignment="1">
      <alignment vertical="center" wrapText="1"/>
    </xf>
    <xf numFmtId="0" fontId="47" fillId="0" borderId="0" xfId="0" applyFont="1">
      <alignment vertical="center"/>
    </xf>
    <xf numFmtId="0" fontId="45" fillId="9" borderId="0" xfId="0" applyFont="1" applyFill="1" applyAlignment="1">
      <alignment horizontal="center" vertical="center" wrapText="1"/>
    </xf>
    <xf numFmtId="0" fontId="46" fillId="0" borderId="0" xfId="0" applyFont="1" applyAlignment="1">
      <alignment vertical="center" wrapText="1"/>
    </xf>
    <xf numFmtId="0" fontId="12" fillId="0" borderId="31" xfId="0" applyFont="1" applyBorder="1" applyAlignment="1" applyProtection="1">
      <alignment horizontal="center" vertical="center"/>
      <protection locked="0"/>
    </xf>
    <xf numFmtId="0" fontId="12" fillId="0" borderId="26" xfId="0" applyFont="1" applyBorder="1" applyAlignment="1" applyProtection="1">
      <alignment horizontal="center" vertical="center"/>
      <protection locked="0"/>
    </xf>
    <xf numFmtId="0" fontId="51" fillId="0" borderId="1" xfId="0" applyFont="1" applyBorder="1" applyAlignment="1" applyProtection="1">
      <alignment horizontal="center" vertical="center"/>
      <protection locked="0"/>
    </xf>
    <xf numFmtId="0" fontId="51" fillId="0" borderId="54" xfId="0" applyFont="1" applyBorder="1" applyAlignment="1" applyProtection="1">
      <alignment horizontal="center" vertical="center"/>
      <protection locked="0"/>
    </xf>
    <xf numFmtId="0" fontId="49" fillId="0" borderId="68" xfId="0" applyFont="1" applyBorder="1" applyAlignment="1" applyProtection="1">
      <alignment horizontal="center" vertical="center"/>
      <protection locked="0"/>
    </xf>
    <xf numFmtId="0" fontId="49" fillId="0" borderId="69" xfId="0" applyFont="1" applyBorder="1" applyAlignment="1" applyProtection="1">
      <alignment horizontal="center" vertical="center"/>
      <protection locked="0"/>
    </xf>
    <xf numFmtId="0" fontId="49" fillId="0" borderId="70" xfId="0" applyFont="1" applyBorder="1" applyAlignment="1" applyProtection="1">
      <alignment horizontal="center" vertical="center"/>
      <protection locked="0"/>
    </xf>
    <xf numFmtId="0" fontId="49" fillId="10" borderId="70" xfId="0" applyFont="1" applyFill="1" applyBorder="1" applyAlignment="1" applyProtection="1">
      <alignment horizontal="center" vertical="center"/>
      <protection locked="0"/>
    </xf>
    <xf numFmtId="0" fontId="0" fillId="0" borderId="31" xfId="0" applyBorder="1" applyAlignment="1">
      <alignment horizontal="center" vertical="center"/>
    </xf>
    <xf numFmtId="0" fontId="0" fillId="0" borderId="26" xfId="0" applyBorder="1" applyAlignment="1">
      <alignment horizontal="center" vertical="center"/>
    </xf>
    <xf numFmtId="0" fontId="21" fillId="0" borderId="72" xfId="2" applyFont="1" applyBorder="1" applyAlignment="1" applyProtection="1">
      <alignment horizontal="center" vertical="center"/>
      <protection locked="0"/>
    </xf>
    <xf numFmtId="0" fontId="12" fillId="0" borderId="7" xfId="0" applyFont="1" applyBorder="1">
      <alignment vertical="center"/>
    </xf>
    <xf numFmtId="0" fontId="12" fillId="5" borderId="1" xfId="0" applyFont="1" applyFill="1" applyBorder="1" applyProtection="1">
      <alignment vertical="center"/>
      <protection locked="0"/>
    </xf>
    <xf numFmtId="9" fontId="0" fillId="0" borderId="0" xfId="4" applyFont="1" applyAlignment="1">
      <alignment horizontal="center" vertical="center"/>
    </xf>
    <xf numFmtId="9" fontId="0" fillId="0" borderId="0" xfId="4" applyFont="1">
      <alignment vertical="center"/>
    </xf>
    <xf numFmtId="9" fontId="0" fillId="0" borderId="1" xfId="4" applyFont="1" applyBorder="1" applyAlignment="1">
      <alignment horizontal="center" vertical="center" wrapText="1"/>
    </xf>
    <xf numFmtId="0" fontId="0" fillId="0" borderId="61" xfId="0" applyBorder="1">
      <alignment vertical="center"/>
    </xf>
    <xf numFmtId="9" fontId="0" fillId="0" borderId="63" xfId="4" applyFont="1" applyBorder="1">
      <alignment vertical="center"/>
    </xf>
    <xf numFmtId="0" fontId="0" fillId="0" borderId="1" xfId="0" applyBorder="1" applyAlignment="1">
      <alignment vertical="center" wrapText="1"/>
    </xf>
    <xf numFmtId="0" fontId="58" fillId="0" borderId="0" xfId="0" applyFont="1" applyAlignment="1">
      <alignment vertical="center" shrinkToFit="1"/>
    </xf>
    <xf numFmtId="0" fontId="61" fillId="0" borderId="0" xfId="0" applyFont="1">
      <alignment vertical="center"/>
    </xf>
    <xf numFmtId="0" fontId="62" fillId="0" borderId="0" xfId="0" applyFont="1">
      <alignment vertical="center"/>
    </xf>
    <xf numFmtId="0" fontId="36" fillId="0" borderId="0" xfId="0" applyFont="1" applyAlignment="1">
      <alignment horizontal="left" vertical="center"/>
    </xf>
    <xf numFmtId="0" fontId="37" fillId="0" borderId="0" xfId="3" applyFont="1" applyAlignment="1">
      <alignment horizontal="left" vertical="center"/>
    </xf>
    <xf numFmtId="0" fontId="36" fillId="0" borderId="0" xfId="3" applyFont="1" applyAlignment="1">
      <alignment horizontal="left" vertical="center"/>
    </xf>
    <xf numFmtId="181" fontId="0" fillId="0" borderId="62" xfId="0" applyNumberFormat="1" applyBorder="1">
      <alignment vertical="center"/>
    </xf>
    <xf numFmtId="0" fontId="49" fillId="0" borderId="71" xfId="0" applyFont="1" applyBorder="1" applyAlignment="1" applyProtection="1">
      <alignment horizontal="center" vertical="center"/>
      <protection locked="0"/>
    </xf>
    <xf numFmtId="0" fontId="49" fillId="0" borderId="80" xfId="0" applyFont="1" applyBorder="1" applyAlignment="1" applyProtection="1">
      <alignment horizontal="center" vertical="center"/>
      <protection locked="0"/>
    </xf>
    <xf numFmtId="0" fontId="50" fillId="11" borderId="81" xfId="0" applyFont="1" applyFill="1" applyBorder="1" applyAlignment="1" applyProtection="1">
      <alignment horizontal="center" vertical="center"/>
      <protection locked="0"/>
    </xf>
    <xf numFmtId="0" fontId="49" fillId="0" borderId="81" xfId="0" applyFont="1" applyBorder="1" applyAlignment="1" applyProtection="1">
      <alignment horizontal="center" vertical="center"/>
      <protection locked="0"/>
    </xf>
    <xf numFmtId="9" fontId="0" fillId="0" borderId="1" xfId="4" applyFont="1" applyBorder="1" applyAlignment="1">
      <alignment horizontal="center" vertical="center"/>
    </xf>
    <xf numFmtId="20" fontId="19" fillId="0" borderId="15" xfId="1" applyNumberFormat="1" applyFont="1" applyBorder="1" applyAlignment="1" applyProtection="1">
      <alignment horizontal="center" vertical="center"/>
      <protection locked="0"/>
    </xf>
    <xf numFmtId="0" fontId="63" fillId="0" borderId="0" xfId="0" applyFont="1">
      <alignment vertical="center"/>
    </xf>
    <xf numFmtId="0" fontId="66" fillId="0" borderId="0" xfId="0" applyFont="1">
      <alignment vertical="center"/>
    </xf>
    <xf numFmtId="0" fontId="67" fillId="14" borderId="0" xfId="0" applyFont="1" applyFill="1">
      <alignment vertical="center"/>
    </xf>
    <xf numFmtId="3" fontId="63" fillId="0" borderId="0" xfId="0" applyNumberFormat="1" applyFont="1">
      <alignment vertical="center"/>
    </xf>
    <xf numFmtId="3" fontId="63" fillId="0" borderId="1" xfId="0" applyNumberFormat="1" applyFont="1" applyBorder="1">
      <alignment vertical="center"/>
    </xf>
    <xf numFmtId="0" fontId="67" fillId="13" borderId="1" xfId="0" applyFont="1" applyFill="1" applyBorder="1">
      <alignment vertical="center"/>
    </xf>
    <xf numFmtId="0" fontId="63" fillId="0" borderId="1" xfId="0" applyFont="1" applyBorder="1">
      <alignment vertical="center"/>
    </xf>
    <xf numFmtId="56" fontId="63" fillId="0" borderId="1" xfId="0" applyNumberFormat="1" applyFont="1" applyBorder="1" applyAlignment="1">
      <alignment vertical="center" wrapText="1"/>
    </xf>
    <xf numFmtId="0" fontId="63" fillId="0" borderId="1" xfId="0" applyFont="1" applyBorder="1" applyAlignment="1">
      <alignment vertical="center" wrapText="1"/>
    </xf>
    <xf numFmtId="0" fontId="67" fillId="15" borderId="1" xfId="0" applyFont="1" applyFill="1" applyBorder="1">
      <alignment vertical="center"/>
    </xf>
    <xf numFmtId="0" fontId="68" fillId="0" borderId="0" xfId="0" applyFont="1">
      <alignment vertical="center"/>
    </xf>
    <xf numFmtId="0" fontId="68" fillId="0" borderId="0" xfId="0" applyFont="1" applyAlignment="1"/>
    <xf numFmtId="0" fontId="60" fillId="0" borderId="0" xfId="1" applyFont="1" applyAlignment="1" applyProtection="1">
      <alignment vertical="center" shrinkToFit="1"/>
      <protection locked="0"/>
    </xf>
    <xf numFmtId="0" fontId="70" fillId="0" borderId="0" xfId="2" applyFont="1" applyAlignment="1" applyProtection="1">
      <alignment horizontal="center" vertical="center" wrapText="1"/>
      <protection locked="0"/>
    </xf>
    <xf numFmtId="0" fontId="71" fillId="0" borderId="0" xfId="1" applyFont="1" applyProtection="1">
      <alignment vertical="center"/>
      <protection locked="0"/>
    </xf>
    <xf numFmtId="0" fontId="71" fillId="0" borderId="0" xfId="2" applyFont="1">
      <alignment vertical="center"/>
    </xf>
    <xf numFmtId="0" fontId="73" fillId="0" borderId="0" xfId="1" applyFont="1">
      <alignment vertical="center"/>
    </xf>
    <xf numFmtId="0" fontId="68" fillId="0" borderId="33" xfId="0" applyFont="1" applyBorder="1">
      <alignment vertical="center"/>
    </xf>
    <xf numFmtId="0" fontId="68" fillId="0" borderId="34" xfId="0" applyFont="1" applyBorder="1">
      <alignment vertical="center"/>
    </xf>
    <xf numFmtId="0" fontId="68" fillId="0" borderId="35" xfId="0" applyFont="1" applyBorder="1">
      <alignment vertical="center"/>
    </xf>
    <xf numFmtId="0" fontId="68" fillId="0" borderId="13" xfId="0" applyFont="1" applyBorder="1">
      <alignment vertical="center"/>
    </xf>
    <xf numFmtId="0" fontId="68" fillId="0" borderId="2" xfId="0" applyFont="1" applyBorder="1">
      <alignment vertical="center"/>
    </xf>
    <xf numFmtId="0" fontId="68" fillId="0" borderId="12" xfId="0" applyFont="1" applyBorder="1">
      <alignment vertical="center"/>
    </xf>
    <xf numFmtId="0" fontId="68" fillId="0" borderId="37" xfId="0" applyFont="1" applyBorder="1" applyAlignment="1">
      <alignment horizontal="center" vertical="center"/>
    </xf>
    <xf numFmtId="0" fontId="68" fillId="0" borderId="10" xfId="0" applyFont="1" applyBorder="1" applyAlignment="1">
      <alignment horizontal="center" vertical="center"/>
    </xf>
    <xf numFmtId="0" fontId="60" fillId="0" borderId="30" xfId="2" applyFont="1" applyBorder="1" applyAlignment="1">
      <alignment horizontal="center" vertical="center"/>
    </xf>
    <xf numFmtId="0" fontId="68" fillId="0" borderId="22" xfId="1" applyFont="1" applyBorder="1">
      <alignment vertical="center"/>
    </xf>
    <xf numFmtId="0" fontId="74" fillId="0" borderId="15" xfId="1" applyFont="1" applyBorder="1" applyAlignment="1" applyProtection="1">
      <alignment horizontal="center" vertical="center"/>
      <protection locked="0"/>
    </xf>
    <xf numFmtId="0" fontId="75" fillId="0" borderId="0" xfId="0" applyFont="1">
      <alignment vertical="center"/>
    </xf>
    <xf numFmtId="0" fontId="68" fillId="0" borderId="15" xfId="0" applyFont="1" applyBorder="1" applyProtection="1">
      <alignment vertical="center"/>
      <protection locked="0"/>
    </xf>
    <xf numFmtId="0" fontId="74" fillId="0" borderId="11" xfId="1" applyFont="1" applyBorder="1" applyAlignment="1" applyProtection="1">
      <alignment horizontal="center" vertical="center"/>
      <protection locked="0"/>
    </xf>
    <xf numFmtId="0" fontId="74" fillId="0" borderId="48" xfId="1" applyFont="1" applyBorder="1" applyAlignment="1" applyProtection="1">
      <alignment horizontal="center" vertical="center"/>
      <protection locked="0"/>
    </xf>
    <xf numFmtId="49" fontId="73" fillId="0" borderId="0" xfId="1" applyNumberFormat="1" applyFont="1">
      <alignment vertical="center"/>
    </xf>
    <xf numFmtId="0" fontId="76" fillId="16" borderId="0" xfId="0" applyFont="1" applyFill="1">
      <alignment vertical="center"/>
    </xf>
    <xf numFmtId="49" fontId="68" fillId="0" borderId="0" xfId="0" applyNumberFormat="1" applyFont="1">
      <alignment vertical="center"/>
    </xf>
    <xf numFmtId="49" fontId="68" fillId="0" borderId="0" xfId="0" applyNumberFormat="1" applyFont="1" applyAlignment="1">
      <alignment vertical="center" wrapText="1"/>
    </xf>
    <xf numFmtId="0" fontId="68" fillId="0" borderId="0" xfId="0" applyFont="1" applyAlignment="1">
      <alignment vertical="center" wrapText="1"/>
    </xf>
    <xf numFmtId="49" fontId="74" fillId="0" borderId="15" xfId="1" applyNumberFormat="1" applyFont="1" applyBorder="1" applyAlignment="1" applyProtection="1">
      <alignment horizontal="center" vertical="center"/>
      <protection locked="0"/>
    </xf>
    <xf numFmtId="176" fontId="12" fillId="0" borderId="0" xfId="0" applyNumberFormat="1" applyFont="1">
      <alignment vertical="center"/>
    </xf>
    <xf numFmtId="0" fontId="19" fillId="0" borderId="82" xfId="1" applyFont="1" applyBorder="1" applyAlignment="1" applyProtection="1">
      <alignment horizontal="center" vertical="center"/>
      <protection locked="0"/>
    </xf>
    <xf numFmtId="0" fontId="32" fillId="0" borderId="0" xfId="3" applyFont="1" applyAlignment="1">
      <alignment horizontal="center" vertical="center"/>
    </xf>
    <xf numFmtId="0" fontId="34" fillId="0" borderId="36" xfId="0" applyFont="1" applyBorder="1" applyAlignment="1">
      <alignment horizontal="center" vertical="center"/>
    </xf>
    <xf numFmtId="0" fontId="34" fillId="0" borderId="32" xfId="0" applyFont="1" applyBorder="1" applyAlignment="1">
      <alignment horizontal="center" vertical="center"/>
    </xf>
    <xf numFmtId="0" fontId="31" fillId="0" borderId="36" xfId="0" applyFont="1" applyBorder="1" applyAlignment="1">
      <alignment horizontal="center" vertical="center"/>
    </xf>
    <xf numFmtId="0" fontId="31" fillId="0" borderId="32" xfId="0" applyFont="1" applyBorder="1" applyAlignment="1">
      <alignment horizontal="center" vertical="center"/>
    </xf>
    <xf numFmtId="0" fontId="29" fillId="6" borderId="36" xfId="0" applyFont="1" applyFill="1" applyBorder="1" applyAlignment="1">
      <alignment horizontal="center" vertical="center"/>
    </xf>
    <xf numFmtId="0" fontId="29" fillId="6" borderId="32" xfId="0" applyFont="1" applyFill="1" applyBorder="1" applyAlignment="1">
      <alignment horizontal="center" vertical="center"/>
    </xf>
    <xf numFmtId="0" fontId="29" fillId="0" borderId="36" xfId="0" applyFont="1" applyBorder="1" applyAlignment="1">
      <alignment horizontal="center" vertical="center"/>
    </xf>
    <xf numFmtId="0" fontId="29" fillId="0" borderId="32" xfId="0" applyFont="1" applyBorder="1" applyAlignment="1">
      <alignment horizontal="center" vertical="center"/>
    </xf>
    <xf numFmtId="0" fontId="4" fillId="0" borderId="53" xfId="3" applyBorder="1" applyAlignment="1">
      <alignment horizontal="center" vertical="center"/>
    </xf>
    <xf numFmtId="0" fontId="4" fillId="0" borderId="54" xfId="3" applyBorder="1" applyAlignment="1">
      <alignment horizontal="center" vertical="center"/>
    </xf>
    <xf numFmtId="0" fontId="31" fillId="4" borderId="0" xfId="3" applyFont="1" applyFill="1" applyAlignment="1">
      <alignment horizontal="left" vertical="center"/>
    </xf>
    <xf numFmtId="0" fontId="4" fillId="4" borderId="0" xfId="3" applyFill="1" applyAlignment="1">
      <alignment horizontal="center" vertical="center"/>
    </xf>
    <xf numFmtId="0" fontId="32" fillId="4" borderId="0" xfId="3" applyFont="1" applyFill="1" applyAlignment="1">
      <alignment horizontal="left" vertical="center"/>
    </xf>
    <xf numFmtId="0" fontId="31" fillId="4" borderId="0" xfId="3" applyFont="1" applyFill="1" applyAlignment="1">
      <alignment horizontal="justify" vertical="center"/>
    </xf>
    <xf numFmtId="0" fontId="0" fillId="4" borderId="0" xfId="3" applyFont="1" applyFill="1" applyAlignment="1">
      <alignment horizontal="left" vertical="center"/>
    </xf>
    <xf numFmtId="0" fontId="4" fillId="4" borderId="0" xfId="3" applyFill="1" applyAlignment="1">
      <alignment horizontal="left" vertical="center"/>
    </xf>
    <xf numFmtId="0" fontId="28" fillId="4" borderId="0" xfId="3" applyFont="1" applyFill="1" applyAlignment="1">
      <alignment horizontal="left" vertical="center"/>
    </xf>
    <xf numFmtId="0" fontId="30" fillId="4" borderId="0" xfId="3" applyFont="1" applyFill="1" applyAlignment="1">
      <alignment horizontal="center" vertical="center"/>
    </xf>
    <xf numFmtId="182" fontId="30" fillId="4" borderId="0" xfId="3" applyNumberFormat="1" applyFont="1" applyFill="1" applyAlignment="1">
      <alignment horizontal="center" vertical="center"/>
    </xf>
    <xf numFmtId="177" fontId="30" fillId="4" borderId="0" xfId="3" applyNumberFormat="1" applyFont="1" applyFill="1" applyAlignment="1">
      <alignment horizontal="center" vertical="center"/>
    </xf>
    <xf numFmtId="0" fontId="0" fillId="0" borderId="1" xfId="0" applyBorder="1" applyAlignment="1">
      <alignment horizontal="center" vertical="center"/>
    </xf>
    <xf numFmtId="180" fontId="0" fillId="0" borderId="0" xfId="0" applyNumberFormat="1" applyAlignment="1">
      <alignment horizontal="left" vertical="center" shrinkToFit="1"/>
    </xf>
    <xf numFmtId="180" fontId="4" fillId="0" borderId="0" xfId="0" applyNumberFormat="1" applyFont="1" applyAlignment="1">
      <alignment horizontal="left" vertical="center" shrinkToFit="1"/>
    </xf>
    <xf numFmtId="0" fontId="0" fillId="0" borderId="0" xfId="0" applyAlignment="1">
      <alignment horizontal="left" vertical="center"/>
    </xf>
    <xf numFmtId="176" fontId="30" fillId="4" borderId="0" xfId="3" applyNumberFormat="1" applyFont="1" applyFill="1" applyAlignment="1">
      <alignment horizontal="center" vertical="center"/>
    </xf>
    <xf numFmtId="186" fontId="12" fillId="0" borderId="34" xfId="0" applyNumberFormat="1" applyFont="1" applyBorder="1" applyAlignment="1">
      <alignment horizontal="center" vertical="center"/>
    </xf>
    <xf numFmtId="186" fontId="12" fillId="0" borderId="2" xfId="0" applyNumberFormat="1" applyFont="1" applyBorder="1" applyAlignment="1">
      <alignment horizontal="center" vertical="center"/>
    </xf>
    <xf numFmtId="177" fontId="12" fillId="0" borderId="34" xfId="1" applyNumberFormat="1" applyFont="1" applyBorder="1" applyAlignment="1">
      <alignment horizontal="center" vertical="center"/>
    </xf>
    <xf numFmtId="177" fontId="12" fillId="0" borderId="2" xfId="1" applyNumberFormat="1" applyFont="1" applyBorder="1" applyAlignment="1">
      <alignment horizontal="center" vertical="center"/>
    </xf>
    <xf numFmtId="0" fontId="12" fillId="0" borderId="33" xfId="0" applyFont="1" applyBorder="1" applyAlignment="1">
      <alignment horizontal="center" vertical="center"/>
    </xf>
    <xf numFmtId="0" fontId="12" fillId="0" borderId="34" xfId="0" applyFont="1" applyBorder="1" applyAlignment="1">
      <alignment horizontal="center" vertical="center"/>
    </xf>
    <xf numFmtId="0" fontId="12" fillId="0" borderId="35" xfId="0" applyFont="1" applyBorder="1" applyAlignment="1">
      <alignment horizontal="center" vertical="center"/>
    </xf>
    <xf numFmtId="0" fontId="12" fillId="0" borderId="13" xfId="0" applyFont="1" applyBorder="1" applyAlignment="1">
      <alignment horizontal="center" vertical="center"/>
    </xf>
    <xf numFmtId="0" fontId="12" fillId="0" borderId="2" xfId="0" applyFont="1" applyBorder="1" applyAlignment="1">
      <alignment horizontal="center" vertical="center"/>
    </xf>
    <xf numFmtId="0" fontId="12" fillId="0" borderId="12" xfId="0" applyFont="1" applyBorder="1" applyAlignment="1">
      <alignment horizontal="center" vertical="center"/>
    </xf>
    <xf numFmtId="0" fontId="12" fillId="0" borderId="43" xfId="0" applyFont="1" applyBorder="1" applyAlignment="1">
      <alignment horizontal="center" vertical="center"/>
    </xf>
    <xf numFmtId="0" fontId="12" fillId="0" borderId="44" xfId="0" applyFont="1" applyBorder="1" applyAlignment="1">
      <alignment horizontal="center" vertical="center"/>
    </xf>
    <xf numFmtId="0" fontId="12" fillId="0" borderId="29" xfId="0" applyFont="1" applyBorder="1" applyAlignment="1">
      <alignment horizontal="center" vertical="center"/>
    </xf>
    <xf numFmtId="0" fontId="12" fillId="0" borderId="51" xfId="0" applyFont="1" applyBorder="1" applyAlignment="1">
      <alignment horizontal="center" vertical="center"/>
    </xf>
    <xf numFmtId="0" fontId="12" fillId="1" borderId="3" xfId="0" applyFont="1" applyFill="1" applyBorder="1" applyAlignment="1">
      <alignment horizontal="distributed" vertical="center" indent="6"/>
    </xf>
    <xf numFmtId="0" fontId="12" fillId="1" borderId="4" xfId="0" applyFont="1" applyFill="1" applyBorder="1" applyAlignment="1">
      <alignment horizontal="distributed" vertical="center" indent="6"/>
    </xf>
    <xf numFmtId="0" fontId="12" fillId="1" borderId="16" xfId="0" applyFont="1" applyFill="1" applyBorder="1" applyAlignment="1">
      <alignment horizontal="distributed" vertical="center" indent="6"/>
    </xf>
    <xf numFmtId="0" fontId="16" fillId="0" borderId="0" xfId="0" applyFont="1" applyAlignment="1">
      <alignment horizontal="center" vertical="center"/>
    </xf>
    <xf numFmtId="0" fontId="11" fillId="0" borderId="1" xfId="1" applyFont="1" applyBorder="1" applyAlignment="1" applyProtection="1">
      <alignment horizontal="center" vertical="center" shrinkToFit="1"/>
      <protection locked="0"/>
    </xf>
    <xf numFmtId="0" fontId="14" fillId="0" borderId="1" xfId="1" applyFont="1" applyBorder="1" applyAlignment="1" applyProtection="1">
      <alignment horizontal="center" vertical="center"/>
      <protection locked="0"/>
    </xf>
    <xf numFmtId="0" fontId="17" fillId="0" borderId="0" xfId="0" applyFont="1" applyAlignment="1">
      <alignment horizontal="center" vertical="center" shrinkToFit="1"/>
    </xf>
    <xf numFmtId="176" fontId="12" fillId="0" borderId="42" xfId="1" applyNumberFormat="1" applyFont="1" applyBorder="1" applyAlignment="1">
      <alignment horizontal="center" vertical="center"/>
    </xf>
    <xf numFmtId="176" fontId="12" fillId="0" borderId="34" xfId="1" applyNumberFormat="1" applyFont="1" applyBorder="1" applyAlignment="1">
      <alignment horizontal="center" vertical="center"/>
    </xf>
    <xf numFmtId="176" fontId="12" fillId="0" borderId="11" xfId="1" applyNumberFormat="1" applyFont="1" applyBorder="1" applyAlignment="1">
      <alignment horizontal="center" vertical="center"/>
    </xf>
    <xf numFmtId="176" fontId="12" fillId="0" borderId="2" xfId="1" applyNumberFormat="1" applyFont="1" applyBorder="1" applyAlignment="1">
      <alignment horizontal="center" vertical="center"/>
    </xf>
    <xf numFmtId="0" fontId="12" fillId="0" borderId="34" xfId="1" applyFont="1" applyBorder="1" applyAlignment="1">
      <alignment horizontal="center" vertical="center"/>
    </xf>
    <xf numFmtId="0" fontId="12" fillId="0" borderId="2" xfId="1" applyFont="1" applyBorder="1" applyAlignment="1">
      <alignment horizontal="center" vertical="center"/>
    </xf>
    <xf numFmtId="178" fontId="12" fillId="0" borderId="34" xfId="1" applyNumberFormat="1" applyFont="1" applyBorder="1" applyAlignment="1">
      <alignment horizontal="center" vertical="center"/>
    </xf>
    <xf numFmtId="178" fontId="12" fillId="0" borderId="2" xfId="1" applyNumberFormat="1" applyFont="1" applyBorder="1" applyAlignment="1">
      <alignment horizontal="center" vertical="center"/>
    </xf>
    <xf numFmtId="0" fontId="14" fillId="0" borderId="36" xfId="2" applyFont="1" applyBorder="1" applyAlignment="1">
      <alignment horizontal="center" vertical="center"/>
    </xf>
    <xf numFmtId="0" fontId="14" fillId="0" borderId="31" xfId="2" applyFont="1" applyBorder="1" applyAlignment="1">
      <alignment horizontal="center" vertical="center"/>
    </xf>
    <xf numFmtId="0" fontId="14" fillId="0" borderId="30" xfId="2" applyFont="1" applyBorder="1" applyAlignment="1">
      <alignment horizontal="center" vertical="center" shrinkToFit="1"/>
    </xf>
    <xf numFmtId="0" fontId="14" fillId="0" borderId="31" xfId="2" applyFont="1" applyBorder="1" applyAlignment="1">
      <alignment horizontal="center" vertical="center" shrinkToFit="1"/>
    </xf>
    <xf numFmtId="176" fontId="12" fillId="0" borderId="31" xfId="1" applyNumberFormat="1" applyFont="1" applyBorder="1" applyAlignment="1">
      <alignment horizontal="left" vertical="center"/>
    </xf>
    <xf numFmtId="176" fontId="12" fillId="0" borderId="32" xfId="1" applyNumberFormat="1" applyFont="1" applyBorder="1" applyAlignment="1">
      <alignment horizontal="left" vertical="center"/>
    </xf>
    <xf numFmtId="0" fontId="14" fillId="0" borderId="36" xfId="2" applyFont="1" applyBorder="1" applyAlignment="1">
      <alignment horizontal="center" vertical="center" shrinkToFit="1"/>
    </xf>
    <xf numFmtId="0" fontId="14" fillId="0" borderId="30" xfId="2" applyFont="1" applyBorder="1" applyAlignment="1">
      <alignment horizontal="center" vertical="center"/>
    </xf>
    <xf numFmtId="0" fontId="14" fillId="0" borderId="6" xfId="2" applyFont="1" applyBorder="1" applyAlignment="1">
      <alignment horizontal="center" vertical="center"/>
    </xf>
    <xf numFmtId="0" fontId="14" fillId="0" borderId="7" xfId="2" applyFont="1" applyBorder="1" applyAlignment="1">
      <alignment horizontal="center" vertical="center"/>
    </xf>
    <xf numFmtId="176" fontId="12" fillId="0" borderId="7" xfId="1" applyNumberFormat="1" applyFont="1" applyBorder="1" applyAlignment="1">
      <alignment horizontal="left" vertical="center"/>
    </xf>
    <xf numFmtId="176" fontId="12" fillId="0" borderId="8" xfId="1" applyNumberFormat="1" applyFont="1" applyBorder="1" applyAlignment="1">
      <alignment horizontal="left" vertical="center"/>
    </xf>
    <xf numFmtId="0" fontId="14" fillId="0" borderId="9" xfId="2" applyFont="1" applyBorder="1" applyAlignment="1">
      <alignment horizontal="center" vertical="center"/>
    </xf>
    <xf numFmtId="0" fontId="14" fillId="0" borderId="9" xfId="2" applyFont="1" applyBorder="1" applyAlignment="1">
      <alignment horizontal="center" vertical="center" shrinkToFit="1"/>
    </xf>
    <xf numFmtId="0" fontId="14" fillId="0" borderId="7" xfId="2" applyFont="1" applyBorder="1" applyAlignment="1">
      <alignment horizontal="center" vertical="center" shrinkToFit="1"/>
    </xf>
    <xf numFmtId="0" fontId="12" fillId="0" borderId="31" xfId="1" applyFont="1" applyBorder="1" applyAlignment="1">
      <alignment horizontal="center" vertical="center"/>
    </xf>
    <xf numFmtId="0" fontId="39" fillId="2" borderId="31" xfId="0" applyFont="1" applyFill="1" applyBorder="1" applyAlignment="1">
      <alignment horizontal="right" vertical="center" shrinkToFit="1"/>
    </xf>
    <xf numFmtId="0" fontId="41" fillId="2" borderId="31" xfId="0" applyFont="1" applyFill="1" applyBorder="1" applyAlignment="1">
      <alignment horizontal="center" vertical="center" shrinkToFit="1"/>
    </xf>
    <xf numFmtId="0" fontId="0" fillId="0" borderId="31" xfId="0" applyBorder="1" applyAlignment="1" applyProtection="1">
      <alignment horizontal="center" vertical="center" shrinkToFit="1"/>
      <protection locked="0"/>
    </xf>
    <xf numFmtId="0" fontId="0" fillId="0" borderId="37" xfId="0" applyBorder="1" applyAlignment="1" applyProtection="1">
      <alignment horizontal="center" vertical="center" shrinkToFit="1"/>
      <protection locked="0"/>
    </xf>
    <xf numFmtId="49" fontId="74" fillId="0" borderId="20" xfId="1" applyNumberFormat="1" applyFont="1" applyBorder="1" applyAlignment="1" applyProtection="1">
      <alignment horizontal="center" vertical="center"/>
      <protection locked="0"/>
    </xf>
    <xf numFmtId="0" fontId="74" fillId="0" borderId="20" xfId="1" applyFont="1" applyBorder="1" applyAlignment="1" applyProtection="1">
      <alignment horizontal="center" vertical="center"/>
      <protection locked="0"/>
    </xf>
    <xf numFmtId="0" fontId="60" fillId="0" borderId="20" xfId="2" applyFont="1" applyBorder="1" applyAlignment="1" applyProtection="1">
      <alignment horizontal="left" vertical="center" wrapText="1"/>
      <protection locked="0"/>
    </xf>
    <xf numFmtId="0" fontId="60" fillId="0" borderId="20" xfId="2" applyFont="1" applyBorder="1" applyAlignment="1" applyProtection="1">
      <alignment horizontal="left" vertical="center"/>
      <protection locked="0"/>
    </xf>
    <xf numFmtId="0" fontId="60" fillId="0" borderId="21" xfId="2" applyFont="1" applyBorder="1" applyAlignment="1" applyProtection="1">
      <alignment horizontal="left" vertical="center"/>
      <protection locked="0"/>
    </xf>
    <xf numFmtId="0" fontId="11" fillId="0" borderId="20" xfId="2" applyFont="1" applyBorder="1" applyAlignment="1" applyProtection="1">
      <alignment horizontal="left" vertical="center"/>
      <protection locked="0"/>
    </xf>
    <xf numFmtId="0" fontId="11" fillId="0" borderId="21" xfId="2" applyFont="1" applyBorder="1" applyAlignment="1" applyProtection="1">
      <alignment horizontal="left" vertical="center"/>
      <protection locked="0"/>
    </xf>
    <xf numFmtId="20" fontId="19" fillId="0" borderId="20" xfId="1" applyNumberFormat="1" applyFont="1" applyBorder="1" applyAlignment="1" applyProtection="1">
      <alignment horizontal="center" vertical="center"/>
      <protection locked="0"/>
    </xf>
    <xf numFmtId="0" fontId="19" fillId="0" borderId="20" xfId="1" applyFont="1" applyBorder="1" applyAlignment="1" applyProtection="1">
      <alignment horizontal="center" vertical="center"/>
      <protection locked="0"/>
    </xf>
    <xf numFmtId="0" fontId="19" fillId="0" borderId="20" xfId="1" applyFont="1" applyBorder="1" applyAlignment="1" applyProtection="1">
      <alignment horizontal="left" vertical="center"/>
      <protection locked="0"/>
    </xf>
    <xf numFmtId="0" fontId="19" fillId="0" borderId="21" xfId="1" applyFont="1" applyBorder="1" applyAlignment="1" applyProtection="1">
      <alignment horizontal="left" vertical="center"/>
      <protection locked="0"/>
    </xf>
    <xf numFmtId="180" fontId="19" fillId="0" borderId="20" xfId="1" applyNumberFormat="1" applyFont="1" applyBorder="1" applyAlignment="1" applyProtection="1">
      <alignment horizontal="left" vertical="center"/>
      <protection locked="0"/>
    </xf>
    <xf numFmtId="180" fontId="19" fillId="0" borderId="21" xfId="1" applyNumberFormat="1" applyFont="1" applyBorder="1" applyAlignment="1" applyProtection="1">
      <alignment horizontal="left" vertical="center"/>
      <protection locked="0"/>
    </xf>
    <xf numFmtId="49" fontId="74" fillId="0" borderId="83" xfId="1" applyNumberFormat="1" applyFont="1" applyBorder="1" applyAlignment="1" applyProtection="1">
      <alignment horizontal="center" vertical="center"/>
      <protection locked="0"/>
    </xf>
    <xf numFmtId="0" fontId="74" fillId="0" borderId="83" xfId="1" applyFont="1" applyBorder="1" applyAlignment="1" applyProtection="1">
      <alignment horizontal="center" vertical="center"/>
      <protection locked="0"/>
    </xf>
    <xf numFmtId="0" fontId="11" fillId="0" borderId="83" xfId="2" applyFont="1" applyBorder="1" applyAlignment="1" applyProtection="1">
      <alignment horizontal="left" vertical="center"/>
      <protection locked="0"/>
    </xf>
    <xf numFmtId="0" fontId="11" fillId="0" borderId="84" xfId="2" applyFont="1" applyBorder="1" applyAlignment="1" applyProtection="1">
      <alignment horizontal="left" vertical="center"/>
      <protection locked="0"/>
    </xf>
    <xf numFmtId="0" fontId="19" fillId="0" borderId="83" xfId="1" applyFont="1" applyBorder="1" applyAlignment="1" applyProtection="1">
      <alignment horizontal="left" vertical="center"/>
      <protection locked="0"/>
    </xf>
    <xf numFmtId="0" fontId="19" fillId="0" borderId="84" xfId="1" applyFont="1" applyBorder="1" applyAlignment="1" applyProtection="1">
      <alignment horizontal="left" vertical="center"/>
      <protection locked="0"/>
    </xf>
    <xf numFmtId="49" fontId="19" fillId="0" borderId="20" xfId="1" applyNumberFormat="1" applyFont="1" applyBorder="1" applyAlignment="1" applyProtection="1">
      <alignment horizontal="left" vertical="center"/>
      <protection locked="0"/>
    </xf>
    <xf numFmtId="49" fontId="19" fillId="0" borderId="21" xfId="1" applyNumberFormat="1" applyFont="1" applyBorder="1" applyAlignment="1" applyProtection="1">
      <alignment horizontal="left" vertical="center"/>
      <protection locked="0"/>
    </xf>
    <xf numFmtId="0" fontId="19" fillId="0" borderId="49" xfId="1" applyFont="1" applyBorder="1" applyAlignment="1" applyProtection="1">
      <alignment horizontal="center" vertical="center"/>
      <protection locked="0"/>
    </xf>
    <xf numFmtId="0" fontId="11" fillId="0" borderId="49" xfId="2" applyFont="1" applyBorder="1" applyAlignment="1" applyProtection="1">
      <alignment horizontal="left" vertical="center"/>
      <protection locked="0"/>
    </xf>
    <xf numFmtId="0" fontId="11" fillId="0" borderId="50" xfId="2" applyFont="1" applyBorder="1" applyAlignment="1" applyProtection="1">
      <alignment horizontal="left" vertical="center"/>
      <protection locked="0"/>
    </xf>
    <xf numFmtId="176" fontId="12" fillId="0" borderId="0" xfId="0" applyNumberFormat="1" applyFont="1" applyAlignment="1">
      <alignment horizontal="center" vertical="center"/>
    </xf>
    <xf numFmtId="0" fontId="12" fillId="0" borderId="0" xfId="0" applyFont="1" applyAlignment="1">
      <alignment horizontal="center" vertical="center"/>
    </xf>
    <xf numFmtId="177" fontId="12" fillId="0" borderId="0" xfId="0" applyNumberFormat="1" applyFont="1" applyAlignment="1">
      <alignment horizontal="center" vertical="center"/>
    </xf>
    <xf numFmtId="178" fontId="12" fillId="0" borderId="0" xfId="0" applyNumberFormat="1" applyFont="1" applyAlignment="1">
      <alignment horizontal="center" vertical="center"/>
    </xf>
    <xf numFmtId="49" fontId="19" fillId="0" borderId="20" xfId="1" applyNumberFormat="1" applyFont="1" applyBorder="1" applyAlignment="1" applyProtection="1">
      <alignment horizontal="center" vertical="center"/>
      <protection locked="0"/>
    </xf>
    <xf numFmtId="0" fontId="11" fillId="0" borderId="20" xfId="2" applyFont="1" applyBorder="1" applyAlignment="1" applyProtection="1">
      <alignment horizontal="left" vertical="center" shrinkToFit="1"/>
      <protection locked="0"/>
    </xf>
    <xf numFmtId="0" fontId="11" fillId="0" borderId="21" xfId="2" applyFont="1" applyBorder="1" applyAlignment="1" applyProtection="1">
      <alignment horizontal="left" vertical="center" shrinkToFit="1"/>
      <protection locked="0"/>
    </xf>
    <xf numFmtId="56" fontId="19" fillId="0" borderId="20" xfId="1" applyNumberFormat="1" applyFont="1" applyBorder="1" applyAlignment="1" applyProtection="1">
      <alignment horizontal="center" vertical="center"/>
      <protection locked="0"/>
    </xf>
    <xf numFmtId="49" fontId="74" fillId="0" borderId="15" xfId="1" applyNumberFormat="1" applyFont="1" applyBorder="1" applyAlignment="1" applyProtection="1">
      <alignment horizontal="center" vertical="center"/>
      <protection locked="0"/>
    </xf>
    <xf numFmtId="49" fontId="74" fillId="0" borderId="48" xfId="1" applyNumberFormat="1" applyFont="1" applyBorder="1" applyAlignment="1" applyProtection="1">
      <alignment horizontal="center" vertical="center"/>
      <protection locked="0"/>
    </xf>
    <xf numFmtId="49" fontId="74" fillId="0" borderId="49" xfId="1" applyNumberFormat="1" applyFont="1" applyBorder="1" applyAlignment="1" applyProtection="1">
      <alignment horizontal="center" vertical="center"/>
      <protection locked="0"/>
    </xf>
    <xf numFmtId="0" fontId="19" fillId="0" borderId="23" xfId="1" applyFont="1" applyBorder="1" applyAlignment="1">
      <alignment horizontal="left" vertical="center"/>
    </xf>
    <xf numFmtId="0" fontId="19" fillId="0" borderId="24" xfId="1" applyFont="1" applyBorder="1" applyAlignment="1">
      <alignment horizontal="left" vertical="center"/>
    </xf>
    <xf numFmtId="20" fontId="19" fillId="0" borderId="20" xfId="1" applyNumberFormat="1" applyFont="1" applyBorder="1" applyAlignment="1" applyProtection="1">
      <alignment horizontal="left" vertical="center"/>
      <protection locked="0"/>
    </xf>
    <xf numFmtId="20" fontId="19" fillId="0" borderId="21" xfId="1" applyNumberFormat="1" applyFont="1" applyBorder="1" applyAlignment="1" applyProtection="1">
      <alignment horizontal="left" vertical="center"/>
      <protection locked="0"/>
    </xf>
    <xf numFmtId="0" fontId="60" fillId="0" borderId="49" xfId="2" applyFont="1" applyBorder="1" applyAlignment="1" applyProtection="1">
      <alignment horizontal="left" vertical="center"/>
      <protection locked="0"/>
    </xf>
    <xf numFmtId="0" fontId="60" fillId="0" borderId="50" xfId="2" applyFont="1" applyBorder="1" applyAlignment="1" applyProtection="1">
      <alignment horizontal="left" vertical="center"/>
      <protection locked="0"/>
    </xf>
    <xf numFmtId="0" fontId="68" fillId="0" borderId="34" xfId="0" applyFont="1" applyBorder="1" applyAlignment="1">
      <alignment horizontal="center" vertical="center"/>
    </xf>
    <xf numFmtId="0" fontId="68" fillId="0" borderId="2" xfId="0" applyFont="1" applyBorder="1" applyAlignment="1">
      <alignment horizontal="center" vertical="center"/>
    </xf>
    <xf numFmtId="179" fontId="68" fillId="0" borderId="34" xfId="0" applyNumberFormat="1" applyFont="1" applyBorder="1" applyAlignment="1">
      <alignment horizontal="center" vertical="center"/>
    </xf>
    <xf numFmtId="179" fontId="68" fillId="0" borderId="2" xfId="0" applyNumberFormat="1" applyFont="1" applyBorder="1" applyAlignment="1">
      <alignment horizontal="center" vertical="center"/>
    </xf>
    <xf numFmtId="0" fontId="68" fillId="0" borderId="35" xfId="0" applyFont="1" applyBorder="1" applyAlignment="1">
      <alignment horizontal="center" vertical="center"/>
    </xf>
    <xf numFmtId="0" fontId="68" fillId="0" borderId="12" xfId="0" applyFont="1" applyBorder="1" applyAlignment="1">
      <alignment horizontal="center" vertical="center"/>
    </xf>
    <xf numFmtId="0" fontId="68" fillId="0" borderId="33" xfId="0" applyFont="1" applyBorder="1" applyAlignment="1">
      <alignment horizontal="center" vertical="center"/>
    </xf>
    <xf numFmtId="0" fontId="68" fillId="0" borderId="13" xfId="0" applyFont="1" applyBorder="1" applyAlignment="1">
      <alignment horizontal="center" vertical="center"/>
    </xf>
    <xf numFmtId="0" fontId="68" fillId="0" borderId="43" xfId="0" applyFont="1" applyBorder="1" applyAlignment="1">
      <alignment horizontal="center" vertical="center"/>
    </xf>
    <xf numFmtId="0" fontId="68" fillId="0" borderId="44" xfId="0" applyFont="1" applyBorder="1" applyAlignment="1">
      <alignment horizontal="center" vertical="center"/>
    </xf>
    <xf numFmtId="0" fontId="68" fillId="0" borderId="29" xfId="0" applyFont="1" applyBorder="1" applyAlignment="1">
      <alignment horizontal="center" vertical="center"/>
    </xf>
    <xf numFmtId="0" fontId="68" fillId="0" borderId="51" xfId="0" applyFont="1" applyBorder="1" applyAlignment="1">
      <alignment horizontal="center" vertical="center"/>
    </xf>
    <xf numFmtId="0" fontId="68" fillId="1" borderId="3" xfId="0" applyFont="1" applyFill="1" applyBorder="1" applyAlignment="1">
      <alignment horizontal="distributed" vertical="center" indent="6"/>
    </xf>
    <xf numFmtId="0" fontId="68" fillId="1" borderId="4" xfId="0" applyFont="1" applyFill="1" applyBorder="1" applyAlignment="1">
      <alignment horizontal="distributed" vertical="center" indent="6"/>
    </xf>
    <xf numFmtId="0" fontId="68" fillId="1" borderId="16" xfId="0" applyFont="1" applyFill="1" applyBorder="1" applyAlignment="1">
      <alignment horizontal="distributed" vertical="center" indent="6"/>
    </xf>
    <xf numFmtId="0" fontId="69" fillId="0" borderId="0" xfId="0" applyFont="1" applyAlignment="1">
      <alignment horizontal="center" vertical="center"/>
    </xf>
    <xf numFmtId="0" fontId="60" fillId="0" borderId="1" xfId="1" applyFont="1" applyBorder="1" applyAlignment="1" applyProtection="1">
      <alignment horizontal="center" vertical="center" shrinkToFit="1"/>
      <protection locked="0"/>
    </xf>
    <xf numFmtId="0" fontId="71" fillId="0" borderId="1" xfId="1" applyFont="1" applyBorder="1" applyAlignment="1" applyProtection="1">
      <alignment horizontal="center" vertical="center"/>
      <protection locked="0"/>
    </xf>
    <xf numFmtId="0" fontId="72" fillId="0" borderId="0" xfId="0" applyFont="1" applyAlignment="1">
      <alignment horizontal="center" vertical="center" shrinkToFit="1"/>
    </xf>
    <xf numFmtId="176" fontId="68" fillId="0" borderId="42" xfId="1" applyNumberFormat="1" applyFont="1" applyBorder="1" applyAlignment="1">
      <alignment horizontal="center" vertical="center"/>
    </xf>
    <xf numFmtId="176" fontId="68" fillId="0" borderId="34" xfId="1" applyNumberFormat="1" applyFont="1" applyBorder="1" applyAlignment="1">
      <alignment horizontal="center" vertical="center"/>
    </xf>
    <xf numFmtId="176" fontId="68" fillId="0" borderId="11" xfId="1" applyNumberFormat="1" applyFont="1" applyBorder="1" applyAlignment="1">
      <alignment horizontal="center" vertical="center"/>
    </xf>
    <xf numFmtId="176" fontId="68" fillId="0" borderId="2" xfId="1" applyNumberFormat="1" applyFont="1" applyBorder="1" applyAlignment="1">
      <alignment horizontal="center" vertical="center"/>
    </xf>
    <xf numFmtId="0" fontId="68" fillId="0" borderId="34" xfId="1" applyFont="1" applyBorder="1" applyAlignment="1">
      <alignment horizontal="center" vertical="center"/>
    </xf>
    <xf numFmtId="0" fontId="68" fillId="0" borderId="2" xfId="1" applyFont="1" applyBorder="1" applyAlignment="1">
      <alignment horizontal="center" vertical="center"/>
    </xf>
    <xf numFmtId="177" fontId="68" fillId="0" borderId="34" xfId="1" applyNumberFormat="1" applyFont="1" applyBorder="1" applyAlignment="1">
      <alignment horizontal="center" vertical="center"/>
    </xf>
    <xf numFmtId="177" fontId="68" fillId="0" borderId="2" xfId="1" applyNumberFormat="1" applyFont="1" applyBorder="1" applyAlignment="1">
      <alignment horizontal="center" vertical="center"/>
    </xf>
    <xf numFmtId="178" fontId="68" fillId="0" borderId="34" xfId="1" applyNumberFormat="1" applyFont="1" applyBorder="1" applyAlignment="1">
      <alignment horizontal="center" vertical="center"/>
    </xf>
    <xf numFmtId="178" fontId="68" fillId="0" borderId="2" xfId="1" applyNumberFormat="1" applyFont="1" applyBorder="1" applyAlignment="1">
      <alignment horizontal="center" vertical="center"/>
    </xf>
    <xf numFmtId="0" fontId="71" fillId="0" borderId="36" xfId="2" applyFont="1" applyBorder="1" applyAlignment="1">
      <alignment horizontal="center" vertical="center"/>
    </xf>
    <xf numFmtId="0" fontId="71" fillId="0" borderId="31" xfId="2" applyFont="1" applyBorder="1" applyAlignment="1">
      <alignment horizontal="center" vertical="center"/>
    </xf>
    <xf numFmtId="0" fontId="71" fillId="0" borderId="30" xfId="2" applyFont="1" applyBorder="1" applyAlignment="1">
      <alignment horizontal="center" vertical="center" shrinkToFit="1"/>
    </xf>
    <xf numFmtId="0" fontId="71" fillId="0" borderId="31" xfId="2" applyFont="1" applyBorder="1" applyAlignment="1">
      <alignment horizontal="center" vertical="center" shrinkToFit="1"/>
    </xf>
    <xf numFmtId="176" fontId="68" fillId="0" borderId="31" xfId="1" applyNumberFormat="1" applyFont="1" applyBorder="1" applyAlignment="1">
      <alignment horizontal="left" vertical="center"/>
    </xf>
    <xf numFmtId="176" fontId="68" fillId="0" borderId="32" xfId="1" applyNumberFormat="1" applyFont="1" applyBorder="1" applyAlignment="1">
      <alignment horizontal="left" vertical="center"/>
    </xf>
    <xf numFmtId="0" fontId="71" fillId="0" borderId="36" xfId="2" applyFont="1" applyBorder="1" applyAlignment="1">
      <alignment horizontal="center" vertical="center" shrinkToFit="1"/>
    </xf>
    <xf numFmtId="0" fontId="71" fillId="0" borderId="30" xfId="2" applyFont="1" applyBorder="1" applyAlignment="1">
      <alignment horizontal="center" vertical="center"/>
    </xf>
    <xf numFmtId="0" fontId="71" fillId="0" borderId="6" xfId="2" applyFont="1" applyBorder="1" applyAlignment="1">
      <alignment horizontal="center" vertical="center"/>
    </xf>
    <xf numFmtId="0" fontId="71" fillId="0" borderId="7" xfId="2" applyFont="1" applyBorder="1" applyAlignment="1">
      <alignment horizontal="center" vertical="center"/>
    </xf>
    <xf numFmtId="176" fontId="68" fillId="0" borderId="7" xfId="1" applyNumberFormat="1" applyFont="1" applyBorder="1" applyAlignment="1">
      <alignment horizontal="left" vertical="center"/>
    </xf>
    <xf numFmtId="176" fontId="68" fillId="0" borderId="8" xfId="1" applyNumberFormat="1" applyFont="1" applyBorder="1" applyAlignment="1">
      <alignment horizontal="left" vertical="center"/>
    </xf>
    <xf numFmtId="0" fontId="71" fillId="0" borderId="9" xfId="2" applyFont="1" applyBorder="1" applyAlignment="1">
      <alignment horizontal="center" vertical="center"/>
    </xf>
    <xf numFmtId="0" fontId="71" fillId="0" borderId="9" xfId="2" applyFont="1" applyBorder="1" applyAlignment="1">
      <alignment horizontal="center" vertical="center" shrinkToFit="1"/>
    </xf>
    <xf numFmtId="0" fontId="71" fillId="0" borderId="7" xfId="2" applyFont="1" applyBorder="1" applyAlignment="1">
      <alignment horizontal="center" vertical="center" shrinkToFit="1"/>
    </xf>
    <xf numFmtId="0" fontId="68" fillId="0" borderId="31" xfId="1" applyFont="1" applyBorder="1" applyAlignment="1">
      <alignment horizontal="center" vertical="center"/>
    </xf>
    <xf numFmtId="49" fontId="68" fillId="0" borderId="23" xfId="1" applyNumberFormat="1" applyFont="1" applyBorder="1" applyAlignment="1">
      <alignment horizontal="center" vertical="center"/>
    </xf>
    <xf numFmtId="0" fontId="68" fillId="0" borderId="23" xfId="1" applyFont="1" applyBorder="1" applyAlignment="1">
      <alignment horizontal="center" vertical="center"/>
    </xf>
    <xf numFmtId="0" fontId="68" fillId="0" borderId="24" xfId="1" applyFont="1" applyBorder="1" applyAlignment="1">
      <alignment horizontal="center" vertical="center"/>
    </xf>
    <xf numFmtId="49" fontId="75" fillId="0" borderId="2" xfId="1" applyNumberFormat="1" applyFont="1" applyBorder="1" applyAlignment="1" applyProtection="1">
      <alignment horizontal="center" vertical="center"/>
      <protection locked="0"/>
    </xf>
    <xf numFmtId="0" fontId="75" fillId="0" borderId="2" xfId="1" applyFont="1" applyBorder="1" applyAlignment="1" applyProtection="1">
      <alignment horizontal="center" vertical="center"/>
      <protection locked="0"/>
    </xf>
    <xf numFmtId="0" fontId="60" fillId="0" borderId="2" xfId="2" applyFont="1" applyBorder="1" applyAlignment="1" applyProtection="1">
      <alignment horizontal="left" vertical="center"/>
      <protection locked="0"/>
    </xf>
    <xf numFmtId="0" fontId="60" fillId="0" borderId="60" xfId="2" applyFont="1" applyBorder="1" applyAlignment="1" applyProtection="1">
      <alignment horizontal="left" vertical="center"/>
      <protection locked="0"/>
    </xf>
    <xf numFmtId="176" fontId="68" fillId="0" borderId="0" xfId="0" applyNumberFormat="1" applyFont="1" applyAlignment="1">
      <alignment horizontal="center" vertical="center"/>
    </xf>
    <xf numFmtId="0" fontId="68" fillId="0" borderId="0" xfId="0" applyFont="1" applyAlignment="1">
      <alignment horizontal="center" vertical="center"/>
    </xf>
    <xf numFmtId="177" fontId="68" fillId="0" borderId="0" xfId="0" applyNumberFormat="1" applyFont="1" applyAlignment="1">
      <alignment horizontal="center" vertical="center"/>
    </xf>
    <xf numFmtId="178" fontId="68" fillId="0" borderId="0" xfId="0" applyNumberFormat="1" applyFont="1" applyAlignment="1">
      <alignment horizontal="center" vertical="center"/>
    </xf>
    <xf numFmtId="179" fontId="68" fillId="0" borderId="0" xfId="0" applyNumberFormat="1" applyFont="1" applyAlignment="1">
      <alignment horizontal="center" vertical="center"/>
    </xf>
    <xf numFmtId="49" fontId="68" fillId="0" borderId="20" xfId="0" applyNumberFormat="1" applyFont="1" applyBorder="1" applyAlignment="1" applyProtection="1">
      <alignment horizontal="center" vertical="center"/>
      <protection locked="0"/>
    </xf>
    <xf numFmtId="0" fontId="68" fillId="0" borderId="20" xfId="0" applyFont="1" applyBorder="1" applyAlignment="1" applyProtection="1">
      <alignment horizontal="center" vertical="center"/>
      <protection locked="0"/>
    </xf>
    <xf numFmtId="0" fontId="74" fillId="0" borderId="20" xfId="0" applyFont="1" applyBorder="1" applyAlignment="1" applyProtection="1">
      <alignment horizontal="left" vertical="center"/>
      <protection locked="0"/>
    </xf>
    <xf numFmtId="0" fontId="74" fillId="0" borderId="21" xfId="0" applyFont="1" applyBorder="1" applyAlignment="1" applyProtection="1">
      <alignment horizontal="left" vertical="center"/>
      <protection locked="0"/>
    </xf>
    <xf numFmtId="49" fontId="68" fillId="1" borderId="4" xfId="0" applyNumberFormat="1" applyFont="1" applyFill="1" applyBorder="1" applyAlignment="1">
      <alignment horizontal="distributed" vertical="center" indent="6"/>
    </xf>
    <xf numFmtId="179" fontId="42" fillId="0" borderId="0" xfId="0" applyNumberFormat="1" applyFont="1" applyAlignment="1">
      <alignment horizontal="center" vertical="center"/>
    </xf>
    <xf numFmtId="0" fontId="74" fillId="0" borderId="49" xfId="1" applyFont="1" applyBorder="1" applyAlignment="1" applyProtection="1">
      <alignment horizontal="center" vertical="center"/>
      <protection locked="0"/>
    </xf>
    <xf numFmtId="0" fontId="56" fillId="0" borderId="0" xfId="0" applyFont="1" applyAlignment="1">
      <alignment horizontal="center" vertical="center" shrinkToFit="1"/>
    </xf>
    <xf numFmtId="0" fontId="60" fillId="0" borderId="18" xfId="2" applyFont="1" applyBorder="1" applyAlignment="1" applyProtection="1">
      <alignment horizontal="left" vertical="center"/>
      <protection locked="0"/>
    </xf>
    <xf numFmtId="0" fontId="14" fillId="0" borderId="78" xfId="2" applyFont="1" applyBorder="1" applyAlignment="1" applyProtection="1">
      <alignment horizontal="center" vertical="center" shrinkToFit="1"/>
      <protection locked="0"/>
    </xf>
    <xf numFmtId="0" fontId="14" fillId="0" borderId="18" xfId="2" applyFont="1" applyBorder="1" applyAlignment="1" applyProtection="1">
      <alignment horizontal="center" vertical="center" shrinkToFit="1"/>
      <protection locked="0"/>
    </xf>
    <xf numFmtId="0" fontId="60" fillId="0" borderId="78" xfId="2" applyFont="1" applyBorder="1" applyAlignment="1" applyProtection="1">
      <alignment horizontal="center" vertical="center" shrinkToFit="1"/>
      <protection locked="0"/>
    </xf>
    <xf numFmtId="0" fontId="60" fillId="0" borderId="18" xfId="2" applyFont="1" applyBorder="1" applyAlignment="1" applyProtection="1">
      <alignment horizontal="center" vertical="center" shrinkToFit="1"/>
      <protection locked="0"/>
    </xf>
    <xf numFmtId="0" fontId="60" fillId="0" borderId="19" xfId="2" applyFont="1" applyBorder="1" applyAlignment="1" applyProtection="1">
      <alignment horizontal="center" vertical="center" shrinkToFit="1"/>
      <protection locked="0"/>
    </xf>
    <xf numFmtId="0" fontId="57" fillId="0" borderId="0" xfId="0" applyFont="1" applyAlignment="1">
      <alignment horizontal="center" vertical="center" shrinkToFit="1"/>
    </xf>
    <xf numFmtId="0" fontId="12" fillId="0" borderId="15" xfId="1" applyFont="1" applyBorder="1" applyAlignment="1" applyProtection="1">
      <alignment horizontal="center" vertical="center"/>
      <protection locked="0"/>
    </xf>
    <xf numFmtId="0" fontId="12" fillId="0" borderId="20" xfId="1" applyFont="1" applyBorder="1" applyAlignment="1" applyProtection="1">
      <alignment horizontal="center" vertical="center"/>
      <protection locked="0"/>
    </xf>
    <xf numFmtId="0" fontId="14" fillId="0" borderId="20" xfId="2" applyFont="1" applyBorder="1" applyAlignment="1" applyProtection="1">
      <alignment horizontal="left" vertical="center"/>
      <protection locked="0"/>
    </xf>
    <xf numFmtId="0" fontId="14" fillId="0" borderId="21" xfId="2" applyFont="1" applyBorder="1" applyAlignment="1" applyProtection="1">
      <alignment horizontal="left" vertical="center"/>
      <protection locked="0"/>
    </xf>
    <xf numFmtId="0" fontId="14" fillId="0" borderId="18" xfId="2" applyFont="1" applyBorder="1" applyAlignment="1" applyProtection="1">
      <alignment horizontal="left" vertical="center"/>
      <protection locked="0"/>
    </xf>
    <xf numFmtId="0" fontId="14" fillId="0" borderId="19" xfId="2" applyFont="1" applyBorder="1" applyAlignment="1" applyProtection="1">
      <alignment horizontal="left" vertical="center"/>
      <protection locked="0"/>
    </xf>
    <xf numFmtId="0" fontId="11" fillId="0" borderId="23" xfId="2" applyFont="1" applyBorder="1" applyAlignment="1" applyProtection="1">
      <alignment horizontal="left" vertical="center" shrinkToFit="1"/>
      <protection locked="0"/>
    </xf>
    <xf numFmtId="0" fontId="11" fillId="0" borderId="24" xfId="2" applyFont="1" applyBorder="1" applyAlignment="1" applyProtection="1">
      <alignment horizontal="left" vertical="center" shrinkToFit="1"/>
      <protection locked="0"/>
    </xf>
    <xf numFmtId="180" fontId="19" fillId="0" borderId="20" xfId="1" applyNumberFormat="1" applyFont="1" applyBorder="1" applyAlignment="1" applyProtection="1">
      <alignment horizontal="center" vertical="center"/>
      <protection locked="0"/>
    </xf>
    <xf numFmtId="180" fontId="19" fillId="0" borderId="23" xfId="1" applyNumberFormat="1" applyFont="1" applyBorder="1" applyAlignment="1" applyProtection="1">
      <alignment horizontal="center" vertical="center"/>
      <protection locked="0"/>
    </xf>
    <xf numFmtId="0" fontId="12" fillId="0" borderId="46" xfId="0" applyFont="1" applyBorder="1" applyAlignment="1" applyProtection="1">
      <alignment horizontal="left" vertical="center"/>
      <protection locked="0"/>
    </xf>
    <xf numFmtId="0" fontId="12" fillId="0" borderId="0" xfId="0" applyFont="1" applyAlignment="1" applyProtection="1">
      <alignment horizontal="left" vertical="center"/>
      <protection locked="0"/>
    </xf>
    <xf numFmtId="0" fontId="12" fillId="0" borderId="14" xfId="0" applyFont="1" applyBorder="1" applyAlignment="1" applyProtection="1">
      <alignment horizontal="left" vertical="center"/>
      <protection locked="0"/>
    </xf>
    <xf numFmtId="0" fontId="12" fillId="0" borderId="36" xfId="0" applyFont="1" applyBorder="1" applyAlignment="1" applyProtection="1">
      <alignment horizontal="center" vertical="center"/>
      <protection locked="0"/>
    </xf>
    <xf numFmtId="0" fontId="12" fillId="0" borderId="31" xfId="0" applyFont="1" applyBorder="1" applyAlignment="1" applyProtection="1">
      <alignment horizontal="center" vertical="center"/>
      <protection locked="0"/>
    </xf>
    <xf numFmtId="0" fontId="12" fillId="0" borderId="38" xfId="0" applyFont="1" applyBorder="1" applyAlignment="1">
      <alignment horizontal="left" vertical="center" shrinkToFit="1"/>
    </xf>
    <xf numFmtId="0" fontId="12" fillId="5" borderId="1" xfId="0" applyFont="1" applyFill="1" applyBorder="1" applyAlignment="1" applyProtection="1">
      <alignment horizontal="center" vertical="center"/>
      <protection locked="0"/>
    </xf>
    <xf numFmtId="0" fontId="12" fillId="0" borderId="1" xfId="0" applyFont="1" applyBorder="1" applyAlignment="1">
      <alignment horizontal="center" vertical="center" shrinkToFit="1"/>
    </xf>
    <xf numFmtId="180" fontId="12" fillId="0" borderId="36" xfId="0" applyNumberFormat="1" applyFont="1" applyBorder="1" applyAlignment="1" applyProtection="1">
      <alignment horizontal="center" vertical="center"/>
      <protection locked="0"/>
    </xf>
    <xf numFmtId="180" fontId="12" fillId="0" borderId="31" xfId="0" applyNumberFormat="1" applyFont="1" applyBorder="1" applyAlignment="1" applyProtection="1">
      <alignment horizontal="center" vertical="center"/>
      <protection locked="0"/>
    </xf>
    <xf numFmtId="0" fontId="12" fillId="0" borderId="29" xfId="0" applyFont="1" applyBorder="1" applyAlignment="1" applyProtection="1">
      <alignment horizontal="center" vertical="center" shrinkToFit="1"/>
      <protection locked="0"/>
    </xf>
    <xf numFmtId="184" fontId="19" fillId="0" borderId="20" xfId="0" applyNumberFormat="1" applyFont="1" applyBorder="1" applyAlignment="1">
      <alignment horizontal="left" vertical="center" wrapText="1"/>
    </xf>
    <xf numFmtId="184" fontId="19" fillId="0" borderId="20" xfId="0" applyNumberFormat="1" applyFont="1" applyBorder="1" applyAlignment="1">
      <alignment horizontal="left" vertical="center"/>
    </xf>
    <xf numFmtId="184" fontId="19" fillId="0" borderId="21" xfId="0" applyNumberFormat="1" applyFont="1" applyBorder="1" applyAlignment="1">
      <alignment horizontal="left" vertical="center"/>
    </xf>
    <xf numFmtId="0" fontId="19" fillId="0" borderId="20" xfId="0" applyFont="1" applyBorder="1" applyAlignment="1" applyProtection="1">
      <alignment horizontal="left" vertical="center"/>
      <protection locked="0"/>
    </xf>
    <xf numFmtId="0" fontId="19" fillId="0" borderId="76" xfId="0" applyFont="1" applyBorder="1" applyAlignment="1" applyProtection="1">
      <alignment horizontal="left" vertical="center"/>
      <protection locked="0"/>
    </xf>
    <xf numFmtId="0" fontId="19" fillId="0" borderId="77" xfId="0" applyFont="1" applyBorder="1" applyAlignment="1" applyProtection="1">
      <alignment horizontal="left" vertical="center"/>
      <protection locked="0"/>
    </xf>
    <xf numFmtId="0" fontId="12" fillId="0" borderId="1" xfId="0" applyFont="1" applyBorder="1" applyAlignment="1">
      <alignment horizontal="center" vertical="center"/>
    </xf>
    <xf numFmtId="0" fontId="12" fillId="0" borderId="29" xfId="0" applyFont="1" applyBorder="1" applyAlignment="1" applyProtection="1">
      <alignment horizontal="center" vertical="center"/>
      <protection locked="0"/>
    </xf>
    <xf numFmtId="0" fontId="12" fillId="0" borderId="1" xfId="0" applyFont="1" applyBorder="1" applyAlignment="1" applyProtection="1">
      <alignment horizontal="center" vertical="center" shrinkToFit="1"/>
      <protection locked="0"/>
    </xf>
    <xf numFmtId="0" fontId="12" fillId="0" borderId="73" xfId="0" applyFont="1" applyBorder="1" applyAlignment="1" applyProtection="1">
      <alignment horizontal="center" vertical="center" textRotation="255"/>
      <protection locked="0"/>
    </xf>
    <xf numFmtId="0" fontId="12" fillId="0" borderId="74" xfId="0" applyFont="1" applyBorder="1" applyAlignment="1" applyProtection="1">
      <alignment horizontal="center" vertical="center" textRotation="255"/>
      <protection locked="0"/>
    </xf>
    <xf numFmtId="0" fontId="12" fillId="0" borderId="75" xfId="0" applyFont="1" applyBorder="1" applyAlignment="1" applyProtection="1">
      <alignment horizontal="center" vertical="center" textRotation="255"/>
      <protection locked="0"/>
    </xf>
    <xf numFmtId="0" fontId="40" fillId="3" borderId="56" xfId="0" applyFont="1" applyFill="1" applyBorder="1" applyAlignment="1" applyProtection="1">
      <alignment horizontal="center" vertical="center" shrinkToFit="1"/>
      <protection locked="0"/>
    </xf>
    <xf numFmtId="0" fontId="40" fillId="3" borderId="1" xfId="0" applyFont="1" applyFill="1" applyBorder="1" applyAlignment="1" applyProtection="1">
      <alignment horizontal="center" vertical="center" shrinkToFit="1"/>
      <protection locked="0"/>
    </xf>
    <xf numFmtId="0" fontId="40" fillId="3" borderId="58" xfId="0" applyFont="1" applyFill="1" applyBorder="1" applyAlignment="1" applyProtection="1">
      <alignment horizontal="center" vertical="center" shrinkToFit="1"/>
      <protection locked="0"/>
    </xf>
    <xf numFmtId="0" fontId="40" fillId="3" borderId="29" xfId="0" applyFont="1" applyFill="1" applyBorder="1" applyAlignment="1" applyProtection="1">
      <alignment horizontal="center" vertical="center" shrinkToFit="1"/>
      <protection locked="0"/>
    </xf>
    <xf numFmtId="0" fontId="12" fillId="0" borderId="55" xfId="0" applyFont="1" applyBorder="1" applyAlignment="1" applyProtection="1">
      <alignment horizontal="center" vertical="center"/>
      <protection locked="0"/>
    </xf>
    <xf numFmtId="0" fontId="12" fillId="0" borderId="43" xfId="0" applyFont="1" applyBorder="1" applyAlignment="1" applyProtection="1">
      <alignment horizontal="center" vertical="center"/>
      <protection locked="0"/>
    </xf>
    <xf numFmtId="0" fontId="12" fillId="5" borderId="43" xfId="0" applyFont="1" applyFill="1" applyBorder="1" applyAlignment="1" applyProtection="1">
      <alignment horizontal="center" vertical="center" shrinkToFit="1"/>
      <protection locked="0"/>
    </xf>
    <xf numFmtId="0" fontId="14" fillId="3" borderId="1" xfId="0" applyFont="1" applyFill="1" applyBorder="1" applyAlignment="1" applyProtection="1">
      <alignment horizontal="center" vertical="center" shrinkToFit="1"/>
      <protection locked="0"/>
    </xf>
    <xf numFmtId="0" fontId="12" fillId="0" borderId="0" xfId="0" applyFont="1" applyAlignment="1" applyProtection="1">
      <alignment horizontal="center" vertical="center" shrinkToFit="1"/>
      <protection locked="0"/>
    </xf>
    <xf numFmtId="0" fontId="12" fillId="0" borderId="7" xfId="0" applyFont="1" applyBorder="1" applyAlignment="1" applyProtection="1">
      <alignment horizontal="center" vertical="center" shrinkToFit="1"/>
      <protection locked="0"/>
    </xf>
    <xf numFmtId="0" fontId="12" fillId="0" borderId="1" xfId="0" applyFont="1" applyBorder="1" applyAlignment="1" applyProtection="1">
      <alignment horizontal="center" vertical="center"/>
      <protection locked="0"/>
    </xf>
    <xf numFmtId="0" fontId="12" fillId="3" borderId="1" xfId="0" applyFont="1" applyFill="1" applyBorder="1" applyAlignment="1" applyProtection="1">
      <alignment horizontal="center" vertical="center" shrinkToFit="1"/>
      <protection locked="0"/>
    </xf>
    <xf numFmtId="0" fontId="12" fillId="3" borderId="36" xfId="0" applyFont="1" applyFill="1" applyBorder="1" applyAlignment="1" applyProtection="1">
      <alignment horizontal="center" vertical="center" shrinkToFit="1"/>
      <protection locked="0"/>
    </xf>
    <xf numFmtId="0" fontId="12" fillId="3" borderId="31" xfId="0" applyFont="1" applyFill="1" applyBorder="1" applyAlignment="1" applyProtection="1">
      <alignment horizontal="center" vertical="center" shrinkToFit="1"/>
      <protection locked="0"/>
    </xf>
    <xf numFmtId="0" fontId="12" fillId="3" borderId="32" xfId="0" applyFont="1" applyFill="1" applyBorder="1" applyAlignment="1" applyProtection="1">
      <alignment horizontal="center" vertical="center" shrinkToFit="1"/>
      <protection locked="0"/>
    </xf>
    <xf numFmtId="180" fontId="14" fillId="0" borderId="1" xfId="2" applyNumberFormat="1" applyFont="1" applyBorder="1" applyAlignment="1" applyProtection="1">
      <alignment horizontal="center" vertical="center"/>
      <protection locked="0"/>
    </xf>
    <xf numFmtId="180" fontId="26" fillId="0" borderId="1" xfId="2" applyNumberFormat="1" applyFont="1" applyBorder="1" applyAlignment="1" applyProtection="1">
      <alignment horizontal="center" vertical="center"/>
      <protection locked="0"/>
    </xf>
    <xf numFmtId="180" fontId="14" fillId="0" borderId="1" xfId="2" applyNumberFormat="1" applyFont="1" applyBorder="1" applyAlignment="1" applyProtection="1">
      <alignment horizontal="center" vertical="center" shrinkToFit="1"/>
      <protection locked="0"/>
    </xf>
    <xf numFmtId="0" fontId="40" fillId="3" borderId="55" xfId="0" applyFont="1" applyFill="1" applyBorder="1" applyAlignment="1" applyProtection="1">
      <alignment horizontal="center" vertical="center" shrinkToFit="1"/>
      <protection locked="0"/>
    </xf>
    <xf numFmtId="0" fontId="40" fillId="3" borderId="43" xfId="0" applyFont="1" applyFill="1" applyBorder="1" applyAlignment="1" applyProtection="1">
      <alignment horizontal="center" vertical="center" shrinkToFit="1"/>
      <protection locked="0"/>
    </xf>
    <xf numFmtId="0" fontId="12" fillId="0" borderId="55" xfId="0" applyFont="1" applyBorder="1" applyAlignment="1" applyProtection="1">
      <alignment horizontal="center" vertical="center" shrinkToFit="1"/>
      <protection locked="0"/>
    </xf>
    <xf numFmtId="0" fontId="12" fillId="0" borderId="43" xfId="0" applyFont="1" applyBorder="1" applyAlignment="1" applyProtection="1">
      <alignment horizontal="center" vertical="center" shrinkToFit="1"/>
      <protection locked="0"/>
    </xf>
    <xf numFmtId="0" fontId="12" fillId="0" borderId="58" xfId="0" applyFont="1" applyBorder="1" applyAlignment="1" applyProtection="1">
      <alignment horizontal="center" vertical="center" shrinkToFit="1"/>
      <protection locked="0"/>
    </xf>
    <xf numFmtId="0" fontId="59" fillId="1" borderId="3" xfId="0" applyFont="1" applyFill="1" applyBorder="1" applyAlignment="1">
      <alignment horizontal="center" vertical="center"/>
    </xf>
    <xf numFmtId="0" fontId="59" fillId="1" borderId="4" xfId="0" applyFont="1" applyFill="1" applyBorder="1" applyAlignment="1">
      <alignment horizontal="center" vertical="center"/>
    </xf>
    <xf numFmtId="0" fontId="59" fillId="1" borderId="16" xfId="0" applyFont="1" applyFill="1" applyBorder="1" applyAlignment="1">
      <alignment horizontal="center" vertical="center"/>
    </xf>
    <xf numFmtId="179" fontId="12" fillId="0" borderId="0" xfId="0" applyNumberFormat="1" applyFont="1" applyAlignment="1">
      <alignment horizontal="center" vertical="center"/>
    </xf>
    <xf numFmtId="180" fontId="0" fillId="0" borderId="31" xfId="0" applyNumberFormat="1" applyBorder="1" applyAlignment="1">
      <alignment horizontal="center" vertical="center"/>
    </xf>
    <xf numFmtId="180" fontId="0" fillId="0" borderId="32" xfId="0" applyNumberFormat="1" applyBorder="1" applyAlignment="1">
      <alignment horizontal="center" vertical="center"/>
    </xf>
    <xf numFmtId="0" fontId="12" fillId="0" borderId="36" xfId="0" applyFont="1" applyBorder="1" applyAlignment="1">
      <alignment horizontal="center" vertical="center"/>
    </xf>
    <xf numFmtId="0" fontId="12" fillId="0" borderId="31" xfId="0" applyFont="1" applyBorder="1" applyAlignment="1">
      <alignment horizontal="center" vertical="center"/>
    </xf>
    <xf numFmtId="0" fontId="12" fillId="0" borderId="32" xfId="0" applyFont="1" applyBorder="1" applyAlignment="1">
      <alignment horizontal="center" vertical="center"/>
    </xf>
    <xf numFmtId="180" fontId="12" fillId="0" borderId="32" xfId="0" applyNumberFormat="1" applyFont="1" applyBorder="1" applyAlignment="1" applyProtection="1">
      <alignment horizontal="center" vertical="center"/>
      <protection locked="0"/>
    </xf>
    <xf numFmtId="0" fontId="12" fillId="0" borderId="37" xfId="0" applyFont="1" applyBorder="1" applyAlignment="1" applyProtection="1">
      <alignment horizontal="center" vertical="center"/>
      <protection locked="0"/>
    </xf>
    <xf numFmtId="0" fontId="12" fillId="0" borderId="37" xfId="0" applyFont="1" applyBorder="1" applyAlignment="1">
      <alignment horizontal="center" vertical="center"/>
    </xf>
    <xf numFmtId="0" fontId="12" fillId="0" borderId="30" xfId="0" applyFont="1" applyBorder="1" applyAlignment="1">
      <alignment horizontal="center" vertical="center"/>
    </xf>
    <xf numFmtId="185" fontId="19" fillId="0" borderId="20" xfId="1" applyNumberFormat="1" applyFont="1" applyBorder="1" applyAlignment="1" applyProtection="1">
      <alignment horizontal="center" vertical="center"/>
      <protection locked="0"/>
    </xf>
    <xf numFmtId="180" fontId="19" fillId="0" borderId="18" xfId="1" applyNumberFormat="1" applyFont="1" applyBorder="1" applyAlignment="1" applyProtection="1">
      <alignment horizontal="center" vertical="center"/>
      <protection locked="0"/>
    </xf>
    <xf numFmtId="0" fontId="11" fillId="0" borderId="18" xfId="2" applyFont="1" applyBorder="1" applyAlignment="1" applyProtection="1">
      <alignment horizontal="left" vertical="center"/>
      <protection locked="0"/>
    </xf>
    <xf numFmtId="0" fontId="11" fillId="0" borderId="19" xfId="2" applyFont="1" applyBorder="1" applyAlignment="1" applyProtection="1">
      <alignment horizontal="left" vertical="center"/>
      <protection locked="0"/>
    </xf>
    <xf numFmtId="180" fontId="0" fillId="0" borderId="36" xfId="0" applyNumberFormat="1" applyBorder="1" applyAlignment="1">
      <alignment horizontal="center" vertical="center"/>
    </xf>
    <xf numFmtId="180" fontId="12" fillId="0" borderId="36" xfId="0" applyNumberFormat="1" applyFont="1" applyBorder="1" applyAlignment="1">
      <alignment horizontal="center" vertical="center"/>
    </xf>
    <xf numFmtId="180" fontId="12" fillId="0" borderId="31" xfId="0" applyNumberFormat="1" applyFont="1" applyBorder="1" applyAlignment="1">
      <alignment horizontal="center" vertical="center"/>
    </xf>
    <xf numFmtId="180" fontId="12" fillId="0" borderId="32" xfId="0" applyNumberFormat="1" applyFont="1" applyBorder="1" applyAlignment="1">
      <alignment horizontal="center" vertical="center"/>
    </xf>
    <xf numFmtId="0" fontId="12" fillId="0" borderId="25" xfId="0" applyFont="1" applyBorder="1" applyAlignment="1">
      <alignment horizontal="center" vertical="center"/>
    </xf>
    <xf numFmtId="0" fontId="12" fillId="0" borderId="26" xfId="0" applyFont="1" applyBorder="1" applyAlignment="1">
      <alignment horizontal="center" vertical="center"/>
    </xf>
    <xf numFmtId="180" fontId="0" fillId="0" borderId="28" xfId="0" applyNumberFormat="1" applyBorder="1" applyAlignment="1">
      <alignment horizontal="center" vertical="center"/>
    </xf>
    <xf numFmtId="180" fontId="0" fillId="0" borderId="26" xfId="0" applyNumberFormat="1" applyBorder="1" applyAlignment="1">
      <alignment horizontal="center" vertical="center"/>
    </xf>
    <xf numFmtId="180" fontId="0" fillId="0" borderId="27" xfId="0" applyNumberFormat="1" applyBorder="1" applyAlignment="1">
      <alignment horizontal="center" vertical="center"/>
    </xf>
    <xf numFmtId="0" fontId="12" fillId="0" borderId="64" xfId="0" applyFont="1" applyBorder="1" applyAlignment="1">
      <alignment horizontal="center" vertical="center"/>
    </xf>
    <xf numFmtId="0" fontId="12" fillId="0" borderId="28" xfId="0" applyFont="1" applyBorder="1" applyAlignment="1" applyProtection="1">
      <alignment horizontal="center" vertical="center"/>
      <protection locked="0"/>
    </xf>
    <xf numFmtId="0" fontId="12" fillId="0" borderId="26" xfId="0" applyFont="1" applyBorder="1" applyAlignment="1" applyProtection="1">
      <alignment horizontal="center" vertical="center"/>
      <protection locked="0"/>
    </xf>
    <xf numFmtId="180" fontId="12" fillId="0" borderId="28" xfId="0" applyNumberFormat="1" applyFont="1" applyBorder="1" applyAlignment="1" applyProtection="1">
      <alignment horizontal="center" vertical="center"/>
      <protection locked="0"/>
    </xf>
    <xf numFmtId="180" fontId="12" fillId="0" borderId="26" xfId="0" applyNumberFormat="1" applyFont="1" applyBorder="1" applyAlignment="1" applyProtection="1">
      <alignment horizontal="center" vertical="center"/>
      <protection locked="0"/>
    </xf>
    <xf numFmtId="180" fontId="12" fillId="0" borderId="27" xfId="0" applyNumberFormat="1" applyFont="1" applyBorder="1" applyAlignment="1" applyProtection="1">
      <alignment horizontal="center" vertical="center"/>
      <protection locked="0"/>
    </xf>
    <xf numFmtId="20" fontId="12" fillId="0" borderId="28" xfId="0" applyNumberFormat="1" applyFont="1" applyBorder="1" applyAlignment="1" applyProtection="1">
      <alignment horizontal="center" vertical="center"/>
      <protection locked="0"/>
    </xf>
    <xf numFmtId="0" fontId="12" fillId="0" borderId="47" xfId="0" applyFont="1" applyBorder="1" applyAlignment="1" applyProtection="1">
      <alignment horizontal="center" vertical="center"/>
      <protection locked="0"/>
    </xf>
    <xf numFmtId="20" fontId="12" fillId="0" borderId="36" xfId="0" applyNumberFormat="1" applyFont="1" applyBorder="1" applyAlignment="1" applyProtection="1">
      <alignment horizontal="center" vertical="center"/>
      <protection locked="0"/>
    </xf>
    <xf numFmtId="0" fontId="12" fillId="0" borderId="38" xfId="0" applyFont="1" applyBorder="1" applyAlignment="1" applyProtection="1">
      <alignment horizontal="center" vertical="center"/>
      <protection locked="0"/>
    </xf>
    <xf numFmtId="0" fontId="12" fillId="0" borderId="40" xfId="0" applyFont="1" applyBorder="1" applyAlignment="1" applyProtection="1">
      <alignment horizontal="center" vertical="center"/>
      <protection locked="0"/>
    </xf>
    <xf numFmtId="0" fontId="12" fillId="0" borderId="31" xfId="0" applyFont="1" applyBorder="1" applyAlignment="1" applyProtection="1">
      <alignment horizontal="center" vertical="center" shrinkToFit="1"/>
      <protection locked="0"/>
    </xf>
    <xf numFmtId="0" fontId="12" fillId="0" borderId="79" xfId="0" applyFont="1" applyBorder="1" applyAlignment="1" applyProtection="1">
      <alignment horizontal="center" vertical="center"/>
      <protection locked="0"/>
    </xf>
    <xf numFmtId="0" fontId="12" fillId="0" borderId="51" xfId="0" applyFont="1" applyBorder="1" applyAlignment="1" applyProtection="1">
      <alignment horizontal="center" vertical="center"/>
      <protection locked="0"/>
    </xf>
    <xf numFmtId="0" fontId="12" fillId="0" borderId="52" xfId="1" applyFont="1" applyBorder="1" applyAlignment="1" applyProtection="1">
      <alignment horizontal="center" vertical="center" shrinkToFit="1"/>
      <protection locked="0"/>
    </xf>
    <xf numFmtId="0" fontId="12" fillId="0" borderId="1" xfId="1" applyFont="1" applyBorder="1" applyAlignment="1" applyProtection="1">
      <alignment horizontal="center" vertical="center" shrinkToFit="1"/>
      <protection locked="0"/>
    </xf>
    <xf numFmtId="0" fontId="12" fillId="0" borderId="45" xfId="1" applyFont="1" applyBorder="1" applyAlignment="1" applyProtection="1">
      <alignment horizontal="center" vertical="center" shrinkToFit="1"/>
      <protection locked="0"/>
    </xf>
    <xf numFmtId="0" fontId="12" fillId="0" borderId="38" xfId="1" applyFont="1" applyBorder="1" applyAlignment="1" applyProtection="1">
      <alignment horizontal="center" vertical="center" shrinkToFit="1"/>
      <protection locked="0"/>
    </xf>
    <xf numFmtId="0" fontId="12" fillId="0" borderId="30" xfId="1" applyFont="1" applyBorder="1" applyAlignment="1" applyProtection="1">
      <alignment horizontal="center" vertical="center" shrinkToFit="1"/>
      <protection locked="0"/>
    </xf>
    <xf numFmtId="0" fontId="12" fillId="0" borderId="31" xfId="1" applyFont="1" applyBorder="1" applyAlignment="1" applyProtection="1">
      <alignment horizontal="center" vertical="center" shrinkToFit="1"/>
      <protection locked="0"/>
    </xf>
    <xf numFmtId="20" fontId="12" fillId="0" borderId="1" xfId="0" applyNumberFormat="1" applyFont="1" applyBorder="1" applyAlignment="1" applyProtection="1">
      <alignment horizontal="center" vertical="center"/>
      <protection locked="0"/>
    </xf>
    <xf numFmtId="0" fontId="12" fillId="0" borderId="36" xfId="0" applyFont="1" applyBorder="1" applyAlignment="1" applyProtection="1">
      <alignment horizontal="center" vertical="center" shrinkToFit="1"/>
      <protection locked="0"/>
    </xf>
    <xf numFmtId="0" fontId="12" fillId="0" borderId="32" xfId="0" applyFont="1" applyBorder="1" applyAlignment="1" applyProtection="1">
      <alignment horizontal="center" vertical="center" shrinkToFit="1"/>
      <protection locked="0"/>
    </xf>
    <xf numFmtId="0" fontId="12" fillId="0" borderId="17" xfId="1" applyFont="1" applyBorder="1" applyAlignment="1" applyProtection="1">
      <alignment horizontal="center" vertical="center"/>
      <protection locked="0"/>
    </xf>
    <xf numFmtId="0" fontId="12" fillId="0" borderId="18" xfId="1" applyFont="1" applyBorder="1" applyAlignment="1" applyProtection="1">
      <alignment horizontal="center" vertical="center"/>
      <protection locked="0"/>
    </xf>
    <xf numFmtId="0" fontId="0" fillId="2" borderId="31" xfId="0" applyFill="1" applyBorder="1" applyAlignment="1">
      <alignment horizontal="center" vertical="center" shrinkToFit="1"/>
    </xf>
    <xf numFmtId="0" fontId="12" fillId="0" borderId="22" xfId="1" applyFont="1" applyBorder="1" applyAlignment="1">
      <alignment horizontal="left" vertical="center"/>
    </xf>
    <xf numFmtId="0" fontId="12" fillId="0" borderId="23" xfId="1" applyFont="1" applyBorder="1" applyAlignment="1">
      <alignment horizontal="left" vertical="center"/>
    </xf>
    <xf numFmtId="0" fontId="12" fillId="0" borderId="24" xfId="1" applyFont="1" applyBorder="1" applyAlignment="1">
      <alignment horizontal="left" vertical="center"/>
    </xf>
    <xf numFmtId="0" fontId="59" fillId="1" borderId="45" xfId="0" applyFont="1" applyFill="1" applyBorder="1" applyAlignment="1">
      <alignment horizontal="center" vertical="center"/>
    </xf>
    <xf numFmtId="0" fontId="59" fillId="1" borderId="38" xfId="0" applyFont="1" applyFill="1" applyBorder="1" applyAlignment="1">
      <alignment horizontal="center" vertical="center"/>
    </xf>
    <xf numFmtId="0" fontId="59" fillId="1" borderId="40" xfId="0" applyFont="1" applyFill="1" applyBorder="1" applyAlignment="1">
      <alignment horizontal="center" vertical="center"/>
    </xf>
    <xf numFmtId="0" fontId="55" fillId="0" borderId="0" xfId="0" applyFont="1" applyAlignment="1">
      <alignment horizontal="center" vertical="center" shrinkToFit="1"/>
    </xf>
    <xf numFmtId="0" fontId="12" fillId="0" borderId="33" xfId="0" applyFont="1" applyBorder="1" applyAlignment="1">
      <alignment horizontal="center" vertical="center" shrinkToFit="1"/>
    </xf>
    <xf numFmtId="0" fontId="12" fillId="0" borderId="34" xfId="0" applyFont="1" applyBorder="1" applyAlignment="1">
      <alignment horizontal="center" vertical="center" shrinkToFit="1"/>
    </xf>
    <xf numFmtId="0" fontId="12" fillId="0" borderId="35" xfId="0" applyFont="1" applyBorder="1" applyAlignment="1">
      <alignment horizontal="center" vertical="center" shrinkToFit="1"/>
    </xf>
    <xf numFmtId="0" fontId="12" fillId="0" borderId="13" xfId="0" applyFont="1" applyBorder="1" applyAlignment="1">
      <alignment horizontal="center" vertical="center" shrinkToFit="1"/>
    </xf>
    <xf numFmtId="0" fontId="12" fillId="0" borderId="2" xfId="0" applyFont="1" applyBorder="1" applyAlignment="1">
      <alignment horizontal="center" vertical="center" shrinkToFit="1"/>
    </xf>
    <xf numFmtId="0" fontId="12" fillId="0" borderId="12" xfId="0" applyFont="1" applyBorder="1" applyAlignment="1">
      <alignment horizontal="center" vertical="center" shrinkToFit="1"/>
    </xf>
    <xf numFmtId="0" fontId="14" fillId="0" borderId="6" xfId="2" applyFont="1" applyBorder="1" applyAlignment="1">
      <alignment horizontal="center" vertical="center" shrinkToFit="1"/>
    </xf>
    <xf numFmtId="0" fontId="19" fillId="0" borderId="43" xfId="0" applyFont="1" applyBorder="1" applyAlignment="1" applyProtection="1">
      <alignment horizontal="center" vertical="center"/>
      <protection locked="0"/>
    </xf>
    <xf numFmtId="0" fontId="19" fillId="0" borderId="29" xfId="0" applyFont="1" applyBorder="1" applyAlignment="1" applyProtection="1">
      <alignment horizontal="center" vertical="center"/>
      <protection locked="0"/>
    </xf>
    <xf numFmtId="179" fontId="12" fillId="0" borderId="34" xfId="0" applyNumberFormat="1" applyFont="1" applyBorder="1" applyAlignment="1">
      <alignment horizontal="center" vertical="center"/>
    </xf>
    <xf numFmtId="179" fontId="12" fillId="0" borderId="2" xfId="0" applyNumberFormat="1" applyFont="1" applyBorder="1" applyAlignment="1">
      <alignment horizontal="center" vertical="center"/>
    </xf>
    <xf numFmtId="0" fontId="12" fillId="0" borderId="5" xfId="0" applyFont="1" applyBorder="1" applyAlignment="1">
      <alignment horizontal="center" vertical="center"/>
    </xf>
    <xf numFmtId="0" fontId="12" fillId="0" borderId="27" xfId="0" applyFont="1" applyBorder="1" applyAlignment="1">
      <alignment horizontal="center" vertical="center"/>
    </xf>
    <xf numFmtId="0" fontId="12" fillId="0" borderId="53" xfId="0" applyFont="1" applyBorder="1" applyAlignment="1" applyProtection="1">
      <alignment horizontal="center" vertical="center" shrinkToFit="1"/>
      <protection locked="0"/>
    </xf>
    <xf numFmtId="0" fontId="12" fillId="0" borderId="61" xfId="0" applyFont="1" applyBorder="1" applyAlignment="1" applyProtection="1">
      <alignment horizontal="center" vertical="center" shrinkToFit="1"/>
      <protection locked="0"/>
    </xf>
    <xf numFmtId="0" fontId="12" fillId="0" borderId="62" xfId="0" applyFont="1" applyBorder="1" applyAlignment="1" applyProtection="1">
      <alignment horizontal="center" vertical="center" shrinkToFit="1"/>
      <protection locked="0"/>
    </xf>
    <xf numFmtId="0" fontId="14" fillId="3" borderId="61" xfId="0" applyFont="1" applyFill="1" applyBorder="1" applyAlignment="1" applyProtection="1">
      <alignment horizontal="center" vertical="center" shrinkToFit="1"/>
      <protection locked="0"/>
    </xf>
    <xf numFmtId="0" fontId="14" fillId="3" borderId="62" xfId="0" applyFont="1" applyFill="1" applyBorder="1" applyAlignment="1" applyProtection="1">
      <alignment horizontal="center" vertical="center" shrinkToFit="1"/>
      <protection locked="0"/>
    </xf>
    <xf numFmtId="0" fontId="14" fillId="3" borderId="54" xfId="0" applyFont="1" applyFill="1" applyBorder="1" applyAlignment="1" applyProtection="1">
      <alignment horizontal="center" vertical="center" shrinkToFit="1"/>
      <protection locked="0"/>
    </xf>
    <xf numFmtId="0" fontId="12" fillId="0" borderId="32" xfId="0" applyFont="1" applyBorder="1" applyAlignment="1" applyProtection="1">
      <alignment horizontal="center" vertical="center"/>
      <protection locked="0"/>
    </xf>
    <xf numFmtId="0" fontId="12" fillId="0" borderId="59" xfId="0" applyFont="1" applyBorder="1" applyAlignment="1" applyProtection="1">
      <alignment horizontal="center" vertical="center" shrinkToFit="1"/>
      <protection locked="0"/>
    </xf>
    <xf numFmtId="183" fontId="12" fillId="0" borderId="1" xfId="0" applyNumberFormat="1" applyFont="1" applyBorder="1" applyAlignment="1" applyProtection="1">
      <alignment horizontal="center" vertical="center"/>
      <protection locked="0"/>
    </xf>
    <xf numFmtId="0" fontId="53" fillId="0" borderId="28" xfId="0" applyFont="1" applyBorder="1" applyAlignment="1">
      <alignment horizontal="center" vertical="center"/>
    </xf>
    <xf numFmtId="0" fontId="53" fillId="0" borderId="26" xfId="0" applyFont="1" applyBorder="1" applyAlignment="1">
      <alignment horizontal="center" vertical="center"/>
    </xf>
    <xf numFmtId="0" fontId="53" fillId="0" borderId="27" xfId="0" applyFont="1" applyBorder="1" applyAlignment="1">
      <alignment horizontal="center" vertical="center"/>
    </xf>
    <xf numFmtId="0" fontId="12" fillId="0" borderId="58" xfId="0" applyFont="1" applyBorder="1" applyAlignment="1">
      <alignment horizontal="center" vertical="center"/>
    </xf>
    <xf numFmtId="0" fontId="12" fillId="5" borderId="29" xfId="0" applyFont="1" applyFill="1" applyBorder="1" applyAlignment="1" applyProtection="1">
      <alignment horizontal="center" vertical="center"/>
      <protection locked="0"/>
    </xf>
    <xf numFmtId="20" fontId="53" fillId="0" borderId="28" xfId="0" applyNumberFormat="1" applyFont="1" applyBorder="1" applyAlignment="1">
      <alignment horizontal="center" vertical="center"/>
    </xf>
    <xf numFmtId="20" fontId="53" fillId="0" borderId="27" xfId="0" applyNumberFormat="1" applyFont="1" applyBorder="1" applyAlignment="1">
      <alignment horizontal="center" vertical="center"/>
    </xf>
    <xf numFmtId="185" fontId="19" fillId="0" borderId="49" xfId="1" applyNumberFormat="1" applyFont="1" applyBorder="1" applyAlignment="1" applyProtection="1">
      <alignment horizontal="center" vertical="center"/>
      <protection locked="0"/>
    </xf>
    <xf numFmtId="180" fontId="19" fillId="0" borderId="49" xfId="1" applyNumberFormat="1" applyFont="1" applyBorder="1" applyAlignment="1" applyProtection="1">
      <alignment horizontal="left" vertical="center"/>
      <protection locked="0"/>
    </xf>
    <xf numFmtId="180" fontId="19" fillId="0" borderId="50" xfId="1" applyNumberFormat="1" applyFont="1" applyBorder="1" applyAlignment="1" applyProtection="1">
      <alignment horizontal="left" vertical="center"/>
      <protection locked="0"/>
    </xf>
    <xf numFmtId="0" fontId="12" fillId="0" borderId="54" xfId="0" applyFont="1" applyBorder="1" applyAlignment="1" applyProtection="1">
      <alignment horizontal="center" vertical="center" shrinkToFit="1"/>
      <protection locked="0"/>
    </xf>
    <xf numFmtId="0" fontId="12" fillId="0" borderId="65" xfId="0" applyFont="1" applyBorder="1" applyAlignment="1" applyProtection="1">
      <alignment horizontal="center" vertical="center" shrinkToFit="1"/>
      <protection locked="0"/>
    </xf>
    <xf numFmtId="0" fontId="12" fillId="0" borderId="66" xfId="0" applyFont="1" applyBorder="1" applyAlignment="1" applyProtection="1">
      <alignment horizontal="center" vertical="center" shrinkToFit="1"/>
      <protection locked="0"/>
    </xf>
    <xf numFmtId="0" fontId="12" fillId="0" borderId="20" xfId="0" applyFont="1" applyBorder="1" applyAlignment="1" applyProtection="1">
      <alignment horizontal="center" vertical="center"/>
      <protection locked="0"/>
    </xf>
    <xf numFmtId="0" fontId="27" fillId="0" borderId="38" xfId="1" applyFont="1" applyBorder="1" applyAlignment="1" applyProtection="1">
      <alignment horizontal="center" vertical="center"/>
      <protection locked="0"/>
    </xf>
    <xf numFmtId="0" fontId="52" fillId="12" borderId="36" xfId="0" applyFont="1" applyFill="1" applyBorder="1" applyAlignment="1">
      <alignment horizontal="center" vertical="center"/>
    </xf>
    <xf numFmtId="0" fontId="52" fillId="12" borderId="31" xfId="0" applyFont="1" applyFill="1" applyBorder="1" applyAlignment="1">
      <alignment horizontal="center" vertical="center"/>
    </xf>
    <xf numFmtId="0" fontId="52" fillId="12" borderId="32" xfId="0" applyFont="1" applyFill="1" applyBorder="1" applyAlignment="1">
      <alignment horizontal="center" vertical="center"/>
    </xf>
    <xf numFmtId="183" fontId="12" fillId="0" borderId="3" xfId="0" applyNumberFormat="1" applyFont="1" applyBorder="1" applyAlignment="1" applyProtection="1">
      <alignment horizontal="center" vertical="center"/>
      <protection locked="0"/>
    </xf>
    <xf numFmtId="183" fontId="12" fillId="0" borderId="5" xfId="0" applyNumberFormat="1" applyFont="1" applyBorder="1" applyAlignment="1" applyProtection="1">
      <alignment horizontal="center" vertical="center"/>
      <protection locked="0"/>
    </xf>
    <xf numFmtId="0" fontId="12" fillId="0" borderId="44" xfId="0" applyFont="1" applyBorder="1" applyAlignment="1" applyProtection="1">
      <alignment horizontal="center" vertical="center"/>
      <protection locked="0"/>
    </xf>
    <xf numFmtId="183" fontId="12" fillId="0" borderId="56" xfId="0" applyNumberFormat="1" applyFont="1" applyBorder="1" applyAlignment="1" applyProtection="1">
      <alignment horizontal="center" vertical="center"/>
      <protection locked="0"/>
    </xf>
    <xf numFmtId="0" fontId="12" fillId="0" borderId="57" xfId="0" applyFont="1" applyBorder="1" applyAlignment="1" applyProtection="1">
      <alignment horizontal="center" vertical="center"/>
      <protection locked="0"/>
    </xf>
    <xf numFmtId="183" fontId="12" fillId="0" borderId="58" xfId="0" applyNumberFormat="1" applyFont="1" applyBorder="1" applyAlignment="1" applyProtection="1">
      <alignment horizontal="center" vertical="center"/>
      <protection locked="0"/>
    </xf>
    <xf numFmtId="183" fontId="12" fillId="0" borderId="29" xfId="0" applyNumberFormat="1" applyFont="1" applyBorder="1" applyAlignment="1" applyProtection="1">
      <alignment horizontal="center" vertical="center"/>
      <protection locked="0"/>
    </xf>
    <xf numFmtId="183" fontId="12" fillId="0" borderId="54" xfId="0" applyNumberFormat="1" applyFont="1" applyBorder="1" applyAlignment="1" applyProtection="1">
      <alignment horizontal="center" vertical="center"/>
      <protection locked="0"/>
    </xf>
    <xf numFmtId="0" fontId="12" fillId="0" borderId="54" xfId="0" applyFont="1" applyBorder="1" applyAlignment="1" applyProtection="1">
      <alignment horizontal="center" vertical="center"/>
      <protection locked="0"/>
    </xf>
    <xf numFmtId="9" fontId="12" fillId="5" borderId="1" xfId="4" applyFont="1" applyFill="1" applyBorder="1" applyAlignment="1" applyProtection="1">
      <alignment horizontal="center" vertical="center"/>
      <protection locked="0"/>
    </xf>
    <xf numFmtId="0" fontId="18" fillId="0" borderId="0" xfId="0" applyFont="1" applyAlignment="1">
      <alignment horizontal="left" vertical="center"/>
    </xf>
    <xf numFmtId="20" fontId="11" fillId="0" borderId="20" xfId="2" applyNumberFormat="1" applyFont="1" applyBorder="1" applyAlignment="1" applyProtection="1">
      <alignment horizontal="left" vertical="center"/>
      <protection locked="0"/>
    </xf>
    <xf numFmtId="20" fontId="11" fillId="0" borderId="23" xfId="2" applyNumberFormat="1" applyFont="1" applyBorder="1" applyAlignment="1" applyProtection="1">
      <alignment horizontal="left" vertical="center" shrinkToFit="1"/>
      <protection locked="0"/>
    </xf>
    <xf numFmtId="56" fontId="11" fillId="0" borderId="20" xfId="2" applyNumberFormat="1" applyFont="1" applyBorder="1" applyAlignment="1" applyProtection="1">
      <alignment horizontal="left" vertical="center"/>
      <protection locked="0"/>
    </xf>
    <xf numFmtId="0" fontId="11" fillId="0" borderId="20" xfId="2" applyFont="1" applyBorder="1" applyAlignment="1" applyProtection="1">
      <alignment horizontal="left" vertical="center" wrapText="1"/>
      <protection locked="0"/>
    </xf>
    <xf numFmtId="0" fontId="0" fillId="0" borderId="20" xfId="0" applyBorder="1" applyAlignment="1">
      <alignment vertical="center"/>
    </xf>
    <xf numFmtId="0" fontId="0" fillId="0" borderId="21" xfId="0" applyBorder="1" applyAlignment="1">
      <alignment vertical="center"/>
    </xf>
    <xf numFmtId="0" fontId="65" fillId="13" borderId="0" xfId="0" applyFont="1" applyFill="1" applyAlignment="1">
      <alignment vertical="center"/>
    </xf>
    <xf numFmtId="0" fontId="64" fillId="0" borderId="0" xfId="0" applyFont="1" applyAlignment="1">
      <alignment vertical="center"/>
    </xf>
  </cellXfs>
  <cellStyles count="5">
    <cellStyle name="パーセント" xfId="4" builtinId="5"/>
    <cellStyle name="標準" xfId="0" builtinId="0"/>
    <cellStyle name="標準 2" xfId="2" xr:uid="{92AA4FD6-7D57-4278-AD31-4D54DA0799D7}"/>
    <cellStyle name="標準 2 2" xfId="1" xr:uid="{86848F9B-790B-411C-B1C9-1A37799108C8}"/>
    <cellStyle name="標準 3" xfId="3" xr:uid="{2EEF613F-5BA3-41FB-83F5-21449B160916}"/>
  </cellStyles>
  <dxfs count="398">
    <dxf>
      <font>
        <color theme="0"/>
      </font>
    </dxf>
    <dxf>
      <fill>
        <patternFill>
          <bgColor rgb="FFFFFF00"/>
        </patternFill>
      </fill>
    </dxf>
    <dxf>
      <font>
        <color rgb="FFFFFF00"/>
      </font>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rgb="FFC00000"/>
      </font>
    </dxf>
    <dxf>
      <font>
        <b/>
        <i val="0"/>
        <color rgb="FFFFC000"/>
      </font>
    </dxf>
    <dxf>
      <font>
        <b/>
        <i val="0"/>
        <color rgb="FF00B050"/>
      </font>
    </dxf>
    <dxf>
      <font>
        <b/>
        <i val="0"/>
        <color rgb="FF0070C0"/>
      </font>
    </dxf>
    <dxf>
      <fill>
        <patternFill>
          <bgColor rgb="FFFFC000"/>
        </patternFill>
      </fill>
    </dxf>
    <dxf>
      <font>
        <color theme="0"/>
      </font>
    </dxf>
    <dxf>
      <fill>
        <patternFill>
          <bgColor rgb="FFFFFF00"/>
        </patternFill>
      </fill>
    </dxf>
    <dxf>
      <font>
        <color rgb="FFFFFF00"/>
      </font>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rgb="FFC00000"/>
      </font>
    </dxf>
    <dxf>
      <font>
        <b/>
        <i val="0"/>
        <color rgb="FFFFC000"/>
      </font>
    </dxf>
    <dxf>
      <font>
        <b/>
        <i val="0"/>
        <color rgb="FF00B050"/>
      </font>
    </dxf>
    <dxf>
      <font>
        <b/>
        <i val="0"/>
        <color rgb="FF0070C0"/>
      </font>
    </dxf>
    <dxf>
      <fill>
        <patternFill>
          <bgColor rgb="FFFFC000"/>
        </patternFill>
      </fill>
    </dxf>
    <dxf>
      <font>
        <color theme="0"/>
      </font>
    </dxf>
    <dxf>
      <fill>
        <patternFill>
          <bgColor rgb="FFFFFF00"/>
        </patternFill>
      </fill>
    </dxf>
    <dxf>
      <font>
        <color rgb="FFFFFF00"/>
      </font>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rgb="FFC00000"/>
      </font>
    </dxf>
    <dxf>
      <font>
        <b/>
        <i val="0"/>
        <color rgb="FFFFC000"/>
      </font>
    </dxf>
    <dxf>
      <font>
        <b/>
        <i val="0"/>
        <color rgb="FF00B050"/>
      </font>
    </dxf>
    <dxf>
      <font>
        <b/>
        <i val="0"/>
        <color rgb="FF0070C0"/>
      </font>
    </dxf>
    <dxf>
      <fill>
        <patternFill>
          <bgColor rgb="FFFFC000"/>
        </patternFill>
      </fill>
    </dxf>
    <dxf>
      <font>
        <color theme="0"/>
      </font>
    </dxf>
    <dxf>
      <fill>
        <patternFill>
          <bgColor rgb="FFFFFF00"/>
        </patternFill>
      </fill>
    </dxf>
    <dxf>
      <font>
        <color rgb="FFFFFF00"/>
      </font>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rgb="FFC00000"/>
      </font>
    </dxf>
    <dxf>
      <font>
        <b/>
        <i val="0"/>
        <color rgb="FFFFC000"/>
      </font>
    </dxf>
    <dxf>
      <font>
        <b/>
        <i val="0"/>
        <color rgb="FF00B050"/>
      </font>
    </dxf>
    <dxf>
      <font>
        <b/>
        <i val="0"/>
        <color rgb="FF0070C0"/>
      </font>
    </dxf>
    <dxf>
      <fill>
        <patternFill>
          <bgColor rgb="FFFFC000"/>
        </patternFill>
      </fill>
    </dxf>
    <dxf>
      <font>
        <color theme="0"/>
      </font>
    </dxf>
    <dxf>
      <fill>
        <patternFill>
          <bgColor rgb="FFFFFF00"/>
        </patternFill>
      </fill>
    </dxf>
    <dxf>
      <font>
        <color rgb="FFFFFF00"/>
      </font>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rgb="FFC00000"/>
      </font>
    </dxf>
    <dxf>
      <font>
        <b/>
        <i val="0"/>
        <color rgb="FFFFC000"/>
      </font>
    </dxf>
    <dxf>
      <font>
        <b/>
        <i val="0"/>
        <color rgb="FF00B050"/>
      </font>
    </dxf>
    <dxf>
      <font>
        <b/>
        <i val="0"/>
        <color rgb="FF0070C0"/>
      </font>
    </dxf>
    <dxf>
      <fill>
        <patternFill>
          <bgColor rgb="FFFFC000"/>
        </patternFill>
      </fill>
    </dxf>
    <dxf>
      <font>
        <color theme="0"/>
      </font>
    </dxf>
    <dxf>
      <fill>
        <patternFill>
          <bgColor rgb="FFFFFF00"/>
        </patternFill>
      </fill>
    </dxf>
    <dxf>
      <font>
        <color rgb="FFFFFF00"/>
      </font>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rgb="FFC00000"/>
      </font>
    </dxf>
    <dxf>
      <font>
        <b/>
        <i val="0"/>
        <color rgb="FFFFC000"/>
      </font>
    </dxf>
    <dxf>
      <font>
        <b/>
        <i val="0"/>
        <color rgb="FF00B050"/>
      </font>
    </dxf>
    <dxf>
      <font>
        <b/>
        <i val="0"/>
        <color rgb="FF0070C0"/>
      </font>
    </dxf>
    <dxf>
      <fill>
        <patternFill>
          <bgColor rgb="FFFFC000"/>
        </patternFill>
      </fill>
    </dxf>
    <dxf>
      <font>
        <color theme="0"/>
      </font>
    </dxf>
    <dxf>
      <fill>
        <patternFill>
          <bgColor rgb="FFFFFF00"/>
        </patternFill>
      </fill>
    </dxf>
    <dxf>
      <font>
        <color rgb="FFFFFF00"/>
      </font>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rgb="FFC00000"/>
      </font>
    </dxf>
    <dxf>
      <font>
        <b/>
        <i val="0"/>
        <color rgb="FFFFC000"/>
      </font>
    </dxf>
    <dxf>
      <font>
        <b/>
        <i val="0"/>
        <color rgb="FF00B050"/>
      </font>
    </dxf>
    <dxf>
      <font>
        <b/>
        <i val="0"/>
        <color rgb="FF0070C0"/>
      </font>
    </dxf>
    <dxf>
      <fill>
        <patternFill>
          <bgColor rgb="FFFFC000"/>
        </patternFill>
      </fill>
    </dxf>
    <dxf>
      <font>
        <color theme="0"/>
      </font>
    </dxf>
    <dxf>
      <fill>
        <patternFill>
          <bgColor rgb="FFFFFF00"/>
        </patternFill>
      </fill>
    </dxf>
    <dxf>
      <font>
        <color rgb="FFFFFF00"/>
      </font>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rgb="FFC00000"/>
      </font>
    </dxf>
    <dxf>
      <font>
        <b/>
        <i val="0"/>
        <color rgb="FFFFC000"/>
      </font>
    </dxf>
    <dxf>
      <font>
        <b/>
        <i val="0"/>
        <color rgb="FF00B050"/>
      </font>
    </dxf>
    <dxf>
      <font>
        <b/>
        <i val="0"/>
        <color rgb="FF0070C0"/>
      </font>
    </dxf>
    <dxf>
      <fill>
        <patternFill>
          <bgColor rgb="FFFFC000"/>
        </patternFill>
      </fill>
    </dxf>
    <dxf>
      <font>
        <color theme="0"/>
      </font>
    </dxf>
    <dxf>
      <fill>
        <patternFill>
          <bgColor rgb="FFFFFF00"/>
        </patternFill>
      </fill>
    </dxf>
    <dxf>
      <font>
        <color rgb="FFFFFF00"/>
      </font>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rgb="FFC00000"/>
      </font>
    </dxf>
    <dxf>
      <font>
        <b/>
        <i val="0"/>
        <color rgb="FFFFC000"/>
      </font>
    </dxf>
    <dxf>
      <font>
        <b/>
        <i val="0"/>
        <color rgb="FF00B050"/>
      </font>
    </dxf>
    <dxf>
      <font>
        <b/>
        <i val="0"/>
        <color rgb="FF0070C0"/>
      </font>
    </dxf>
    <dxf>
      <fill>
        <patternFill>
          <bgColor rgb="FFFFC000"/>
        </patternFill>
      </fill>
    </dxf>
    <dxf>
      <font>
        <color theme="0"/>
      </font>
    </dxf>
    <dxf>
      <fill>
        <patternFill>
          <bgColor rgb="FFFFFF00"/>
        </patternFill>
      </fill>
    </dxf>
    <dxf>
      <font>
        <color rgb="FFFFFF00"/>
      </font>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rgb="FFC00000"/>
      </font>
    </dxf>
    <dxf>
      <font>
        <b/>
        <i val="0"/>
        <color rgb="FFFFC000"/>
      </font>
    </dxf>
    <dxf>
      <font>
        <b/>
        <i val="0"/>
        <color rgb="FF00B050"/>
      </font>
    </dxf>
    <dxf>
      <font>
        <b/>
        <i val="0"/>
        <color rgb="FF0070C0"/>
      </font>
    </dxf>
    <dxf>
      <fill>
        <patternFill>
          <bgColor rgb="FFFFC000"/>
        </patternFill>
      </fill>
    </dxf>
    <dxf>
      <font>
        <color theme="0"/>
      </font>
    </dxf>
    <dxf>
      <fill>
        <patternFill>
          <bgColor rgb="FFFFFF00"/>
        </patternFill>
      </fill>
    </dxf>
    <dxf>
      <font>
        <color rgb="FFFFFF00"/>
      </font>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rgb="FFC00000"/>
      </font>
    </dxf>
    <dxf>
      <font>
        <b/>
        <i val="0"/>
        <color rgb="FFFFC000"/>
      </font>
    </dxf>
    <dxf>
      <font>
        <b/>
        <i val="0"/>
        <color rgb="FF00B050"/>
      </font>
    </dxf>
    <dxf>
      <font>
        <b/>
        <i val="0"/>
        <color rgb="FF0070C0"/>
      </font>
    </dxf>
    <dxf>
      <fill>
        <patternFill>
          <bgColor rgb="FFFFC000"/>
        </patternFill>
      </fill>
    </dxf>
    <dxf>
      <font>
        <color theme="0"/>
      </font>
    </dxf>
    <dxf>
      <fill>
        <patternFill>
          <bgColor rgb="FFFFFF00"/>
        </patternFill>
      </fill>
    </dxf>
    <dxf>
      <font>
        <color rgb="FFFFFF00"/>
      </font>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rgb="FFC00000"/>
      </font>
    </dxf>
    <dxf>
      <font>
        <b/>
        <i val="0"/>
        <color rgb="FFFFC000"/>
      </font>
    </dxf>
    <dxf>
      <font>
        <b/>
        <i val="0"/>
        <color rgb="FF00B050"/>
      </font>
    </dxf>
    <dxf>
      <font>
        <b/>
        <i val="0"/>
        <color rgb="FF0070C0"/>
      </font>
    </dxf>
    <dxf>
      <fill>
        <patternFill>
          <bgColor rgb="FFFFC000"/>
        </patternFill>
      </fill>
    </dxf>
    <dxf>
      <font>
        <color theme="0"/>
      </font>
    </dxf>
    <dxf>
      <fill>
        <patternFill>
          <bgColor rgb="FFFFFF00"/>
        </patternFill>
      </fill>
    </dxf>
    <dxf>
      <font>
        <color rgb="FFFFFF00"/>
      </font>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rgb="FFC00000"/>
      </font>
    </dxf>
    <dxf>
      <font>
        <b/>
        <i val="0"/>
        <color rgb="FFFFC000"/>
      </font>
    </dxf>
    <dxf>
      <font>
        <b/>
        <i val="0"/>
        <color rgb="FF00B050"/>
      </font>
    </dxf>
    <dxf>
      <font>
        <b/>
        <i val="0"/>
        <color rgb="FF0070C0"/>
      </font>
    </dxf>
    <dxf>
      <fill>
        <patternFill>
          <bgColor rgb="FFFFC000"/>
        </patternFill>
      </fill>
    </dxf>
    <dxf>
      <font>
        <color theme="0"/>
      </font>
    </dxf>
    <dxf>
      <fill>
        <patternFill>
          <bgColor rgb="FFFFFF00"/>
        </patternFill>
      </fill>
    </dxf>
    <dxf>
      <font>
        <color rgb="FFFFFF00"/>
      </font>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rgb="FFC00000"/>
      </font>
    </dxf>
    <dxf>
      <font>
        <b/>
        <i val="0"/>
        <color rgb="FFFFC000"/>
      </font>
    </dxf>
    <dxf>
      <font>
        <b/>
        <i val="0"/>
        <color rgb="FF00B050"/>
      </font>
    </dxf>
    <dxf>
      <font>
        <b/>
        <i val="0"/>
        <color rgb="FF0070C0"/>
      </font>
    </dxf>
    <dxf>
      <fill>
        <patternFill>
          <bgColor rgb="FFFFC000"/>
        </patternFill>
      </fill>
    </dxf>
    <dxf>
      <font>
        <color theme="0"/>
      </font>
    </dxf>
    <dxf>
      <fill>
        <patternFill>
          <bgColor rgb="FFFFFF00"/>
        </patternFill>
      </fill>
    </dxf>
    <dxf>
      <font>
        <color rgb="FFFFFF00"/>
      </font>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rgb="FFC00000"/>
      </font>
    </dxf>
    <dxf>
      <font>
        <b/>
        <i val="0"/>
        <color rgb="FFFFC000"/>
      </font>
    </dxf>
    <dxf>
      <font>
        <b/>
        <i val="0"/>
        <color rgb="FF00B050"/>
      </font>
    </dxf>
    <dxf>
      <font>
        <b/>
        <i val="0"/>
        <color rgb="FF0070C0"/>
      </font>
    </dxf>
    <dxf>
      <fill>
        <patternFill>
          <bgColor rgb="FFFFC000"/>
        </patternFill>
      </fill>
    </dxf>
    <dxf>
      <font>
        <color theme="0"/>
      </font>
    </dxf>
    <dxf>
      <fill>
        <patternFill>
          <bgColor rgb="FFFFFF00"/>
        </patternFill>
      </fill>
    </dxf>
    <dxf>
      <font>
        <color rgb="FFFFFF00"/>
      </font>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rgb="FFC00000"/>
      </font>
    </dxf>
    <dxf>
      <font>
        <b/>
        <i val="0"/>
        <color rgb="FFFFC000"/>
      </font>
    </dxf>
    <dxf>
      <font>
        <b/>
        <i val="0"/>
        <color rgb="FF00B050"/>
      </font>
    </dxf>
    <dxf>
      <font>
        <b/>
        <i val="0"/>
        <color rgb="FF0070C0"/>
      </font>
    </dxf>
    <dxf>
      <fill>
        <patternFill>
          <bgColor rgb="FFFFC000"/>
        </patternFill>
      </fill>
    </dxf>
    <dxf>
      <font>
        <color theme="0"/>
      </font>
    </dxf>
    <dxf>
      <fill>
        <patternFill>
          <bgColor rgb="FFFFFF00"/>
        </patternFill>
      </fill>
    </dxf>
    <dxf>
      <font>
        <color rgb="FFFFFF00"/>
      </font>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rgb="FFC00000"/>
      </font>
    </dxf>
    <dxf>
      <font>
        <b/>
        <i val="0"/>
        <color rgb="FFFFC000"/>
      </font>
    </dxf>
    <dxf>
      <font>
        <b/>
        <i val="0"/>
        <color rgb="FF00B050"/>
      </font>
    </dxf>
    <dxf>
      <font>
        <b/>
        <i val="0"/>
        <color rgb="FF0070C0"/>
      </font>
    </dxf>
    <dxf>
      <fill>
        <patternFill>
          <bgColor rgb="FFFFC000"/>
        </patternFill>
      </fill>
    </dxf>
    <dxf>
      <font>
        <color theme="0"/>
      </font>
    </dxf>
    <dxf>
      <fill>
        <patternFill>
          <bgColor rgb="FFFFFF00"/>
        </patternFill>
      </fill>
    </dxf>
    <dxf>
      <font>
        <color rgb="FFFFFF00"/>
      </font>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rgb="FFC00000"/>
      </font>
    </dxf>
    <dxf>
      <font>
        <b/>
        <i val="0"/>
        <color rgb="FFFFC000"/>
      </font>
    </dxf>
    <dxf>
      <font>
        <b/>
        <i val="0"/>
        <color rgb="FF00B050"/>
      </font>
    </dxf>
    <dxf>
      <font>
        <b/>
        <i val="0"/>
        <color rgb="FF0070C0"/>
      </font>
    </dxf>
    <dxf>
      <fill>
        <patternFill>
          <bgColor rgb="FFFFC000"/>
        </patternFill>
      </fill>
    </dxf>
    <dxf>
      <font>
        <color theme="0"/>
      </font>
    </dxf>
    <dxf>
      <fill>
        <patternFill>
          <bgColor rgb="FFFFFF00"/>
        </patternFill>
      </fill>
    </dxf>
    <dxf>
      <font>
        <color rgb="FFFFFF00"/>
      </font>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rgb="FFC00000"/>
      </font>
    </dxf>
    <dxf>
      <font>
        <b/>
        <i val="0"/>
        <color rgb="FFFFC000"/>
      </font>
    </dxf>
    <dxf>
      <font>
        <b/>
        <i val="0"/>
        <color rgb="FF00B050"/>
      </font>
    </dxf>
    <dxf>
      <font>
        <b/>
        <i val="0"/>
        <color rgb="FF0070C0"/>
      </font>
    </dxf>
    <dxf>
      <fill>
        <patternFill>
          <bgColor rgb="FFFFC000"/>
        </patternFill>
      </fill>
    </dxf>
    <dxf>
      <font>
        <color theme="0"/>
      </font>
    </dxf>
    <dxf>
      <fill>
        <patternFill>
          <bgColor rgb="FFFFFF00"/>
        </patternFill>
      </fill>
    </dxf>
    <dxf>
      <font>
        <color rgb="FFFFFF00"/>
      </font>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rgb="FFC00000"/>
      </font>
    </dxf>
    <dxf>
      <font>
        <b/>
        <i val="0"/>
        <color rgb="FFFFC000"/>
      </font>
    </dxf>
    <dxf>
      <font>
        <b/>
        <i val="0"/>
        <color rgb="FF00B050"/>
      </font>
    </dxf>
    <dxf>
      <font>
        <b/>
        <i val="0"/>
        <color rgb="FF0070C0"/>
      </font>
    </dxf>
    <dxf>
      <fill>
        <patternFill>
          <bgColor rgb="FFFFC000"/>
        </patternFill>
      </fill>
    </dxf>
    <dxf>
      <font>
        <color theme="0"/>
      </font>
    </dxf>
    <dxf>
      <fill>
        <patternFill>
          <bgColor rgb="FFFFFF00"/>
        </patternFill>
      </fill>
    </dxf>
    <dxf>
      <font>
        <color rgb="FFFFFF00"/>
      </font>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rgb="FFC00000"/>
      </font>
    </dxf>
    <dxf>
      <font>
        <b/>
        <i val="0"/>
        <color rgb="FFFFC000"/>
      </font>
    </dxf>
    <dxf>
      <font>
        <b/>
        <i val="0"/>
        <color rgb="FF00B050"/>
      </font>
    </dxf>
    <dxf>
      <font>
        <b/>
        <i val="0"/>
        <color rgb="FF0070C0"/>
      </font>
    </dxf>
    <dxf>
      <fill>
        <patternFill>
          <bgColor rgb="FFFFC000"/>
        </patternFill>
      </fill>
    </dxf>
    <dxf>
      <font>
        <color theme="0"/>
      </font>
    </dxf>
    <dxf>
      <fill>
        <patternFill>
          <bgColor rgb="FFFFFF00"/>
        </patternFill>
      </fill>
    </dxf>
    <dxf>
      <font>
        <color rgb="FFFFFF00"/>
      </font>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rgb="FFC00000"/>
      </font>
    </dxf>
    <dxf>
      <font>
        <b/>
        <i val="0"/>
        <color rgb="FFFFC000"/>
      </font>
    </dxf>
    <dxf>
      <font>
        <b/>
        <i val="0"/>
        <color rgb="FF00B050"/>
      </font>
    </dxf>
    <dxf>
      <font>
        <b/>
        <i val="0"/>
        <color rgb="FF0070C0"/>
      </font>
    </dxf>
    <dxf>
      <fill>
        <patternFill>
          <bgColor rgb="FFFFC000"/>
        </patternFill>
      </fill>
    </dxf>
    <dxf>
      <font>
        <color theme="0"/>
      </font>
    </dxf>
    <dxf>
      <fill>
        <patternFill>
          <bgColor rgb="FFFFFF00"/>
        </patternFill>
      </fill>
    </dxf>
    <dxf>
      <font>
        <color rgb="FFFFFF00"/>
      </font>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rgb="FFC00000"/>
      </font>
    </dxf>
    <dxf>
      <font>
        <b/>
        <i val="0"/>
        <color rgb="FFFFC000"/>
      </font>
    </dxf>
    <dxf>
      <font>
        <b/>
        <i val="0"/>
        <color rgb="FF00B050"/>
      </font>
    </dxf>
    <dxf>
      <font>
        <b/>
        <i val="0"/>
        <color rgb="FF0070C0"/>
      </font>
    </dxf>
    <dxf>
      <fill>
        <patternFill>
          <bgColor rgb="FFFFC000"/>
        </patternFill>
      </fill>
    </dxf>
    <dxf>
      <font>
        <color theme="0"/>
      </font>
    </dxf>
    <dxf>
      <fill>
        <patternFill>
          <bgColor rgb="FFFFFF00"/>
        </patternFill>
      </fill>
    </dxf>
    <dxf>
      <font>
        <color rgb="FFFFFF00"/>
      </font>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rgb="FFC00000"/>
      </font>
    </dxf>
    <dxf>
      <font>
        <b/>
        <i val="0"/>
        <color rgb="FFFFC000"/>
      </font>
    </dxf>
    <dxf>
      <font>
        <b/>
        <i val="0"/>
        <color rgb="FF00B050"/>
      </font>
    </dxf>
    <dxf>
      <font>
        <b/>
        <i val="0"/>
        <color rgb="FF0070C0"/>
      </font>
    </dxf>
    <dxf>
      <fill>
        <patternFill>
          <bgColor rgb="FFFFC000"/>
        </patternFill>
      </fill>
    </dxf>
    <dxf>
      <font>
        <color theme="0"/>
      </font>
    </dxf>
    <dxf>
      <fill>
        <patternFill>
          <bgColor rgb="FFFFFF00"/>
        </patternFill>
      </fill>
    </dxf>
    <dxf>
      <font>
        <color rgb="FFFFFF00"/>
      </font>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rgb="FFC00000"/>
      </font>
    </dxf>
    <dxf>
      <font>
        <b/>
        <i val="0"/>
        <color rgb="FFFFC000"/>
      </font>
    </dxf>
    <dxf>
      <font>
        <b/>
        <i val="0"/>
        <color rgb="FF00B050"/>
      </font>
    </dxf>
    <dxf>
      <font>
        <b/>
        <i val="0"/>
        <color rgb="FF0070C0"/>
      </font>
    </dxf>
    <dxf>
      <fill>
        <patternFill>
          <bgColor rgb="FFFFC000"/>
        </patternFill>
      </fill>
    </dxf>
    <dxf>
      <font>
        <color theme="0"/>
      </font>
    </dxf>
    <dxf>
      <fill>
        <patternFill>
          <bgColor rgb="FFFFFF00"/>
        </patternFill>
      </fill>
    </dxf>
    <dxf>
      <font>
        <color rgb="FFFFFF00"/>
      </font>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rgb="FFC00000"/>
      </font>
    </dxf>
    <dxf>
      <font>
        <b/>
        <i val="0"/>
        <color rgb="FFFFC000"/>
      </font>
    </dxf>
    <dxf>
      <font>
        <b/>
        <i val="0"/>
        <color rgb="FF00B050"/>
      </font>
    </dxf>
    <dxf>
      <font>
        <b/>
        <i val="0"/>
        <color rgb="FF0070C0"/>
      </font>
    </dxf>
    <dxf>
      <fill>
        <patternFill>
          <bgColor rgb="FFFFC000"/>
        </patternFill>
      </fill>
    </dxf>
    <dxf>
      <font>
        <color theme="0"/>
      </font>
    </dxf>
    <dxf>
      <fill>
        <patternFill>
          <bgColor rgb="FFFFFF00"/>
        </patternFill>
      </fill>
    </dxf>
    <dxf>
      <font>
        <color rgb="FFFFFF00"/>
      </font>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rgb="FFC00000"/>
      </font>
    </dxf>
    <dxf>
      <font>
        <b/>
        <i val="0"/>
        <color rgb="FFFFC000"/>
      </font>
    </dxf>
    <dxf>
      <font>
        <b/>
        <i val="0"/>
        <color rgb="FF00B050"/>
      </font>
    </dxf>
    <dxf>
      <font>
        <b/>
        <i val="0"/>
        <color rgb="FF0070C0"/>
      </font>
    </dxf>
    <dxf>
      <fill>
        <patternFill>
          <bgColor rgb="FFFFC000"/>
        </patternFill>
      </fill>
    </dxf>
    <dxf>
      <font>
        <color theme="0"/>
      </font>
    </dxf>
    <dxf>
      <fill>
        <patternFill>
          <bgColor rgb="FFFFFF00"/>
        </patternFill>
      </fill>
    </dxf>
    <dxf>
      <font>
        <color rgb="FFFFFF00"/>
      </font>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rgb="FFC00000"/>
      </font>
    </dxf>
    <dxf>
      <font>
        <b/>
        <i val="0"/>
        <color rgb="FFFFC000"/>
      </font>
    </dxf>
    <dxf>
      <font>
        <b/>
        <i val="0"/>
        <color rgb="FF00B050"/>
      </font>
    </dxf>
    <dxf>
      <font>
        <b/>
        <i val="0"/>
        <color rgb="FF0070C0"/>
      </font>
    </dxf>
    <dxf>
      <fill>
        <patternFill>
          <bgColor rgb="FFFFC000"/>
        </patternFill>
      </fill>
    </dxf>
    <dxf>
      <font>
        <color theme="0"/>
      </font>
    </dxf>
    <dxf>
      <fill>
        <patternFill>
          <bgColor rgb="FFFFFF00"/>
        </patternFill>
      </fill>
    </dxf>
    <dxf>
      <font>
        <color rgb="FFFFFF00"/>
      </font>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rgb="FFC00000"/>
      </font>
    </dxf>
    <dxf>
      <font>
        <b/>
        <i val="0"/>
        <color rgb="FFFFC000"/>
      </font>
    </dxf>
    <dxf>
      <font>
        <b/>
        <i val="0"/>
        <color rgb="FF00B050"/>
      </font>
    </dxf>
    <dxf>
      <font>
        <b/>
        <i val="0"/>
        <color rgb="FF0070C0"/>
      </font>
    </dxf>
    <dxf>
      <fill>
        <patternFill>
          <bgColor rgb="FFFFC000"/>
        </patternFill>
      </fill>
    </dxf>
    <dxf>
      <font>
        <color theme="0"/>
      </font>
    </dxf>
    <dxf>
      <fill>
        <patternFill>
          <bgColor rgb="FFFFFF00"/>
        </patternFill>
      </fill>
    </dxf>
    <dxf>
      <font>
        <color rgb="FFFFFF00"/>
      </font>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rgb="FFC00000"/>
      </font>
    </dxf>
    <dxf>
      <font>
        <b/>
        <i val="0"/>
        <color rgb="FFFFC000"/>
      </font>
    </dxf>
    <dxf>
      <font>
        <b/>
        <i val="0"/>
        <color rgb="FF00B050"/>
      </font>
    </dxf>
    <dxf>
      <font>
        <b/>
        <i val="0"/>
        <color rgb="FF0070C0"/>
      </font>
    </dxf>
    <dxf>
      <fill>
        <patternFill>
          <bgColor rgb="FFFFC000"/>
        </patternFill>
      </fill>
    </dxf>
    <dxf>
      <font>
        <color theme="0"/>
      </font>
    </dxf>
    <dxf>
      <fill>
        <patternFill>
          <bgColor rgb="FFFFFF00"/>
        </patternFill>
      </fill>
    </dxf>
    <dxf>
      <font>
        <color rgb="FFFFFF00"/>
      </font>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rgb="FFC00000"/>
      </font>
    </dxf>
    <dxf>
      <font>
        <b/>
        <i val="0"/>
        <color rgb="FFFFC000"/>
      </font>
    </dxf>
    <dxf>
      <font>
        <b/>
        <i val="0"/>
        <color rgb="FF00B050"/>
      </font>
    </dxf>
    <dxf>
      <font>
        <b/>
        <i val="0"/>
        <color rgb="FF0070C0"/>
      </font>
    </dxf>
    <dxf>
      <fill>
        <patternFill>
          <bgColor rgb="FFFFC000"/>
        </patternFill>
      </fill>
    </dxf>
    <dxf>
      <font>
        <color theme="0"/>
      </font>
    </dxf>
    <dxf>
      <fill>
        <patternFill>
          <bgColor rgb="FFFFFF00"/>
        </patternFill>
      </fill>
    </dxf>
    <dxf>
      <font>
        <color rgb="FFFFFF00"/>
      </font>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rgb="FFC00000"/>
      </font>
    </dxf>
    <dxf>
      <font>
        <b/>
        <i val="0"/>
        <color rgb="FFFFC000"/>
      </font>
    </dxf>
    <dxf>
      <font>
        <b/>
        <i val="0"/>
        <color rgb="FF00B050"/>
      </font>
    </dxf>
    <dxf>
      <font>
        <b/>
        <i val="0"/>
        <color rgb="FF0070C0"/>
      </font>
    </dxf>
    <dxf>
      <fill>
        <patternFill>
          <bgColor rgb="FFFFC000"/>
        </patternFill>
      </fill>
    </dxf>
    <dxf>
      <font>
        <color theme="0"/>
      </font>
    </dxf>
    <dxf>
      <font>
        <color theme="0"/>
      </font>
    </dxf>
    <dxf>
      <font>
        <color theme="0"/>
      </font>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0" tint="-0.34998626667073579"/>
      </font>
    </dxf>
    <dxf>
      <fill>
        <patternFill>
          <bgColor rgb="FFFFFF00"/>
        </patternFill>
      </fill>
    </dxf>
  </dxfs>
  <tableStyles count="0" defaultTableStyle="TableStyleMedium2" defaultPivotStyle="PivotStyleLight16"/>
  <colors>
    <mruColors>
      <color rgb="FFFF0066"/>
      <color rgb="FFFFFF61"/>
      <color rgb="FFF8F868"/>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theme" Target="theme/theme1.xml"/><Relationship Id="rId47" Type="http://schemas.microsoft.com/office/2017/06/relationships/rdRichValue" Target="richData/rdrichvalue.xml"/><Relationship Id="rId50" Type="http://schemas.openxmlformats.org/officeDocument/2006/relationships/calcChain" Target="calcChain.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sheetMetadata" Target="metadata.xml"/><Relationship Id="rId53" Type="http://schemas.openxmlformats.org/officeDocument/2006/relationships/customXml" Target="../customXml/item3.xml"/><Relationship Id="rId5" Type="http://schemas.openxmlformats.org/officeDocument/2006/relationships/worksheet" Target="worksheets/sheet5.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sharedStrings" Target="sharedStrings.xml"/><Relationship Id="rId52" Type="http://schemas.openxmlformats.org/officeDocument/2006/relationships/customXml" Target="../customXml/item2.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styles" Target="styles.xml"/><Relationship Id="rId48" Type="http://schemas.microsoft.com/office/2017/06/relationships/rdRichValueStructure" Target="richData/rdrichvaluestructure.xml"/><Relationship Id="rId8" Type="http://schemas.openxmlformats.org/officeDocument/2006/relationships/worksheet" Target="worksheets/sheet8.xml"/><Relationship Id="rId51" Type="http://schemas.openxmlformats.org/officeDocument/2006/relationships/customXml" Target="../customXml/item1.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microsoft.com/office/2022/10/relationships/richValueRel" Target="richData/richValueRel.xml"/><Relationship Id="rId20" Type="http://schemas.openxmlformats.org/officeDocument/2006/relationships/worksheet" Target="worksheets/sheet20.xml"/><Relationship Id="rId41" Type="http://schemas.openxmlformats.org/officeDocument/2006/relationships/externalLink" Target="externalLinks/externalLink1.xml"/><Relationship Id="rId54"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microsoft.com/office/2017/06/relationships/rdRichValueTypes" Target="richData/rdRichValueTypes.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ja-JP" altLang="en-US"/>
              <a:t>稼働率</a:t>
            </a:r>
            <a:endParaRPr lang="en-US" altLang="ja-JP"/>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ltLang="ja-JP"/>
        </a:p>
      </c:txPr>
    </c:title>
    <c:autoTitleDeleted val="0"/>
    <c:plotArea>
      <c:layout>
        <c:manualLayout>
          <c:layoutTarget val="inner"/>
          <c:xMode val="edge"/>
          <c:yMode val="edge"/>
          <c:x val="5.0643669541307335E-2"/>
          <c:y val="0.12969013716242558"/>
          <c:w val="0.92607590717826938"/>
          <c:h val="0.71206165937049282"/>
        </c:manualLayout>
      </c:layout>
      <c:barChart>
        <c:barDir val="col"/>
        <c:grouping val="clustered"/>
        <c:varyColors val="0"/>
        <c:ser>
          <c:idx val="0"/>
          <c:order val="0"/>
          <c:tx>
            <c:strRef>
              <c:f>カウント!$U$1</c:f>
              <c:strCache>
                <c:ptCount val="1"/>
                <c:pt idx="0">
                  <c:v>IN</c:v>
                </c:pt>
              </c:strCache>
            </c:strRef>
          </c:tx>
          <c:spPr>
            <a:solidFill>
              <a:schemeClr val="accent1"/>
            </a:solidFill>
            <a:ln>
              <a:noFill/>
            </a:ln>
            <a:effectLst/>
          </c:spPr>
          <c:invertIfNegative val="0"/>
          <c:val>
            <c:numRef>
              <c:f>カウント!$U$2:$U$31</c:f>
              <c:numCache>
                <c:formatCode>General</c:formatCode>
                <c:ptCount val="30"/>
                <c:pt idx="0">
                  <c:v>32</c:v>
                </c:pt>
                <c:pt idx="1">
                  <c:v>33</c:v>
                </c:pt>
                <c:pt idx="2">
                  <c:v>37</c:v>
                </c:pt>
                <c:pt idx="3">
                  <c:v>30</c:v>
                </c:pt>
                <c:pt idx="4">
                  <c:v>29</c:v>
                </c:pt>
                <c:pt idx="5">
                  <c:v>38</c:v>
                </c:pt>
                <c:pt idx="6">
                  <c:v>26</c:v>
                </c:pt>
                <c:pt idx="7">
                  <c:v>18</c:v>
                </c:pt>
                <c:pt idx="8">
                  <c:v>19</c:v>
                </c:pt>
                <c:pt idx="9">
                  <c:v>20</c:v>
                </c:pt>
                <c:pt idx="10">
                  <c:v>32</c:v>
                </c:pt>
                <c:pt idx="11">
                  <c:v>38</c:v>
                </c:pt>
                <c:pt idx="12">
                  <c:v>17</c:v>
                </c:pt>
                <c:pt idx="13">
                  <c:v>31</c:v>
                </c:pt>
                <c:pt idx="14">
                  <c:v>24</c:v>
                </c:pt>
                <c:pt idx="15">
                  <c:v>32</c:v>
                </c:pt>
                <c:pt idx="16">
                  <c:v>36</c:v>
                </c:pt>
                <c:pt idx="17">
                  <c:v>23</c:v>
                </c:pt>
                <c:pt idx="18">
                  <c:v>32</c:v>
                </c:pt>
                <c:pt idx="19">
                  <c:v>23</c:v>
                </c:pt>
                <c:pt idx="20">
                  <c:v>20</c:v>
                </c:pt>
                <c:pt idx="21">
                  <c:v>22</c:v>
                </c:pt>
                <c:pt idx="22">
                  <c:v>20</c:v>
                </c:pt>
                <c:pt idx="23">
                  <c:v>15</c:v>
                </c:pt>
                <c:pt idx="24">
                  <c:v>23</c:v>
                </c:pt>
                <c:pt idx="25">
                  <c:v>28</c:v>
                </c:pt>
                <c:pt idx="26">
                  <c:v>20</c:v>
                </c:pt>
                <c:pt idx="27">
                  <c:v>14</c:v>
                </c:pt>
                <c:pt idx="28">
                  <c:v>0</c:v>
                </c:pt>
                <c:pt idx="29">
                  <c:v>10</c:v>
                </c:pt>
              </c:numCache>
            </c:numRef>
          </c:val>
          <c:extLst>
            <c:ext xmlns:c16="http://schemas.microsoft.com/office/drawing/2014/chart" uri="{C3380CC4-5D6E-409C-BE32-E72D297353CC}">
              <c16:uniqueId val="{00000000-624B-410F-9EDE-9D46739D3890}"/>
            </c:ext>
          </c:extLst>
        </c:ser>
        <c:ser>
          <c:idx val="1"/>
          <c:order val="1"/>
          <c:tx>
            <c:strRef>
              <c:f>カウント!$V$1</c:f>
              <c:strCache>
                <c:ptCount val="1"/>
                <c:pt idx="0">
                  <c:v>OUT</c:v>
                </c:pt>
              </c:strCache>
            </c:strRef>
          </c:tx>
          <c:spPr>
            <a:solidFill>
              <a:schemeClr val="accent2"/>
            </a:solidFill>
            <a:ln>
              <a:noFill/>
            </a:ln>
            <a:effectLst/>
          </c:spPr>
          <c:invertIfNegative val="0"/>
          <c:val>
            <c:numRef>
              <c:f>カウント!$V$2:$V$31</c:f>
              <c:numCache>
                <c:formatCode>General</c:formatCode>
                <c:ptCount val="30"/>
                <c:pt idx="0">
                  <c:v>32</c:v>
                </c:pt>
                <c:pt idx="1">
                  <c:v>21</c:v>
                </c:pt>
                <c:pt idx="2">
                  <c:v>33</c:v>
                </c:pt>
                <c:pt idx="3">
                  <c:v>37</c:v>
                </c:pt>
                <c:pt idx="4">
                  <c:v>38</c:v>
                </c:pt>
                <c:pt idx="5">
                  <c:v>35</c:v>
                </c:pt>
                <c:pt idx="6">
                  <c:v>27</c:v>
                </c:pt>
                <c:pt idx="7">
                  <c:v>27</c:v>
                </c:pt>
                <c:pt idx="8">
                  <c:v>11</c:v>
                </c:pt>
                <c:pt idx="9">
                  <c:v>32</c:v>
                </c:pt>
                <c:pt idx="10">
                  <c:v>24</c:v>
                </c:pt>
                <c:pt idx="11">
                  <c:v>26</c:v>
                </c:pt>
                <c:pt idx="12">
                  <c:v>17</c:v>
                </c:pt>
                <c:pt idx="13">
                  <c:v>31</c:v>
                </c:pt>
                <c:pt idx="14">
                  <c:v>35</c:v>
                </c:pt>
                <c:pt idx="15">
                  <c:v>33</c:v>
                </c:pt>
                <c:pt idx="16">
                  <c:v>17</c:v>
                </c:pt>
                <c:pt idx="17">
                  <c:v>26</c:v>
                </c:pt>
                <c:pt idx="18">
                  <c:v>26</c:v>
                </c:pt>
                <c:pt idx="19">
                  <c:v>27</c:v>
                </c:pt>
                <c:pt idx="20">
                  <c:v>43</c:v>
                </c:pt>
                <c:pt idx="21">
                  <c:v>20</c:v>
                </c:pt>
                <c:pt idx="22">
                  <c:v>21</c:v>
                </c:pt>
                <c:pt idx="23">
                  <c:v>22</c:v>
                </c:pt>
                <c:pt idx="24">
                  <c:v>25</c:v>
                </c:pt>
                <c:pt idx="25">
                  <c:v>18</c:v>
                </c:pt>
                <c:pt idx="26">
                  <c:v>19</c:v>
                </c:pt>
                <c:pt idx="27">
                  <c:v>24</c:v>
                </c:pt>
                <c:pt idx="28">
                  <c:v>0</c:v>
                </c:pt>
                <c:pt idx="29">
                  <c:v>19</c:v>
                </c:pt>
              </c:numCache>
            </c:numRef>
          </c:val>
          <c:extLst>
            <c:ext xmlns:c16="http://schemas.microsoft.com/office/drawing/2014/chart" uri="{C3380CC4-5D6E-409C-BE32-E72D297353CC}">
              <c16:uniqueId val="{00000001-624B-410F-9EDE-9D46739D3890}"/>
            </c:ext>
          </c:extLst>
        </c:ser>
        <c:dLbls>
          <c:showLegendKey val="0"/>
          <c:showVal val="0"/>
          <c:showCatName val="0"/>
          <c:showSerName val="0"/>
          <c:showPercent val="0"/>
          <c:showBubbleSize val="0"/>
        </c:dLbls>
        <c:gapWidth val="150"/>
        <c:axId val="1664001568"/>
        <c:axId val="1664010688"/>
      </c:barChart>
      <c:lineChart>
        <c:grouping val="standard"/>
        <c:varyColors val="0"/>
        <c:ser>
          <c:idx val="2"/>
          <c:order val="2"/>
          <c:tx>
            <c:strRef>
              <c:f>カウント!$W$1</c:f>
              <c:strCache>
                <c:ptCount val="1"/>
                <c:pt idx="0">
                  <c:v>稼働率</c:v>
                </c:pt>
              </c:strCache>
            </c:strRef>
          </c:tx>
          <c:spPr>
            <a:ln w="28575" cap="rnd">
              <a:solidFill>
                <a:srgbClr val="FF0000"/>
              </a:solidFill>
              <a:round/>
            </a:ln>
            <a:effectLst/>
          </c:spPr>
          <c:marker>
            <c:symbol val="none"/>
          </c:marker>
          <c:val>
            <c:numRef>
              <c:f>カウント!$W$2:$W$31</c:f>
              <c:numCache>
                <c:formatCode>0%</c:formatCode>
                <c:ptCount val="30"/>
                <c:pt idx="0">
                  <c:v>0.58160000000000001</c:v>
                </c:pt>
                <c:pt idx="1">
                  <c:v>0.72450000000000003</c:v>
                </c:pt>
                <c:pt idx="2">
                  <c:v>0.77549999999999997</c:v>
                </c:pt>
                <c:pt idx="3">
                  <c:v>0.68369999999999997</c:v>
                </c:pt>
                <c:pt idx="4">
                  <c:v>0.65310000000000001</c:v>
                </c:pt>
                <c:pt idx="5">
                  <c:v>0.69389999999999996</c:v>
                </c:pt>
                <c:pt idx="6">
                  <c:v>0.68369999999999997</c:v>
                </c:pt>
                <c:pt idx="7">
                  <c:v>0.57140000000000002</c:v>
                </c:pt>
                <c:pt idx="8">
                  <c:v>0.65310000000000001</c:v>
                </c:pt>
                <c:pt idx="9">
                  <c:v>0.51019999999999999</c:v>
                </c:pt>
                <c:pt idx="10">
                  <c:v>0.60199999999999998</c:v>
                </c:pt>
                <c:pt idx="11">
                  <c:v>0.72450000000000003</c:v>
                </c:pt>
                <c:pt idx="12">
                  <c:v>0.71430000000000005</c:v>
                </c:pt>
                <c:pt idx="13">
                  <c:v>0.72</c:v>
                </c:pt>
                <c:pt idx="14">
                  <c:v>0.60199999999999998</c:v>
                </c:pt>
                <c:pt idx="15">
                  <c:v>0.81630000000000003</c:v>
                </c:pt>
                <c:pt idx="16">
                  <c:v>0.81</c:v>
                </c:pt>
                <c:pt idx="17">
                  <c:v>0.78</c:v>
                </c:pt>
                <c:pt idx="18">
                  <c:v>0.87690000000000001</c:v>
                </c:pt>
                <c:pt idx="19">
                  <c:v>0.74490000000000001</c:v>
                </c:pt>
                <c:pt idx="20">
                  <c:v>0.57140000000000002</c:v>
                </c:pt>
                <c:pt idx="21">
                  <c:v>0.56120000000000003</c:v>
                </c:pt>
                <c:pt idx="22">
                  <c:v>0.5</c:v>
                </c:pt>
                <c:pt idx="23">
                  <c:v>0.44900000000000001</c:v>
                </c:pt>
                <c:pt idx="24">
                  <c:v>0.438</c:v>
                </c:pt>
                <c:pt idx="25">
                  <c:v>0.52039999999999997</c:v>
                </c:pt>
                <c:pt idx="26">
                  <c:v>0.55000000000000004</c:v>
                </c:pt>
                <c:pt idx="27">
                  <c:v>0.44900000000000001</c:v>
                </c:pt>
                <c:pt idx="28">
                  <c:v>0</c:v>
                </c:pt>
                <c:pt idx="29">
                  <c:v>0.38779999999999998</c:v>
                </c:pt>
              </c:numCache>
            </c:numRef>
          </c:val>
          <c:smooth val="0"/>
          <c:extLst>
            <c:ext xmlns:c16="http://schemas.microsoft.com/office/drawing/2014/chart" uri="{C3380CC4-5D6E-409C-BE32-E72D297353CC}">
              <c16:uniqueId val="{00000002-624B-410F-9EDE-9D46739D3890}"/>
            </c:ext>
          </c:extLst>
        </c:ser>
        <c:dLbls>
          <c:showLegendKey val="0"/>
          <c:showVal val="0"/>
          <c:showCatName val="0"/>
          <c:showSerName val="0"/>
          <c:showPercent val="0"/>
          <c:showBubbleSize val="0"/>
        </c:dLbls>
        <c:marker val="1"/>
        <c:smooth val="0"/>
        <c:axId val="277751151"/>
        <c:axId val="277739151"/>
      </c:lineChart>
      <c:catAx>
        <c:axId val="1664001568"/>
        <c:scaling>
          <c:orientation val="minMax"/>
        </c:scaling>
        <c:delete val="0"/>
        <c:axPos val="b"/>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1664010688"/>
        <c:crosses val="autoZero"/>
        <c:auto val="1"/>
        <c:lblAlgn val="ctr"/>
        <c:lblOffset val="100"/>
        <c:noMultiLvlLbl val="0"/>
      </c:catAx>
      <c:valAx>
        <c:axId val="166401068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1664001568"/>
        <c:crosses val="autoZero"/>
        <c:crossBetween val="between"/>
      </c:valAx>
      <c:valAx>
        <c:axId val="277739151"/>
        <c:scaling>
          <c:orientation val="minMax"/>
        </c:scaling>
        <c:delete val="0"/>
        <c:axPos val="r"/>
        <c:numFmt formatCode="0%"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277751151"/>
        <c:crosses val="max"/>
        <c:crossBetween val="between"/>
      </c:valAx>
      <c:catAx>
        <c:axId val="277751151"/>
        <c:scaling>
          <c:orientation val="minMax"/>
        </c:scaling>
        <c:delete val="1"/>
        <c:axPos val="b"/>
        <c:majorTickMark val="out"/>
        <c:minorTickMark val="none"/>
        <c:tickLblPos val="nextTo"/>
        <c:crossAx val="277739151"/>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ja-JP"/>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ja-JP"/>
              <a:t>稼働率と事案の比較</a:t>
            </a:r>
          </a:p>
        </c:rich>
      </c:tx>
      <c:layout>
        <c:manualLayout>
          <c:xMode val="edge"/>
          <c:yMode val="edge"/>
          <c:x val="0.39189181722128252"/>
          <c:y val="3.8475763182260224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ja-JP"/>
        </a:p>
      </c:txPr>
    </c:title>
    <c:autoTitleDeleted val="0"/>
    <c:plotArea>
      <c:layout>
        <c:manualLayout>
          <c:layoutTarget val="inner"/>
          <c:xMode val="edge"/>
          <c:yMode val="edge"/>
          <c:x val="5.827490183008887E-2"/>
          <c:y val="0.12850834989313709"/>
          <c:w val="0.91493666847045929"/>
          <c:h val="0.54543973649112687"/>
        </c:manualLayout>
      </c:layout>
      <c:lineChart>
        <c:grouping val="standard"/>
        <c:varyColors val="0"/>
        <c:ser>
          <c:idx val="0"/>
          <c:order val="0"/>
          <c:tx>
            <c:strRef>
              <c:f>カウント!$E$1</c:f>
              <c:strCache>
                <c:ptCount val="1"/>
                <c:pt idx="0">
                  <c:v>巡回時未施錠</c:v>
                </c:pt>
              </c:strCache>
            </c:strRef>
          </c:tx>
          <c:spPr>
            <a:ln w="19050" cap="rnd">
              <a:solidFill>
                <a:schemeClr val="accent1"/>
              </a:solidFill>
              <a:round/>
            </a:ln>
            <a:effectLst/>
          </c:spPr>
          <c:marker>
            <c:symbol val="none"/>
          </c:marker>
          <c:val>
            <c:numRef>
              <c:f>カウント!$E$2:$E$31</c:f>
              <c:numCache>
                <c:formatCode>General</c:formatCode>
                <c:ptCount val="30"/>
                <c:pt idx="0">
                  <c:v>3</c:v>
                </c:pt>
                <c:pt idx="1">
                  <c:v>0</c:v>
                </c:pt>
                <c:pt idx="2">
                  <c:v>4</c:v>
                </c:pt>
                <c:pt idx="3">
                  <c:v>6</c:v>
                </c:pt>
                <c:pt idx="4">
                  <c:v>3</c:v>
                </c:pt>
                <c:pt idx="5">
                  <c:v>0</c:v>
                </c:pt>
                <c:pt idx="6">
                  <c:v>2</c:v>
                </c:pt>
                <c:pt idx="7">
                  <c:v>2</c:v>
                </c:pt>
                <c:pt idx="8">
                  <c:v>2</c:v>
                </c:pt>
                <c:pt idx="9">
                  <c:v>1</c:v>
                </c:pt>
                <c:pt idx="10">
                  <c:v>1</c:v>
                </c:pt>
                <c:pt idx="11">
                  <c:v>0</c:v>
                </c:pt>
                <c:pt idx="12">
                  <c:v>3</c:v>
                </c:pt>
                <c:pt idx="13">
                  <c:v>2</c:v>
                </c:pt>
                <c:pt idx="14">
                  <c:v>4</c:v>
                </c:pt>
                <c:pt idx="15">
                  <c:v>0</c:v>
                </c:pt>
                <c:pt idx="16">
                  <c:v>0</c:v>
                </c:pt>
                <c:pt idx="17">
                  <c:v>2</c:v>
                </c:pt>
                <c:pt idx="18">
                  <c:v>0</c:v>
                </c:pt>
                <c:pt idx="19">
                  <c:v>0</c:v>
                </c:pt>
                <c:pt idx="20">
                  <c:v>2</c:v>
                </c:pt>
                <c:pt idx="21">
                  <c:v>4</c:v>
                </c:pt>
                <c:pt idx="22">
                  <c:v>2</c:v>
                </c:pt>
                <c:pt idx="23">
                  <c:v>0</c:v>
                </c:pt>
                <c:pt idx="24">
                  <c:v>5</c:v>
                </c:pt>
                <c:pt idx="25">
                  <c:v>0</c:v>
                </c:pt>
                <c:pt idx="26">
                  <c:v>0</c:v>
                </c:pt>
                <c:pt idx="27">
                  <c:v>2</c:v>
                </c:pt>
                <c:pt idx="28">
                  <c:v>3</c:v>
                </c:pt>
                <c:pt idx="29">
                  <c:v>1</c:v>
                </c:pt>
              </c:numCache>
            </c:numRef>
          </c:val>
          <c:smooth val="0"/>
          <c:extLst>
            <c:ext xmlns:c16="http://schemas.microsoft.com/office/drawing/2014/chart" uri="{C3380CC4-5D6E-409C-BE32-E72D297353CC}">
              <c16:uniqueId val="{00000000-6D7A-44F3-A3CD-68ABCC047BBA}"/>
            </c:ext>
          </c:extLst>
        </c:ser>
        <c:ser>
          <c:idx val="1"/>
          <c:order val="1"/>
          <c:tx>
            <c:strRef>
              <c:f>カウント!$F$1</c:f>
              <c:strCache>
                <c:ptCount val="1"/>
                <c:pt idx="0">
                  <c:v>警察対応</c:v>
                </c:pt>
              </c:strCache>
            </c:strRef>
          </c:tx>
          <c:spPr>
            <a:ln w="19050" cap="rnd">
              <a:solidFill>
                <a:schemeClr val="accent2"/>
              </a:solidFill>
              <a:round/>
            </a:ln>
            <a:effectLst/>
          </c:spPr>
          <c:marker>
            <c:symbol val="none"/>
          </c:marker>
          <c:val>
            <c:numRef>
              <c:f>カウント!$F$2:$F$31</c:f>
              <c:numCache>
                <c:formatCode>General</c:formatCode>
                <c:ptCount val="3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numCache>
            </c:numRef>
          </c:val>
          <c:smooth val="0"/>
          <c:extLst>
            <c:ext xmlns:c16="http://schemas.microsoft.com/office/drawing/2014/chart" uri="{C3380CC4-5D6E-409C-BE32-E72D297353CC}">
              <c16:uniqueId val="{00000000-01F0-4349-8B21-51ABCBBF55F3}"/>
            </c:ext>
          </c:extLst>
        </c:ser>
        <c:ser>
          <c:idx val="2"/>
          <c:order val="2"/>
          <c:tx>
            <c:strRef>
              <c:f>カウント!$G$1</c:f>
              <c:strCache>
                <c:ptCount val="1"/>
                <c:pt idx="0">
                  <c:v>自火報発報</c:v>
                </c:pt>
              </c:strCache>
            </c:strRef>
          </c:tx>
          <c:spPr>
            <a:ln w="19050" cap="rnd">
              <a:solidFill>
                <a:schemeClr val="accent3"/>
              </a:solidFill>
              <a:round/>
            </a:ln>
            <a:effectLst/>
          </c:spPr>
          <c:marker>
            <c:symbol val="none"/>
          </c:marker>
          <c:val>
            <c:numRef>
              <c:f>カウント!$G$2:$G$31</c:f>
              <c:numCache>
                <c:formatCode>General</c:formatCode>
                <c:ptCount val="30"/>
                <c:pt idx="0">
                  <c:v>0</c:v>
                </c:pt>
                <c:pt idx="1">
                  <c:v>0</c:v>
                </c:pt>
                <c:pt idx="2">
                  <c:v>1</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numCache>
            </c:numRef>
          </c:val>
          <c:smooth val="0"/>
          <c:extLst>
            <c:ext xmlns:c16="http://schemas.microsoft.com/office/drawing/2014/chart" uri="{C3380CC4-5D6E-409C-BE32-E72D297353CC}">
              <c16:uniqueId val="{00000001-01F0-4349-8B21-51ABCBBF55F3}"/>
            </c:ext>
          </c:extLst>
        </c:ser>
        <c:ser>
          <c:idx val="3"/>
          <c:order val="3"/>
          <c:tx>
            <c:strRef>
              <c:f>カウント!$H$1</c:f>
              <c:strCache>
                <c:ptCount val="1"/>
                <c:pt idx="0">
                  <c:v>ジュエリーケース発報</c:v>
                </c:pt>
              </c:strCache>
            </c:strRef>
          </c:tx>
          <c:spPr>
            <a:ln w="19050" cap="rnd">
              <a:solidFill>
                <a:schemeClr val="accent4"/>
              </a:solidFill>
              <a:round/>
            </a:ln>
            <a:effectLst/>
          </c:spPr>
          <c:marker>
            <c:symbol val="none"/>
          </c:marker>
          <c:val>
            <c:numRef>
              <c:f>カウント!$H$2:$H$31</c:f>
              <c:numCache>
                <c:formatCode>General</c:formatCode>
                <c:ptCount val="3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1</c:v>
                </c:pt>
              </c:numCache>
            </c:numRef>
          </c:val>
          <c:smooth val="0"/>
          <c:extLst>
            <c:ext xmlns:c16="http://schemas.microsoft.com/office/drawing/2014/chart" uri="{C3380CC4-5D6E-409C-BE32-E72D297353CC}">
              <c16:uniqueId val="{00000002-01F0-4349-8B21-51ABCBBF55F3}"/>
            </c:ext>
          </c:extLst>
        </c:ser>
        <c:ser>
          <c:idx val="4"/>
          <c:order val="4"/>
          <c:tx>
            <c:strRef>
              <c:f>カウント!$I$1</c:f>
              <c:strCache>
                <c:ptCount val="1"/>
                <c:pt idx="0">
                  <c:v>救急対応</c:v>
                </c:pt>
              </c:strCache>
            </c:strRef>
          </c:tx>
          <c:spPr>
            <a:ln w="19050" cap="rnd">
              <a:solidFill>
                <a:schemeClr val="accent5"/>
              </a:solidFill>
              <a:round/>
            </a:ln>
            <a:effectLst/>
          </c:spPr>
          <c:marker>
            <c:symbol val="none"/>
          </c:marker>
          <c:val>
            <c:numRef>
              <c:f>カウント!$I$2:$I$31</c:f>
              <c:numCache>
                <c:formatCode>General</c:formatCode>
                <c:ptCount val="30"/>
                <c:pt idx="0">
                  <c:v>0</c:v>
                </c:pt>
                <c:pt idx="1">
                  <c:v>0</c:v>
                </c:pt>
                <c:pt idx="2">
                  <c:v>0</c:v>
                </c:pt>
                <c:pt idx="3">
                  <c:v>0</c:v>
                </c:pt>
                <c:pt idx="4">
                  <c:v>1</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numCache>
            </c:numRef>
          </c:val>
          <c:smooth val="0"/>
          <c:extLst>
            <c:ext xmlns:c16="http://schemas.microsoft.com/office/drawing/2014/chart" uri="{C3380CC4-5D6E-409C-BE32-E72D297353CC}">
              <c16:uniqueId val="{00000003-01F0-4349-8B21-51ABCBBF55F3}"/>
            </c:ext>
          </c:extLst>
        </c:ser>
        <c:ser>
          <c:idx val="5"/>
          <c:order val="5"/>
          <c:tx>
            <c:strRef>
              <c:f>カウント!$J$1</c:f>
              <c:strCache>
                <c:ptCount val="1"/>
                <c:pt idx="0">
                  <c:v>不審物対応</c:v>
                </c:pt>
              </c:strCache>
            </c:strRef>
          </c:tx>
          <c:spPr>
            <a:ln w="19050" cap="rnd">
              <a:solidFill>
                <a:schemeClr val="accent6"/>
              </a:solidFill>
              <a:round/>
            </a:ln>
            <a:effectLst/>
          </c:spPr>
          <c:marker>
            <c:symbol val="none"/>
          </c:marker>
          <c:val>
            <c:numRef>
              <c:f>カウント!$J$2:$J$31</c:f>
              <c:numCache>
                <c:formatCode>General</c:formatCode>
                <c:ptCount val="3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numCache>
            </c:numRef>
          </c:val>
          <c:smooth val="0"/>
          <c:extLst>
            <c:ext xmlns:c16="http://schemas.microsoft.com/office/drawing/2014/chart" uri="{C3380CC4-5D6E-409C-BE32-E72D297353CC}">
              <c16:uniqueId val="{00000004-01F0-4349-8B21-51ABCBBF55F3}"/>
            </c:ext>
          </c:extLst>
        </c:ser>
        <c:ser>
          <c:idx val="6"/>
          <c:order val="6"/>
          <c:tx>
            <c:strRef>
              <c:f>カウント!$K$1</c:f>
              <c:strCache>
                <c:ptCount val="1"/>
                <c:pt idx="0">
                  <c:v>不審者対応</c:v>
                </c:pt>
              </c:strCache>
            </c:strRef>
          </c:tx>
          <c:spPr>
            <a:ln w="19050" cap="rnd">
              <a:solidFill>
                <a:schemeClr val="accent1">
                  <a:lumMod val="60000"/>
                </a:schemeClr>
              </a:solidFill>
              <a:round/>
            </a:ln>
            <a:effectLst/>
          </c:spPr>
          <c:marker>
            <c:symbol val="none"/>
          </c:marker>
          <c:val>
            <c:numRef>
              <c:f>カウント!$K$2:$K$31</c:f>
              <c:numCache>
                <c:formatCode>General</c:formatCode>
                <c:ptCount val="3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2</c:v>
                </c:pt>
                <c:pt idx="19">
                  <c:v>1</c:v>
                </c:pt>
                <c:pt idx="20">
                  <c:v>0</c:v>
                </c:pt>
                <c:pt idx="21">
                  <c:v>1</c:v>
                </c:pt>
                <c:pt idx="22">
                  <c:v>0</c:v>
                </c:pt>
                <c:pt idx="23">
                  <c:v>0</c:v>
                </c:pt>
                <c:pt idx="24">
                  <c:v>0</c:v>
                </c:pt>
                <c:pt idx="25">
                  <c:v>0</c:v>
                </c:pt>
                <c:pt idx="26">
                  <c:v>0</c:v>
                </c:pt>
                <c:pt idx="27">
                  <c:v>0</c:v>
                </c:pt>
                <c:pt idx="28">
                  <c:v>0</c:v>
                </c:pt>
                <c:pt idx="29">
                  <c:v>0</c:v>
                </c:pt>
              </c:numCache>
            </c:numRef>
          </c:val>
          <c:smooth val="0"/>
          <c:extLst>
            <c:ext xmlns:c16="http://schemas.microsoft.com/office/drawing/2014/chart" uri="{C3380CC4-5D6E-409C-BE32-E72D297353CC}">
              <c16:uniqueId val="{00000005-01F0-4349-8B21-51ABCBBF55F3}"/>
            </c:ext>
          </c:extLst>
        </c:ser>
        <c:ser>
          <c:idx val="7"/>
          <c:order val="7"/>
          <c:tx>
            <c:strRef>
              <c:f>カウント!$L$1</c:f>
              <c:strCache>
                <c:ptCount val="1"/>
                <c:pt idx="0">
                  <c:v>エレベーター呼出</c:v>
                </c:pt>
              </c:strCache>
            </c:strRef>
          </c:tx>
          <c:spPr>
            <a:ln w="19050" cap="rnd">
              <a:solidFill>
                <a:schemeClr val="accent2">
                  <a:lumMod val="60000"/>
                </a:schemeClr>
              </a:solidFill>
              <a:round/>
            </a:ln>
            <a:effectLst/>
          </c:spPr>
          <c:marker>
            <c:symbol val="none"/>
          </c:marker>
          <c:val>
            <c:numRef>
              <c:f>カウント!$L$2:$L$31</c:f>
              <c:numCache>
                <c:formatCode>General</c:formatCode>
                <c:ptCount val="30"/>
                <c:pt idx="0">
                  <c:v>0</c:v>
                </c:pt>
                <c:pt idx="1">
                  <c:v>0</c:v>
                </c:pt>
                <c:pt idx="2">
                  <c:v>0</c:v>
                </c:pt>
                <c:pt idx="3">
                  <c:v>1</c:v>
                </c:pt>
                <c:pt idx="4">
                  <c:v>1</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numCache>
            </c:numRef>
          </c:val>
          <c:smooth val="0"/>
          <c:extLst>
            <c:ext xmlns:c16="http://schemas.microsoft.com/office/drawing/2014/chart" uri="{C3380CC4-5D6E-409C-BE32-E72D297353CC}">
              <c16:uniqueId val="{00000006-01F0-4349-8B21-51ABCBBF55F3}"/>
            </c:ext>
          </c:extLst>
        </c:ser>
        <c:ser>
          <c:idx val="8"/>
          <c:order val="8"/>
          <c:tx>
            <c:strRef>
              <c:f>カウント!$M$1</c:f>
              <c:strCache>
                <c:ptCount val="1"/>
                <c:pt idx="0">
                  <c:v>緊急呼出</c:v>
                </c:pt>
              </c:strCache>
            </c:strRef>
          </c:tx>
          <c:spPr>
            <a:ln w="19050" cap="rnd">
              <a:solidFill>
                <a:schemeClr val="accent3">
                  <a:lumMod val="60000"/>
                </a:schemeClr>
              </a:solidFill>
              <a:round/>
            </a:ln>
            <a:effectLst/>
          </c:spPr>
          <c:marker>
            <c:symbol val="none"/>
          </c:marker>
          <c:val>
            <c:numRef>
              <c:f>カウント!$M$2:$M$31</c:f>
              <c:numCache>
                <c:formatCode>General</c:formatCode>
                <c:ptCount val="30"/>
                <c:pt idx="0">
                  <c:v>0</c:v>
                </c:pt>
                <c:pt idx="1">
                  <c:v>0</c:v>
                </c:pt>
                <c:pt idx="2">
                  <c:v>0</c:v>
                </c:pt>
                <c:pt idx="3">
                  <c:v>1</c:v>
                </c:pt>
                <c:pt idx="4">
                  <c:v>1</c:v>
                </c:pt>
                <c:pt idx="5">
                  <c:v>0</c:v>
                </c:pt>
                <c:pt idx="6">
                  <c:v>0</c:v>
                </c:pt>
                <c:pt idx="7">
                  <c:v>0</c:v>
                </c:pt>
                <c:pt idx="8">
                  <c:v>0</c:v>
                </c:pt>
                <c:pt idx="9">
                  <c:v>1</c:v>
                </c:pt>
                <c:pt idx="10">
                  <c:v>0</c:v>
                </c:pt>
                <c:pt idx="11">
                  <c:v>1</c:v>
                </c:pt>
                <c:pt idx="12">
                  <c:v>0</c:v>
                </c:pt>
                <c:pt idx="13">
                  <c:v>0</c:v>
                </c:pt>
                <c:pt idx="14">
                  <c:v>0</c:v>
                </c:pt>
                <c:pt idx="15">
                  <c:v>0</c:v>
                </c:pt>
                <c:pt idx="16">
                  <c:v>0</c:v>
                </c:pt>
                <c:pt idx="17">
                  <c:v>0</c:v>
                </c:pt>
                <c:pt idx="18">
                  <c:v>0</c:v>
                </c:pt>
                <c:pt idx="19">
                  <c:v>0</c:v>
                </c:pt>
                <c:pt idx="20">
                  <c:v>0</c:v>
                </c:pt>
                <c:pt idx="21">
                  <c:v>1</c:v>
                </c:pt>
                <c:pt idx="22">
                  <c:v>0</c:v>
                </c:pt>
                <c:pt idx="23">
                  <c:v>1</c:v>
                </c:pt>
                <c:pt idx="24">
                  <c:v>0</c:v>
                </c:pt>
                <c:pt idx="25">
                  <c:v>0</c:v>
                </c:pt>
                <c:pt idx="26">
                  <c:v>0</c:v>
                </c:pt>
                <c:pt idx="27">
                  <c:v>0</c:v>
                </c:pt>
                <c:pt idx="28">
                  <c:v>0</c:v>
                </c:pt>
                <c:pt idx="29">
                  <c:v>0</c:v>
                </c:pt>
              </c:numCache>
            </c:numRef>
          </c:val>
          <c:smooth val="0"/>
          <c:extLst>
            <c:ext xmlns:c16="http://schemas.microsoft.com/office/drawing/2014/chart" uri="{C3380CC4-5D6E-409C-BE32-E72D297353CC}">
              <c16:uniqueId val="{00000007-01F0-4349-8B21-51ABCBBF55F3}"/>
            </c:ext>
          </c:extLst>
        </c:ser>
        <c:ser>
          <c:idx val="9"/>
          <c:order val="9"/>
          <c:tx>
            <c:strRef>
              <c:f>カウント!$N$1</c:f>
              <c:strCache>
                <c:ptCount val="1"/>
                <c:pt idx="0">
                  <c:v>未返却</c:v>
                </c:pt>
              </c:strCache>
            </c:strRef>
          </c:tx>
          <c:spPr>
            <a:ln w="19050" cap="rnd">
              <a:solidFill>
                <a:schemeClr val="accent4">
                  <a:lumMod val="60000"/>
                </a:schemeClr>
              </a:solidFill>
              <a:round/>
            </a:ln>
            <a:effectLst/>
          </c:spPr>
          <c:marker>
            <c:symbol val="none"/>
          </c:marker>
          <c:val>
            <c:numRef>
              <c:f>カウント!$N$2:$N$31</c:f>
              <c:numCache>
                <c:formatCode>General</c:formatCode>
                <c:ptCount val="3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2</c:v>
                </c:pt>
                <c:pt idx="29">
                  <c:v>1</c:v>
                </c:pt>
              </c:numCache>
            </c:numRef>
          </c:val>
          <c:smooth val="0"/>
          <c:extLst>
            <c:ext xmlns:c16="http://schemas.microsoft.com/office/drawing/2014/chart" uri="{C3380CC4-5D6E-409C-BE32-E72D297353CC}">
              <c16:uniqueId val="{00000008-01F0-4349-8B21-51ABCBBF55F3}"/>
            </c:ext>
          </c:extLst>
        </c:ser>
        <c:ser>
          <c:idx val="10"/>
          <c:order val="10"/>
          <c:tx>
            <c:strRef>
              <c:f>カウント!$O$1</c:f>
              <c:strCache>
                <c:ptCount val="1"/>
                <c:pt idx="0">
                  <c:v>誤進入</c:v>
                </c:pt>
              </c:strCache>
            </c:strRef>
          </c:tx>
          <c:spPr>
            <a:ln w="19050" cap="rnd">
              <a:solidFill>
                <a:schemeClr val="accent5">
                  <a:lumMod val="60000"/>
                </a:schemeClr>
              </a:solidFill>
              <a:round/>
            </a:ln>
            <a:effectLst/>
          </c:spPr>
          <c:marker>
            <c:symbol val="none"/>
          </c:marker>
          <c:val>
            <c:numRef>
              <c:f>カウント!$O$2:$O$31</c:f>
              <c:numCache>
                <c:formatCode>General</c:formatCode>
                <c:ptCount val="30"/>
                <c:pt idx="0">
                  <c:v>0</c:v>
                </c:pt>
                <c:pt idx="1">
                  <c:v>0</c:v>
                </c:pt>
                <c:pt idx="2">
                  <c:v>0</c:v>
                </c:pt>
                <c:pt idx="3">
                  <c:v>0</c:v>
                </c:pt>
                <c:pt idx="4">
                  <c:v>0</c:v>
                </c:pt>
                <c:pt idx="5">
                  <c:v>0</c:v>
                </c:pt>
                <c:pt idx="6">
                  <c:v>0</c:v>
                </c:pt>
                <c:pt idx="7">
                  <c:v>0</c:v>
                </c:pt>
                <c:pt idx="8">
                  <c:v>0</c:v>
                </c:pt>
                <c:pt idx="9">
                  <c:v>1</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numCache>
            </c:numRef>
          </c:val>
          <c:smooth val="0"/>
          <c:extLst>
            <c:ext xmlns:c16="http://schemas.microsoft.com/office/drawing/2014/chart" uri="{C3380CC4-5D6E-409C-BE32-E72D297353CC}">
              <c16:uniqueId val="{00000009-01F0-4349-8B21-51ABCBBF55F3}"/>
            </c:ext>
          </c:extLst>
        </c:ser>
        <c:ser>
          <c:idx val="11"/>
          <c:order val="11"/>
          <c:tx>
            <c:strRef>
              <c:f>カウント!$P$1</c:f>
              <c:strCache>
                <c:ptCount val="1"/>
                <c:pt idx="0">
                  <c:v>セキュリティカード登録・変更</c:v>
                </c:pt>
              </c:strCache>
            </c:strRef>
          </c:tx>
          <c:spPr>
            <a:ln w="19050" cap="rnd">
              <a:solidFill>
                <a:schemeClr val="accent6">
                  <a:lumMod val="60000"/>
                </a:schemeClr>
              </a:solidFill>
              <a:round/>
            </a:ln>
            <a:effectLst/>
          </c:spPr>
          <c:marker>
            <c:symbol val="none"/>
          </c:marker>
          <c:val>
            <c:numRef>
              <c:f>カウント!$P$2:$P$31</c:f>
              <c:numCache>
                <c:formatCode>General</c:formatCode>
                <c:ptCount val="30"/>
                <c:pt idx="0">
                  <c:v>1</c:v>
                </c:pt>
                <c:pt idx="1">
                  <c:v>0</c:v>
                </c:pt>
                <c:pt idx="2">
                  <c:v>0</c:v>
                </c:pt>
                <c:pt idx="3">
                  <c:v>0</c:v>
                </c:pt>
                <c:pt idx="4">
                  <c:v>4</c:v>
                </c:pt>
                <c:pt idx="5">
                  <c:v>0</c:v>
                </c:pt>
                <c:pt idx="6">
                  <c:v>0</c:v>
                </c:pt>
                <c:pt idx="7">
                  <c:v>0</c:v>
                </c:pt>
                <c:pt idx="8">
                  <c:v>0</c:v>
                </c:pt>
                <c:pt idx="9">
                  <c:v>0</c:v>
                </c:pt>
                <c:pt idx="10">
                  <c:v>0</c:v>
                </c:pt>
                <c:pt idx="11">
                  <c:v>0</c:v>
                </c:pt>
                <c:pt idx="12">
                  <c:v>0</c:v>
                </c:pt>
                <c:pt idx="13">
                  <c:v>0</c:v>
                </c:pt>
                <c:pt idx="14">
                  <c:v>1</c:v>
                </c:pt>
                <c:pt idx="15">
                  <c:v>0</c:v>
                </c:pt>
                <c:pt idx="16">
                  <c:v>0</c:v>
                </c:pt>
                <c:pt idx="17">
                  <c:v>0</c:v>
                </c:pt>
                <c:pt idx="18">
                  <c:v>0</c:v>
                </c:pt>
                <c:pt idx="19">
                  <c:v>0</c:v>
                </c:pt>
                <c:pt idx="20">
                  <c:v>0</c:v>
                </c:pt>
                <c:pt idx="21">
                  <c:v>3</c:v>
                </c:pt>
                <c:pt idx="22">
                  <c:v>0</c:v>
                </c:pt>
                <c:pt idx="23">
                  <c:v>3</c:v>
                </c:pt>
                <c:pt idx="24">
                  <c:v>0</c:v>
                </c:pt>
                <c:pt idx="25">
                  <c:v>7</c:v>
                </c:pt>
                <c:pt idx="26">
                  <c:v>0</c:v>
                </c:pt>
                <c:pt idx="27">
                  <c:v>0</c:v>
                </c:pt>
                <c:pt idx="28">
                  <c:v>1</c:v>
                </c:pt>
                <c:pt idx="29">
                  <c:v>0</c:v>
                </c:pt>
              </c:numCache>
            </c:numRef>
          </c:val>
          <c:smooth val="0"/>
          <c:extLst>
            <c:ext xmlns:c16="http://schemas.microsoft.com/office/drawing/2014/chart" uri="{C3380CC4-5D6E-409C-BE32-E72D297353CC}">
              <c16:uniqueId val="{0000000A-01F0-4349-8B21-51ABCBBF55F3}"/>
            </c:ext>
          </c:extLst>
        </c:ser>
        <c:ser>
          <c:idx val="12"/>
          <c:order val="12"/>
          <c:tx>
            <c:strRef>
              <c:f>カウント!$W$1</c:f>
              <c:strCache>
                <c:ptCount val="1"/>
                <c:pt idx="0">
                  <c:v>稼働率</c:v>
                </c:pt>
              </c:strCache>
            </c:strRef>
          </c:tx>
          <c:spPr>
            <a:ln w="19050" cap="rnd">
              <a:solidFill>
                <a:srgbClr val="FF0000"/>
              </a:solidFill>
              <a:round/>
            </a:ln>
            <a:effectLst/>
          </c:spPr>
          <c:marker>
            <c:symbol val="none"/>
          </c:marker>
          <c:val>
            <c:numRef>
              <c:f>カウント!$W$2:$W$31</c:f>
              <c:numCache>
                <c:formatCode>0%</c:formatCode>
                <c:ptCount val="30"/>
                <c:pt idx="0">
                  <c:v>0.58160000000000001</c:v>
                </c:pt>
                <c:pt idx="1">
                  <c:v>0.72450000000000003</c:v>
                </c:pt>
                <c:pt idx="2">
                  <c:v>0.77549999999999997</c:v>
                </c:pt>
                <c:pt idx="3">
                  <c:v>0.68369999999999997</c:v>
                </c:pt>
                <c:pt idx="4">
                  <c:v>0.65310000000000001</c:v>
                </c:pt>
                <c:pt idx="5">
                  <c:v>0.69389999999999996</c:v>
                </c:pt>
                <c:pt idx="6">
                  <c:v>0.68369999999999997</c:v>
                </c:pt>
                <c:pt idx="7">
                  <c:v>0.57140000000000002</c:v>
                </c:pt>
                <c:pt idx="8">
                  <c:v>0.65310000000000001</c:v>
                </c:pt>
                <c:pt idx="9">
                  <c:v>0.51019999999999999</c:v>
                </c:pt>
                <c:pt idx="10">
                  <c:v>0.60199999999999998</c:v>
                </c:pt>
                <c:pt idx="11">
                  <c:v>0.72450000000000003</c:v>
                </c:pt>
                <c:pt idx="12">
                  <c:v>0.71430000000000005</c:v>
                </c:pt>
                <c:pt idx="13">
                  <c:v>0.72</c:v>
                </c:pt>
                <c:pt idx="14">
                  <c:v>0.60199999999999998</c:v>
                </c:pt>
                <c:pt idx="15">
                  <c:v>0.81630000000000003</c:v>
                </c:pt>
                <c:pt idx="16">
                  <c:v>0.81</c:v>
                </c:pt>
                <c:pt idx="17">
                  <c:v>0.78</c:v>
                </c:pt>
                <c:pt idx="18">
                  <c:v>0.87690000000000001</c:v>
                </c:pt>
                <c:pt idx="19">
                  <c:v>0.74490000000000001</c:v>
                </c:pt>
                <c:pt idx="20">
                  <c:v>0.57140000000000002</c:v>
                </c:pt>
                <c:pt idx="21">
                  <c:v>0.56120000000000003</c:v>
                </c:pt>
                <c:pt idx="22">
                  <c:v>0.5</c:v>
                </c:pt>
                <c:pt idx="23">
                  <c:v>0.44900000000000001</c:v>
                </c:pt>
                <c:pt idx="24">
                  <c:v>0.438</c:v>
                </c:pt>
                <c:pt idx="25">
                  <c:v>0.52039999999999997</c:v>
                </c:pt>
                <c:pt idx="26">
                  <c:v>0.55000000000000004</c:v>
                </c:pt>
                <c:pt idx="27">
                  <c:v>0.44900000000000001</c:v>
                </c:pt>
                <c:pt idx="28">
                  <c:v>0</c:v>
                </c:pt>
                <c:pt idx="29">
                  <c:v>0.38779999999999998</c:v>
                </c:pt>
              </c:numCache>
            </c:numRef>
          </c:val>
          <c:smooth val="0"/>
          <c:extLst>
            <c:ext xmlns:c16="http://schemas.microsoft.com/office/drawing/2014/chart" uri="{C3380CC4-5D6E-409C-BE32-E72D297353CC}">
              <c16:uniqueId val="{0000000B-01F0-4349-8B21-51ABCBBF55F3}"/>
            </c:ext>
          </c:extLst>
        </c:ser>
        <c:dLbls>
          <c:showLegendKey val="0"/>
          <c:showVal val="0"/>
          <c:showCatName val="0"/>
          <c:showSerName val="0"/>
          <c:showPercent val="0"/>
          <c:showBubbleSize val="0"/>
        </c:dLbls>
        <c:smooth val="0"/>
        <c:axId val="2094927872"/>
        <c:axId val="2094930752"/>
      </c:lineChart>
      <c:catAx>
        <c:axId val="2094927872"/>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2094930752"/>
        <c:crosses val="autoZero"/>
        <c:auto val="1"/>
        <c:lblAlgn val="ctr"/>
        <c:lblOffset val="100"/>
        <c:noMultiLvlLbl val="1"/>
      </c:catAx>
      <c:valAx>
        <c:axId val="2094930752"/>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2094927872"/>
        <c:crosses val="autoZero"/>
        <c:crossBetween val="between"/>
      </c:valAx>
      <c:spPr>
        <a:noFill/>
        <a:ln>
          <a:noFill/>
        </a:ln>
        <a:effectLst/>
      </c:spPr>
    </c:plotArea>
    <c:legend>
      <c:legendPos val="b"/>
      <c:layout>
        <c:manualLayout>
          <c:xMode val="edge"/>
          <c:yMode val="edge"/>
          <c:x val="5.2388980075395039E-2"/>
          <c:y val="0.73475680451212799"/>
          <c:w val="0.76530601996544811"/>
          <c:h val="0.24528473812593904"/>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ja-JP"/>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drawings/_rels/drawing3.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editAs="oneCell">
    <xdr:from>
      <xdr:col>33</xdr:col>
      <xdr:colOff>0</xdr:colOff>
      <xdr:row>2</xdr:row>
      <xdr:rowOff>0</xdr:rowOff>
    </xdr:from>
    <xdr:to>
      <xdr:col>37</xdr:col>
      <xdr:colOff>203835</xdr:colOff>
      <xdr:row>3</xdr:row>
      <xdr:rowOff>97155</xdr:rowOff>
    </xdr:to>
    <xdr:sp macro="" textlink="">
      <xdr:nvSpPr>
        <xdr:cNvPr id="2" name="Button 1" hidden="1">
          <a:extLst>
            <a:ext uri="{63B3BB69-23CF-44E3-9099-C40C66FF867C}">
              <a14:compatExt xmlns:a14="http://schemas.microsoft.com/office/drawing/2010/main" spid="_x0000_s30721"/>
            </a:ext>
            <a:ext uri="{FF2B5EF4-FFF2-40B4-BE49-F238E27FC236}">
              <a16:creationId xmlns:a16="http://schemas.microsoft.com/office/drawing/2014/main" id="{02018EE8-B049-4259-896A-1372FFA07139}"/>
            </a:ext>
          </a:extLst>
        </xdr:cNvPr>
        <xdr:cNvSpPr/>
      </xdr:nvSpPr>
      <xdr:spPr bwMode="auto">
        <a:xfrm>
          <a:off x="5657850" y="342900"/>
          <a:ext cx="1394460" cy="268605"/>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1100" b="0" i="0" u="none" strike="noStrike" baseline="0">
              <a:solidFill>
                <a:srgbClr val="000000"/>
              </a:solidFill>
              <a:latin typeface="ＭＳ Ｐゴシック"/>
              <a:ea typeface="ＭＳ Ｐゴシック"/>
            </a:rPr>
            <a:t>CSV出力用ボタン</a:t>
          </a:r>
        </a:p>
      </xdr:txBody>
    </xdr:sp>
    <xdr:clientData fPrintsWithSheet="0"/>
  </xdr:twoCellAnchor>
</xdr:wsDr>
</file>

<file path=xl/drawings/drawing2.xml><?xml version="1.0" encoding="utf-8"?>
<xdr:wsDr xmlns:xdr="http://schemas.openxmlformats.org/drawingml/2006/spreadsheetDrawing" xmlns:a="http://schemas.openxmlformats.org/drawingml/2006/main">
  <xdr:twoCellAnchor editAs="oneCell">
    <xdr:from>
      <xdr:col>33</xdr:col>
      <xdr:colOff>0</xdr:colOff>
      <xdr:row>2</xdr:row>
      <xdr:rowOff>0</xdr:rowOff>
    </xdr:from>
    <xdr:to>
      <xdr:col>37</xdr:col>
      <xdr:colOff>203835</xdr:colOff>
      <xdr:row>3</xdr:row>
      <xdr:rowOff>97155</xdr:rowOff>
    </xdr:to>
    <xdr:sp macro="" textlink="">
      <xdr:nvSpPr>
        <xdr:cNvPr id="2" name="Button 1" hidden="1">
          <a:extLst>
            <a:ext uri="{63B3BB69-23CF-44E3-9099-C40C66FF867C}">
              <a14:compatExt xmlns:a14="http://schemas.microsoft.com/office/drawing/2010/main" spid="_x0000_s30721"/>
            </a:ext>
            <a:ext uri="{FF2B5EF4-FFF2-40B4-BE49-F238E27FC236}">
              <a16:creationId xmlns:a16="http://schemas.microsoft.com/office/drawing/2014/main" id="{1F008959-FA8E-426C-AB5F-9A22CF0EB82D}"/>
            </a:ext>
          </a:extLst>
        </xdr:cNvPr>
        <xdr:cNvSpPr/>
      </xdr:nvSpPr>
      <xdr:spPr bwMode="auto">
        <a:xfrm>
          <a:off x="5657850" y="342900"/>
          <a:ext cx="1394460" cy="268605"/>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1100" b="0" i="0" u="none" strike="noStrike" baseline="0">
              <a:solidFill>
                <a:srgbClr val="000000"/>
              </a:solidFill>
              <a:latin typeface="ＭＳ Ｐゴシック"/>
              <a:ea typeface="ＭＳ Ｐゴシック"/>
            </a:rPr>
            <a:t>CSV出力用ボタン</a:t>
          </a:r>
        </a:p>
      </xdr:txBody>
    </xdr:sp>
    <xdr:clientData fPrintsWithSheet="0"/>
  </xdr:twoCellAnchor>
</xdr:wsDr>
</file>

<file path=xl/drawings/drawing3.xml><?xml version="1.0" encoding="utf-8"?>
<xdr:wsDr xmlns:xdr="http://schemas.openxmlformats.org/drawingml/2006/spreadsheetDrawing" xmlns:a="http://schemas.openxmlformats.org/drawingml/2006/main">
  <xdr:twoCellAnchor>
    <xdr:from>
      <xdr:col>16</xdr:col>
      <xdr:colOff>57150</xdr:colOff>
      <xdr:row>36</xdr:row>
      <xdr:rowOff>23811</xdr:rowOff>
    </xdr:from>
    <xdr:to>
      <xdr:col>24</xdr:col>
      <xdr:colOff>1552575</xdr:colOff>
      <xdr:row>53</xdr:row>
      <xdr:rowOff>228600</xdr:rowOff>
    </xdr:to>
    <xdr:graphicFrame macro="">
      <xdr:nvGraphicFramePr>
        <xdr:cNvPr id="3" name="グラフ 2">
          <a:extLst>
            <a:ext uri="{FF2B5EF4-FFF2-40B4-BE49-F238E27FC236}">
              <a16:creationId xmlns:a16="http://schemas.microsoft.com/office/drawing/2014/main" id="{27124DC8-111D-B048-9CB6-64786209518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4</xdr:col>
      <xdr:colOff>695324</xdr:colOff>
      <xdr:row>36</xdr:row>
      <xdr:rowOff>4762</xdr:rowOff>
    </xdr:from>
    <xdr:to>
      <xdr:col>15</xdr:col>
      <xdr:colOff>95250</xdr:colOff>
      <xdr:row>54</xdr:row>
      <xdr:rowOff>9525</xdr:rowOff>
    </xdr:to>
    <xdr:graphicFrame macro="">
      <xdr:nvGraphicFramePr>
        <xdr:cNvPr id="5" name="グラフ 3">
          <a:extLst>
            <a:ext uri="{FF2B5EF4-FFF2-40B4-BE49-F238E27FC236}">
              <a16:creationId xmlns:a16="http://schemas.microsoft.com/office/drawing/2014/main" id="{B24F7F47-7300-B2DF-9362-706E6187583E}"/>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4.xml><?xml version="1.0" encoding="utf-8"?>
<xdr:wsDr xmlns:xdr="http://schemas.openxmlformats.org/drawingml/2006/spreadsheetDrawing" xmlns:a="http://schemas.openxmlformats.org/drawingml/2006/main">
  <xdr:twoCellAnchor editAs="oneCell">
    <xdr:from>
      <xdr:col>33</xdr:col>
      <xdr:colOff>0</xdr:colOff>
      <xdr:row>2</xdr:row>
      <xdr:rowOff>0</xdr:rowOff>
    </xdr:from>
    <xdr:to>
      <xdr:col>41</xdr:col>
      <xdr:colOff>41910</xdr:colOff>
      <xdr:row>3</xdr:row>
      <xdr:rowOff>163830</xdr:rowOff>
    </xdr:to>
    <xdr:sp macro="" textlink="">
      <xdr:nvSpPr>
        <xdr:cNvPr id="2" name="Button 1" hidden="1">
          <a:extLst>
            <a:ext uri="{63B3BB69-23CF-44E3-9099-C40C66FF867C}">
              <a14:compatExt xmlns:a14="http://schemas.microsoft.com/office/drawing/2010/main" spid="_x0000_s30721"/>
            </a:ext>
            <a:ext uri="{FF2B5EF4-FFF2-40B4-BE49-F238E27FC236}">
              <a16:creationId xmlns:a16="http://schemas.microsoft.com/office/drawing/2014/main" id="{F09B19A4-8BBE-49B7-9C08-22942EED7FC4}"/>
            </a:ext>
          </a:extLst>
        </xdr:cNvPr>
        <xdr:cNvSpPr/>
      </xdr:nvSpPr>
      <xdr:spPr bwMode="auto">
        <a:xfrm>
          <a:off x="5029200" y="285750"/>
          <a:ext cx="1413510" cy="335280"/>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1100" b="0" i="0" u="none" strike="noStrike" baseline="0">
              <a:solidFill>
                <a:srgbClr val="000000"/>
              </a:solidFill>
              <a:latin typeface="ＭＳ Ｐゴシック"/>
              <a:ea typeface="ＭＳ Ｐゴシック"/>
            </a:rPr>
            <a:t>CSV出力用ボタン</a:t>
          </a:r>
        </a:p>
      </xdr:txBody>
    </xdr:sp>
    <xdr:clientData fPrintsWithSheet="0"/>
  </xdr:twoCellAnchor>
</xdr:wsDr>
</file>

<file path=xl/drawings/drawing5.xml><?xml version="1.0" encoding="utf-8"?>
<xdr:wsDr xmlns:xdr="http://schemas.openxmlformats.org/drawingml/2006/spreadsheetDrawing" xmlns:a="http://schemas.openxmlformats.org/drawingml/2006/main">
  <xdr:twoCellAnchor editAs="oneCell">
    <xdr:from>
      <xdr:col>33</xdr:col>
      <xdr:colOff>0</xdr:colOff>
      <xdr:row>2</xdr:row>
      <xdr:rowOff>0</xdr:rowOff>
    </xdr:from>
    <xdr:to>
      <xdr:col>41</xdr:col>
      <xdr:colOff>41910</xdr:colOff>
      <xdr:row>3</xdr:row>
      <xdr:rowOff>163830</xdr:rowOff>
    </xdr:to>
    <xdr:sp macro="" textlink="">
      <xdr:nvSpPr>
        <xdr:cNvPr id="2" name="Button 1" hidden="1">
          <a:extLst>
            <a:ext uri="{63B3BB69-23CF-44E3-9099-C40C66FF867C}">
              <a14:compatExt xmlns:a14="http://schemas.microsoft.com/office/drawing/2010/main" spid="_x0000_s30721"/>
            </a:ext>
            <a:ext uri="{FF2B5EF4-FFF2-40B4-BE49-F238E27FC236}">
              <a16:creationId xmlns:a16="http://schemas.microsoft.com/office/drawing/2014/main" id="{1AC7475A-52D5-4881-811A-0A4876CC179A}"/>
            </a:ext>
          </a:extLst>
        </xdr:cNvPr>
        <xdr:cNvSpPr/>
      </xdr:nvSpPr>
      <xdr:spPr bwMode="auto">
        <a:xfrm>
          <a:off x="5657850" y="342900"/>
          <a:ext cx="1413510" cy="335280"/>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1100" b="0" i="0" u="none" strike="noStrike" baseline="0">
              <a:solidFill>
                <a:srgbClr val="000000"/>
              </a:solidFill>
              <a:latin typeface="ＭＳ Ｐゴシック"/>
              <a:ea typeface="ＭＳ Ｐゴシック"/>
            </a:rPr>
            <a:t>CSV出力用ボタン</a:t>
          </a:r>
        </a:p>
      </xdr:txBody>
    </xdr:sp>
    <xdr:clientData fPrintsWithSheet="0"/>
  </xdr:twoCellAnchor>
</xdr:wsDr>
</file>

<file path=xl/drawings/drawing6.xml><?xml version="1.0" encoding="utf-8"?>
<xdr:wsDr xmlns:xdr="http://schemas.openxmlformats.org/drawingml/2006/spreadsheetDrawing" xmlns:a="http://schemas.openxmlformats.org/drawingml/2006/main">
  <xdr:twoCellAnchor editAs="oneCell">
    <xdr:from>
      <xdr:col>33</xdr:col>
      <xdr:colOff>0</xdr:colOff>
      <xdr:row>2</xdr:row>
      <xdr:rowOff>0</xdr:rowOff>
    </xdr:from>
    <xdr:to>
      <xdr:col>41</xdr:col>
      <xdr:colOff>41910</xdr:colOff>
      <xdr:row>3</xdr:row>
      <xdr:rowOff>163830</xdr:rowOff>
    </xdr:to>
    <xdr:sp macro="" textlink="">
      <xdr:nvSpPr>
        <xdr:cNvPr id="2" name="Button 1" hidden="1">
          <a:extLst>
            <a:ext uri="{63B3BB69-23CF-44E3-9099-C40C66FF867C}">
              <a14:compatExt xmlns:a14="http://schemas.microsoft.com/office/drawing/2010/main" spid="_x0000_s30721"/>
            </a:ext>
            <a:ext uri="{FF2B5EF4-FFF2-40B4-BE49-F238E27FC236}">
              <a16:creationId xmlns:a16="http://schemas.microsoft.com/office/drawing/2014/main" id="{D061BC57-A225-486E-B17B-05EFFC569CAD}"/>
            </a:ext>
          </a:extLst>
        </xdr:cNvPr>
        <xdr:cNvSpPr/>
      </xdr:nvSpPr>
      <xdr:spPr bwMode="auto">
        <a:xfrm>
          <a:off x="5657850" y="342900"/>
          <a:ext cx="1413510" cy="335280"/>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1100" b="0" i="0" u="none" strike="noStrike" baseline="0">
              <a:solidFill>
                <a:srgbClr val="000000"/>
              </a:solidFill>
              <a:latin typeface="ＭＳ Ｐゴシック"/>
              <a:ea typeface="ＭＳ Ｐゴシック"/>
            </a:rPr>
            <a:t>CSV出力用ボタン</a:t>
          </a:r>
        </a:p>
      </xdr:txBody>
    </xdr:sp>
    <xdr:clientData fPrintsWithSheet="0"/>
  </xdr:twoCellAnchor>
</xdr:wsDr>
</file>

<file path=xl/drawings/drawing7.xml><?xml version="1.0" encoding="utf-8"?>
<xdr:wsDr xmlns:xdr="http://schemas.openxmlformats.org/drawingml/2006/spreadsheetDrawing" xmlns:a="http://schemas.openxmlformats.org/drawingml/2006/main">
  <xdr:twoCellAnchor editAs="oneCell">
    <xdr:from>
      <xdr:col>33</xdr:col>
      <xdr:colOff>0</xdr:colOff>
      <xdr:row>2</xdr:row>
      <xdr:rowOff>0</xdr:rowOff>
    </xdr:from>
    <xdr:to>
      <xdr:col>41</xdr:col>
      <xdr:colOff>41910</xdr:colOff>
      <xdr:row>3</xdr:row>
      <xdr:rowOff>163830</xdr:rowOff>
    </xdr:to>
    <xdr:sp macro="" textlink="">
      <xdr:nvSpPr>
        <xdr:cNvPr id="2" name="Button 1" hidden="1">
          <a:extLst>
            <a:ext uri="{63B3BB69-23CF-44E3-9099-C40C66FF867C}">
              <a14:compatExt xmlns:a14="http://schemas.microsoft.com/office/drawing/2010/main" spid="_x0000_s30721"/>
            </a:ext>
            <a:ext uri="{FF2B5EF4-FFF2-40B4-BE49-F238E27FC236}">
              <a16:creationId xmlns:a16="http://schemas.microsoft.com/office/drawing/2014/main" id="{0255E23D-039F-403B-AD69-3AF002E5A9CA}"/>
            </a:ext>
          </a:extLst>
        </xdr:cNvPr>
        <xdr:cNvSpPr/>
      </xdr:nvSpPr>
      <xdr:spPr bwMode="auto">
        <a:xfrm>
          <a:off x="5657850" y="342900"/>
          <a:ext cx="1413510" cy="335280"/>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1100" b="0" i="0" u="none" strike="noStrike" baseline="0">
              <a:solidFill>
                <a:srgbClr val="000000"/>
              </a:solidFill>
              <a:latin typeface="ＭＳ Ｐゴシック"/>
              <a:ea typeface="ＭＳ Ｐゴシック"/>
            </a:rPr>
            <a:t>CSV出力用ボタン</a:t>
          </a:r>
        </a:p>
      </xdr:txBody>
    </xdr:sp>
    <xdr:clientData fPrintsWithSheet="0"/>
  </xdr:twoCellAnchor>
</xdr:wsDr>
</file>

<file path=xl/drawings/drawing8.xml><?xml version="1.0" encoding="utf-8"?>
<xdr:wsDr xmlns:xdr="http://schemas.openxmlformats.org/drawingml/2006/spreadsheetDrawing" xmlns:a="http://schemas.openxmlformats.org/drawingml/2006/main">
  <xdr:twoCellAnchor editAs="oneCell">
    <xdr:from>
      <xdr:col>33</xdr:col>
      <xdr:colOff>0</xdr:colOff>
      <xdr:row>2</xdr:row>
      <xdr:rowOff>0</xdr:rowOff>
    </xdr:from>
    <xdr:to>
      <xdr:col>41</xdr:col>
      <xdr:colOff>41910</xdr:colOff>
      <xdr:row>3</xdr:row>
      <xdr:rowOff>163830</xdr:rowOff>
    </xdr:to>
    <xdr:sp macro="" textlink="">
      <xdr:nvSpPr>
        <xdr:cNvPr id="2" name="Button 1" hidden="1">
          <a:extLst>
            <a:ext uri="{63B3BB69-23CF-44E3-9099-C40C66FF867C}">
              <a14:compatExt xmlns:a14="http://schemas.microsoft.com/office/drawing/2010/main" spid="_x0000_s30721"/>
            </a:ext>
            <a:ext uri="{FF2B5EF4-FFF2-40B4-BE49-F238E27FC236}">
              <a16:creationId xmlns:a16="http://schemas.microsoft.com/office/drawing/2014/main" id="{50165B7B-12A9-4F43-B41B-4C1290DD79DA}"/>
            </a:ext>
          </a:extLst>
        </xdr:cNvPr>
        <xdr:cNvSpPr/>
      </xdr:nvSpPr>
      <xdr:spPr bwMode="auto">
        <a:xfrm>
          <a:off x="5657850" y="342900"/>
          <a:ext cx="1413510" cy="335280"/>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1100" b="0" i="0" u="none" strike="noStrike" baseline="0">
              <a:solidFill>
                <a:srgbClr val="000000"/>
              </a:solidFill>
              <a:latin typeface="ＭＳ Ｐゴシック"/>
              <a:ea typeface="ＭＳ Ｐゴシック"/>
            </a:rPr>
            <a:t>CSV出力用ボタン</a:t>
          </a:r>
        </a:p>
      </xdr:txBody>
    </xdr:sp>
    <xdr:clientData fPrintsWithSheet="0"/>
  </xdr:twoCellAnchor>
</xdr:wsDr>
</file>

<file path=xl/drawings/drawing9.xml><?xml version="1.0" encoding="utf-8"?>
<xdr:wsDr xmlns:xdr="http://schemas.openxmlformats.org/drawingml/2006/spreadsheetDrawing" xmlns:a="http://schemas.openxmlformats.org/drawingml/2006/main">
  <xdr:twoCellAnchor editAs="oneCell">
    <xdr:from>
      <xdr:col>33</xdr:col>
      <xdr:colOff>0</xdr:colOff>
      <xdr:row>2</xdr:row>
      <xdr:rowOff>0</xdr:rowOff>
    </xdr:from>
    <xdr:to>
      <xdr:col>41</xdr:col>
      <xdr:colOff>41910</xdr:colOff>
      <xdr:row>3</xdr:row>
      <xdr:rowOff>163830</xdr:rowOff>
    </xdr:to>
    <xdr:sp macro="" textlink="">
      <xdr:nvSpPr>
        <xdr:cNvPr id="2" name="Button 1" hidden="1">
          <a:extLst>
            <a:ext uri="{63B3BB69-23CF-44E3-9099-C40C66FF867C}">
              <a14:compatExt xmlns:a14="http://schemas.microsoft.com/office/drawing/2010/main" spid="_x0000_s30721"/>
            </a:ext>
            <a:ext uri="{FF2B5EF4-FFF2-40B4-BE49-F238E27FC236}">
              <a16:creationId xmlns:a16="http://schemas.microsoft.com/office/drawing/2014/main" id="{1709F8B8-6AC8-444F-8366-217241BA7012}"/>
            </a:ext>
          </a:extLst>
        </xdr:cNvPr>
        <xdr:cNvSpPr/>
      </xdr:nvSpPr>
      <xdr:spPr bwMode="auto">
        <a:xfrm>
          <a:off x="5657850" y="342900"/>
          <a:ext cx="1413510" cy="335280"/>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1100" b="0" i="0" u="none" strike="noStrike" baseline="0">
              <a:solidFill>
                <a:srgbClr val="000000"/>
              </a:solidFill>
              <a:latin typeface="ＭＳ Ｐゴシック"/>
              <a:ea typeface="ＭＳ Ｐゴシック"/>
            </a:rPr>
            <a:t>CSV出力用ボタン</a:t>
          </a:r>
        </a:p>
      </xdr:txBody>
    </xdr:sp>
    <xdr:clientData fPrintsWithSheet="0"/>
  </xdr:twoCellAnchor>
</xdr:wsDr>
</file>

<file path=xl/drawings/drawing10.xml><?xml version="1.0" encoding="utf-8"?>
<xdr:wsDr xmlns:xdr="http://schemas.openxmlformats.org/drawingml/2006/spreadsheetDrawing" xmlns:a="http://schemas.openxmlformats.org/drawingml/2006/main">
  <xdr:twoCellAnchor editAs="oneCell">
    <xdr:from>
      <xdr:col>33</xdr:col>
      <xdr:colOff>0</xdr:colOff>
      <xdr:row>2</xdr:row>
      <xdr:rowOff>0</xdr:rowOff>
    </xdr:from>
    <xdr:to>
      <xdr:col>41</xdr:col>
      <xdr:colOff>41910</xdr:colOff>
      <xdr:row>3</xdr:row>
      <xdr:rowOff>163830</xdr:rowOff>
    </xdr:to>
    <xdr:sp macro="" textlink="">
      <xdr:nvSpPr>
        <xdr:cNvPr id="2" name="Button 1" hidden="1">
          <a:extLst>
            <a:ext uri="{63B3BB69-23CF-44E3-9099-C40C66FF867C}">
              <a14:compatExt xmlns:a14="http://schemas.microsoft.com/office/drawing/2010/main" spid="_x0000_s30721"/>
            </a:ext>
            <a:ext uri="{FF2B5EF4-FFF2-40B4-BE49-F238E27FC236}">
              <a16:creationId xmlns:a16="http://schemas.microsoft.com/office/drawing/2014/main" id="{F1C2740D-0B1C-4C8C-A8A1-9BB98CB8D7EC}"/>
            </a:ext>
          </a:extLst>
        </xdr:cNvPr>
        <xdr:cNvSpPr/>
      </xdr:nvSpPr>
      <xdr:spPr bwMode="auto">
        <a:xfrm>
          <a:off x="5657850" y="342900"/>
          <a:ext cx="1413510" cy="335280"/>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1100" b="0" i="0" u="none" strike="noStrike" baseline="0">
              <a:solidFill>
                <a:srgbClr val="000000"/>
              </a:solidFill>
              <a:latin typeface="ＭＳ Ｐゴシック"/>
              <a:ea typeface="ＭＳ Ｐゴシック"/>
            </a:rPr>
            <a:t>CSV出力用ボタン</a:t>
          </a:r>
        </a:p>
      </xdr:txBody>
    </xdr:sp>
    <xdr:clientData fPrintsWithSheet="0"/>
  </xdr:twoCellAnchor>
</xdr:wsDr>
</file>

<file path=xl/drawings/drawing11.xml><?xml version="1.0" encoding="utf-8"?>
<xdr:wsDr xmlns:xdr="http://schemas.openxmlformats.org/drawingml/2006/spreadsheetDrawing" xmlns:a="http://schemas.openxmlformats.org/drawingml/2006/main">
  <xdr:twoCellAnchor editAs="oneCell">
    <xdr:from>
      <xdr:col>33</xdr:col>
      <xdr:colOff>0</xdr:colOff>
      <xdr:row>2</xdr:row>
      <xdr:rowOff>0</xdr:rowOff>
    </xdr:from>
    <xdr:to>
      <xdr:col>41</xdr:col>
      <xdr:colOff>41910</xdr:colOff>
      <xdr:row>3</xdr:row>
      <xdr:rowOff>163830</xdr:rowOff>
    </xdr:to>
    <xdr:sp macro="" textlink="">
      <xdr:nvSpPr>
        <xdr:cNvPr id="2" name="Button 1" hidden="1">
          <a:extLst>
            <a:ext uri="{63B3BB69-23CF-44E3-9099-C40C66FF867C}">
              <a14:compatExt xmlns:a14="http://schemas.microsoft.com/office/drawing/2010/main" spid="_x0000_s30721"/>
            </a:ext>
            <a:ext uri="{FF2B5EF4-FFF2-40B4-BE49-F238E27FC236}">
              <a16:creationId xmlns:a16="http://schemas.microsoft.com/office/drawing/2014/main" id="{3F70DD3D-A0D3-4724-91B8-1E70BF948196}"/>
            </a:ext>
          </a:extLst>
        </xdr:cNvPr>
        <xdr:cNvSpPr/>
      </xdr:nvSpPr>
      <xdr:spPr bwMode="auto">
        <a:xfrm>
          <a:off x="5657850" y="342900"/>
          <a:ext cx="1413510" cy="335280"/>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1100" b="0" i="0" u="none" strike="noStrike" baseline="0">
              <a:solidFill>
                <a:srgbClr val="000000"/>
              </a:solidFill>
              <a:latin typeface="ＭＳ Ｐゴシック"/>
              <a:ea typeface="ＭＳ Ｐゴシック"/>
            </a:rPr>
            <a:t>CSV出力用ボタン</a:t>
          </a:r>
        </a:p>
      </xdr:txBody>
    </xdr:sp>
    <xdr:clientData fPrintsWithSheet="0"/>
  </xdr:twoCellAnchor>
</xdr:wsDr>
</file>

<file path=xl/drawings/drawing12.xml><?xml version="1.0" encoding="utf-8"?>
<xdr:wsDr xmlns:xdr="http://schemas.openxmlformats.org/drawingml/2006/spreadsheetDrawing" xmlns:a="http://schemas.openxmlformats.org/drawingml/2006/main">
  <xdr:twoCellAnchor editAs="oneCell">
    <xdr:from>
      <xdr:col>33</xdr:col>
      <xdr:colOff>0</xdr:colOff>
      <xdr:row>2</xdr:row>
      <xdr:rowOff>0</xdr:rowOff>
    </xdr:from>
    <xdr:to>
      <xdr:col>41</xdr:col>
      <xdr:colOff>41910</xdr:colOff>
      <xdr:row>3</xdr:row>
      <xdr:rowOff>163830</xdr:rowOff>
    </xdr:to>
    <xdr:sp macro="" textlink="">
      <xdr:nvSpPr>
        <xdr:cNvPr id="2" name="Button 1" hidden="1">
          <a:extLst>
            <a:ext uri="{63B3BB69-23CF-44E3-9099-C40C66FF867C}">
              <a14:compatExt xmlns:a14="http://schemas.microsoft.com/office/drawing/2010/main" spid="_x0000_s30721"/>
            </a:ext>
            <a:ext uri="{FF2B5EF4-FFF2-40B4-BE49-F238E27FC236}">
              <a16:creationId xmlns:a16="http://schemas.microsoft.com/office/drawing/2014/main" id="{3C0E218F-F0C5-48DF-8169-6038DFFF6B40}"/>
            </a:ext>
          </a:extLst>
        </xdr:cNvPr>
        <xdr:cNvSpPr/>
      </xdr:nvSpPr>
      <xdr:spPr bwMode="auto">
        <a:xfrm>
          <a:off x="5657850" y="342900"/>
          <a:ext cx="1413510" cy="335280"/>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1100" b="0" i="0" u="none" strike="noStrike" baseline="0">
              <a:solidFill>
                <a:srgbClr val="000000"/>
              </a:solidFill>
              <a:latin typeface="ＭＳ Ｐゴシック"/>
              <a:ea typeface="ＭＳ Ｐゴシック"/>
            </a:rPr>
            <a:t>CSV出力用ボタン</a:t>
          </a:r>
        </a:p>
      </xdr:txBody>
    </xdr:sp>
    <xdr:clientData fPrintsWithSheet="0"/>
  </xdr:twoCellAnchor>
</xdr:wsDr>
</file>

<file path=xl/drawings/drawing13.xml><?xml version="1.0" encoding="utf-8"?>
<xdr:wsDr xmlns:xdr="http://schemas.openxmlformats.org/drawingml/2006/spreadsheetDrawing" xmlns:a="http://schemas.openxmlformats.org/drawingml/2006/main">
  <xdr:twoCellAnchor editAs="oneCell">
    <xdr:from>
      <xdr:col>33</xdr:col>
      <xdr:colOff>0</xdr:colOff>
      <xdr:row>2</xdr:row>
      <xdr:rowOff>0</xdr:rowOff>
    </xdr:from>
    <xdr:to>
      <xdr:col>41</xdr:col>
      <xdr:colOff>41910</xdr:colOff>
      <xdr:row>3</xdr:row>
      <xdr:rowOff>163830</xdr:rowOff>
    </xdr:to>
    <xdr:sp macro="" textlink="">
      <xdr:nvSpPr>
        <xdr:cNvPr id="2" name="Button 1" hidden="1">
          <a:extLst>
            <a:ext uri="{63B3BB69-23CF-44E3-9099-C40C66FF867C}">
              <a14:compatExt xmlns:a14="http://schemas.microsoft.com/office/drawing/2010/main" spid="_x0000_s30721"/>
            </a:ext>
            <a:ext uri="{FF2B5EF4-FFF2-40B4-BE49-F238E27FC236}">
              <a16:creationId xmlns:a16="http://schemas.microsoft.com/office/drawing/2014/main" id="{C35E02D2-6E20-439C-A617-3C3F64E871A8}"/>
            </a:ext>
          </a:extLst>
        </xdr:cNvPr>
        <xdr:cNvSpPr/>
      </xdr:nvSpPr>
      <xdr:spPr bwMode="auto">
        <a:xfrm>
          <a:off x="5657850" y="342900"/>
          <a:ext cx="1413510" cy="335280"/>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1100" b="0" i="0" u="none" strike="noStrike" baseline="0">
              <a:solidFill>
                <a:srgbClr val="000000"/>
              </a:solidFill>
              <a:latin typeface="ＭＳ Ｐゴシック"/>
              <a:ea typeface="ＭＳ Ｐゴシック"/>
            </a:rPr>
            <a:t>CSV出力用ボタン</a:t>
          </a:r>
        </a:p>
      </xdr:txBody>
    </xdr:sp>
    <xdr:clientData fPrintsWithSheet="0"/>
  </xdr:twoCellAnchor>
</xdr:wsDr>
</file>

<file path=xl/drawings/drawing14.xml><?xml version="1.0" encoding="utf-8"?>
<xdr:wsDr xmlns:xdr="http://schemas.openxmlformats.org/drawingml/2006/spreadsheetDrawing" xmlns:a="http://schemas.openxmlformats.org/drawingml/2006/main">
  <xdr:twoCellAnchor editAs="oneCell">
    <xdr:from>
      <xdr:col>33</xdr:col>
      <xdr:colOff>0</xdr:colOff>
      <xdr:row>2</xdr:row>
      <xdr:rowOff>0</xdr:rowOff>
    </xdr:from>
    <xdr:to>
      <xdr:col>41</xdr:col>
      <xdr:colOff>41910</xdr:colOff>
      <xdr:row>3</xdr:row>
      <xdr:rowOff>163830</xdr:rowOff>
    </xdr:to>
    <xdr:sp macro="" textlink="">
      <xdr:nvSpPr>
        <xdr:cNvPr id="2" name="Button 1" hidden="1">
          <a:extLst>
            <a:ext uri="{63B3BB69-23CF-44E3-9099-C40C66FF867C}">
              <a14:compatExt xmlns:a14="http://schemas.microsoft.com/office/drawing/2010/main" spid="_x0000_s30721"/>
            </a:ext>
            <a:ext uri="{FF2B5EF4-FFF2-40B4-BE49-F238E27FC236}">
              <a16:creationId xmlns:a16="http://schemas.microsoft.com/office/drawing/2014/main" id="{93E9ADE6-36E5-404C-B085-D93F61811AB9}"/>
            </a:ext>
          </a:extLst>
        </xdr:cNvPr>
        <xdr:cNvSpPr/>
      </xdr:nvSpPr>
      <xdr:spPr bwMode="auto">
        <a:xfrm>
          <a:off x="5657850" y="342900"/>
          <a:ext cx="1413510" cy="335280"/>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1100" b="0" i="0" u="none" strike="noStrike" baseline="0">
              <a:solidFill>
                <a:srgbClr val="000000"/>
              </a:solidFill>
              <a:latin typeface="ＭＳ Ｐゴシック"/>
              <a:ea typeface="ＭＳ Ｐゴシック"/>
            </a:rPr>
            <a:t>CSV出力用ボタン</a:t>
          </a:r>
        </a:p>
      </xdr:txBody>
    </xdr:sp>
    <xdr:clientData fPrintsWithSheet="0"/>
  </xdr:twoCellAnchor>
</xdr:wsDr>
</file>

<file path=xl/drawings/drawing15.xml><?xml version="1.0" encoding="utf-8"?>
<xdr:wsDr xmlns:xdr="http://schemas.openxmlformats.org/drawingml/2006/spreadsheetDrawing" xmlns:a="http://schemas.openxmlformats.org/drawingml/2006/main">
  <xdr:twoCellAnchor editAs="oneCell">
    <xdr:from>
      <xdr:col>33</xdr:col>
      <xdr:colOff>0</xdr:colOff>
      <xdr:row>2</xdr:row>
      <xdr:rowOff>0</xdr:rowOff>
    </xdr:from>
    <xdr:to>
      <xdr:col>41</xdr:col>
      <xdr:colOff>41910</xdr:colOff>
      <xdr:row>3</xdr:row>
      <xdr:rowOff>163830</xdr:rowOff>
    </xdr:to>
    <xdr:sp macro="" textlink="">
      <xdr:nvSpPr>
        <xdr:cNvPr id="2" name="Button 1" hidden="1">
          <a:extLst>
            <a:ext uri="{63B3BB69-23CF-44E3-9099-C40C66FF867C}">
              <a14:compatExt xmlns:a14="http://schemas.microsoft.com/office/drawing/2010/main" spid="_x0000_s30721"/>
            </a:ext>
            <a:ext uri="{FF2B5EF4-FFF2-40B4-BE49-F238E27FC236}">
              <a16:creationId xmlns:a16="http://schemas.microsoft.com/office/drawing/2014/main" id="{C190B0A3-AEFE-476F-B501-82BC27B8D781}"/>
            </a:ext>
          </a:extLst>
        </xdr:cNvPr>
        <xdr:cNvSpPr/>
      </xdr:nvSpPr>
      <xdr:spPr bwMode="auto">
        <a:xfrm>
          <a:off x="5657850" y="342900"/>
          <a:ext cx="1413510" cy="335280"/>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1100" b="0" i="0" u="none" strike="noStrike" baseline="0">
              <a:solidFill>
                <a:srgbClr val="000000"/>
              </a:solidFill>
              <a:latin typeface="ＭＳ Ｐゴシック"/>
              <a:ea typeface="ＭＳ Ｐゴシック"/>
            </a:rPr>
            <a:t>CSV出力用ボタン</a:t>
          </a:r>
        </a:p>
      </xdr:txBody>
    </xdr:sp>
    <xdr:clientData fPrintsWithSheet="0"/>
  </xdr:twoCellAnchor>
</xdr:wsDr>
</file>

<file path=xl/drawings/drawing16.xml><?xml version="1.0" encoding="utf-8"?>
<xdr:wsDr xmlns:xdr="http://schemas.openxmlformats.org/drawingml/2006/spreadsheetDrawing" xmlns:a="http://schemas.openxmlformats.org/drawingml/2006/main">
  <xdr:twoCellAnchor editAs="oneCell">
    <xdr:from>
      <xdr:col>33</xdr:col>
      <xdr:colOff>0</xdr:colOff>
      <xdr:row>2</xdr:row>
      <xdr:rowOff>0</xdr:rowOff>
    </xdr:from>
    <xdr:to>
      <xdr:col>41</xdr:col>
      <xdr:colOff>41910</xdr:colOff>
      <xdr:row>3</xdr:row>
      <xdr:rowOff>163830</xdr:rowOff>
    </xdr:to>
    <xdr:sp macro="" textlink="">
      <xdr:nvSpPr>
        <xdr:cNvPr id="2" name="Button 1" hidden="1">
          <a:extLst>
            <a:ext uri="{63B3BB69-23CF-44E3-9099-C40C66FF867C}">
              <a14:compatExt xmlns:a14="http://schemas.microsoft.com/office/drawing/2010/main" spid="_x0000_s30721"/>
            </a:ext>
            <a:ext uri="{FF2B5EF4-FFF2-40B4-BE49-F238E27FC236}">
              <a16:creationId xmlns:a16="http://schemas.microsoft.com/office/drawing/2014/main" id="{F4CEEE2A-2516-46E4-A5E6-C2DA3F2E258D}"/>
            </a:ext>
          </a:extLst>
        </xdr:cNvPr>
        <xdr:cNvSpPr/>
      </xdr:nvSpPr>
      <xdr:spPr bwMode="auto">
        <a:xfrm>
          <a:off x="5657850" y="342900"/>
          <a:ext cx="1413510" cy="335280"/>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1100" b="0" i="0" u="none" strike="noStrike" baseline="0">
              <a:solidFill>
                <a:srgbClr val="000000"/>
              </a:solidFill>
              <a:latin typeface="ＭＳ Ｐゴシック"/>
              <a:ea typeface="ＭＳ Ｐゴシック"/>
            </a:rPr>
            <a:t>CSV出力用ボタン</a:t>
          </a:r>
        </a:p>
      </xdr:txBody>
    </xdr:sp>
    <xdr:clientData fPrintsWithSheet="0"/>
  </xdr:twoCellAnchor>
</xdr:wsDr>
</file>

<file path=xl/drawings/drawing17.xml><?xml version="1.0" encoding="utf-8"?>
<xdr:wsDr xmlns:xdr="http://schemas.openxmlformats.org/drawingml/2006/spreadsheetDrawing" xmlns:a="http://schemas.openxmlformats.org/drawingml/2006/main">
  <xdr:twoCellAnchor editAs="oneCell">
    <xdr:from>
      <xdr:col>33</xdr:col>
      <xdr:colOff>0</xdr:colOff>
      <xdr:row>2</xdr:row>
      <xdr:rowOff>0</xdr:rowOff>
    </xdr:from>
    <xdr:to>
      <xdr:col>41</xdr:col>
      <xdr:colOff>41910</xdr:colOff>
      <xdr:row>3</xdr:row>
      <xdr:rowOff>163830</xdr:rowOff>
    </xdr:to>
    <xdr:sp macro="" textlink="">
      <xdr:nvSpPr>
        <xdr:cNvPr id="2" name="Button 1" hidden="1">
          <a:extLst>
            <a:ext uri="{63B3BB69-23CF-44E3-9099-C40C66FF867C}">
              <a14:compatExt xmlns:a14="http://schemas.microsoft.com/office/drawing/2010/main" spid="_x0000_s30721"/>
            </a:ext>
            <a:ext uri="{FF2B5EF4-FFF2-40B4-BE49-F238E27FC236}">
              <a16:creationId xmlns:a16="http://schemas.microsoft.com/office/drawing/2014/main" id="{A4B4969F-B48C-4921-991B-B0D1947215CA}"/>
            </a:ext>
          </a:extLst>
        </xdr:cNvPr>
        <xdr:cNvSpPr/>
      </xdr:nvSpPr>
      <xdr:spPr bwMode="auto">
        <a:xfrm>
          <a:off x="5657850" y="342900"/>
          <a:ext cx="1413510" cy="335280"/>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1100" b="0" i="0" u="none" strike="noStrike" baseline="0">
              <a:solidFill>
                <a:srgbClr val="000000"/>
              </a:solidFill>
              <a:latin typeface="ＭＳ Ｐゴシック"/>
              <a:ea typeface="ＭＳ Ｐゴシック"/>
            </a:rPr>
            <a:t>CSV出力用ボタン</a:t>
          </a:r>
        </a:p>
      </xdr:txBody>
    </xdr:sp>
    <xdr:clientData fPrintsWithSheet="0"/>
  </xdr:twoCellAnchor>
</xdr:wsDr>
</file>

<file path=xl/drawings/drawing18.xml><?xml version="1.0" encoding="utf-8"?>
<xdr:wsDr xmlns:xdr="http://schemas.openxmlformats.org/drawingml/2006/spreadsheetDrawing" xmlns:a="http://schemas.openxmlformats.org/drawingml/2006/main">
  <xdr:twoCellAnchor editAs="oneCell">
    <xdr:from>
      <xdr:col>33</xdr:col>
      <xdr:colOff>0</xdr:colOff>
      <xdr:row>2</xdr:row>
      <xdr:rowOff>0</xdr:rowOff>
    </xdr:from>
    <xdr:to>
      <xdr:col>41</xdr:col>
      <xdr:colOff>41910</xdr:colOff>
      <xdr:row>3</xdr:row>
      <xdr:rowOff>163830</xdr:rowOff>
    </xdr:to>
    <xdr:sp macro="" textlink="">
      <xdr:nvSpPr>
        <xdr:cNvPr id="2" name="Button 1" hidden="1">
          <a:extLst>
            <a:ext uri="{63B3BB69-23CF-44E3-9099-C40C66FF867C}">
              <a14:compatExt xmlns:a14="http://schemas.microsoft.com/office/drawing/2010/main" spid="_x0000_s30721"/>
            </a:ext>
            <a:ext uri="{FF2B5EF4-FFF2-40B4-BE49-F238E27FC236}">
              <a16:creationId xmlns:a16="http://schemas.microsoft.com/office/drawing/2014/main" id="{C7CEA32A-2390-4BF6-883F-57FD3EE8726C}"/>
            </a:ext>
          </a:extLst>
        </xdr:cNvPr>
        <xdr:cNvSpPr/>
      </xdr:nvSpPr>
      <xdr:spPr bwMode="auto">
        <a:xfrm>
          <a:off x="5657850" y="342900"/>
          <a:ext cx="1413510" cy="335280"/>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1100" b="0" i="0" u="none" strike="noStrike" baseline="0">
              <a:solidFill>
                <a:srgbClr val="000000"/>
              </a:solidFill>
              <a:latin typeface="ＭＳ Ｐゴシック"/>
              <a:ea typeface="ＭＳ Ｐゴシック"/>
            </a:rPr>
            <a:t>CSV出力用ボタン</a:t>
          </a:r>
        </a:p>
      </xdr:txBody>
    </xdr:sp>
    <xdr:clientData fPrintsWithSheet="0"/>
  </xdr:twoCellAnchor>
</xdr:wsDr>
</file>

<file path=xl/drawings/drawing19.xml><?xml version="1.0" encoding="utf-8"?>
<xdr:wsDr xmlns:xdr="http://schemas.openxmlformats.org/drawingml/2006/spreadsheetDrawing" xmlns:a="http://schemas.openxmlformats.org/drawingml/2006/main">
  <xdr:twoCellAnchor editAs="oneCell">
    <xdr:from>
      <xdr:col>33</xdr:col>
      <xdr:colOff>0</xdr:colOff>
      <xdr:row>2</xdr:row>
      <xdr:rowOff>0</xdr:rowOff>
    </xdr:from>
    <xdr:to>
      <xdr:col>41</xdr:col>
      <xdr:colOff>41910</xdr:colOff>
      <xdr:row>3</xdr:row>
      <xdr:rowOff>163830</xdr:rowOff>
    </xdr:to>
    <xdr:sp macro="" textlink="">
      <xdr:nvSpPr>
        <xdr:cNvPr id="2" name="Button 1" hidden="1">
          <a:extLst>
            <a:ext uri="{63B3BB69-23CF-44E3-9099-C40C66FF867C}">
              <a14:compatExt xmlns:a14="http://schemas.microsoft.com/office/drawing/2010/main" spid="_x0000_s30721"/>
            </a:ext>
            <a:ext uri="{FF2B5EF4-FFF2-40B4-BE49-F238E27FC236}">
              <a16:creationId xmlns:a16="http://schemas.microsoft.com/office/drawing/2014/main" id="{C666E2F3-27EC-421F-9089-F5409755941F}"/>
            </a:ext>
          </a:extLst>
        </xdr:cNvPr>
        <xdr:cNvSpPr/>
      </xdr:nvSpPr>
      <xdr:spPr bwMode="auto">
        <a:xfrm>
          <a:off x="5657850" y="342900"/>
          <a:ext cx="1413510" cy="335280"/>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1100" b="0" i="0" u="none" strike="noStrike" baseline="0">
              <a:solidFill>
                <a:srgbClr val="000000"/>
              </a:solidFill>
              <a:latin typeface="ＭＳ Ｐゴシック"/>
              <a:ea typeface="ＭＳ Ｐゴシック"/>
            </a:rPr>
            <a:t>CSV出力用ボタン</a:t>
          </a:r>
        </a:p>
      </xdr:txBody>
    </xdr:sp>
    <xdr:clientData fPrintsWithSheet="0"/>
  </xdr:twoCellAnchor>
</xdr:wsDr>
</file>

<file path=xl/drawings/drawing20.xml><?xml version="1.0" encoding="utf-8"?>
<xdr:wsDr xmlns:xdr="http://schemas.openxmlformats.org/drawingml/2006/spreadsheetDrawing" xmlns:a="http://schemas.openxmlformats.org/drawingml/2006/main">
  <xdr:twoCellAnchor editAs="oneCell">
    <xdr:from>
      <xdr:col>33</xdr:col>
      <xdr:colOff>0</xdr:colOff>
      <xdr:row>2</xdr:row>
      <xdr:rowOff>0</xdr:rowOff>
    </xdr:from>
    <xdr:to>
      <xdr:col>41</xdr:col>
      <xdr:colOff>41910</xdr:colOff>
      <xdr:row>3</xdr:row>
      <xdr:rowOff>163830</xdr:rowOff>
    </xdr:to>
    <xdr:sp macro="" textlink="">
      <xdr:nvSpPr>
        <xdr:cNvPr id="2" name="Button 1" hidden="1">
          <a:extLst>
            <a:ext uri="{63B3BB69-23CF-44E3-9099-C40C66FF867C}">
              <a14:compatExt xmlns:a14="http://schemas.microsoft.com/office/drawing/2010/main" spid="_x0000_s30721"/>
            </a:ext>
            <a:ext uri="{FF2B5EF4-FFF2-40B4-BE49-F238E27FC236}">
              <a16:creationId xmlns:a16="http://schemas.microsoft.com/office/drawing/2014/main" id="{86702EAC-42A9-455C-A9D3-A3865BA3B1FF}"/>
            </a:ext>
          </a:extLst>
        </xdr:cNvPr>
        <xdr:cNvSpPr/>
      </xdr:nvSpPr>
      <xdr:spPr bwMode="auto">
        <a:xfrm>
          <a:off x="5657850" y="342900"/>
          <a:ext cx="1413510" cy="335280"/>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1100" b="0" i="0" u="none" strike="noStrike" baseline="0">
              <a:solidFill>
                <a:srgbClr val="000000"/>
              </a:solidFill>
              <a:latin typeface="ＭＳ Ｐゴシック"/>
              <a:ea typeface="ＭＳ Ｐゴシック"/>
            </a:rPr>
            <a:t>CSV出力用ボタン</a:t>
          </a:r>
        </a:p>
      </xdr:txBody>
    </xdr:sp>
    <xdr:clientData fPrintsWithSheet="0"/>
  </xdr:twoCellAnchor>
</xdr:wsDr>
</file>

<file path=xl/drawings/drawing21.xml><?xml version="1.0" encoding="utf-8"?>
<xdr:wsDr xmlns:xdr="http://schemas.openxmlformats.org/drawingml/2006/spreadsheetDrawing" xmlns:a="http://schemas.openxmlformats.org/drawingml/2006/main">
  <xdr:twoCellAnchor editAs="oneCell">
    <xdr:from>
      <xdr:col>33</xdr:col>
      <xdr:colOff>0</xdr:colOff>
      <xdr:row>2</xdr:row>
      <xdr:rowOff>0</xdr:rowOff>
    </xdr:from>
    <xdr:to>
      <xdr:col>41</xdr:col>
      <xdr:colOff>41910</xdr:colOff>
      <xdr:row>3</xdr:row>
      <xdr:rowOff>163830</xdr:rowOff>
    </xdr:to>
    <xdr:sp macro="" textlink="">
      <xdr:nvSpPr>
        <xdr:cNvPr id="2" name="Button 1" hidden="1">
          <a:extLst>
            <a:ext uri="{63B3BB69-23CF-44E3-9099-C40C66FF867C}">
              <a14:compatExt xmlns:a14="http://schemas.microsoft.com/office/drawing/2010/main" spid="_x0000_s30721"/>
            </a:ext>
            <a:ext uri="{FF2B5EF4-FFF2-40B4-BE49-F238E27FC236}">
              <a16:creationId xmlns:a16="http://schemas.microsoft.com/office/drawing/2014/main" id="{99FCE98C-6584-4E9B-AC35-3DA86D4C8563}"/>
            </a:ext>
          </a:extLst>
        </xdr:cNvPr>
        <xdr:cNvSpPr/>
      </xdr:nvSpPr>
      <xdr:spPr bwMode="auto">
        <a:xfrm>
          <a:off x="5657850" y="342900"/>
          <a:ext cx="1413510" cy="335280"/>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1100" b="0" i="0" u="none" strike="noStrike" baseline="0">
              <a:solidFill>
                <a:srgbClr val="000000"/>
              </a:solidFill>
              <a:latin typeface="ＭＳ Ｐゴシック"/>
              <a:ea typeface="ＭＳ Ｐゴシック"/>
            </a:rPr>
            <a:t>CSV出力用ボタン</a:t>
          </a:r>
        </a:p>
      </xdr:txBody>
    </xdr:sp>
    <xdr:clientData fPrintsWithSheet="0"/>
  </xdr:twoCellAnchor>
</xdr:wsDr>
</file>

<file path=xl/drawings/drawing22.xml><?xml version="1.0" encoding="utf-8"?>
<xdr:wsDr xmlns:xdr="http://schemas.openxmlformats.org/drawingml/2006/spreadsheetDrawing" xmlns:a="http://schemas.openxmlformats.org/drawingml/2006/main">
  <xdr:twoCellAnchor editAs="oneCell">
    <xdr:from>
      <xdr:col>33</xdr:col>
      <xdr:colOff>0</xdr:colOff>
      <xdr:row>2</xdr:row>
      <xdr:rowOff>0</xdr:rowOff>
    </xdr:from>
    <xdr:to>
      <xdr:col>41</xdr:col>
      <xdr:colOff>41910</xdr:colOff>
      <xdr:row>3</xdr:row>
      <xdr:rowOff>163830</xdr:rowOff>
    </xdr:to>
    <xdr:sp macro="" textlink="">
      <xdr:nvSpPr>
        <xdr:cNvPr id="2" name="Button 1" hidden="1">
          <a:extLst>
            <a:ext uri="{63B3BB69-23CF-44E3-9099-C40C66FF867C}">
              <a14:compatExt xmlns:a14="http://schemas.microsoft.com/office/drawing/2010/main" spid="_x0000_s30721"/>
            </a:ext>
            <a:ext uri="{FF2B5EF4-FFF2-40B4-BE49-F238E27FC236}">
              <a16:creationId xmlns:a16="http://schemas.microsoft.com/office/drawing/2014/main" id="{E9AC1375-163B-4976-97DB-ACF713D02DC9}"/>
            </a:ext>
          </a:extLst>
        </xdr:cNvPr>
        <xdr:cNvSpPr/>
      </xdr:nvSpPr>
      <xdr:spPr bwMode="auto">
        <a:xfrm>
          <a:off x="5657850" y="342900"/>
          <a:ext cx="1413510" cy="335280"/>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1100" b="0" i="0" u="none" strike="noStrike" baseline="0">
              <a:solidFill>
                <a:srgbClr val="000000"/>
              </a:solidFill>
              <a:latin typeface="ＭＳ Ｐゴシック"/>
              <a:ea typeface="ＭＳ Ｐゴシック"/>
            </a:rPr>
            <a:t>CSV出力用ボタン</a:t>
          </a:r>
        </a:p>
      </xdr:txBody>
    </xdr:sp>
    <xdr:clientData fPrintsWithSheet="0"/>
  </xdr:twoCellAnchor>
</xdr:wsDr>
</file>

<file path=xl/drawings/drawing23.xml><?xml version="1.0" encoding="utf-8"?>
<xdr:wsDr xmlns:xdr="http://schemas.openxmlformats.org/drawingml/2006/spreadsheetDrawing" xmlns:a="http://schemas.openxmlformats.org/drawingml/2006/main">
  <xdr:twoCellAnchor editAs="oneCell">
    <xdr:from>
      <xdr:col>33</xdr:col>
      <xdr:colOff>0</xdr:colOff>
      <xdr:row>2</xdr:row>
      <xdr:rowOff>0</xdr:rowOff>
    </xdr:from>
    <xdr:to>
      <xdr:col>41</xdr:col>
      <xdr:colOff>41910</xdr:colOff>
      <xdr:row>3</xdr:row>
      <xdr:rowOff>163830</xdr:rowOff>
    </xdr:to>
    <xdr:sp macro="" textlink="">
      <xdr:nvSpPr>
        <xdr:cNvPr id="2" name="Button 1" hidden="1">
          <a:extLst>
            <a:ext uri="{63B3BB69-23CF-44E3-9099-C40C66FF867C}">
              <a14:compatExt xmlns:a14="http://schemas.microsoft.com/office/drawing/2010/main" spid="_x0000_s30721"/>
            </a:ext>
            <a:ext uri="{FF2B5EF4-FFF2-40B4-BE49-F238E27FC236}">
              <a16:creationId xmlns:a16="http://schemas.microsoft.com/office/drawing/2014/main" id="{42C4158C-8454-4FAE-94F3-A89CC1561EE9}"/>
            </a:ext>
          </a:extLst>
        </xdr:cNvPr>
        <xdr:cNvSpPr/>
      </xdr:nvSpPr>
      <xdr:spPr bwMode="auto">
        <a:xfrm>
          <a:off x="5657850" y="342900"/>
          <a:ext cx="1413510" cy="335280"/>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1100" b="0" i="0" u="none" strike="noStrike" baseline="0">
              <a:solidFill>
                <a:srgbClr val="000000"/>
              </a:solidFill>
              <a:latin typeface="ＭＳ Ｐゴシック"/>
              <a:ea typeface="ＭＳ Ｐゴシック"/>
            </a:rPr>
            <a:t>CSV出力用ボタン</a:t>
          </a:r>
        </a:p>
      </xdr:txBody>
    </xdr:sp>
    <xdr:clientData fPrintsWithSheet="0"/>
  </xdr:twoCellAnchor>
</xdr:wsDr>
</file>

<file path=xl/drawings/drawing24.xml><?xml version="1.0" encoding="utf-8"?>
<xdr:wsDr xmlns:xdr="http://schemas.openxmlformats.org/drawingml/2006/spreadsheetDrawing" xmlns:a="http://schemas.openxmlformats.org/drawingml/2006/main">
  <xdr:twoCellAnchor editAs="oneCell">
    <xdr:from>
      <xdr:col>33</xdr:col>
      <xdr:colOff>0</xdr:colOff>
      <xdr:row>2</xdr:row>
      <xdr:rowOff>0</xdr:rowOff>
    </xdr:from>
    <xdr:to>
      <xdr:col>41</xdr:col>
      <xdr:colOff>41910</xdr:colOff>
      <xdr:row>3</xdr:row>
      <xdr:rowOff>163830</xdr:rowOff>
    </xdr:to>
    <xdr:sp macro="" textlink="">
      <xdr:nvSpPr>
        <xdr:cNvPr id="2" name="Button 1" hidden="1">
          <a:extLst>
            <a:ext uri="{63B3BB69-23CF-44E3-9099-C40C66FF867C}">
              <a14:compatExt xmlns:a14="http://schemas.microsoft.com/office/drawing/2010/main" spid="_x0000_s30721"/>
            </a:ext>
            <a:ext uri="{FF2B5EF4-FFF2-40B4-BE49-F238E27FC236}">
              <a16:creationId xmlns:a16="http://schemas.microsoft.com/office/drawing/2014/main" id="{0867E035-7CCD-4EFC-82F0-5738863DEFEF}"/>
            </a:ext>
          </a:extLst>
        </xdr:cNvPr>
        <xdr:cNvSpPr/>
      </xdr:nvSpPr>
      <xdr:spPr bwMode="auto">
        <a:xfrm>
          <a:off x="5657850" y="342900"/>
          <a:ext cx="1413510" cy="335280"/>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1100" b="0" i="0" u="none" strike="noStrike" baseline="0">
              <a:solidFill>
                <a:srgbClr val="000000"/>
              </a:solidFill>
              <a:latin typeface="ＭＳ Ｐゴシック"/>
              <a:ea typeface="ＭＳ Ｐゴシック"/>
            </a:rPr>
            <a:t>CSV出力用ボタン</a:t>
          </a:r>
        </a:p>
      </xdr:txBody>
    </xdr:sp>
    <xdr:clientData fPrintsWithSheet="0"/>
  </xdr:twoCellAnchor>
</xdr:wsDr>
</file>

<file path=xl/drawings/drawing25.xml><?xml version="1.0" encoding="utf-8"?>
<xdr:wsDr xmlns:xdr="http://schemas.openxmlformats.org/drawingml/2006/spreadsheetDrawing" xmlns:a="http://schemas.openxmlformats.org/drawingml/2006/main">
  <xdr:twoCellAnchor editAs="oneCell">
    <xdr:from>
      <xdr:col>33</xdr:col>
      <xdr:colOff>0</xdr:colOff>
      <xdr:row>2</xdr:row>
      <xdr:rowOff>0</xdr:rowOff>
    </xdr:from>
    <xdr:to>
      <xdr:col>41</xdr:col>
      <xdr:colOff>41910</xdr:colOff>
      <xdr:row>3</xdr:row>
      <xdr:rowOff>163830</xdr:rowOff>
    </xdr:to>
    <xdr:sp macro="" textlink="">
      <xdr:nvSpPr>
        <xdr:cNvPr id="2" name="Button 1" hidden="1">
          <a:extLst>
            <a:ext uri="{63B3BB69-23CF-44E3-9099-C40C66FF867C}">
              <a14:compatExt xmlns:a14="http://schemas.microsoft.com/office/drawing/2010/main" spid="_x0000_s30721"/>
            </a:ext>
            <a:ext uri="{FF2B5EF4-FFF2-40B4-BE49-F238E27FC236}">
              <a16:creationId xmlns:a16="http://schemas.microsoft.com/office/drawing/2014/main" id="{0CB5B903-D64E-472E-89AF-D55CB8BEBDCA}"/>
            </a:ext>
          </a:extLst>
        </xdr:cNvPr>
        <xdr:cNvSpPr/>
      </xdr:nvSpPr>
      <xdr:spPr bwMode="auto">
        <a:xfrm>
          <a:off x="5657850" y="342900"/>
          <a:ext cx="1413510" cy="335280"/>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1100" b="0" i="0" u="none" strike="noStrike" baseline="0">
              <a:solidFill>
                <a:srgbClr val="000000"/>
              </a:solidFill>
              <a:latin typeface="ＭＳ Ｐゴシック"/>
              <a:ea typeface="ＭＳ Ｐゴシック"/>
            </a:rPr>
            <a:t>CSV出力用ボタン</a:t>
          </a:r>
        </a:p>
      </xdr:txBody>
    </xdr:sp>
    <xdr:clientData fPrintsWithSheet="0"/>
  </xdr:twoCellAnchor>
</xdr:wsDr>
</file>

<file path=xl/drawings/drawing26.xml><?xml version="1.0" encoding="utf-8"?>
<xdr:wsDr xmlns:xdr="http://schemas.openxmlformats.org/drawingml/2006/spreadsheetDrawing" xmlns:a="http://schemas.openxmlformats.org/drawingml/2006/main">
  <xdr:twoCellAnchor editAs="oneCell">
    <xdr:from>
      <xdr:col>33</xdr:col>
      <xdr:colOff>0</xdr:colOff>
      <xdr:row>2</xdr:row>
      <xdr:rowOff>0</xdr:rowOff>
    </xdr:from>
    <xdr:to>
      <xdr:col>41</xdr:col>
      <xdr:colOff>41910</xdr:colOff>
      <xdr:row>3</xdr:row>
      <xdr:rowOff>163830</xdr:rowOff>
    </xdr:to>
    <xdr:sp macro="" textlink="">
      <xdr:nvSpPr>
        <xdr:cNvPr id="2" name="Button 1" hidden="1">
          <a:extLst>
            <a:ext uri="{63B3BB69-23CF-44E3-9099-C40C66FF867C}">
              <a14:compatExt xmlns:a14="http://schemas.microsoft.com/office/drawing/2010/main" spid="_x0000_s30721"/>
            </a:ext>
            <a:ext uri="{FF2B5EF4-FFF2-40B4-BE49-F238E27FC236}">
              <a16:creationId xmlns:a16="http://schemas.microsoft.com/office/drawing/2014/main" id="{D3DEEF07-4A13-4D39-B592-67CD1BEB7EDF}"/>
            </a:ext>
          </a:extLst>
        </xdr:cNvPr>
        <xdr:cNvSpPr/>
      </xdr:nvSpPr>
      <xdr:spPr bwMode="auto">
        <a:xfrm>
          <a:off x="5657850" y="342900"/>
          <a:ext cx="1413510" cy="335280"/>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1100" b="0" i="0" u="none" strike="noStrike" baseline="0">
              <a:solidFill>
                <a:srgbClr val="000000"/>
              </a:solidFill>
              <a:latin typeface="ＭＳ Ｐゴシック"/>
              <a:ea typeface="ＭＳ Ｐゴシック"/>
            </a:rPr>
            <a:t>CSV出力用ボタン</a:t>
          </a:r>
        </a:p>
      </xdr:txBody>
    </xdr:sp>
    <xdr:clientData fPrintsWithSheet="0"/>
  </xdr:twoCellAnchor>
</xdr:wsDr>
</file>

<file path=xl/drawings/drawing27.xml><?xml version="1.0" encoding="utf-8"?>
<xdr:wsDr xmlns:xdr="http://schemas.openxmlformats.org/drawingml/2006/spreadsheetDrawing" xmlns:a="http://schemas.openxmlformats.org/drawingml/2006/main">
  <xdr:twoCellAnchor editAs="oneCell">
    <xdr:from>
      <xdr:col>33</xdr:col>
      <xdr:colOff>0</xdr:colOff>
      <xdr:row>2</xdr:row>
      <xdr:rowOff>0</xdr:rowOff>
    </xdr:from>
    <xdr:to>
      <xdr:col>41</xdr:col>
      <xdr:colOff>41910</xdr:colOff>
      <xdr:row>3</xdr:row>
      <xdr:rowOff>163830</xdr:rowOff>
    </xdr:to>
    <xdr:sp macro="" textlink="">
      <xdr:nvSpPr>
        <xdr:cNvPr id="2" name="Button 1" hidden="1">
          <a:extLst>
            <a:ext uri="{63B3BB69-23CF-44E3-9099-C40C66FF867C}">
              <a14:compatExt xmlns:a14="http://schemas.microsoft.com/office/drawing/2010/main" spid="_x0000_s30721"/>
            </a:ext>
            <a:ext uri="{FF2B5EF4-FFF2-40B4-BE49-F238E27FC236}">
              <a16:creationId xmlns:a16="http://schemas.microsoft.com/office/drawing/2014/main" id="{E90E66FF-74EA-4394-B8C1-017BFFF013B6}"/>
            </a:ext>
          </a:extLst>
        </xdr:cNvPr>
        <xdr:cNvSpPr/>
      </xdr:nvSpPr>
      <xdr:spPr bwMode="auto">
        <a:xfrm>
          <a:off x="5657850" y="342900"/>
          <a:ext cx="1413510" cy="335280"/>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1100" b="0" i="0" u="none" strike="noStrike" baseline="0">
              <a:solidFill>
                <a:srgbClr val="000000"/>
              </a:solidFill>
              <a:latin typeface="ＭＳ Ｐゴシック"/>
              <a:ea typeface="ＭＳ Ｐゴシック"/>
            </a:rPr>
            <a:t>CSV出力用ボタン</a:t>
          </a:r>
        </a:p>
      </xdr:txBody>
    </xdr:sp>
    <xdr:clientData fPrintsWithSheet="0"/>
  </xdr:twoCellAnchor>
</xdr:wsDr>
</file>

<file path=xl/drawings/drawing28.xml><?xml version="1.0" encoding="utf-8"?>
<xdr:wsDr xmlns:xdr="http://schemas.openxmlformats.org/drawingml/2006/spreadsheetDrawing" xmlns:a="http://schemas.openxmlformats.org/drawingml/2006/main">
  <xdr:twoCellAnchor editAs="oneCell">
    <xdr:from>
      <xdr:col>33</xdr:col>
      <xdr:colOff>0</xdr:colOff>
      <xdr:row>2</xdr:row>
      <xdr:rowOff>0</xdr:rowOff>
    </xdr:from>
    <xdr:to>
      <xdr:col>41</xdr:col>
      <xdr:colOff>41910</xdr:colOff>
      <xdr:row>3</xdr:row>
      <xdr:rowOff>163830</xdr:rowOff>
    </xdr:to>
    <xdr:sp macro="" textlink="">
      <xdr:nvSpPr>
        <xdr:cNvPr id="2" name="Button 1" hidden="1">
          <a:extLst>
            <a:ext uri="{63B3BB69-23CF-44E3-9099-C40C66FF867C}">
              <a14:compatExt xmlns:a14="http://schemas.microsoft.com/office/drawing/2010/main" spid="_x0000_s30721"/>
            </a:ext>
            <a:ext uri="{FF2B5EF4-FFF2-40B4-BE49-F238E27FC236}">
              <a16:creationId xmlns:a16="http://schemas.microsoft.com/office/drawing/2014/main" id="{4CF65F0B-178E-456B-A6A5-3A592328D357}"/>
            </a:ext>
          </a:extLst>
        </xdr:cNvPr>
        <xdr:cNvSpPr/>
      </xdr:nvSpPr>
      <xdr:spPr bwMode="auto">
        <a:xfrm>
          <a:off x="5657850" y="342900"/>
          <a:ext cx="1413510" cy="335280"/>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1100" b="0" i="0" u="none" strike="noStrike" baseline="0">
              <a:solidFill>
                <a:srgbClr val="000000"/>
              </a:solidFill>
              <a:latin typeface="ＭＳ Ｐゴシック"/>
              <a:ea typeface="ＭＳ Ｐゴシック"/>
            </a:rPr>
            <a:t>CSV出力用ボタン</a:t>
          </a:r>
        </a:p>
      </xdr:txBody>
    </xdr:sp>
    <xdr:clientData fPrintsWithSheet="0"/>
  </xdr:twoCellAnchor>
</xdr:wsDr>
</file>

<file path=xl/drawings/drawing29.xml><?xml version="1.0" encoding="utf-8"?>
<xdr:wsDr xmlns:xdr="http://schemas.openxmlformats.org/drawingml/2006/spreadsheetDrawing" xmlns:a="http://schemas.openxmlformats.org/drawingml/2006/main">
  <xdr:twoCellAnchor editAs="oneCell">
    <xdr:from>
      <xdr:col>33</xdr:col>
      <xdr:colOff>0</xdr:colOff>
      <xdr:row>2</xdr:row>
      <xdr:rowOff>0</xdr:rowOff>
    </xdr:from>
    <xdr:to>
      <xdr:col>41</xdr:col>
      <xdr:colOff>41910</xdr:colOff>
      <xdr:row>3</xdr:row>
      <xdr:rowOff>163830</xdr:rowOff>
    </xdr:to>
    <xdr:sp macro="" textlink="">
      <xdr:nvSpPr>
        <xdr:cNvPr id="2" name="Button 1" hidden="1">
          <a:extLst>
            <a:ext uri="{63B3BB69-23CF-44E3-9099-C40C66FF867C}">
              <a14:compatExt xmlns:a14="http://schemas.microsoft.com/office/drawing/2010/main" spid="_x0000_s30721"/>
            </a:ext>
            <a:ext uri="{FF2B5EF4-FFF2-40B4-BE49-F238E27FC236}">
              <a16:creationId xmlns:a16="http://schemas.microsoft.com/office/drawing/2014/main" id="{EB0837D2-01A4-46B1-8384-43110F17D52C}"/>
            </a:ext>
          </a:extLst>
        </xdr:cNvPr>
        <xdr:cNvSpPr/>
      </xdr:nvSpPr>
      <xdr:spPr bwMode="auto">
        <a:xfrm>
          <a:off x="5657850" y="342900"/>
          <a:ext cx="1413510" cy="335280"/>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1100" b="0" i="0" u="none" strike="noStrike" baseline="0">
              <a:solidFill>
                <a:srgbClr val="000000"/>
              </a:solidFill>
              <a:latin typeface="ＭＳ Ｐゴシック"/>
              <a:ea typeface="ＭＳ Ｐゴシック"/>
            </a:rPr>
            <a:t>CSV出力用ボタン</a:t>
          </a:r>
        </a:p>
      </xdr:txBody>
    </xdr:sp>
    <xdr:clientData fPrintsWithSheet="0"/>
  </xdr:twoCellAnchor>
</xdr:wsDr>
</file>

<file path=xl/drawings/drawing30.xml><?xml version="1.0" encoding="utf-8"?>
<xdr:wsDr xmlns:xdr="http://schemas.openxmlformats.org/drawingml/2006/spreadsheetDrawing" xmlns:a="http://schemas.openxmlformats.org/drawingml/2006/main">
  <xdr:twoCellAnchor editAs="oneCell">
    <xdr:from>
      <xdr:col>33</xdr:col>
      <xdr:colOff>0</xdr:colOff>
      <xdr:row>2</xdr:row>
      <xdr:rowOff>0</xdr:rowOff>
    </xdr:from>
    <xdr:to>
      <xdr:col>41</xdr:col>
      <xdr:colOff>41910</xdr:colOff>
      <xdr:row>3</xdr:row>
      <xdr:rowOff>163830</xdr:rowOff>
    </xdr:to>
    <xdr:sp macro="" textlink="">
      <xdr:nvSpPr>
        <xdr:cNvPr id="2" name="Button 1" hidden="1">
          <a:extLst>
            <a:ext uri="{63B3BB69-23CF-44E3-9099-C40C66FF867C}">
              <a14:compatExt xmlns:a14="http://schemas.microsoft.com/office/drawing/2010/main" spid="_x0000_s30721"/>
            </a:ext>
            <a:ext uri="{FF2B5EF4-FFF2-40B4-BE49-F238E27FC236}">
              <a16:creationId xmlns:a16="http://schemas.microsoft.com/office/drawing/2014/main" id="{F29ACC33-7515-41F9-B3D0-CD49427C8D33}"/>
            </a:ext>
          </a:extLst>
        </xdr:cNvPr>
        <xdr:cNvSpPr/>
      </xdr:nvSpPr>
      <xdr:spPr bwMode="auto">
        <a:xfrm>
          <a:off x="5657850" y="342900"/>
          <a:ext cx="1413510" cy="335280"/>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1100" b="0" i="0" u="none" strike="noStrike" baseline="0">
              <a:solidFill>
                <a:srgbClr val="000000"/>
              </a:solidFill>
              <a:latin typeface="ＭＳ Ｐゴシック"/>
              <a:ea typeface="ＭＳ Ｐゴシック"/>
            </a:rPr>
            <a:t>CSV出力用ボタン</a:t>
          </a:r>
        </a:p>
      </xdr:txBody>
    </xdr:sp>
    <xdr:clientData fPrintsWithSheet="0"/>
  </xdr:twoCellAnchor>
</xdr:wsDr>
</file>

<file path=xl/drawings/drawing31.xml><?xml version="1.0" encoding="utf-8"?>
<xdr:wsDr xmlns:xdr="http://schemas.openxmlformats.org/drawingml/2006/spreadsheetDrawing" xmlns:a="http://schemas.openxmlformats.org/drawingml/2006/main">
  <xdr:twoCellAnchor editAs="oneCell">
    <xdr:from>
      <xdr:col>33</xdr:col>
      <xdr:colOff>0</xdr:colOff>
      <xdr:row>2</xdr:row>
      <xdr:rowOff>0</xdr:rowOff>
    </xdr:from>
    <xdr:to>
      <xdr:col>41</xdr:col>
      <xdr:colOff>41910</xdr:colOff>
      <xdr:row>3</xdr:row>
      <xdr:rowOff>163830</xdr:rowOff>
    </xdr:to>
    <xdr:sp macro="" textlink="">
      <xdr:nvSpPr>
        <xdr:cNvPr id="2" name="Button 1" hidden="1">
          <a:extLst>
            <a:ext uri="{63B3BB69-23CF-44E3-9099-C40C66FF867C}">
              <a14:compatExt xmlns:a14="http://schemas.microsoft.com/office/drawing/2010/main" spid="_x0000_s30721"/>
            </a:ext>
            <a:ext uri="{FF2B5EF4-FFF2-40B4-BE49-F238E27FC236}">
              <a16:creationId xmlns:a16="http://schemas.microsoft.com/office/drawing/2014/main" id="{391FD924-FC9A-4F0F-B9EC-A209A4098477}"/>
            </a:ext>
          </a:extLst>
        </xdr:cNvPr>
        <xdr:cNvSpPr/>
      </xdr:nvSpPr>
      <xdr:spPr bwMode="auto">
        <a:xfrm>
          <a:off x="5657850" y="342900"/>
          <a:ext cx="1413510" cy="335280"/>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1100" b="0" i="0" u="none" strike="noStrike" baseline="0">
              <a:solidFill>
                <a:srgbClr val="000000"/>
              </a:solidFill>
              <a:latin typeface="ＭＳ Ｐゴシック"/>
              <a:ea typeface="ＭＳ Ｐゴシック"/>
            </a:rPr>
            <a:t>CSV出力用ボタン</a:t>
          </a:r>
        </a:p>
      </xdr:txBody>
    </xdr:sp>
    <xdr:clientData fPrintsWithSheet="0"/>
  </xdr:twoCellAnchor>
</xdr:wsDr>
</file>

<file path=xl/drawings/drawing32.xml><?xml version="1.0" encoding="utf-8"?>
<xdr:wsDr xmlns:xdr="http://schemas.openxmlformats.org/drawingml/2006/spreadsheetDrawing" xmlns:a="http://schemas.openxmlformats.org/drawingml/2006/main">
  <xdr:twoCellAnchor editAs="oneCell">
    <xdr:from>
      <xdr:col>33</xdr:col>
      <xdr:colOff>0</xdr:colOff>
      <xdr:row>2</xdr:row>
      <xdr:rowOff>0</xdr:rowOff>
    </xdr:from>
    <xdr:to>
      <xdr:col>41</xdr:col>
      <xdr:colOff>41910</xdr:colOff>
      <xdr:row>3</xdr:row>
      <xdr:rowOff>163830</xdr:rowOff>
    </xdr:to>
    <xdr:sp macro="" textlink="">
      <xdr:nvSpPr>
        <xdr:cNvPr id="2" name="Button 1" hidden="1">
          <a:extLst>
            <a:ext uri="{63B3BB69-23CF-44E3-9099-C40C66FF867C}">
              <a14:compatExt xmlns:a14="http://schemas.microsoft.com/office/drawing/2010/main" spid="_x0000_s30721"/>
            </a:ext>
            <a:ext uri="{FF2B5EF4-FFF2-40B4-BE49-F238E27FC236}">
              <a16:creationId xmlns:a16="http://schemas.microsoft.com/office/drawing/2014/main" id="{9D2D5035-2E02-4155-BFEB-CFCB2CC0FBF1}"/>
            </a:ext>
          </a:extLst>
        </xdr:cNvPr>
        <xdr:cNvSpPr/>
      </xdr:nvSpPr>
      <xdr:spPr bwMode="auto">
        <a:xfrm>
          <a:off x="5657850" y="342900"/>
          <a:ext cx="1413510" cy="335280"/>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1100" b="0" i="0" u="none" strike="noStrike" baseline="0">
              <a:solidFill>
                <a:srgbClr val="000000"/>
              </a:solidFill>
              <a:latin typeface="ＭＳ Ｐゴシック"/>
              <a:ea typeface="ＭＳ Ｐゴシック"/>
            </a:rPr>
            <a:t>CSV出力用ボタン</a:t>
          </a:r>
        </a:p>
      </xdr:txBody>
    </xdr:sp>
    <xdr:clientData fPrintsWithSheet="0"/>
  </xdr:twoCellAnchor>
</xdr:wsDr>
</file>

<file path=xl/drawings/drawing33.xml><?xml version="1.0" encoding="utf-8"?>
<xdr:wsDr xmlns:xdr="http://schemas.openxmlformats.org/drawingml/2006/spreadsheetDrawing" xmlns:a="http://schemas.openxmlformats.org/drawingml/2006/main">
  <xdr:twoCellAnchor editAs="oneCell">
    <xdr:from>
      <xdr:col>33</xdr:col>
      <xdr:colOff>0</xdr:colOff>
      <xdr:row>2</xdr:row>
      <xdr:rowOff>0</xdr:rowOff>
    </xdr:from>
    <xdr:to>
      <xdr:col>41</xdr:col>
      <xdr:colOff>41910</xdr:colOff>
      <xdr:row>3</xdr:row>
      <xdr:rowOff>163830</xdr:rowOff>
    </xdr:to>
    <xdr:sp macro="" textlink="">
      <xdr:nvSpPr>
        <xdr:cNvPr id="2" name="Button 1" hidden="1">
          <a:extLst>
            <a:ext uri="{63B3BB69-23CF-44E3-9099-C40C66FF867C}">
              <a14:compatExt xmlns:a14="http://schemas.microsoft.com/office/drawing/2010/main" spid="_x0000_s30721"/>
            </a:ext>
            <a:ext uri="{FF2B5EF4-FFF2-40B4-BE49-F238E27FC236}">
              <a16:creationId xmlns:a16="http://schemas.microsoft.com/office/drawing/2014/main" id="{12F25BD6-C73E-4253-810C-5AEEB481CF82}"/>
            </a:ext>
          </a:extLst>
        </xdr:cNvPr>
        <xdr:cNvSpPr/>
      </xdr:nvSpPr>
      <xdr:spPr bwMode="auto">
        <a:xfrm>
          <a:off x="5657850" y="342900"/>
          <a:ext cx="1413510" cy="335280"/>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1100" b="0" i="0" u="none" strike="noStrike" baseline="0">
              <a:solidFill>
                <a:srgbClr val="000000"/>
              </a:solidFill>
              <a:latin typeface="ＭＳ Ｐゴシック"/>
              <a:ea typeface="ＭＳ Ｐゴシック"/>
            </a:rPr>
            <a:t>CSV出力用ボタン</a:t>
          </a:r>
        </a:p>
      </xdr:txBody>
    </xdr:sp>
    <xdr:clientData fPrintsWithSheet="0"/>
  </xdr:twoCellAnchor>
</xdr:wsDr>
</file>

<file path=xl/drawings/drawing34.xml><?xml version="1.0" encoding="utf-8"?>
<xdr:wsDr xmlns:xdr="http://schemas.openxmlformats.org/drawingml/2006/spreadsheetDrawing" xmlns:a="http://schemas.openxmlformats.org/drawingml/2006/main">
  <xdr:twoCellAnchor editAs="oneCell">
    <xdr:from>
      <xdr:col>33</xdr:col>
      <xdr:colOff>0</xdr:colOff>
      <xdr:row>2</xdr:row>
      <xdr:rowOff>0</xdr:rowOff>
    </xdr:from>
    <xdr:to>
      <xdr:col>41</xdr:col>
      <xdr:colOff>41910</xdr:colOff>
      <xdr:row>3</xdr:row>
      <xdr:rowOff>163830</xdr:rowOff>
    </xdr:to>
    <xdr:sp macro="" textlink="">
      <xdr:nvSpPr>
        <xdr:cNvPr id="2" name="Button 1" hidden="1">
          <a:extLst>
            <a:ext uri="{63B3BB69-23CF-44E3-9099-C40C66FF867C}">
              <a14:compatExt xmlns:a14="http://schemas.microsoft.com/office/drawing/2010/main" spid="_x0000_s30721"/>
            </a:ext>
            <a:ext uri="{FF2B5EF4-FFF2-40B4-BE49-F238E27FC236}">
              <a16:creationId xmlns:a16="http://schemas.microsoft.com/office/drawing/2014/main" id="{41B7CB41-5DA7-40FC-A0F9-6565D22DACE2}"/>
            </a:ext>
          </a:extLst>
        </xdr:cNvPr>
        <xdr:cNvSpPr/>
      </xdr:nvSpPr>
      <xdr:spPr bwMode="auto">
        <a:xfrm>
          <a:off x="5657850" y="342900"/>
          <a:ext cx="1413510" cy="335280"/>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1100" b="0" i="0" u="none" strike="noStrike" baseline="0">
              <a:solidFill>
                <a:srgbClr val="000000"/>
              </a:solidFill>
              <a:latin typeface="ＭＳ Ｐゴシック"/>
              <a:ea typeface="ＭＳ Ｐゴシック"/>
            </a:rPr>
            <a:t>CSV出力用ボタン</a:t>
          </a:r>
        </a:p>
      </xdr:txBody>
    </xdr:sp>
    <xdr:clientData fPrintsWithSheet="0"/>
  </xdr:twoCellAnchor>
</xdr:wsDr>
</file>

<file path=xl/drawings/drawing35.xml><?xml version="1.0" encoding="utf-8"?>
<xdr:wsDr xmlns:xdr="http://schemas.openxmlformats.org/drawingml/2006/spreadsheetDrawing" xmlns:a="http://schemas.openxmlformats.org/drawingml/2006/main">
  <xdr:twoCellAnchor editAs="oneCell">
    <xdr:from>
      <xdr:col>33</xdr:col>
      <xdr:colOff>0</xdr:colOff>
      <xdr:row>2</xdr:row>
      <xdr:rowOff>0</xdr:rowOff>
    </xdr:from>
    <xdr:to>
      <xdr:col>41</xdr:col>
      <xdr:colOff>41910</xdr:colOff>
      <xdr:row>3</xdr:row>
      <xdr:rowOff>163830</xdr:rowOff>
    </xdr:to>
    <xdr:sp macro="" textlink="">
      <xdr:nvSpPr>
        <xdr:cNvPr id="2" name="Button 1" hidden="1">
          <a:extLst>
            <a:ext uri="{63B3BB69-23CF-44E3-9099-C40C66FF867C}">
              <a14:compatExt xmlns:a14="http://schemas.microsoft.com/office/drawing/2010/main" spid="_x0000_s30721"/>
            </a:ext>
            <a:ext uri="{FF2B5EF4-FFF2-40B4-BE49-F238E27FC236}">
              <a16:creationId xmlns:a16="http://schemas.microsoft.com/office/drawing/2014/main" id="{03057CFA-D039-4041-A087-3C277EBC7B86}"/>
            </a:ext>
          </a:extLst>
        </xdr:cNvPr>
        <xdr:cNvSpPr/>
      </xdr:nvSpPr>
      <xdr:spPr bwMode="auto">
        <a:xfrm>
          <a:off x="5657850" y="342900"/>
          <a:ext cx="1413510" cy="335280"/>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1100" b="0" i="0" u="none" strike="noStrike" baseline="0">
              <a:solidFill>
                <a:srgbClr val="000000"/>
              </a:solidFill>
              <a:latin typeface="ＭＳ Ｐゴシック"/>
              <a:ea typeface="ＭＳ Ｐゴシック"/>
            </a:rPr>
            <a:t>CSV出力用ボタン</a:t>
          </a:r>
        </a:p>
      </xdr:txBody>
    </xdr:sp>
    <xdr:clientData fPrintsWithSheet="0"/>
  </xdr:twoCellAnchor>
</xdr:wsDr>
</file>

<file path=xl/externalLinks/_rels/externalLink1.xml.rels><?xml version="1.0" encoding="UTF-8" standalone="yes"?>
<Relationships xmlns="http://schemas.openxmlformats.org/package/2006/relationships"><Relationship Id="rId2" Type="http://schemas.openxmlformats.org/officeDocument/2006/relationships/externalLinkPath" Target="https://nihonsogyo01.sharepoint.com/sites/BULGARI/Shared%20Documents/4.&#35686;&#20633;&#26085;&#35468;&#12539;&#21103;&#38450;&#28797;&#30330;&#22577;&#35352;&#37682;/&#12304;BHT&#12305;&#35686;&#20633;&#26085;&#22577;_(2026&#24180;01&#26376;).xlsm" TargetMode="External"/><Relationship Id="rId1" Type="http://schemas.openxmlformats.org/officeDocument/2006/relationships/externalLinkPath" Target="&#12304;BHT&#12305;&#35686;&#20633;&#26085;&#22577;_(2026&#24180;01&#26376;).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driveId="b!dzlEKKKO90mBPDxZ3azo5DPrM77L3ThPo18cYQiOdCW9AlMiPeINS7Hb69iPZW8A" itemId="015KAMIQUBF4GYTXPZAZGZ5CWV6VFETXWW">
      <xxl21:absoluteUrl r:id="rId2"/>
    </xxl21:alternateUrls>
    <sheetNames>
      <sheetName val="初期値"/>
      <sheetName val="管制実績"/>
      <sheetName val="配置表"/>
      <sheetName val="カウント"/>
      <sheetName val="月次報告書"/>
      <sheetName val="原本 (2)"/>
      <sheetName val="原本"/>
      <sheetName val="1"/>
      <sheetName val="2"/>
      <sheetName val="3"/>
      <sheetName val="4"/>
      <sheetName val="5"/>
      <sheetName val="6"/>
      <sheetName val="7"/>
      <sheetName val="8"/>
      <sheetName val="9"/>
      <sheetName val="10"/>
      <sheetName val="11"/>
      <sheetName val="12"/>
      <sheetName val="13"/>
      <sheetName val="14"/>
      <sheetName val="15"/>
      <sheetName val="16"/>
      <sheetName val="17"/>
      <sheetName val="18"/>
      <sheetName val="19"/>
      <sheetName val="20"/>
      <sheetName val="21"/>
      <sheetName val="22"/>
      <sheetName val="23"/>
      <sheetName val="24"/>
      <sheetName val="25"/>
      <sheetName val="26"/>
      <sheetName val="27"/>
      <sheetName val="28"/>
      <sheetName val="29"/>
      <sheetName val="30"/>
      <sheetName val="31"/>
    </sheetNames>
    <sheetDataSet>
      <sheetData sheetId="0">
        <row r="2">
          <cell r="A2">
            <v>2026</v>
          </cell>
        </row>
        <row r="3">
          <cell r="A3">
            <v>1</v>
          </cell>
        </row>
      </sheetData>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Set>
  </externalBook>
</externalLink>
</file>

<file path=xl/richData/_rels/richValueRel.xml.rels><?xml version="1.0" encoding="UTF-8" standalone="yes"?>
<Relationships xmlns="http://schemas.openxmlformats.org/package/2006/relationships"><Relationship Id="rId8" Type="http://schemas.openxmlformats.org/officeDocument/2006/relationships/image" Target="../media/image8.gif"/><Relationship Id="rId13" Type="http://schemas.openxmlformats.org/officeDocument/2006/relationships/image" Target="../media/image13.gif"/><Relationship Id="rId3" Type="http://schemas.openxmlformats.org/officeDocument/2006/relationships/image" Target="../media/image3.gif"/><Relationship Id="rId7" Type="http://schemas.openxmlformats.org/officeDocument/2006/relationships/image" Target="../media/image7.gif"/><Relationship Id="rId12" Type="http://schemas.openxmlformats.org/officeDocument/2006/relationships/image" Target="../media/image12.gif"/><Relationship Id="rId2" Type="http://schemas.openxmlformats.org/officeDocument/2006/relationships/image" Target="../media/image2.gif"/><Relationship Id="rId1" Type="http://schemas.openxmlformats.org/officeDocument/2006/relationships/image" Target="../media/image1.gif"/><Relationship Id="rId6" Type="http://schemas.openxmlformats.org/officeDocument/2006/relationships/image" Target="../media/image6.gif"/><Relationship Id="rId11" Type="http://schemas.openxmlformats.org/officeDocument/2006/relationships/image" Target="../media/image11.gif"/><Relationship Id="rId5" Type="http://schemas.openxmlformats.org/officeDocument/2006/relationships/image" Target="../media/image5.gif"/><Relationship Id="rId10" Type="http://schemas.openxmlformats.org/officeDocument/2006/relationships/image" Target="../media/image10.gif"/><Relationship Id="rId4" Type="http://schemas.openxmlformats.org/officeDocument/2006/relationships/image" Target="../media/image4.gif"/><Relationship Id="rId9" Type="http://schemas.openxmlformats.org/officeDocument/2006/relationships/image" Target="../media/image9.gif"/></Relationships>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rvTypesInfo>
</file>

<file path=xl/richData/rdrichvalue.xml><?xml version="1.0" encoding="utf-8"?>
<rvData xmlns="http://schemas.microsoft.com/office/spreadsheetml/2017/richdata" count="13">
  <rv s="0">
    <v>0</v>
    <v>5</v>
    <v>快晴の記号</v>
  </rv>
  <rv s="0">
    <v>1</v>
    <v>5</v>
    <v>晴の記号</v>
  </rv>
  <rv s="0">
    <v>2</v>
    <v>5</v>
    <v>薄曇の記号</v>
  </rv>
  <rv s="0">
    <v>3</v>
    <v>5</v>
    <v>曇の記号</v>
  </rv>
  <rv s="0">
    <v>4</v>
    <v>5</v>
    <v>煙霧の記号</v>
  </rv>
  <rv s="0">
    <v>5</v>
    <v>5</v>
    <v>霧の記号</v>
  </rv>
  <rv s="0">
    <v>6</v>
    <v>5</v>
    <v>霧雨の記号</v>
  </rv>
  <rv s="0">
    <v>7</v>
    <v>5</v>
    <v>雨の記号</v>
  </rv>
  <rv s="0">
    <v>8</v>
    <v>5</v>
    <v>みぞれの記号</v>
  </rv>
  <rv s="0">
    <v>9</v>
    <v>5</v>
    <v>雪の記号</v>
  </rv>
  <rv s="0">
    <v>10</v>
    <v>5</v>
    <v>あられの記号</v>
  </rv>
  <rv s="0">
    <v>11</v>
    <v>5</v>
    <v>ひょうの記号</v>
  </rv>
  <rv s="0">
    <v>12</v>
    <v>5</v>
    <v>雷の記号</v>
  </rv>
</rvData>
</file>

<file path=xl/richData/rdrichvaluestructure.xml><?xml version="1.0" encoding="utf-8"?>
<rvStructures xmlns="http://schemas.microsoft.com/office/spreadsheetml/2017/richdata" count="1">
  <s t="_localImage">
    <k n="_rvRel:LocalImageIdentifier" t="i"/>
    <k n="CalcOrigin" t="i"/>
    <k n="Text" t="s"/>
  </s>
</rvStructures>
</file>

<file path=xl/richData/richValueRel.xml><?xml version="1.0" encoding="utf-8"?>
<richValueRels xmlns="http://schemas.microsoft.com/office/spreadsheetml/2022/richvaluerel" xmlns:r="http://schemas.openxmlformats.org/officeDocument/2006/relationships">
  <rel r:id="rId1"/>
  <rel r:id="rId2"/>
  <rel r:id="rId3"/>
  <rel r:id="rId4"/>
  <rel r:id="rId5"/>
  <rel r:id="rId6"/>
  <rel r:id="rId7"/>
  <rel r:id="rId8"/>
  <rel r:id="rId9"/>
  <rel r:id="rId10"/>
  <rel r:id="rId11"/>
  <rel r:id="rId12"/>
  <rel r:id="rId13"/>
</richValueRels>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4.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8.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3.bin"/></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4.bin"/></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5.bin"/></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6.bin"/></Relationships>
</file>

<file path=xl/worksheets/_rels/sheet13.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7.bin"/></Relationships>
</file>

<file path=xl/worksheets/_rels/sheet14.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8.bin"/></Relationships>
</file>

<file path=xl/worksheets/_rels/sheet15.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9.bin"/></Relationships>
</file>

<file path=xl/worksheets/_rels/sheet16.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rinterSettings" Target="../printerSettings/printerSettings10.bin"/></Relationships>
</file>

<file path=xl/worksheets/_rels/sheet17.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rinterSettings" Target="../printerSettings/printerSettings11.bin"/></Relationships>
</file>

<file path=xl/worksheets/_rels/sheet18.xml.rels><?xml version="1.0" encoding="UTF-8" standalone="yes"?>
<Relationships xmlns="http://schemas.openxmlformats.org/package/2006/relationships"><Relationship Id="rId2" Type="http://schemas.openxmlformats.org/officeDocument/2006/relationships/drawing" Target="../drawings/drawing13.xml"/><Relationship Id="rId1" Type="http://schemas.openxmlformats.org/officeDocument/2006/relationships/printerSettings" Target="../printerSettings/printerSettings12.bin"/></Relationships>
</file>

<file path=xl/worksheets/_rels/sheet19.xml.rels><?xml version="1.0" encoding="UTF-8" standalone="yes"?>
<Relationships xmlns="http://schemas.openxmlformats.org/package/2006/relationships"><Relationship Id="rId2" Type="http://schemas.openxmlformats.org/officeDocument/2006/relationships/drawing" Target="../drawings/drawing14.xml"/><Relationship Id="rId1" Type="http://schemas.openxmlformats.org/officeDocument/2006/relationships/printerSettings" Target="../printerSettings/printerSettings13.bin"/></Relationships>
</file>

<file path=xl/worksheets/_rels/sheet20.xml.rels><?xml version="1.0" encoding="UTF-8" standalone="yes"?>
<Relationships xmlns="http://schemas.openxmlformats.org/package/2006/relationships"><Relationship Id="rId2" Type="http://schemas.openxmlformats.org/officeDocument/2006/relationships/drawing" Target="../drawings/drawing15.xml"/><Relationship Id="rId1" Type="http://schemas.openxmlformats.org/officeDocument/2006/relationships/printerSettings" Target="../printerSettings/printerSettings14.bin"/></Relationships>
</file>

<file path=xl/worksheets/_rels/sheet21.xml.rels><?xml version="1.0" encoding="UTF-8" standalone="yes"?>
<Relationships xmlns="http://schemas.openxmlformats.org/package/2006/relationships"><Relationship Id="rId2" Type="http://schemas.openxmlformats.org/officeDocument/2006/relationships/drawing" Target="../drawings/drawing16.xml"/><Relationship Id="rId1" Type="http://schemas.openxmlformats.org/officeDocument/2006/relationships/printerSettings" Target="../printerSettings/printerSettings15.bin"/></Relationships>
</file>

<file path=xl/worksheets/_rels/sheet22.xml.rels><?xml version="1.0" encoding="UTF-8" standalone="yes"?>
<Relationships xmlns="http://schemas.openxmlformats.org/package/2006/relationships"><Relationship Id="rId2" Type="http://schemas.openxmlformats.org/officeDocument/2006/relationships/drawing" Target="../drawings/drawing17.xml"/><Relationship Id="rId1" Type="http://schemas.openxmlformats.org/officeDocument/2006/relationships/printerSettings" Target="../printerSettings/printerSettings16.bin"/></Relationships>
</file>

<file path=xl/worksheets/_rels/sheet23.xml.rels><?xml version="1.0" encoding="UTF-8" standalone="yes"?>
<Relationships xmlns="http://schemas.openxmlformats.org/package/2006/relationships"><Relationship Id="rId2" Type="http://schemas.openxmlformats.org/officeDocument/2006/relationships/drawing" Target="../drawings/drawing18.xml"/><Relationship Id="rId1" Type="http://schemas.openxmlformats.org/officeDocument/2006/relationships/printerSettings" Target="../printerSettings/printerSettings17.bin"/></Relationships>
</file>

<file path=xl/worksheets/_rels/sheet24.xml.rels><?xml version="1.0" encoding="UTF-8" standalone="yes"?>
<Relationships xmlns="http://schemas.openxmlformats.org/package/2006/relationships"><Relationship Id="rId2" Type="http://schemas.openxmlformats.org/officeDocument/2006/relationships/drawing" Target="../drawings/drawing19.xml"/><Relationship Id="rId1" Type="http://schemas.openxmlformats.org/officeDocument/2006/relationships/printerSettings" Target="../printerSettings/printerSettings18.bin"/></Relationships>
</file>

<file path=xl/worksheets/_rels/sheet25.xml.rels><?xml version="1.0" encoding="UTF-8" standalone="yes"?>
<Relationships xmlns="http://schemas.openxmlformats.org/package/2006/relationships"><Relationship Id="rId2" Type="http://schemas.openxmlformats.org/officeDocument/2006/relationships/drawing" Target="../drawings/drawing20.xml"/><Relationship Id="rId1" Type="http://schemas.openxmlformats.org/officeDocument/2006/relationships/printerSettings" Target="../printerSettings/printerSettings19.bin"/></Relationships>
</file>

<file path=xl/worksheets/_rels/sheet26.xml.rels><?xml version="1.0" encoding="UTF-8" standalone="yes"?>
<Relationships xmlns="http://schemas.openxmlformats.org/package/2006/relationships"><Relationship Id="rId2" Type="http://schemas.openxmlformats.org/officeDocument/2006/relationships/drawing" Target="../drawings/drawing21.xml"/><Relationship Id="rId1" Type="http://schemas.openxmlformats.org/officeDocument/2006/relationships/printerSettings" Target="../printerSettings/printerSettings20.bin"/></Relationships>
</file>

<file path=xl/worksheets/_rels/sheet27.xml.rels><?xml version="1.0" encoding="UTF-8" standalone="yes"?>
<Relationships xmlns="http://schemas.openxmlformats.org/package/2006/relationships"><Relationship Id="rId2" Type="http://schemas.openxmlformats.org/officeDocument/2006/relationships/drawing" Target="../drawings/drawing22.xml"/><Relationship Id="rId1" Type="http://schemas.openxmlformats.org/officeDocument/2006/relationships/printerSettings" Target="../printerSettings/printerSettings21.bin"/></Relationships>
</file>

<file path=xl/worksheets/_rels/sheet28.xml.rels><?xml version="1.0" encoding="UTF-8" standalone="yes"?>
<Relationships xmlns="http://schemas.openxmlformats.org/package/2006/relationships"><Relationship Id="rId2" Type="http://schemas.openxmlformats.org/officeDocument/2006/relationships/drawing" Target="../drawings/drawing23.xml"/><Relationship Id="rId1" Type="http://schemas.openxmlformats.org/officeDocument/2006/relationships/printerSettings" Target="../printerSettings/printerSettings22.bin"/></Relationships>
</file>

<file path=xl/worksheets/_rels/sheet29.xml.rels><?xml version="1.0" encoding="UTF-8" standalone="yes"?>
<Relationships xmlns="http://schemas.openxmlformats.org/package/2006/relationships"><Relationship Id="rId2" Type="http://schemas.openxmlformats.org/officeDocument/2006/relationships/drawing" Target="../drawings/drawing24.xml"/><Relationship Id="rId1" Type="http://schemas.openxmlformats.org/officeDocument/2006/relationships/printerSettings" Target="../printerSettings/printerSettings23.bin"/></Relationships>
</file>

<file path=xl/worksheets/_rels/sheet30.xml.rels><?xml version="1.0" encoding="UTF-8" standalone="yes"?>
<Relationships xmlns="http://schemas.openxmlformats.org/package/2006/relationships"><Relationship Id="rId2" Type="http://schemas.openxmlformats.org/officeDocument/2006/relationships/drawing" Target="../drawings/drawing25.xml"/><Relationship Id="rId1" Type="http://schemas.openxmlformats.org/officeDocument/2006/relationships/printerSettings" Target="../printerSettings/printerSettings24.bin"/></Relationships>
</file>

<file path=xl/worksheets/_rels/sheet31.xml.rels><?xml version="1.0" encoding="UTF-8" standalone="yes"?>
<Relationships xmlns="http://schemas.openxmlformats.org/package/2006/relationships"><Relationship Id="rId2" Type="http://schemas.openxmlformats.org/officeDocument/2006/relationships/drawing" Target="../drawings/drawing26.xml"/><Relationship Id="rId1" Type="http://schemas.openxmlformats.org/officeDocument/2006/relationships/printerSettings" Target="../printerSettings/printerSettings25.bin"/></Relationships>
</file>

<file path=xl/worksheets/_rels/sheet32.xml.rels><?xml version="1.0" encoding="UTF-8" standalone="yes"?>
<Relationships xmlns="http://schemas.openxmlformats.org/package/2006/relationships"><Relationship Id="rId2" Type="http://schemas.openxmlformats.org/officeDocument/2006/relationships/drawing" Target="../drawings/drawing27.xml"/><Relationship Id="rId1" Type="http://schemas.openxmlformats.org/officeDocument/2006/relationships/printerSettings" Target="../printerSettings/printerSettings26.bin"/></Relationships>
</file>

<file path=xl/worksheets/_rels/sheet33.xml.rels><?xml version="1.0" encoding="UTF-8" standalone="yes"?>
<Relationships xmlns="http://schemas.openxmlformats.org/package/2006/relationships"><Relationship Id="rId2" Type="http://schemas.openxmlformats.org/officeDocument/2006/relationships/drawing" Target="../drawings/drawing28.xml"/><Relationship Id="rId1" Type="http://schemas.openxmlformats.org/officeDocument/2006/relationships/printerSettings" Target="../printerSettings/printerSettings27.bin"/></Relationships>
</file>

<file path=xl/worksheets/_rels/sheet34.xml.rels><?xml version="1.0" encoding="UTF-8" standalone="yes"?>
<Relationships xmlns="http://schemas.openxmlformats.org/package/2006/relationships"><Relationship Id="rId2" Type="http://schemas.openxmlformats.org/officeDocument/2006/relationships/drawing" Target="../drawings/drawing29.xml"/><Relationship Id="rId1" Type="http://schemas.openxmlformats.org/officeDocument/2006/relationships/printerSettings" Target="../printerSettings/printerSettings28.bin"/></Relationships>
</file>

<file path=xl/worksheets/_rels/sheet35.xml.rels><?xml version="1.0" encoding="UTF-8" standalone="yes"?>
<Relationships xmlns="http://schemas.openxmlformats.org/package/2006/relationships"><Relationship Id="rId2" Type="http://schemas.openxmlformats.org/officeDocument/2006/relationships/drawing" Target="../drawings/drawing30.xml"/><Relationship Id="rId1" Type="http://schemas.openxmlformats.org/officeDocument/2006/relationships/printerSettings" Target="../printerSettings/printerSettings29.bin"/></Relationships>
</file>

<file path=xl/worksheets/_rels/sheet36.xml.rels><?xml version="1.0" encoding="UTF-8" standalone="yes"?>
<Relationships xmlns="http://schemas.openxmlformats.org/package/2006/relationships"><Relationship Id="rId2" Type="http://schemas.openxmlformats.org/officeDocument/2006/relationships/drawing" Target="../drawings/drawing31.xml"/><Relationship Id="rId1" Type="http://schemas.openxmlformats.org/officeDocument/2006/relationships/printerSettings" Target="../printerSettings/printerSettings30.bin"/></Relationships>
</file>

<file path=xl/worksheets/_rels/sheet37.xml.rels><?xml version="1.0" encoding="UTF-8" standalone="yes"?>
<Relationships xmlns="http://schemas.openxmlformats.org/package/2006/relationships"><Relationship Id="rId2" Type="http://schemas.openxmlformats.org/officeDocument/2006/relationships/drawing" Target="../drawings/drawing32.xml"/><Relationship Id="rId1" Type="http://schemas.openxmlformats.org/officeDocument/2006/relationships/printerSettings" Target="../printerSettings/printerSettings31.bin"/></Relationships>
</file>

<file path=xl/worksheets/_rels/sheet38.xml.rels><?xml version="1.0" encoding="UTF-8" standalone="yes"?>
<Relationships xmlns="http://schemas.openxmlformats.org/package/2006/relationships"><Relationship Id="rId2" Type="http://schemas.openxmlformats.org/officeDocument/2006/relationships/drawing" Target="../drawings/drawing33.xml"/><Relationship Id="rId1" Type="http://schemas.openxmlformats.org/officeDocument/2006/relationships/printerSettings" Target="../printerSettings/printerSettings32.bin"/></Relationships>
</file>

<file path=xl/worksheets/_rels/sheet39.xml.rels><?xml version="1.0" encoding="UTF-8" standalone="yes"?>
<Relationships xmlns="http://schemas.openxmlformats.org/package/2006/relationships"><Relationship Id="rId2" Type="http://schemas.openxmlformats.org/officeDocument/2006/relationships/drawing" Target="../drawings/drawing34.xml"/><Relationship Id="rId1" Type="http://schemas.openxmlformats.org/officeDocument/2006/relationships/printerSettings" Target="../printerSettings/printerSettings33.bin"/></Relationships>
</file>

<file path=xl/worksheets/_rels/sheet40.xml.rels><?xml version="1.0" encoding="UTF-8" standalone="yes"?>
<Relationships xmlns="http://schemas.openxmlformats.org/package/2006/relationships"><Relationship Id="rId2" Type="http://schemas.openxmlformats.org/officeDocument/2006/relationships/drawing" Target="../drawings/drawing35.xml"/><Relationship Id="rId1" Type="http://schemas.openxmlformats.org/officeDocument/2006/relationships/printerSettings" Target="../printerSettings/printerSettings3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ADD0345-AB4B-4B43-AE31-79D415C9CA8B}">
  <sheetPr codeName="Sheet1"/>
  <dimension ref="A1:P29"/>
  <sheetViews>
    <sheetView topLeftCell="A3" workbookViewId="0">
      <selection activeCell="J18" sqref="J18"/>
    </sheetView>
  </sheetViews>
  <sheetFormatPr defaultRowHeight="13.5"/>
  <cols>
    <col min="1" max="1" width="10.75" style="3" customWidth="1"/>
    <col min="2" max="13" width="9" style="3"/>
    <col min="14" max="14" width="31.75" style="3" bestFit="1" customWidth="1"/>
    <col min="15" max="15" width="9" style="3"/>
    <col min="16" max="16" width="14" style="3" bestFit="1" customWidth="1"/>
    <col min="17" max="16384" width="9" style="3"/>
  </cols>
  <sheetData>
    <row r="1" spans="1:16" ht="17.25">
      <c r="A1" s="8" t="s">
        <v>0</v>
      </c>
      <c r="B1" s="8"/>
      <c r="C1" s="9"/>
      <c r="D1" s="9"/>
      <c r="E1" s="9"/>
      <c r="F1" s="9"/>
      <c r="G1" s="10"/>
    </row>
    <row r="2" spans="1:16" ht="17.25">
      <c r="A2" s="11">
        <v>2026</v>
      </c>
      <c r="B2" s="8" t="s">
        <v>1</v>
      </c>
      <c r="C2" s="9"/>
      <c r="D2" s="9"/>
      <c r="E2" s="9"/>
      <c r="F2" s="9"/>
      <c r="G2" s="10"/>
    </row>
    <row r="3" spans="1:16" ht="17.25">
      <c r="A3" s="11">
        <v>6</v>
      </c>
      <c r="B3" s="8" t="s">
        <v>2</v>
      </c>
      <c r="C3" s="9">
        <v>30</v>
      </c>
      <c r="D3" s="9" t="s">
        <v>3</v>
      </c>
      <c r="E3" s="9"/>
      <c r="F3" s="9"/>
      <c r="G3" s="10"/>
    </row>
    <row r="4" spans="1:16" ht="17.25">
      <c r="A4" s="9"/>
      <c r="B4" s="9"/>
      <c r="C4" s="9"/>
      <c r="D4" s="9"/>
      <c r="E4" s="9"/>
      <c r="F4" s="9"/>
      <c r="G4" s="10"/>
    </row>
    <row r="5" spans="1:16" ht="17.25">
      <c r="A5" s="9"/>
      <c r="B5" s="9"/>
      <c r="C5" s="9"/>
      <c r="D5" s="9"/>
      <c r="E5" s="9"/>
      <c r="F5" s="9"/>
      <c r="G5" s="10"/>
    </row>
    <row r="6" spans="1:16" ht="17.25">
      <c r="A6" s="9"/>
      <c r="B6" s="9"/>
      <c r="C6" s="9"/>
      <c r="D6" s="9"/>
      <c r="E6" s="9"/>
      <c r="F6" s="9"/>
      <c r="G6" s="10"/>
    </row>
    <row r="7" spans="1:16" ht="17.25">
      <c r="A7" s="9"/>
      <c r="B7" s="9"/>
      <c r="C7" s="9"/>
      <c r="D7" s="9"/>
      <c r="E7" s="9"/>
      <c r="F7" s="9"/>
      <c r="G7" s="10"/>
    </row>
    <row r="8" spans="1:16" ht="17.25">
      <c r="A8" s="9"/>
      <c r="B8" s="9"/>
      <c r="C8" s="9"/>
      <c r="D8" s="9"/>
      <c r="E8" s="9"/>
      <c r="F8" s="9"/>
      <c r="G8" s="10"/>
    </row>
    <row r="9" spans="1:16" ht="17.25">
      <c r="A9" s="9"/>
      <c r="B9" s="9"/>
      <c r="C9" s="9"/>
      <c r="D9" s="9"/>
      <c r="E9" s="9"/>
      <c r="F9" s="9"/>
      <c r="G9" s="10"/>
    </row>
    <row r="10" spans="1:16" ht="17.25">
      <c r="A10" s="9"/>
      <c r="B10" s="9"/>
      <c r="C10" s="9"/>
      <c r="D10" s="9"/>
      <c r="E10" s="9"/>
      <c r="F10" s="9"/>
      <c r="G10" s="10"/>
    </row>
    <row r="11" spans="1:16">
      <c r="A11" s="19" t="s">
        <v>4</v>
      </c>
      <c r="B11" s="18"/>
      <c r="C11" s="19" t="s">
        <v>5</v>
      </c>
      <c r="D11" s="18"/>
      <c r="E11" s="19" t="s">
        <v>6</v>
      </c>
      <c r="F11" s="18"/>
      <c r="G11" s="19" t="s">
        <v>7</v>
      </c>
      <c r="H11" s="20"/>
      <c r="I11" s="21"/>
      <c r="J11" s="22" t="s">
        <v>8</v>
      </c>
      <c r="K11" s="21"/>
      <c r="L11" s="22" t="s">
        <v>9</v>
      </c>
      <c r="N11" s="118" t="s">
        <v>10</v>
      </c>
      <c r="P11" s="118" t="s">
        <v>11</v>
      </c>
    </row>
    <row r="12" spans="1:16" ht="14.25">
      <c r="A12" s="6" t="s">
        <v>12</v>
      </c>
      <c r="B12" s="13"/>
      <c r="C12" s="6" t="s">
        <v>13</v>
      </c>
      <c r="D12" s="4"/>
      <c r="E12" s="5" t="s">
        <v>14</v>
      </c>
      <c r="F12" s="4"/>
      <c r="G12" s="6" t="s">
        <v>15</v>
      </c>
      <c r="H12" s="7" t="e" vm="1">
        <v>#VALUE!</v>
      </c>
      <c r="J12" s="17" t="s">
        <v>16</v>
      </c>
      <c r="L12" s="17" t="s">
        <v>17</v>
      </c>
      <c r="N12" s="17" t="s">
        <v>18</v>
      </c>
      <c r="P12" s="17" t="s">
        <v>19</v>
      </c>
    </row>
    <row r="13" spans="1:16" ht="14.25">
      <c r="A13" s="6" t="s">
        <v>20</v>
      </c>
      <c r="B13" s="13"/>
      <c r="C13" s="6" t="s">
        <v>21</v>
      </c>
      <c r="D13" s="4"/>
      <c r="E13" s="5" t="s">
        <v>22</v>
      </c>
      <c r="F13" s="4"/>
      <c r="G13" s="6" t="s">
        <v>23</v>
      </c>
      <c r="H13" s="7" t="e" vm="2">
        <v>#VALUE!</v>
      </c>
      <c r="J13" s="17" t="s">
        <v>24</v>
      </c>
      <c r="L13" s="17" t="s">
        <v>25</v>
      </c>
      <c r="N13" s="17" t="s">
        <v>26</v>
      </c>
      <c r="P13" s="17" t="s">
        <v>27</v>
      </c>
    </row>
    <row r="14" spans="1:16" ht="14.25">
      <c r="A14" s="6" t="s">
        <v>28</v>
      </c>
      <c r="B14" s="13"/>
      <c r="C14" s="6" t="s">
        <v>29</v>
      </c>
      <c r="D14" s="4"/>
      <c r="E14" s="4"/>
      <c r="F14" s="4"/>
      <c r="G14" s="6" t="s">
        <v>30</v>
      </c>
      <c r="H14" s="7" t="e" vm="3">
        <v>#VALUE!</v>
      </c>
      <c r="J14" s="17" t="s">
        <v>31</v>
      </c>
      <c r="L14" s="17" t="s">
        <v>32</v>
      </c>
      <c r="N14" s="17" t="s">
        <v>33</v>
      </c>
      <c r="P14" s="17" t="s">
        <v>34</v>
      </c>
    </row>
    <row r="15" spans="1:16" ht="14.25">
      <c r="A15" s="6" t="s">
        <v>35</v>
      </c>
      <c r="B15" s="13"/>
      <c r="C15" s="6" t="s">
        <v>36</v>
      </c>
      <c r="D15" s="4"/>
      <c r="E15" s="4"/>
      <c r="F15" s="4"/>
      <c r="G15" s="6" t="s">
        <v>37</v>
      </c>
      <c r="H15" s="7" t="e" vm="4">
        <v>#VALUE!</v>
      </c>
      <c r="J15" s="17" t="s">
        <v>38</v>
      </c>
      <c r="L15" s="17" t="s">
        <v>39</v>
      </c>
      <c r="N15" s="17" t="s">
        <v>40</v>
      </c>
      <c r="P15" s="17" t="s">
        <v>41</v>
      </c>
    </row>
    <row r="16" spans="1:16" ht="14.25">
      <c r="A16" s="15" t="s">
        <v>42</v>
      </c>
      <c r="B16" s="13"/>
      <c r="C16" s="6" t="s">
        <v>43</v>
      </c>
      <c r="D16" s="4"/>
      <c r="E16" s="4"/>
      <c r="F16" s="4"/>
      <c r="G16" s="6" t="s">
        <v>44</v>
      </c>
      <c r="H16" s="7" t="e" vm="5">
        <v>#VALUE!</v>
      </c>
      <c r="J16" s="17" t="s">
        <v>45</v>
      </c>
      <c r="L16" s="17" t="s">
        <v>46</v>
      </c>
      <c r="N16" s="17" t="s">
        <v>47</v>
      </c>
      <c r="P16" s="17" t="s">
        <v>48</v>
      </c>
    </row>
    <row r="17" spans="1:16" ht="14.25">
      <c r="A17" s="15" t="s">
        <v>49</v>
      </c>
      <c r="B17" s="13"/>
      <c r="C17" s="6" t="s">
        <v>50</v>
      </c>
      <c r="D17" s="4"/>
      <c r="E17" s="4"/>
      <c r="F17" s="4"/>
      <c r="G17" s="6" t="s">
        <v>51</v>
      </c>
      <c r="H17" s="7" t="e" vm="6">
        <v>#VALUE!</v>
      </c>
      <c r="J17" s="17" t="s">
        <v>52</v>
      </c>
      <c r="L17" s="17" t="s">
        <v>53</v>
      </c>
      <c r="N17" s="17"/>
      <c r="P17" s="17" t="s">
        <v>54</v>
      </c>
    </row>
    <row r="18" spans="1:16" ht="14.25">
      <c r="A18" s="15" t="s">
        <v>55</v>
      </c>
      <c r="B18" s="13"/>
      <c r="C18" s="6" t="s">
        <v>56</v>
      </c>
      <c r="D18" s="4"/>
      <c r="E18" s="4"/>
      <c r="F18" s="4"/>
      <c r="G18" s="6" t="s">
        <v>57</v>
      </c>
      <c r="H18" s="7" t="e" vm="7">
        <v>#VALUE!</v>
      </c>
      <c r="J18" s="17" t="s">
        <v>58</v>
      </c>
      <c r="L18" s="17" t="s">
        <v>59</v>
      </c>
      <c r="N18" s="17"/>
      <c r="P18" s="17" t="s">
        <v>60</v>
      </c>
    </row>
    <row r="19" spans="1:16" ht="14.25">
      <c r="A19" s="15" t="s">
        <v>61</v>
      </c>
      <c r="B19" s="13"/>
      <c r="C19" s="6" t="s">
        <v>62</v>
      </c>
      <c r="D19" s="4"/>
      <c r="E19" s="4"/>
      <c r="F19" s="4"/>
      <c r="G19" s="6" t="s">
        <v>63</v>
      </c>
      <c r="H19" s="7" t="e" vm="8">
        <v>#VALUE!</v>
      </c>
      <c r="J19" s="17" t="s">
        <v>64</v>
      </c>
      <c r="L19" s="17" t="s">
        <v>65</v>
      </c>
      <c r="N19" s="17"/>
      <c r="P19" s="17" t="s">
        <v>66</v>
      </c>
    </row>
    <row r="20" spans="1:16" ht="14.25">
      <c r="A20" s="15" t="s">
        <v>67</v>
      </c>
      <c r="B20" s="13"/>
      <c r="C20" s="6" t="s">
        <v>68</v>
      </c>
      <c r="D20" s="4"/>
      <c r="E20" s="4"/>
      <c r="F20" s="4"/>
      <c r="G20" s="6" t="s">
        <v>69</v>
      </c>
      <c r="H20" s="7" t="e" vm="9">
        <v>#VALUE!</v>
      </c>
      <c r="P20" s="17" t="s">
        <v>70</v>
      </c>
    </row>
    <row r="21" spans="1:16" ht="14.25">
      <c r="A21" s="15" t="s">
        <v>71</v>
      </c>
      <c r="B21" s="13"/>
      <c r="C21" s="6" t="s">
        <v>72</v>
      </c>
      <c r="D21" s="4"/>
      <c r="E21" s="4"/>
      <c r="F21" s="4"/>
      <c r="G21" s="6" t="s">
        <v>73</v>
      </c>
      <c r="H21" s="7" t="e" vm="10">
        <v>#VALUE!</v>
      </c>
      <c r="N21" s="118" t="s">
        <v>74</v>
      </c>
      <c r="P21" s="17" t="s">
        <v>75</v>
      </c>
    </row>
    <row r="22" spans="1:16" ht="14.25">
      <c r="A22" s="16" t="s">
        <v>76</v>
      </c>
      <c r="B22" s="13"/>
      <c r="C22" s="6" t="s">
        <v>77</v>
      </c>
      <c r="D22" s="4"/>
      <c r="E22" s="4"/>
      <c r="F22" s="4"/>
      <c r="G22" s="6" t="s">
        <v>78</v>
      </c>
      <c r="H22" s="7" t="e" vm="11">
        <v>#VALUE!</v>
      </c>
      <c r="N22" s="17" t="s">
        <v>79</v>
      </c>
      <c r="P22" s="17"/>
    </row>
    <row r="23" spans="1:16" ht="14.25">
      <c r="A23" s="6" t="s">
        <v>80</v>
      </c>
      <c r="B23" s="13"/>
      <c r="C23" s="6" t="s">
        <v>81</v>
      </c>
      <c r="D23" s="4"/>
      <c r="E23" s="4"/>
      <c r="F23" s="4"/>
      <c r="G23" s="6" t="s">
        <v>82</v>
      </c>
      <c r="H23" s="7" t="e" vm="12">
        <v>#VALUE!</v>
      </c>
      <c r="N23" s="17" t="s">
        <v>83</v>
      </c>
      <c r="P23" s="17"/>
    </row>
    <row r="24" spans="1:16" ht="14.25">
      <c r="A24" s="15"/>
      <c r="B24" s="2"/>
      <c r="C24" s="14" t="s">
        <v>84</v>
      </c>
      <c r="D24" s="2"/>
      <c r="E24" s="2"/>
      <c r="F24" s="2"/>
      <c r="G24" s="12" t="s">
        <v>85</v>
      </c>
      <c r="H24" s="7" t="e" vm="13">
        <v>#VALUE!</v>
      </c>
      <c r="P24" s="17"/>
    </row>
    <row r="25" spans="1:16">
      <c r="A25" s="14"/>
      <c r="B25" s="2"/>
      <c r="C25" s="14"/>
      <c r="D25" s="2"/>
      <c r="E25" s="2"/>
      <c r="F25" s="2"/>
      <c r="P25" s="17"/>
    </row>
    <row r="26" spans="1:16">
      <c r="A26" s="14"/>
      <c r="B26" s="2"/>
      <c r="C26" s="14"/>
      <c r="D26" s="2"/>
      <c r="E26" s="2"/>
      <c r="F26" s="2"/>
      <c r="P26" s="17"/>
    </row>
    <row r="27" spans="1:16">
      <c r="A27" s="14"/>
      <c r="B27" s="2"/>
      <c r="C27" s="14"/>
      <c r="D27" s="2"/>
      <c r="E27" s="2"/>
      <c r="F27" s="2"/>
      <c r="P27" s="17"/>
    </row>
    <row r="28" spans="1:16">
      <c r="A28" s="2"/>
      <c r="B28" s="2"/>
      <c r="C28" s="2"/>
      <c r="D28" s="2"/>
      <c r="E28" s="2"/>
      <c r="F28" s="2"/>
    </row>
    <row r="29" spans="1:16">
      <c r="A29" s="2"/>
      <c r="B29" s="2"/>
      <c r="C29" s="2"/>
      <c r="D29" s="2"/>
      <c r="E29" s="2"/>
      <c r="F29" s="2"/>
    </row>
  </sheetData>
  <sheetProtection sheet="1" objects="1" scenarios="1"/>
  <phoneticPr fontId="2"/>
  <conditionalFormatting sqref="A2:A3">
    <cfRule type="cellIs" dxfId="397" priority="1" operator="equal">
      <formula>""</formula>
    </cfRule>
  </conditionalFormatting>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AE017FF-6331-4788-8A90-44CF605D9703}">
  <sheetPr codeName="Sheet2"/>
  <dimension ref="A1:AN28"/>
  <sheetViews>
    <sheetView tabSelected="1" topLeftCell="C1" workbookViewId="0">
      <selection activeCell="T28" sqref="T28"/>
    </sheetView>
  </sheetViews>
  <sheetFormatPr defaultRowHeight="18.75"/>
  <cols>
    <col min="1" max="1" width="4.75" customWidth="1"/>
    <col min="2" max="2" width="12.125" customWidth="1"/>
    <col min="3" max="3" width="5.5" customWidth="1"/>
    <col min="4" max="33" width="3.625" customWidth="1"/>
    <col min="34" max="34" width="14.125" customWidth="1"/>
    <col min="36" max="36" width="7.25" bestFit="1" customWidth="1"/>
    <col min="37" max="37" width="7.125" bestFit="1" customWidth="1"/>
    <col min="38" max="38" width="16.625" bestFit="1" customWidth="1"/>
  </cols>
  <sheetData>
    <row r="1" spans="1:40">
      <c r="A1" s="68"/>
      <c r="B1" s="68"/>
      <c r="C1" s="68"/>
      <c r="D1" s="225" t="s">
        <v>86</v>
      </c>
      <c r="E1" s="225"/>
      <c r="F1" s="225"/>
      <c r="G1" s="225"/>
      <c r="H1" s="225"/>
      <c r="I1" s="225"/>
      <c r="J1" s="69"/>
      <c r="K1" s="226" t="s">
        <v>87</v>
      </c>
      <c r="L1" s="226"/>
      <c r="M1" s="227">
        <f>DATE(初期値!A2, 初期値!A3, AL1)</f>
        <v>46174</v>
      </c>
      <c r="N1" s="227"/>
      <c r="O1" s="226" t="s">
        <v>88</v>
      </c>
      <c r="P1" s="228">
        <f>M1</f>
        <v>46174</v>
      </c>
      <c r="Q1" s="228"/>
      <c r="R1" s="226" t="s">
        <v>2</v>
      </c>
      <c r="S1" s="71"/>
      <c r="T1" s="72"/>
      <c r="U1" s="71" t="s">
        <v>89</v>
      </c>
      <c r="V1" s="91">
        <f>P1</f>
        <v>46174</v>
      </c>
      <c r="W1" s="72" t="s">
        <v>90</v>
      </c>
      <c r="X1" s="92">
        <f>M1</f>
        <v>46174</v>
      </c>
      <c r="Y1" s="72" t="s">
        <v>91</v>
      </c>
      <c r="Z1" s="72"/>
      <c r="AA1" s="71"/>
      <c r="AB1" s="72"/>
      <c r="AC1" s="219" t="s">
        <v>92</v>
      </c>
      <c r="AD1" s="219"/>
      <c r="AE1" s="219"/>
      <c r="AF1" s="220" t="s">
        <v>93</v>
      </c>
      <c r="AG1" s="220"/>
      <c r="AH1" s="68"/>
      <c r="AI1" s="68"/>
      <c r="AJ1" s="68"/>
      <c r="AK1" s="68"/>
      <c r="AL1" s="68">
        <v>1</v>
      </c>
      <c r="AM1" s="74"/>
      <c r="AN1" s="74"/>
    </row>
    <row r="2" spans="1:40">
      <c r="A2" s="68"/>
      <c r="B2" s="68"/>
      <c r="C2" s="68"/>
      <c r="D2" s="225"/>
      <c r="E2" s="225"/>
      <c r="F2" s="225"/>
      <c r="G2" s="225"/>
      <c r="H2" s="225"/>
      <c r="I2" s="225"/>
      <c r="J2" s="69"/>
      <c r="K2" s="226"/>
      <c r="L2" s="226"/>
      <c r="M2" s="227"/>
      <c r="N2" s="227"/>
      <c r="O2" s="220"/>
      <c r="P2" s="228"/>
      <c r="Q2" s="228"/>
      <c r="R2" s="226"/>
      <c r="S2" s="71"/>
      <c r="T2" s="72"/>
      <c r="U2" s="71" t="s">
        <v>94</v>
      </c>
      <c r="V2" s="91">
        <f>P1</f>
        <v>46174</v>
      </c>
      <c r="W2" s="72" t="s">
        <v>90</v>
      </c>
      <c r="X2" s="71">
        <v>30</v>
      </c>
      <c r="Y2" s="72" t="s">
        <v>95</v>
      </c>
      <c r="Z2" s="72"/>
      <c r="AA2" s="71"/>
      <c r="AB2" s="72"/>
      <c r="AC2" s="219"/>
      <c r="AD2" s="219"/>
      <c r="AE2" s="219"/>
      <c r="AF2" s="220"/>
      <c r="AG2" s="220"/>
      <c r="AH2" s="68"/>
      <c r="AI2" s="75"/>
      <c r="AJ2" s="68"/>
      <c r="AK2" s="68"/>
      <c r="AL2" s="68"/>
      <c r="AM2" s="74"/>
      <c r="AN2" s="74"/>
    </row>
    <row r="3" spans="1:40">
      <c r="A3" s="68"/>
      <c r="B3" s="68"/>
      <c r="C3" s="68"/>
      <c r="D3" s="71"/>
      <c r="E3" s="71"/>
      <c r="F3" s="71"/>
      <c r="G3" s="71"/>
      <c r="H3" s="71"/>
      <c r="I3" s="71"/>
      <c r="J3" s="71"/>
      <c r="K3" s="70"/>
      <c r="L3" s="70"/>
      <c r="M3" s="70"/>
      <c r="N3" s="70"/>
      <c r="O3" s="73"/>
      <c r="P3" s="70"/>
      <c r="Q3" s="70"/>
      <c r="R3" s="70"/>
      <c r="S3" s="71"/>
      <c r="T3" s="72"/>
      <c r="U3" s="71"/>
      <c r="V3" s="71"/>
      <c r="W3" s="72"/>
      <c r="X3" s="71"/>
      <c r="Y3" s="72"/>
      <c r="Z3" s="72"/>
      <c r="AA3" s="71"/>
      <c r="AB3" s="72"/>
      <c r="AC3" s="71"/>
      <c r="AD3" s="71"/>
      <c r="AE3" s="71"/>
      <c r="AF3" s="71"/>
      <c r="AG3" s="71"/>
      <c r="AH3" s="68"/>
      <c r="AI3" s="68"/>
      <c r="AJ3" s="68"/>
      <c r="AK3" s="68"/>
      <c r="AL3" s="68"/>
      <c r="AM3" s="74"/>
      <c r="AN3" s="74"/>
    </row>
    <row r="4" spans="1:40" ht="21">
      <c r="A4" s="76"/>
      <c r="B4" s="208" t="s">
        <v>96</v>
      </c>
      <c r="C4" s="208"/>
      <c r="D4" s="221" t="s">
        <v>97</v>
      </c>
      <c r="E4" s="221"/>
      <c r="F4" s="221"/>
      <c r="G4" s="221"/>
      <c r="H4" s="221"/>
      <c r="I4" s="221"/>
      <c r="J4" s="221"/>
      <c r="K4" s="221"/>
      <c r="L4" s="221"/>
      <c r="M4" s="221"/>
      <c r="N4" s="221"/>
      <c r="O4" s="221"/>
      <c r="P4" s="221"/>
      <c r="Q4" s="221"/>
      <c r="R4" s="221"/>
      <c r="S4" s="221"/>
      <c r="T4" s="221"/>
      <c r="U4" s="222" t="s">
        <v>98</v>
      </c>
      <c r="V4" s="222"/>
      <c r="W4" s="222"/>
      <c r="X4" s="223" t="s">
        <v>99</v>
      </c>
      <c r="Y4" s="224"/>
      <c r="Z4" s="71"/>
      <c r="AA4" s="222" t="s">
        <v>100</v>
      </c>
      <c r="AB4" s="222"/>
      <c r="AC4" s="222"/>
      <c r="AD4" s="224" t="s">
        <v>101</v>
      </c>
      <c r="AE4" s="224"/>
      <c r="AF4" s="78"/>
      <c r="AG4" s="78"/>
      <c r="AH4" s="68"/>
      <c r="AI4" s="68"/>
      <c r="AJ4" s="68"/>
      <c r="AK4" s="68"/>
      <c r="AL4" s="68"/>
      <c r="AM4" s="74"/>
      <c r="AN4" s="74"/>
    </row>
    <row r="5" spans="1:40">
      <c r="A5" s="68"/>
      <c r="B5" s="68"/>
      <c r="C5" s="68"/>
      <c r="D5" s="71"/>
      <c r="E5" s="71"/>
      <c r="F5" s="71"/>
      <c r="G5" s="71"/>
      <c r="H5" s="71"/>
      <c r="I5" s="71"/>
      <c r="J5" s="71"/>
      <c r="K5" s="71"/>
      <c r="L5" s="71"/>
      <c r="M5" s="71"/>
      <c r="N5" s="71"/>
      <c r="O5" s="71"/>
      <c r="P5" s="71"/>
      <c r="Q5" s="71"/>
      <c r="R5" s="71"/>
      <c r="S5" s="71"/>
      <c r="T5" s="71"/>
      <c r="U5" s="71"/>
      <c r="V5" s="71"/>
      <c r="W5" s="71"/>
      <c r="X5" s="71"/>
      <c r="Y5" s="71"/>
      <c r="Z5" s="71"/>
      <c r="AA5" s="71"/>
      <c r="AB5" s="71"/>
      <c r="AC5" s="71"/>
      <c r="AD5" s="71"/>
      <c r="AE5" s="71"/>
      <c r="AF5" s="71"/>
      <c r="AG5" s="71"/>
      <c r="AH5" s="68"/>
      <c r="AI5" s="68"/>
      <c r="AJ5" s="68"/>
      <c r="AK5" s="68"/>
      <c r="AL5" s="68"/>
      <c r="AM5" s="74"/>
      <c r="AN5" s="74"/>
    </row>
    <row r="6" spans="1:40">
      <c r="A6" s="79"/>
      <c r="B6" s="79"/>
      <c r="C6" s="81" t="s">
        <v>102</v>
      </c>
      <c r="D6" s="80">
        <v>1</v>
      </c>
      <c r="E6" s="80">
        <v>2</v>
      </c>
      <c r="F6" s="80">
        <v>3</v>
      </c>
      <c r="G6" s="80">
        <v>4</v>
      </c>
      <c r="H6" s="80">
        <v>5</v>
      </c>
      <c r="I6" s="80">
        <v>6</v>
      </c>
      <c r="J6" s="80">
        <v>7</v>
      </c>
      <c r="K6" s="80">
        <v>8</v>
      </c>
      <c r="L6" s="80">
        <v>9</v>
      </c>
      <c r="M6" s="80">
        <v>10</v>
      </c>
      <c r="N6" s="80">
        <v>11</v>
      </c>
      <c r="O6" s="80">
        <v>12</v>
      </c>
      <c r="P6" s="80">
        <v>13</v>
      </c>
      <c r="Q6" s="80">
        <v>14</v>
      </c>
      <c r="R6" s="80">
        <v>15</v>
      </c>
      <c r="S6" s="80">
        <v>16</v>
      </c>
      <c r="T6" s="80">
        <v>17</v>
      </c>
      <c r="U6" s="80">
        <v>18</v>
      </c>
      <c r="V6" s="80">
        <v>19</v>
      </c>
      <c r="W6" s="80">
        <v>20</v>
      </c>
      <c r="X6" s="80">
        <v>21</v>
      </c>
      <c r="Y6" s="80">
        <v>22</v>
      </c>
      <c r="Z6" s="80">
        <v>23</v>
      </c>
      <c r="AA6" s="80">
        <v>24</v>
      </c>
      <c r="AB6" s="80">
        <v>25</v>
      </c>
      <c r="AC6" s="80">
        <v>26</v>
      </c>
      <c r="AD6" s="80">
        <v>27</v>
      </c>
      <c r="AE6" s="80">
        <v>28</v>
      </c>
      <c r="AF6" s="80">
        <v>29</v>
      </c>
      <c r="AG6" s="80">
        <v>30</v>
      </c>
      <c r="AH6" s="217" t="s">
        <v>103</v>
      </c>
      <c r="AI6" s="68"/>
      <c r="AJ6" s="68"/>
      <c r="AK6" s="68"/>
      <c r="AL6" s="68"/>
      <c r="AM6" s="74"/>
      <c r="AN6" s="74"/>
    </row>
    <row r="7" spans="1:40">
      <c r="A7" s="81"/>
      <c r="B7" s="81" t="s">
        <v>104</v>
      </c>
      <c r="C7" s="81" t="s">
        <v>105</v>
      </c>
      <c r="D7" s="93">
        <f>M1</f>
        <v>46174</v>
      </c>
      <c r="E7" s="93">
        <f>$M$1+1</f>
        <v>46175</v>
      </c>
      <c r="F7" s="93">
        <f>$M$1+2</f>
        <v>46176</v>
      </c>
      <c r="G7" s="93">
        <f>$M$1+3</f>
        <v>46177</v>
      </c>
      <c r="H7" s="93">
        <f>$M$1+4</f>
        <v>46178</v>
      </c>
      <c r="I7" s="93">
        <f>$M$1+5</f>
        <v>46179</v>
      </c>
      <c r="J7" s="93">
        <f>$M$1+6</f>
        <v>46180</v>
      </c>
      <c r="K7" s="93">
        <f>$M$1+7</f>
        <v>46181</v>
      </c>
      <c r="L7" s="93">
        <f>$M$1+8</f>
        <v>46182</v>
      </c>
      <c r="M7" s="93">
        <f>$M$1+9</f>
        <v>46183</v>
      </c>
      <c r="N7" s="93">
        <f>$M$1+10</f>
        <v>46184</v>
      </c>
      <c r="O7" s="93">
        <f>$M$1+11</f>
        <v>46185</v>
      </c>
      <c r="P7" s="93">
        <f>$M$1+12</f>
        <v>46186</v>
      </c>
      <c r="Q7" s="93">
        <f>$M$1+13</f>
        <v>46187</v>
      </c>
      <c r="R7" s="93">
        <f>$M$1+14</f>
        <v>46188</v>
      </c>
      <c r="S7" s="93">
        <f>$M$1+15</f>
        <v>46189</v>
      </c>
      <c r="T7" s="93">
        <f>$M$1+16</f>
        <v>46190</v>
      </c>
      <c r="U7" s="93">
        <f>$M$1+17</f>
        <v>46191</v>
      </c>
      <c r="V7" s="93">
        <f>$M$1+18</f>
        <v>46192</v>
      </c>
      <c r="W7" s="93">
        <f>$M$1+19</f>
        <v>46193</v>
      </c>
      <c r="X7" s="93">
        <f>$M$1+20</f>
        <v>46194</v>
      </c>
      <c r="Y7" s="93">
        <f>$M$1+21</f>
        <v>46195</v>
      </c>
      <c r="Z7" s="93">
        <f>$M$1+22</f>
        <v>46196</v>
      </c>
      <c r="AA7" s="93">
        <f>$M$1+23</f>
        <v>46197</v>
      </c>
      <c r="AB7" s="93">
        <f>$M$1+24</f>
        <v>46198</v>
      </c>
      <c r="AC7" s="93">
        <f>$M$1+25</f>
        <v>46199</v>
      </c>
      <c r="AD7" s="93">
        <f>$M$1+26</f>
        <v>46200</v>
      </c>
      <c r="AE7" s="93">
        <f>$M$1+27</f>
        <v>46201</v>
      </c>
      <c r="AF7" s="93">
        <f>$M$1+28</f>
        <v>46202</v>
      </c>
      <c r="AG7" s="93">
        <f>$M$1+29</f>
        <v>46203</v>
      </c>
      <c r="AH7" s="218"/>
      <c r="AI7" s="68"/>
      <c r="AK7" s="83"/>
      <c r="AL7" s="68"/>
      <c r="AM7" s="74"/>
      <c r="AN7" s="74"/>
    </row>
    <row r="8" spans="1:40">
      <c r="A8" s="95"/>
      <c r="B8" s="211" t="s">
        <v>106</v>
      </c>
      <c r="C8" s="212"/>
      <c r="D8" s="96">
        <f ca="1">--(COUNTIF(D$16:D$28,"責*")&gt;0)
+--(COUNTIF(D$16:D$28,"責A")&gt;0)*(COUNTIF(D$16:D$28,"責B")&gt;0)</f>
        <v>1</v>
      </c>
      <c r="E8" s="96">
        <f t="shared" ref="E8:AG8" ca="1" si="0">--(COUNTIF(E$16:E$28,"責*")&gt;0)
+--(COUNTIF(E$16:E$28,"責A")&gt;0)*(COUNTIF(E$16:E$28,"責B")&gt;0)</f>
        <v>1</v>
      </c>
      <c r="F8" s="96">
        <f t="shared" ca="1" si="0"/>
        <v>1</v>
      </c>
      <c r="G8" s="96">
        <f t="shared" ca="1" si="0"/>
        <v>1</v>
      </c>
      <c r="H8" s="96">
        <f t="shared" ca="1" si="0"/>
        <v>1</v>
      </c>
      <c r="I8" s="96">
        <f t="shared" ca="1" si="0"/>
        <v>1</v>
      </c>
      <c r="J8" s="96">
        <f t="shared" ca="1" si="0"/>
        <v>1</v>
      </c>
      <c r="K8" s="96">
        <f t="shared" ca="1" si="0"/>
        <v>1</v>
      </c>
      <c r="L8" s="96">
        <f t="shared" ca="1" si="0"/>
        <v>1</v>
      </c>
      <c r="M8" s="96">
        <f t="shared" ca="1" si="0"/>
        <v>1</v>
      </c>
      <c r="N8" s="96">
        <f t="shared" ca="1" si="0"/>
        <v>1</v>
      </c>
      <c r="O8" s="96">
        <f t="shared" ca="1" si="0"/>
        <v>1</v>
      </c>
      <c r="P8" s="96">
        <f t="shared" ca="1" si="0"/>
        <v>1</v>
      </c>
      <c r="Q8" s="96">
        <f t="shared" ca="1" si="0"/>
        <v>1</v>
      </c>
      <c r="R8" s="96">
        <f t="shared" ca="1" si="0"/>
        <v>1</v>
      </c>
      <c r="S8" s="96">
        <f t="shared" ca="1" si="0"/>
        <v>1</v>
      </c>
      <c r="T8" s="96">
        <f t="shared" ca="1" si="0"/>
        <v>1</v>
      </c>
      <c r="U8" s="96">
        <f t="shared" ca="1" si="0"/>
        <v>1</v>
      </c>
      <c r="V8" s="96">
        <f t="shared" ca="1" si="0"/>
        <v>1</v>
      </c>
      <c r="W8" s="96">
        <f t="shared" ca="1" si="0"/>
        <v>1</v>
      </c>
      <c r="X8" s="96">
        <f t="shared" ca="1" si="0"/>
        <v>1</v>
      </c>
      <c r="Y8" s="96">
        <f t="shared" ca="1" si="0"/>
        <v>1</v>
      </c>
      <c r="Z8" s="96">
        <f t="shared" ca="1" si="0"/>
        <v>1</v>
      </c>
      <c r="AA8" s="96">
        <f t="shared" ca="1" si="0"/>
        <v>1</v>
      </c>
      <c r="AB8" s="96">
        <f t="shared" ca="1" si="0"/>
        <v>1</v>
      </c>
      <c r="AC8" s="96">
        <f t="shared" ca="1" si="0"/>
        <v>1</v>
      </c>
      <c r="AD8" s="96">
        <f t="shared" ca="1" si="0"/>
        <v>1</v>
      </c>
      <c r="AE8" s="96">
        <f t="shared" ca="1" si="0"/>
        <v>1</v>
      </c>
      <c r="AF8" s="96">
        <f t="shared" ca="1" si="0"/>
        <v>1</v>
      </c>
      <c r="AG8" s="96">
        <f t="shared" ca="1" si="0"/>
        <v>1</v>
      </c>
      <c r="AH8" s="82">
        <f ca="1">SUM(D8:AG8)</f>
        <v>30</v>
      </c>
      <c r="AI8" s="68"/>
      <c r="AJ8" s="68"/>
      <c r="AK8" s="83"/>
      <c r="AL8" s="68"/>
      <c r="AM8" s="74"/>
      <c r="AN8" s="74"/>
    </row>
    <row r="9" spans="1:40">
      <c r="A9" s="95"/>
      <c r="B9" s="211" t="s">
        <v>107</v>
      </c>
      <c r="C9" s="212"/>
      <c r="D9" s="96">
        <f ca="1">--(COUNTIF(D$16:D$28,"日B*")&gt;0)</f>
        <v>1</v>
      </c>
      <c r="E9" s="96">
        <f t="shared" ref="E9:AG9" ca="1" si="1">--(COUNTIF(E$16:E$28,"日B*")&gt;0)</f>
        <v>1</v>
      </c>
      <c r="F9" s="96">
        <f t="shared" ca="1" si="1"/>
        <v>1</v>
      </c>
      <c r="G9" s="96">
        <f t="shared" ca="1" si="1"/>
        <v>1</v>
      </c>
      <c r="H9" s="96">
        <f t="shared" ca="1" si="1"/>
        <v>1</v>
      </c>
      <c r="I9" s="96">
        <f t="shared" ca="1" si="1"/>
        <v>1</v>
      </c>
      <c r="J9" s="96">
        <f t="shared" ca="1" si="1"/>
        <v>1</v>
      </c>
      <c r="K9" s="96">
        <f t="shared" ca="1" si="1"/>
        <v>1</v>
      </c>
      <c r="L9" s="96">
        <f t="shared" ca="1" si="1"/>
        <v>1</v>
      </c>
      <c r="M9" s="96">
        <f t="shared" ca="1" si="1"/>
        <v>1</v>
      </c>
      <c r="N9" s="96">
        <f t="shared" ca="1" si="1"/>
        <v>1</v>
      </c>
      <c r="O9" s="96">
        <f t="shared" ca="1" si="1"/>
        <v>1</v>
      </c>
      <c r="P9" s="96">
        <f t="shared" ca="1" si="1"/>
        <v>1</v>
      </c>
      <c r="Q9" s="96">
        <f t="shared" ca="1" si="1"/>
        <v>1</v>
      </c>
      <c r="R9" s="96">
        <f t="shared" ca="1" si="1"/>
        <v>1</v>
      </c>
      <c r="S9" s="96">
        <f t="shared" ca="1" si="1"/>
        <v>1</v>
      </c>
      <c r="T9" s="96">
        <f t="shared" ca="1" si="1"/>
        <v>1</v>
      </c>
      <c r="U9" s="96">
        <f t="shared" ca="1" si="1"/>
        <v>1</v>
      </c>
      <c r="V9" s="96">
        <f t="shared" ca="1" si="1"/>
        <v>1</v>
      </c>
      <c r="W9" s="96">
        <f t="shared" ca="1" si="1"/>
        <v>1</v>
      </c>
      <c r="X9" s="96">
        <f t="shared" ca="1" si="1"/>
        <v>1</v>
      </c>
      <c r="Y9" s="96">
        <f ca="1">--(COUNTIF(Y$16:Y$28,"日B*")&gt;0)</f>
        <v>1</v>
      </c>
      <c r="Z9" s="96">
        <f t="shared" ca="1" si="1"/>
        <v>1</v>
      </c>
      <c r="AA9" s="96">
        <f t="shared" ca="1" si="1"/>
        <v>1</v>
      </c>
      <c r="AB9" s="96">
        <f t="shared" ca="1" si="1"/>
        <v>1</v>
      </c>
      <c r="AC9" s="96">
        <f t="shared" ca="1" si="1"/>
        <v>1</v>
      </c>
      <c r="AD9" s="96">
        <f t="shared" ca="1" si="1"/>
        <v>1</v>
      </c>
      <c r="AE9" s="96">
        <f t="shared" ca="1" si="1"/>
        <v>1</v>
      </c>
      <c r="AF9" s="96">
        <f t="shared" ca="1" si="1"/>
        <v>1</v>
      </c>
      <c r="AG9" s="96">
        <f t="shared" ca="1" si="1"/>
        <v>1</v>
      </c>
      <c r="AH9" s="82">
        <f ca="1">SUM(D9:AG9)</f>
        <v>30</v>
      </c>
      <c r="AI9" s="68"/>
      <c r="AJ9" s="68"/>
      <c r="AK9" s="83"/>
      <c r="AL9" s="68"/>
      <c r="AM9" s="74"/>
      <c r="AN9" s="74"/>
    </row>
    <row r="10" spans="1:40">
      <c r="A10" s="95"/>
      <c r="B10" s="211" t="s">
        <v>108</v>
      </c>
      <c r="C10" s="212"/>
      <c r="D10" s="96">
        <f ca="1">--(COUNTIF(D$16:D$28,"日C*")&gt;0)</f>
        <v>1</v>
      </c>
      <c r="E10" s="96">
        <f t="shared" ref="E10:AG10" ca="1" si="2">--(COUNTIF(E$16:E$28,"日C*")&gt;0)</f>
        <v>1</v>
      </c>
      <c r="F10" s="96">
        <f t="shared" ca="1" si="2"/>
        <v>1</v>
      </c>
      <c r="G10" s="96">
        <f t="shared" ca="1" si="2"/>
        <v>1</v>
      </c>
      <c r="H10" s="96">
        <f t="shared" ca="1" si="2"/>
        <v>0</v>
      </c>
      <c r="I10" s="96">
        <f t="shared" ca="1" si="2"/>
        <v>0</v>
      </c>
      <c r="J10" s="96">
        <f t="shared" ca="1" si="2"/>
        <v>0</v>
      </c>
      <c r="K10" s="96">
        <f t="shared" ca="1" si="2"/>
        <v>0</v>
      </c>
      <c r="L10" s="96">
        <f t="shared" ca="1" si="2"/>
        <v>1</v>
      </c>
      <c r="M10" s="96">
        <f t="shared" ca="1" si="2"/>
        <v>1</v>
      </c>
      <c r="N10" s="96">
        <f t="shared" ca="1" si="2"/>
        <v>1</v>
      </c>
      <c r="O10" s="96">
        <f t="shared" ca="1" si="2"/>
        <v>0</v>
      </c>
      <c r="P10" s="96">
        <f t="shared" ca="1" si="2"/>
        <v>1</v>
      </c>
      <c r="Q10" s="96">
        <f t="shared" ca="1" si="2"/>
        <v>0</v>
      </c>
      <c r="R10" s="96">
        <f t="shared" ca="1" si="2"/>
        <v>1</v>
      </c>
      <c r="S10" s="96">
        <f t="shared" ca="1" si="2"/>
        <v>1</v>
      </c>
      <c r="T10" s="96">
        <f t="shared" ca="1" si="2"/>
        <v>1</v>
      </c>
      <c r="U10" s="96">
        <f t="shared" ca="1" si="2"/>
        <v>1</v>
      </c>
      <c r="V10" s="96">
        <f t="shared" ca="1" si="2"/>
        <v>1</v>
      </c>
      <c r="W10" s="96">
        <f t="shared" ca="1" si="2"/>
        <v>1</v>
      </c>
      <c r="X10" s="96">
        <f t="shared" ca="1" si="2"/>
        <v>1</v>
      </c>
      <c r="Y10" s="96">
        <f t="shared" ca="1" si="2"/>
        <v>1</v>
      </c>
      <c r="Z10" s="96">
        <f t="shared" ca="1" si="2"/>
        <v>1</v>
      </c>
      <c r="AA10" s="96">
        <f t="shared" ca="1" si="2"/>
        <v>1</v>
      </c>
      <c r="AB10" s="96">
        <f t="shared" ca="1" si="2"/>
        <v>1</v>
      </c>
      <c r="AC10" s="96">
        <f t="shared" ca="1" si="2"/>
        <v>1</v>
      </c>
      <c r="AD10" s="96">
        <f t="shared" ca="1" si="2"/>
        <v>1</v>
      </c>
      <c r="AE10" s="96">
        <f t="shared" ca="1" si="2"/>
        <v>0</v>
      </c>
      <c r="AF10" s="96">
        <f t="shared" ca="1" si="2"/>
        <v>0</v>
      </c>
      <c r="AG10" s="96">
        <f t="shared" ca="1" si="2"/>
        <v>1</v>
      </c>
      <c r="AH10" s="82">
        <f ca="1">SUM(D10:AG10)</f>
        <v>22</v>
      </c>
      <c r="AI10" s="68"/>
      <c r="AJ10" s="68"/>
      <c r="AK10" s="83"/>
      <c r="AL10" s="68"/>
      <c r="AM10" s="74"/>
      <c r="AN10" s="74"/>
    </row>
    <row r="11" spans="1:40">
      <c r="A11" s="95"/>
      <c r="B11" s="211" t="s">
        <v>109</v>
      </c>
      <c r="C11" s="212"/>
      <c r="D11" s="96">
        <f ca="1">--(COUNTIF(D$16:D$28,"*夜A")&gt;0)</f>
        <v>1</v>
      </c>
      <c r="E11" s="96">
        <f t="shared" ref="E11:AG11" ca="1" si="3">--(COUNTIF(E$16:E$28,"*夜A")&gt;0)</f>
        <v>1</v>
      </c>
      <c r="F11" s="96">
        <f t="shared" ca="1" si="3"/>
        <v>1</v>
      </c>
      <c r="G11" s="96">
        <f t="shared" ca="1" si="3"/>
        <v>1</v>
      </c>
      <c r="H11" s="96">
        <f t="shared" ca="1" si="3"/>
        <v>1</v>
      </c>
      <c r="I11" s="96">
        <f t="shared" ca="1" si="3"/>
        <v>1</v>
      </c>
      <c r="J11" s="96">
        <f t="shared" ca="1" si="3"/>
        <v>1</v>
      </c>
      <c r="K11" s="96">
        <f t="shared" ca="1" si="3"/>
        <v>1</v>
      </c>
      <c r="L11" s="96">
        <f t="shared" ca="1" si="3"/>
        <v>1</v>
      </c>
      <c r="M11" s="96">
        <f t="shared" ca="1" si="3"/>
        <v>1</v>
      </c>
      <c r="N11" s="96">
        <f t="shared" ca="1" si="3"/>
        <v>1</v>
      </c>
      <c r="O11" s="96">
        <f t="shared" ca="1" si="3"/>
        <v>1</v>
      </c>
      <c r="P11" s="96">
        <f t="shared" ca="1" si="3"/>
        <v>1</v>
      </c>
      <c r="Q11" s="96">
        <f t="shared" ca="1" si="3"/>
        <v>1</v>
      </c>
      <c r="R11" s="96">
        <f t="shared" ca="1" si="3"/>
        <v>1</v>
      </c>
      <c r="S11" s="96">
        <f t="shared" ca="1" si="3"/>
        <v>1</v>
      </c>
      <c r="T11" s="96">
        <f t="shared" ca="1" si="3"/>
        <v>1</v>
      </c>
      <c r="U11" s="96">
        <f t="shared" ca="1" si="3"/>
        <v>1</v>
      </c>
      <c r="V11" s="96">
        <f t="shared" ca="1" si="3"/>
        <v>1</v>
      </c>
      <c r="W11" s="96">
        <f t="shared" ca="1" si="3"/>
        <v>1</v>
      </c>
      <c r="X11" s="96">
        <f t="shared" ca="1" si="3"/>
        <v>1</v>
      </c>
      <c r="Y11" s="96">
        <f t="shared" ca="1" si="3"/>
        <v>0</v>
      </c>
      <c r="Z11" s="96">
        <f t="shared" ca="1" si="3"/>
        <v>1</v>
      </c>
      <c r="AA11" s="96">
        <f t="shared" ca="1" si="3"/>
        <v>1</v>
      </c>
      <c r="AB11" s="96">
        <f t="shared" ca="1" si="3"/>
        <v>1</v>
      </c>
      <c r="AC11" s="96">
        <f t="shared" ca="1" si="3"/>
        <v>1</v>
      </c>
      <c r="AD11" s="96">
        <f t="shared" ca="1" si="3"/>
        <v>1</v>
      </c>
      <c r="AE11" s="96">
        <f t="shared" ca="1" si="3"/>
        <v>1</v>
      </c>
      <c r="AF11" s="96">
        <f t="shared" ca="1" si="3"/>
        <v>1</v>
      </c>
      <c r="AG11" s="96">
        <f t="shared" ca="1" si="3"/>
        <v>1</v>
      </c>
      <c r="AH11" s="82">
        <f t="shared" ref="AH11:AH14" ca="1" si="4">SUM(D11:AG11)</f>
        <v>29</v>
      </c>
      <c r="AI11" s="68"/>
      <c r="AJ11" s="68"/>
      <c r="AK11" s="83"/>
      <c r="AL11" s="68"/>
      <c r="AM11" s="74"/>
      <c r="AN11" s="74"/>
    </row>
    <row r="12" spans="1:40">
      <c r="A12" s="95"/>
      <c r="B12" s="211" t="s">
        <v>110</v>
      </c>
      <c r="C12" s="212"/>
      <c r="D12" s="96">
        <f t="shared" ref="D12:M14" ca="1" si="5">COUNTIF(D$16:D$28,$B12)</f>
        <v>1</v>
      </c>
      <c r="E12" s="96">
        <f t="shared" ca="1" si="5"/>
        <v>1</v>
      </c>
      <c r="F12" s="96">
        <f t="shared" ca="1" si="5"/>
        <v>1</v>
      </c>
      <c r="G12" s="96">
        <f t="shared" ca="1" si="5"/>
        <v>1</v>
      </c>
      <c r="H12" s="96">
        <f t="shared" ca="1" si="5"/>
        <v>1</v>
      </c>
      <c r="I12" s="96">
        <f t="shared" ca="1" si="5"/>
        <v>1</v>
      </c>
      <c r="J12" s="96">
        <f t="shared" ca="1" si="5"/>
        <v>1</v>
      </c>
      <c r="K12" s="96">
        <f t="shared" ca="1" si="5"/>
        <v>1</v>
      </c>
      <c r="L12" s="96">
        <f t="shared" ca="1" si="5"/>
        <v>1</v>
      </c>
      <c r="M12" s="96">
        <f t="shared" ca="1" si="5"/>
        <v>1</v>
      </c>
      <c r="N12" s="96">
        <f t="shared" ref="N12:W14" ca="1" si="6">COUNTIF(N$16:N$28,$B12)</f>
        <v>1</v>
      </c>
      <c r="O12" s="96">
        <f t="shared" ca="1" si="6"/>
        <v>1</v>
      </c>
      <c r="P12" s="96">
        <f t="shared" ca="1" si="6"/>
        <v>1</v>
      </c>
      <c r="Q12" s="96">
        <f t="shared" ca="1" si="6"/>
        <v>1</v>
      </c>
      <c r="R12" s="96">
        <f t="shared" ca="1" si="6"/>
        <v>1</v>
      </c>
      <c r="S12" s="96">
        <f t="shared" ca="1" si="6"/>
        <v>1</v>
      </c>
      <c r="T12" s="96">
        <f t="shared" ca="1" si="6"/>
        <v>1</v>
      </c>
      <c r="U12" s="96">
        <f t="shared" ca="1" si="6"/>
        <v>1</v>
      </c>
      <c r="V12" s="96">
        <f t="shared" ca="1" si="6"/>
        <v>1</v>
      </c>
      <c r="W12" s="96">
        <f t="shared" ca="1" si="6"/>
        <v>1</v>
      </c>
      <c r="X12" s="96">
        <f t="shared" ref="X12:AG14" ca="1" si="7">COUNTIF(X$16:X$28,$B12)</f>
        <v>1</v>
      </c>
      <c r="Y12" s="96">
        <f t="shared" ca="1" si="7"/>
        <v>1</v>
      </c>
      <c r="Z12" s="96">
        <f t="shared" ca="1" si="7"/>
        <v>1</v>
      </c>
      <c r="AA12" s="96">
        <f t="shared" ca="1" si="7"/>
        <v>1</v>
      </c>
      <c r="AB12" s="96">
        <f t="shared" ca="1" si="7"/>
        <v>1</v>
      </c>
      <c r="AC12" s="96">
        <f t="shared" ca="1" si="7"/>
        <v>1</v>
      </c>
      <c r="AD12" s="96">
        <f t="shared" ca="1" si="7"/>
        <v>1</v>
      </c>
      <c r="AE12" s="96">
        <f t="shared" ca="1" si="7"/>
        <v>1</v>
      </c>
      <c r="AF12" s="96">
        <f t="shared" ca="1" si="7"/>
        <v>1</v>
      </c>
      <c r="AG12" s="96">
        <f t="shared" ca="1" si="7"/>
        <v>1</v>
      </c>
      <c r="AH12" s="82">
        <f t="shared" ca="1" si="4"/>
        <v>30</v>
      </c>
      <c r="AI12" s="68"/>
      <c r="AJ12" s="68"/>
      <c r="AK12" s="83"/>
      <c r="AL12" s="68"/>
      <c r="AM12" s="74"/>
      <c r="AN12" s="74"/>
    </row>
    <row r="13" spans="1:40">
      <c r="A13" s="95"/>
      <c r="B13" s="211" t="s">
        <v>111</v>
      </c>
      <c r="C13" s="212"/>
      <c r="D13" s="96">
        <f t="shared" ca="1" si="5"/>
        <v>0</v>
      </c>
      <c r="E13" s="96">
        <f t="shared" ca="1" si="5"/>
        <v>0</v>
      </c>
      <c r="F13" s="96">
        <f t="shared" ca="1" si="5"/>
        <v>0</v>
      </c>
      <c r="G13" s="96">
        <f t="shared" ca="1" si="5"/>
        <v>0</v>
      </c>
      <c r="H13" s="96">
        <f t="shared" ca="1" si="5"/>
        <v>0</v>
      </c>
      <c r="I13" s="96">
        <f t="shared" ca="1" si="5"/>
        <v>0</v>
      </c>
      <c r="J13" s="96">
        <f t="shared" ca="1" si="5"/>
        <v>0</v>
      </c>
      <c r="K13" s="96">
        <f t="shared" ca="1" si="5"/>
        <v>0</v>
      </c>
      <c r="L13" s="96">
        <f t="shared" ca="1" si="5"/>
        <v>0</v>
      </c>
      <c r="M13" s="96">
        <f t="shared" ca="1" si="5"/>
        <v>0</v>
      </c>
      <c r="N13" s="96">
        <f t="shared" ca="1" si="6"/>
        <v>0</v>
      </c>
      <c r="O13" s="96">
        <f t="shared" ca="1" si="6"/>
        <v>0</v>
      </c>
      <c r="P13" s="96">
        <f t="shared" ca="1" si="6"/>
        <v>0</v>
      </c>
      <c r="Q13" s="96">
        <f t="shared" ca="1" si="6"/>
        <v>0</v>
      </c>
      <c r="R13" s="96">
        <f t="shared" ca="1" si="6"/>
        <v>0</v>
      </c>
      <c r="S13" s="96">
        <f t="shared" ca="1" si="6"/>
        <v>0</v>
      </c>
      <c r="T13" s="96">
        <f t="shared" ca="1" si="6"/>
        <v>0</v>
      </c>
      <c r="U13" s="96">
        <f t="shared" ca="1" si="6"/>
        <v>0</v>
      </c>
      <c r="V13" s="96">
        <f t="shared" ca="1" si="6"/>
        <v>0</v>
      </c>
      <c r="W13" s="96">
        <f t="shared" ca="1" si="6"/>
        <v>0</v>
      </c>
      <c r="X13" s="96">
        <f t="shared" ca="1" si="7"/>
        <v>0</v>
      </c>
      <c r="Y13" s="96">
        <f t="shared" ca="1" si="7"/>
        <v>0</v>
      </c>
      <c r="Z13" s="96">
        <f t="shared" ca="1" si="7"/>
        <v>0</v>
      </c>
      <c r="AA13" s="96">
        <f t="shared" ca="1" si="7"/>
        <v>0</v>
      </c>
      <c r="AB13" s="96">
        <f t="shared" ca="1" si="7"/>
        <v>0</v>
      </c>
      <c r="AC13" s="96">
        <f t="shared" ca="1" si="7"/>
        <v>0</v>
      </c>
      <c r="AD13" s="96">
        <f t="shared" ca="1" si="7"/>
        <v>0</v>
      </c>
      <c r="AE13" s="96">
        <f t="shared" ca="1" si="7"/>
        <v>0</v>
      </c>
      <c r="AF13" s="96">
        <f t="shared" ca="1" si="7"/>
        <v>0</v>
      </c>
      <c r="AG13" s="96">
        <f t="shared" ca="1" si="7"/>
        <v>0</v>
      </c>
      <c r="AH13" s="82">
        <f t="shared" ca="1" si="4"/>
        <v>0</v>
      </c>
      <c r="AI13" s="68"/>
      <c r="AJ13" s="68"/>
      <c r="AK13" s="83"/>
      <c r="AL13" s="68"/>
      <c r="AM13" s="74"/>
      <c r="AN13" s="74"/>
    </row>
    <row r="14" spans="1:40">
      <c r="A14" s="95"/>
      <c r="B14" s="211" t="s">
        <v>112</v>
      </c>
      <c r="C14" s="212"/>
      <c r="D14" s="96">
        <f t="shared" ca="1" si="5"/>
        <v>0</v>
      </c>
      <c r="E14" s="96">
        <f t="shared" ca="1" si="5"/>
        <v>0</v>
      </c>
      <c r="F14" s="96">
        <f t="shared" ca="1" si="5"/>
        <v>0</v>
      </c>
      <c r="G14" s="96">
        <f t="shared" ca="1" si="5"/>
        <v>0</v>
      </c>
      <c r="H14" s="96">
        <f t="shared" ca="1" si="5"/>
        <v>0</v>
      </c>
      <c r="I14" s="96">
        <f t="shared" ca="1" si="5"/>
        <v>0</v>
      </c>
      <c r="J14" s="96">
        <f t="shared" ca="1" si="5"/>
        <v>0</v>
      </c>
      <c r="K14" s="96">
        <f t="shared" ca="1" si="5"/>
        <v>0</v>
      </c>
      <c r="L14" s="96">
        <f t="shared" ca="1" si="5"/>
        <v>0</v>
      </c>
      <c r="M14" s="96">
        <f t="shared" ca="1" si="5"/>
        <v>0</v>
      </c>
      <c r="N14" s="96">
        <f t="shared" ca="1" si="6"/>
        <v>0</v>
      </c>
      <c r="O14" s="96">
        <f t="shared" ca="1" si="6"/>
        <v>0</v>
      </c>
      <c r="P14" s="96">
        <f t="shared" ca="1" si="6"/>
        <v>0</v>
      </c>
      <c r="Q14" s="96">
        <f t="shared" ca="1" si="6"/>
        <v>0</v>
      </c>
      <c r="R14" s="96">
        <f t="shared" ca="1" si="6"/>
        <v>0</v>
      </c>
      <c r="S14" s="96">
        <f t="shared" ca="1" si="6"/>
        <v>0</v>
      </c>
      <c r="T14" s="96">
        <f t="shared" ca="1" si="6"/>
        <v>0</v>
      </c>
      <c r="U14" s="96">
        <f t="shared" ca="1" si="6"/>
        <v>0</v>
      </c>
      <c r="V14" s="96">
        <f t="shared" ca="1" si="6"/>
        <v>0</v>
      </c>
      <c r="W14" s="96">
        <f t="shared" ca="1" si="6"/>
        <v>0</v>
      </c>
      <c r="X14" s="96">
        <f t="shared" ca="1" si="7"/>
        <v>0</v>
      </c>
      <c r="Y14" s="96">
        <f t="shared" ca="1" si="7"/>
        <v>0</v>
      </c>
      <c r="Z14" s="96">
        <f t="shared" ca="1" si="7"/>
        <v>0</v>
      </c>
      <c r="AA14" s="96">
        <f t="shared" ca="1" si="7"/>
        <v>0</v>
      </c>
      <c r="AB14" s="96">
        <f t="shared" ca="1" si="7"/>
        <v>0</v>
      </c>
      <c r="AC14" s="96">
        <f t="shared" ca="1" si="7"/>
        <v>0</v>
      </c>
      <c r="AD14" s="96">
        <f t="shared" ca="1" si="7"/>
        <v>0</v>
      </c>
      <c r="AE14" s="96">
        <f t="shared" ca="1" si="7"/>
        <v>0</v>
      </c>
      <c r="AF14" s="96">
        <f t="shared" ca="1" si="7"/>
        <v>0</v>
      </c>
      <c r="AG14" s="96">
        <f t="shared" ca="1" si="7"/>
        <v>0</v>
      </c>
      <c r="AH14" s="82">
        <f t="shared" ca="1" si="4"/>
        <v>0</v>
      </c>
      <c r="AI14" s="68"/>
      <c r="AJ14" s="68" t="s">
        <v>113</v>
      </c>
      <c r="AK14" s="83"/>
      <c r="AL14" s="68"/>
      <c r="AM14" s="74"/>
      <c r="AN14" s="74"/>
    </row>
    <row r="15" spans="1:40">
      <c r="A15" s="95"/>
      <c r="B15" s="211" t="s">
        <v>114</v>
      </c>
      <c r="C15" s="212"/>
      <c r="D15" s="96">
        <f ca="1">SUM(D8:D13)</f>
        <v>5</v>
      </c>
      <c r="E15" s="96">
        <f t="shared" ref="E15:AG15" ca="1" si="8">SUM(E8:E13)</f>
        <v>5</v>
      </c>
      <c r="F15" s="96">
        <f t="shared" ca="1" si="8"/>
        <v>5</v>
      </c>
      <c r="G15" s="96">
        <f t="shared" ca="1" si="8"/>
        <v>5</v>
      </c>
      <c r="H15" s="96">
        <f t="shared" ca="1" si="8"/>
        <v>4</v>
      </c>
      <c r="I15" s="96">
        <f t="shared" ca="1" si="8"/>
        <v>4</v>
      </c>
      <c r="J15" s="96">
        <f t="shared" ca="1" si="8"/>
        <v>4</v>
      </c>
      <c r="K15" s="96">
        <f t="shared" ca="1" si="8"/>
        <v>4</v>
      </c>
      <c r="L15" s="96">
        <f t="shared" ca="1" si="8"/>
        <v>5</v>
      </c>
      <c r="M15" s="96">
        <f t="shared" ca="1" si="8"/>
        <v>5</v>
      </c>
      <c r="N15" s="96">
        <f t="shared" ca="1" si="8"/>
        <v>5</v>
      </c>
      <c r="O15" s="96">
        <f t="shared" ca="1" si="8"/>
        <v>4</v>
      </c>
      <c r="P15" s="96">
        <f t="shared" ca="1" si="8"/>
        <v>5</v>
      </c>
      <c r="Q15" s="96">
        <f t="shared" ca="1" si="8"/>
        <v>4</v>
      </c>
      <c r="R15" s="96">
        <f t="shared" ca="1" si="8"/>
        <v>5</v>
      </c>
      <c r="S15" s="96">
        <f t="shared" ca="1" si="8"/>
        <v>5</v>
      </c>
      <c r="T15" s="96">
        <f t="shared" ca="1" si="8"/>
        <v>5</v>
      </c>
      <c r="U15" s="96">
        <f t="shared" ca="1" si="8"/>
        <v>5</v>
      </c>
      <c r="V15" s="96">
        <f t="shared" ca="1" si="8"/>
        <v>5</v>
      </c>
      <c r="W15" s="96">
        <f t="shared" ca="1" si="8"/>
        <v>5</v>
      </c>
      <c r="X15" s="96">
        <f t="shared" ca="1" si="8"/>
        <v>5</v>
      </c>
      <c r="Y15" s="96">
        <f t="shared" ca="1" si="8"/>
        <v>4</v>
      </c>
      <c r="Z15" s="96">
        <f t="shared" ca="1" si="8"/>
        <v>5</v>
      </c>
      <c r="AA15" s="96">
        <f t="shared" ca="1" si="8"/>
        <v>5</v>
      </c>
      <c r="AB15" s="96">
        <f t="shared" ca="1" si="8"/>
        <v>5</v>
      </c>
      <c r="AC15" s="96">
        <f t="shared" ca="1" si="8"/>
        <v>5</v>
      </c>
      <c r="AD15" s="96">
        <f t="shared" ca="1" si="8"/>
        <v>5</v>
      </c>
      <c r="AE15" s="96">
        <f t="shared" ca="1" si="8"/>
        <v>4</v>
      </c>
      <c r="AF15" s="96">
        <f t="shared" ca="1" si="8"/>
        <v>4</v>
      </c>
      <c r="AG15" s="96">
        <f t="shared" ca="1" si="8"/>
        <v>5</v>
      </c>
      <c r="AH15" s="82"/>
      <c r="AI15" s="68"/>
      <c r="AJ15" s="68"/>
      <c r="AK15" s="83"/>
      <c r="AL15" s="68"/>
      <c r="AM15" s="74"/>
      <c r="AN15" s="74"/>
    </row>
    <row r="16" spans="1:40">
      <c r="A16" s="82">
        <v>1</v>
      </c>
      <c r="B16" s="213" t="s">
        <v>20</v>
      </c>
      <c r="C16" s="214"/>
      <c r="D16" s="84" t="str">
        <f ca="1">IFERROR(INDEX(INDIRECT("'"&amp;D$6&amp;"'!AV$9:AV$18"),MATCH($B16, INDIRECT("'"&amp;D$6&amp;"'!AU$9:AU$18"), 0)),"")</f>
        <v>責/夜A</v>
      </c>
      <c r="E16" s="84" t="str">
        <f t="shared" ref="E16:AG26" ca="1" si="9">IFERROR(INDEX(INDIRECT("'"&amp;E$6&amp;"'!AV$9:AV$18"),MATCH($B16, INDIRECT("'"&amp;E$6&amp;"'!AU$9:AU$18"), 0)),"")</f>
        <v>日C</v>
      </c>
      <c r="F16" s="84" t="str">
        <f t="shared" ca="1" si="9"/>
        <v>責</v>
      </c>
      <c r="G16" s="84" t="str">
        <f t="shared" ca="1" si="9"/>
        <v>責/夜A</v>
      </c>
      <c r="H16" s="84" t="str">
        <f t="shared" ca="1" si="9"/>
        <v>責</v>
      </c>
      <c r="I16" s="84" t="str">
        <f t="shared" ca="1" si="9"/>
        <v>責</v>
      </c>
      <c r="J16" s="84" t="str">
        <f t="shared" ca="1" si="9"/>
        <v/>
      </c>
      <c r="K16" s="84" t="str">
        <f t="shared" ca="1" si="9"/>
        <v>責</v>
      </c>
      <c r="L16" s="84" t="str">
        <f t="shared" ca="1" si="9"/>
        <v>責</v>
      </c>
      <c r="M16" s="84" t="str">
        <f t="shared" ca="1" si="9"/>
        <v>責</v>
      </c>
      <c r="N16" s="84" t="str">
        <f t="shared" ca="1" si="9"/>
        <v>責</v>
      </c>
      <c r="O16" s="84" t="str">
        <f t="shared" ca="1" si="9"/>
        <v/>
      </c>
      <c r="P16" s="84" t="str">
        <f t="shared" ca="1" si="9"/>
        <v>責</v>
      </c>
      <c r="Q16" s="84" t="str">
        <f t="shared" ca="1" si="9"/>
        <v/>
      </c>
      <c r="R16" s="84" t="str">
        <f t="shared" ca="1" si="9"/>
        <v>責/夜A</v>
      </c>
      <c r="S16" s="84" t="str">
        <f t="shared" ca="1" si="9"/>
        <v>日C</v>
      </c>
      <c r="T16" s="84" t="str">
        <f t="shared" ca="1" si="9"/>
        <v>責</v>
      </c>
      <c r="U16" s="84" t="str">
        <f t="shared" ca="1" si="9"/>
        <v>責</v>
      </c>
      <c r="V16" s="84" t="str">
        <f t="shared" ca="1" si="9"/>
        <v>責</v>
      </c>
      <c r="W16" s="84" t="str">
        <f t="shared" ca="1" si="9"/>
        <v>責</v>
      </c>
      <c r="X16" s="84" t="str">
        <f t="shared" ca="1" si="9"/>
        <v>責</v>
      </c>
      <c r="Y16" s="84" t="str">
        <f t="shared" ca="1" si="9"/>
        <v>日C</v>
      </c>
      <c r="Z16" s="84" t="str">
        <f t="shared" ca="1" si="9"/>
        <v>日C</v>
      </c>
      <c r="AA16" s="84" t="str">
        <f t="shared" ca="1" si="9"/>
        <v>責</v>
      </c>
      <c r="AB16" s="84" t="str">
        <f t="shared" ca="1" si="9"/>
        <v>日C/夜A</v>
      </c>
      <c r="AC16" s="84" t="str">
        <f t="shared" ca="1" si="9"/>
        <v>責</v>
      </c>
      <c r="AD16" s="84" t="str">
        <f t="shared" ca="1" si="9"/>
        <v>責</v>
      </c>
      <c r="AE16" s="84" t="str">
        <f t="shared" ca="1" si="9"/>
        <v/>
      </c>
      <c r="AF16" s="84" t="str">
        <f t="shared" ca="1" si="9"/>
        <v>日B-4</v>
      </c>
      <c r="AG16" s="84" t="str">
        <f t="shared" ca="1" si="9"/>
        <v>日C</v>
      </c>
      <c r="AH16" s="85" t="s">
        <v>115</v>
      </c>
      <c r="AI16" s="68"/>
      <c r="AJ16" s="158" t="s">
        <v>116</v>
      </c>
      <c r="AK16" s="100" t="s">
        <v>117</v>
      </c>
      <c r="AL16" s="100" t="s">
        <v>118</v>
      </c>
      <c r="AM16" s="101"/>
      <c r="AN16" s="74"/>
    </row>
    <row r="17" spans="1:40">
      <c r="A17" s="82">
        <v>2</v>
      </c>
      <c r="B17" s="213" t="s">
        <v>119</v>
      </c>
      <c r="C17" s="214"/>
      <c r="D17" s="84" t="str">
        <f t="shared" ref="D17:S28" ca="1" si="10">IFERROR(INDEX(INDIRECT("'"&amp;D$6&amp;"'!AV$9:AV$18"),MATCH($B17, INDIRECT("'"&amp;D$6&amp;"'!AU$9:AU$18"), 0)),"")</f>
        <v>日C</v>
      </c>
      <c r="E17" s="84" t="str">
        <f t="shared" ca="1" si="9"/>
        <v>責</v>
      </c>
      <c r="F17" s="84" t="str">
        <f t="shared" ca="1" si="9"/>
        <v/>
      </c>
      <c r="G17" s="84" t="str">
        <f t="shared" ca="1" si="9"/>
        <v>日C</v>
      </c>
      <c r="H17" s="84" t="str">
        <f t="shared" ca="1" si="9"/>
        <v/>
      </c>
      <c r="I17" s="84" t="str">
        <f t="shared" ca="1" si="9"/>
        <v/>
      </c>
      <c r="J17" s="84" t="str">
        <f t="shared" ca="1" si="9"/>
        <v/>
      </c>
      <c r="K17" s="84" t="str">
        <f t="shared" ca="1" si="9"/>
        <v/>
      </c>
      <c r="L17" s="84" t="str">
        <f t="shared" ca="1" si="9"/>
        <v>日C</v>
      </c>
      <c r="M17" s="84" t="str">
        <f t="shared" ca="1" si="9"/>
        <v/>
      </c>
      <c r="N17" s="84" t="str">
        <f t="shared" ca="1" si="9"/>
        <v>日C</v>
      </c>
      <c r="O17" s="84" t="str">
        <f t="shared" ca="1" si="9"/>
        <v>責</v>
      </c>
      <c r="P17" s="84" t="str">
        <f t="shared" ca="1" si="9"/>
        <v/>
      </c>
      <c r="Q17" s="84" t="str">
        <f t="shared" ca="1" si="9"/>
        <v>責</v>
      </c>
      <c r="R17" s="84" t="str">
        <f t="shared" ca="1" si="9"/>
        <v/>
      </c>
      <c r="S17" s="84" t="str">
        <f t="shared" ca="1" si="9"/>
        <v>責</v>
      </c>
      <c r="T17" s="84" t="str">
        <f t="shared" ca="1" si="9"/>
        <v/>
      </c>
      <c r="U17" s="84" t="str">
        <f t="shared" ca="1" si="9"/>
        <v>日C</v>
      </c>
      <c r="V17" s="84" t="str">
        <f t="shared" ca="1" si="9"/>
        <v/>
      </c>
      <c r="W17" s="84" t="str">
        <f t="shared" ca="1" si="9"/>
        <v>日C</v>
      </c>
      <c r="X17" s="84" t="str">
        <f t="shared" ca="1" si="9"/>
        <v>日C</v>
      </c>
      <c r="Y17" s="84" t="str">
        <f t="shared" ca="1" si="9"/>
        <v>責</v>
      </c>
      <c r="Z17" s="84" t="str">
        <f t="shared" ca="1" si="9"/>
        <v>責</v>
      </c>
      <c r="AA17" s="84" t="str">
        <f t="shared" ca="1" si="9"/>
        <v/>
      </c>
      <c r="AB17" s="84" t="str">
        <f t="shared" ca="1" si="9"/>
        <v>責</v>
      </c>
      <c r="AC17" s="84" t="str">
        <f t="shared" ca="1" si="9"/>
        <v/>
      </c>
      <c r="AD17" s="84" t="str">
        <f t="shared" ca="1" si="9"/>
        <v/>
      </c>
      <c r="AE17" s="84" t="str">
        <f t="shared" ca="1" si="9"/>
        <v>責</v>
      </c>
      <c r="AF17" s="84" t="str">
        <f t="shared" ca="1" si="9"/>
        <v>責</v>
      </c>
      <c r="AG17" s="84" t="str">
        <f t="shared" ca="1" si="9"/>
        <v>責</v>
      </c>
      <c r="AH17" s="85" t="s">
        <v>115</v>
      </c>
      <c r="AI17" s="68"/>
      <c r="AJ17" s="158" t="s">
        <v>120</v>
      </c>
      <c r="AK17" s="100" t="s">
        <v>117</v>
      </c>
      <c r="AL17" s="100" t="s">
        <v>121</v>
      </c>
      <c r="AM17" s="101"/>
      <c r="AN17" s="74"/>
    </row>
    <row r="18" spans="1:40">
      <c r="A18" s="82">
        <v>3</v>
      </c>
      <c r="B18" s="215" t="s">
        <v>122</v>
      </c>
      <c r="C18" s="216"/>
      <c r="D18" s="84" t="str">
        <f t="shared" ca="1" si="10"/>
        <v/>
      </c>
      <c r="E18" s="84" t="str">
        <f t="shared" ca="1" si="10"/>
        <v/>
      </c>
      <c r="F18" s="84" t="str">
        <f t="shared" ca="1" si="10"/>
        <v/>
      </c>
      <c r="G18" s="84" t="str">
        <f t="shared" ca="1" si="10"/>
        <v/>
      </c>
      <c r="H18" s="84" t="str">
        <f t="shared" ca="1" si="10"/>
        <v/>
      </c>
      <c r="I18" s="84" t="str">
        <f t="shared" ca="1" si="10"/>
        <v/>
      </c>
      <c r="J18" s="84" t="str">
        <f t="shared" ca="1" si="10"/>
        <v>責</v>
      </c>
      <c r="K18" s="84" t="str">
        <f t="shared" ca="1" si="10"/>
        <v/>
      </c>
      <c r="L18" s="84" t="str">
        <f t="shared" ca="1" si="10"/>
        <v/>
      </c>
      <c r="M18" s="84" t="str">
        <f t="shared" ca="1" si="10"/>
        <v/>
      </c>
      <c r="N18" s="84" t="str">
        <f t="shared" ca="1" si="10"/>
        <v/>
      </c>
      <c r="O18" s="84" t="str">
        <f t="shared" ca="1" si="10"/>
        <v/>
      </c>
      <c r="P18" s="84" t="str">
        <f t="shared" ca="1" si="10"/>
        <v/>
      </c>
      <c r="Q18" s="84" t="str">
        <f t="shared" ca="1" si="10"/>
        <v/>
      </c>
      <c r="R18" s="84" t="str">
        <f t="shared" ca="1" si="10"/>
        <v/>
      </c>
      <c r="S18" s="84" t="str">
        <f t="shared" ca="1" si="10"/>
        <v/>
      </c>
      <c r="T18" s="84" t="str">
        <f t="shared" ref="T18:AG19" ca="1" si="11">IFERROR(INDEX(INDIRECT("'"&amp;T$6&amp;"'!AV$9:AV$18"),MATCH($B18, INDIRECT("'"&amp;T$6&amp;"'!AU$9:AU$18"), 0)),"")</f>
        <v/>
      </c>
      <c r="U18" s="84" t="str">
        <f t="shared" ca="1" si="11"/>
        <v/>
      </c>
      <c r="V18" s="84" t="str">
        <f t="shared" ca="1" si="11"/>
        <v/>
      </c>
      <c r="W18" s="84" t="str">
        <f t="shared" ca="1" si="11"/>
        <v/>
      </c>
      <c r="X18" s="84" t="str">
        <f t="shared" ca="1" si="11"/>
        <v/>
      </c>
      <c r="Y18" s="84" t="str">
        <f t="shared" ca="1" si="11"/>
        <v/>
      </c>
      <c r="Z18" s="84" t="str">
        <f t="shared" ca="1" si="11"/>
        <v/>
      </c>
      <c r="AA18" s="84" t="str">
        <f t="shared" ca="1" si="11"/>
        <v/>
      </c>
      <c r="AB18" s="84" t="str">
        <f t="shared" ca="1" si="11"/>
        <v/>
      </c>
      <c r="AC18" s="84" t="str">
        <f t="shared" ca="1" si="11"/>
        <v/>
      </c>
      <c r="AD18" s="84" t="str">
        <f t="shared" ca="1" si="11"/>
        <v/>
      </c>
      <c r="AE18" s="84" t="str">
        <f t="shared" ca="1" si="11"/>
        <v/>
      </c>
      <c r="AF18" s="84" t="str">
        <f t="shared" ca="1" si="11"/>
        <v/>
      </c>
      <c r="AG18" s="84" t="str">
        <f t="shared" ca="1" si="11"/>
        <v/>
      </c>
      <c r="AH18" s="85" t="s">
        <v>115</v>
      </c>
      <c r="AI18" s="68"/>
      <c r="AJ18" s="158" t="s">
        <v>123</v>
      </c>
      <c r="AK18" s="100" t="s">
        <v>117</v>
      </c>
      <c r="AL18" s="100" t="s">
        <v>124</v>
      </c>
      <c r="AM18" s="101"/>
      <c r="AN18" s="74"/>
    </row>
    <row r="19" spans="1:40">
      <c r="A19" s="82">
        <v>4</v>
      </c>
      <c r="B19" s="215" t="s">
        <v>125</v>
      </c>
      <c r="C19" s="216"/>
      <c r="D19" s="84" t="str">
        <f t="shared" ca="1" si="10"/>
        <v/>
      </c>
      <c r="E19" s="84" t="str">
        <f t="shared" ca="1" si="10"/>
        <v/>
      </c>
      <c r="F19" s="84" t="str">
        <f t="shared" ca="1" si="10"/>
        <v/>
      </c>
      <c r="G19" s="84" t="str">
        <f t="shared" ca="1" si="10"/>
        <v/>
      </c>
      <c r="H19" s="84" t="str">
        <f t="shared" ca="1" si="10"/>
        <v/>
      </c>
      <c r="I19" s="84" t="str">
        <f t="shared" ca="1" si="10"/>
        <v/>
      </c>
      <c r="J19" s="84" t="str">
        <f t="shared" ca="1" si="10"/>
        <v/>
      </c>
      <c r="K19" s="84" t="str">
        <f t="shared" ca="1" si="10"/>
        <v/>
      </c>
      <c r="L19" s="84" t="str">
        <f t="shared" ca="1" si="10"/>
        <v/>
      </c>
      <c r="M19" s="84" t="str">
        <f t="shared" ca="1" si="10"/>
        <v/>
      </c>
      <c r="N19" s="84" t="str">
        <f t="shared" ca="1" si="10"/>
        <v/>
      </c>
      <c r="O19" s="84" t="str">
        <f t="shared" ca="1" si="10"/>
        <v/>
      </c>
      <c r="P19" s="84" t="str">
        <f t="shared" ca="1" si="10"/>
        <v/>
      </c>
      <c r="Q19" s="84" t="str">
        <f t="shared" ca="1" si="10"/>
        <v/>
      </c>
      <c r="R19" s="84" t="str">
        <f t="shared" ca="1" si="10"/>
        <v>日C</v>
      </c>
      <c r="S19" s="84" t="str">
        <f t="shared" ca="1" si="10"/>
        <v/>
      </c>
      <c r="T19" s="84" t="str">
        <f t="shared" ca="1" si="11"/>
        <v/>
      </c>
      <c r="U19" s="84" t="str">
        <f t="shared" ca="1" si="11"/>
        <v/>
      </c>
      <c r="V19" s="84" t="str">
        <f t="shared" ca="1" si="11"/>
        <v/>
      </c>
      <c r="W19" s="84" t="str">
        <f t="shared" ca="1" si="11"/>
        <v/>
      </c>
      <c r="X19" s="84" t="str">
        <f t="shared" ca="1" si="11"/>
        <v/>
      </c>
      <c r="Y19" s="84" t="str">
        <f t="shared" ca="1" si="11"/>
        <v>日B-2</v>
      </c>
      <c r="Z19" s="84" t="str">
        <f t="shared" ca="1" si="11"/>
        <v/>
      </c>
      <c r="AA19" s="84" t="str">
        <f t="shared" ca="1" si="11"/>
        <v/>
      </c>
      <c r="AB19" s="84" t="str">
        <f t="shared" ca="1" si="11"/>
        <v/>
      </c>
      <c r="AC19" s="84" t="str">
        <f t="shared" ca="1" si="11"/>
        <v/>
      </c>
      <c r="AD19" s="84" t="str">
        <f t="shared" ca="1" si="11"/>
        <v/>
      </c>
      <c r="AE19" s="84" t="str">
        <f t="shared" ca="1" si="11"/>
        <v/>
      </c>
      <c r="AF19" s="84" t="str">
        <f t="shared" ca="1" si="11"/>
        <v/>
      </c>
      <c r="AG19" s="84" t="str">
        <f t="shared" ca="1" si="11"/>
        <v/>
      </c>
      <c r="AH19" s="85" t="s">
        <v>115</v>
      </c>
      <c r="AI19" s="68"/>
      <c r="AJ19" s="158"/>
      <c r="AK19" s="100"/>
      <c r="AL19" s="100"/>
      <c r="AM19" s="101"/>
      <c r="AN19" s="74"/>
    </row>
    <row r="20" spans="1:40">
      <c r="A20" s="82">
        <v>5</v>
      </c>
      <c r="B20" s="213" t="s">
        <v>28</v>
      </c>
      <c r="C20" s="214"/>
      <c r="D20" s="84" t="str">
        <f t="shared" ca="1" si="10"/>
        <v>日B</v>
      </c>
      <c r="E20" s="84" t="str">
        <f t="shared" ca="1" si="9"/>
        <v/>
      </c>
      <c r="F20" s="84" t="str">
        <f t="shared" ca="1" si="9"/>
        <v>日C</v>
      </c>
      <c r="G20" s="84" t="str">
        <f t="shared" ca="1" si="9"/>
        <v>日B</v>
      </c>
      <c r="H20" s="84" t="str">
        <f t="shared" ca="1" si="9"/>
        <v/>
      </c>
      <c r="I20" s="84" t="str">
        <f t="shared" ca="1" si="9"/>
        <v/>
      </c>
      <c r="J20" s="84" t="str">
        <f t="shared" ca="1" si="9"/>
        <v>日B</v>
      </c>
      <c r="K20" s="84" t="str">
        <f t="shared" ca="1" si="9"/>
        <v>日B</v>
      </c>
      <c r="L20" s="84" t="str">
        <f t="shared" ca="1" si="9"/>
        <v/>
      </c>
      <c r="M20" s="84" t="str">
        <f t="shared" ca="1" si="9"/>
        <v>日B</v>
      </c>
      <c r="N20" s="84" t="str">
        <f t="shared" ca="1" si="9"/>
        <v/>
      </c>
      <c r="O20" s="84" t="str">
        <f t="shared" ca="1" si="9"/>
        <v>日B</v>
      </c>
      <c r="P20" s="84" t="str">
        <f t="shared" ca="1" si="9"/>
        <v>日B</v>
      </c>
      <c r="Q20" s="84" t="str">
        <f t="shared" ca="1" si="9"/>
        <v/>
      </c>
      <c r="R20" s="84" t="str">
        <f t="shared" ca="1" si="9"/>
        <v>日B</v>
      </c>
      <c r="S20" s="84" t="str">
        <f t="shared" ca="1" si="9"/>
        <v/>
      </c>
      <c r="T20" s="84" t="str">
        <f t="shared" ca="1" si="9"/>
        <v>日B</v>
      </c>
      <c r="U20" s="84" t="str">
        <f t="shared" ca="1" si="9"/>
        <v/>
      </c>
      <c r="V20" s="84" t="str">
        <f t="shared" ca="1" si="9"/>
        <v>日B</v>
      </c>
      <c r="W20" s="84" t="str">
        <f t="shared" ca="1" si="9"/>
        <v/>
      </c>
      <c r="X20" s="84" t="str">
        <f t="shared" ca="1" si="9"/>
        <v>日B</v>
      </c>
      <c r="Y20" s="84" t="str">
        <f t="shared" ca="1" si="9"/>
        <v>日B-1</v>
      </c>
      <c r="Z20" s="84" t="str">
        <f t="shared" ca="1" si="9"/>
        <v/>
      </c>
      <c r="AA20" s="84" t="str">
        <f t="shared" ca="1" si="9"/>
        <v>日B</v>
      </c>
      <c r="AB20" s="84" t="str">
        <f t="shared" ca="1" si="9"/>
        <v/>
      </c>
      <c r="AC20" s="84" t="str">
        <f t="shared" ca="1" si="9"/>
        <v>日B</v>
      </c>
      <c r="AD20" s="84" t="str">
        <f t="shared" ca="1" si="9"/>
        <v>日B</v>
      </c>
      <c r="AE20" s="84" t="str">
        <f t="shared" ca="1" si="9"/>
        <v/>
      </c>
      <c r="AF20" s="84" t="str">
        <f t="shared" ca="1" si="9"/>
        <v>日B-3</v>
      </c>
      <c r="AG20" s="84" t="str">
        <f t="shared" ca="1" si="9"/>
        <v/>
      </c>
      <c r="AH20" s="85"/>
      <c r="AI20" s="75"/>
      <c r="AJ20" s="159" t="s">
        <v>107</v>
      </c>
      <c r="AK20" s="100" t="s">
        <v>117</v>
      </c>
      <c r="AL20" s="100" t="s">
        <v>118</v>
      </c>
      <c r="AM20" s="101"/>
      <c r="AN20" s="74"/>
    </row>
    <row r="21" spans="1:40">
      <c r="A21" s="82">
        <v>6</v>
      </c>
      <c r="B21" s="213" t="s">
        <v>35</v>
      </c>
      <c r="C21" s="214"/>
      <c r="D21" s="84" t="str">
        <f t="shared" ca="1" si="10"/>
        <v/>
      </c>
      <c r="E21" s="84" t="str">
        <f t="shared" ca="1" si="9"/>
        <v>日B</v>
      </c>
      <c r="F21" s="84" t="str">
        <f t="shared" ca="1" si="9"/>
        <v>日B</v>
      </c>
      <c r="G21" s="84" t="str">
        <f t="shared" ca="1" si="9"/>
        <v/>
      </c>
      <c r="H21" s="84" t="str">
        <f t="shared" ca="1" si="9"/>
        <v>日B</v>
      </c>
      <c r="I21" s="84" t="str">
        <f t="shared" ca="1" si="9"/>
        <v>日B</v>
      </c>
      <c r="J21" s="84" t="str">
        <f t="shared" ca="1" si="9"/>
        <v/>
      </c>
      <c r="K21" s="84" t="str">
        <f t="shared" ca="1" si="9"/>
        <v/>
      </c>
      <c r="L21" s="84" t="str">
        <f t="shared" ca="1" si="9"/>
        <v>日B</v>
      </c>
      <c r="M21" s="84" t="str">
        <f t="shared" ca="1" si="9"/>
        <v>日C</v>
      </c>
      <c r="N21" s="84" t="str">
        <f t="shared" ca="1" si="9"/>
        <v>日B</v>
      </c>
      <c r="O21" s="84" t="str">
        <f t="shared" ca="1" si="9"/>
        <v/>
      </c>
      <c r="P21" s="84" t="str">
        <f t="shared" ca="1" si="9"/>
        <v>日C</v>
      </c>
      <c r="Q21" s="84" t="str">
        <f t="shared" ca="1" si="9"/>
        <v/>
      </c>
      <c r="R21" s="84" t="str">
        <f t="shared" ca="1" si="9"/>
        <v/>
      </c>
      <c r="S21" s="84" t="str">
        <f t="shared" ca="1" si="9"/>
        <v>日B</v>
      </c>
      <c r="T21" s="84" t="str">
        <f t="shared" ca="1" si="9"/>
        <v>日C</v>
      </c>
      <c r="U21" s="84" t="str">
        <f t="shared" ca="1" si="9"/>
        <v>日B</v>
      </c>
      <c r="V21" s="84" t="str">
        <f t="shared" ca="1" si="9"/>
        <v>日C</v>
      </c>
      <c r="W21" s="84" t="str">
        <f t="shared" ca="1" si="9"/>
        <v>日B</v>
      </c>
      <c r="X21" s="84" t="str">
        <f t="shared" ca="1" si="9"/>
        <v/>
      </c>
      <c r="Y21" s="84" t="str">
        <f t="shared" ca="1" si="9"/>
        <v/>
      </c>
      <c r="Z21" s="84" t="str">
        <f t="shared" ca="1" si="9"/>
        <v>日B</v>
      </c>
      <c r="AA21" s="84" t="str">
        <f t="shared" ca="1" si="9"/>
        <v>日C</v>
      </c>
      <c r="AB21" s="84" t="str">
        <f t="shared" ca="1" si="9"/>
        <v>日B</v>
      </c>
      <c r="AC21" s="84" t="str">
        <f t="shared" ca="1" si="9"/>
        <v>日C</v>
      </c>
      <c r="AD21" s="84" t="str">
        <f t="shared" ca="1" si="9"/>
        <v>日C</v>
      </c>
      <c r="AE21" s="84" t="str">
        <f t="shared" ca="1" si="9"/>
        <v/>
      </c>
      <c r="AF21" s="84" t="str">
        <f t="shared" ca="1" si="9"/>
        <v/>
      </c>
      <c r="AG21" s="84" t="str">
        <f t="shared" ca="1" si="9"/>
        <v>日B</v>
      </c>
      <c r="AH21" s="85"/>
      <c r="AI21" s="87"/>
      <c r="AJ21" s="159" t="s">
        <v>126</v>
      </c>
      <c r="AK21" s="100" t="s">
        <v>117</v>
      </c>
      <c r="AL21" s="100" t="s">
        <v>127</v>
      </c>
      <c r="AN21" s="74"/>
    </row>
    <row r="22" spans="1:40">
      <c r="A22" s="82">
        <v>7</v>
      </c>
      <c r="B22" s="209" t="s">
        <v>128</v>
      </c>
      <c r="C22" s="210"/>
      <c r="D22" s="84" t="str">
        <f t="shared" ca="1" si="10"/>
        <v/>
      </c>
      <c r="E22" s="84" t="str">
        <f t="shared" ca="1" si="9"/>
        <v/>
      </c>
      <c r="F22" s="84" t="str">
        <f t="shared" ca="1" si="9"/>
        <v/>
      </c>
      <c r="G22" s="84" t="str">
        <f t="shared" ca="1" si="9"/>
        <v/>
      </c>
      <c r="H22" s="84" t="str">
        <f t="shared" ca="1" si="9"/>
        <v/>
      </c>
      <c r="I22" s="84" t="str">
        <f t="shared" ca="1" si="9"/>
        <v/>
      </c>
      <c r="J22" s="84" t="str">
        <f t="shared" ca="1" si="9"/>
        <v/>
      </c>
      <c r="K22" s="84" t="str">
        <f t="shared" ca="1" si="9"/>
        <v/>
      </c>
      <c r="L22" s="84" t="str">
        <f t="shared" ca="1" si="9"/>
        <v/>
      </c>
      <c r="M22" s="84" t="str">
        <f t="shared" ca="1" si="9"/>
        <v/>
      </c>
      <c r="N22" s="84" t="str">
        <f t="shared" ca="1" si="9"/>
        <v/>
      </c>
      <c r="O22" s="84" t="str">
        <f t="shared" ca="1" si="9"/>
        <v/>
      </c>
      <c r="P22" s="84" t="str">
        <f t="shared" ca="1" si="9"/>
        <v/>
      </c>
      <c r="Q22" s="84" t="str">
        <f t="shared" ca="1" si="9"/>
        <v>日B</v>
      </c>
      <c r="R22" s="84" t="str">
        <f t="shared" ca="1" si="9"/>
        <v/>
      </c>
      <c r="S22" s="84" t="str">
        <f t="shared" ca="1" si="9"/>
        <v/>
      </c>
      <c r="T22" s="84" t="str">
        <f t="shared" ca="1" si="9"/>
        <v/>
      </c>
      <c r="U22" s="84" t="str">
        <f t="shared" ca="1" si="9"/>
        <v/>
      </c>
      <c r="V22" s="84" t="str">
        <f t="shared" ca="1" si="9"/>
        <v/>
      </c>
      <c r="W22" s="84" t="str">
        <f t="shared" ca="1" si="9"/>
        <v/>
      </c>
      <c r="X22" s="84" t="str">
        <f t="shared" ca="1" si="9"/>
        <v/>
      </c>
      <c r="Y22" s="84" t="str">
        <f t="shared" ca="1" si="9"/>
        <v/>
      </c>
      <c r="Z22" s="84" t="str">
        <f t="shared" ca="1" si="9"/>
        <v/>
      </c>
      <c r="AA22" s="84" t="str">
        <f t="shared" ca="1" si="9"/>
        <v/>
      </c>
      <c r="AB22" s="84" t="str">
        <f t="shared" ca="1" si="9"/>
        <v/>
      </c>
      <c r="AC22" s="84" t="str">
        <f t="shared" ca="1" si="9"/>
        <v/>
      </c>
      <c r="AD22" s="84" t="str">
        <f t="shared" ca="1" si="9"/>
        <v/>
      </c>
      <c r="AE22" s="84" t="str">
        <f t="shared" ca="1" si="9"/>
        <v>日B</v>
      </c>
      <c r="AF22" s="84" t="str">
        <f t="shared" ca="1" si="9"/>
        <v/>
      </c>
      <c r="AG22" s="84" t="str">
        <f t="shared" ca="1" si="9"/>
        <v/>
      </c>
      <c r="AH22" s="85"/>
      <c r="AI22" s="87"/>
      <c r="AJ22" s="159" t="s">
        <v>129</v>
      </c>
      <c r="AK22" s="100" t="s">
        <v>117</v>
      </c>
      <c r="AL22" s="100" t="s">
        <v>130</v>
      </c>
      <c r="AM22" s="101"/>
      <c r="AN22" s="74"/>
    </row>
    <row r="23" spans="1:40">
      <c r="A23" s="82">
        <v>8</v>
      </c>
      <c r="B23" s="213" t="s">
        <v>42</v>
      </c>
      <c r="C23" s="214"/>
      <c r="D23" s="84" t="str">
        <f t="shared" ca="1" si="10"/>
        <v/>
      </c>
      <c r="E23" s="84" t="str">
        <f t="shared" ca="1" si="9"/>
        <v>夜B</v>
      </c>
      <c r="F23" s="84" t="str">
        <f t="shared" ca="1" si="9"/>
        <v>夜A</v>
      </c>
      <c r="G23" s="84" t="str">
        <f t="shared" ca="1" si="9"/>
        <v/>
      </c>
      <c r="H23" s="84" t="str">
        <f t="shared" ca="1" si="9"/>
        <v>夜A</v>
      </c>
      <c r="I23" s="84" t="str">
        <f t="shared" ca="1" si="9"/>
        <v>夜B</v>
      </c>
      <c r="J23" s="84" t="str">
        <f t="shared" ca="1" si="9"/>
        <v/>
      </c>
      <c r="K23" s="84" t="str">
        <f t="shared" ca="1" si="9"/>
        <v/>
      </c>
      <c r="L23" s="84" t="str">
        <f t="shared" ca="1" si="9"/>
        <v>夜A</v>
      </c>
      <c r="M23" s="84" t="str">
        <f t="shared" ca="1" si="9"/>
        <v>夜A</v>
      </c>
      <c r="N23" s="84" t="str">
        <f t="shared" ca="1" si="9"/>
        <v/>
      </c>
      <c r="O23" s="84" t="str">
        <f t="shared" ca="1" si="9"/>
        <v/>
      </c>
      <c r="P23" s="84" t="str">
        <f t="shared" ca="1" si="9"/>
        <v>夜A</v>
      </c>
      <c r="Q23" s="84" t="str">
        <f t="shared" ca="1" si="9"/>
        <v/>
      </c>
      <c r="R23" s="84" t="str">
        <f t="shared" ca="1" si="9"/>
        <v/>
      </c>
      <c r="S23" s="84" t="str">
        <f t="shared" ca="1" si="9"/>
        <v>夜B</v>
      </c>
      <c r="T23" s="84" t="str">
        <f t="shared" ca="1" si="9"/>
        <v>夜B</v>
      </c>
      <c r="U23" s="84" t="str">
        <f t="shared" ca="1" si="9"/>
        <v/>
      </c>
      <c r="V23" s="84" t="str">
        <f t="shared" ca="1" si="9"/>
        <v>夜B</v>
      </c>
      <c r="W23" s="84" t="str">
        <f t="shared" ca="1" si="9"/>
        <v>夜A</v>
      </c>
      <c r="X23" s="84" t="str">
        <f t="shared" ca="1" si="9"/>
        <v/>
      </c>
      <c r="Y23" s="84" t="str">
        <f t="shared" ca="1" si="9"/>
        <v/>
      </c>
      <c r="Z23" s="84" t="str">
        <f t="shared" ca="1" si="9"/>
        <v>夜B</v>
      </c>
      <c r="AA23" s="84" t="str">
        <f t="shared" ca="1" si="9"/>
        <v>夜A</v>
      </c>
      <c r="AB23" s="84" t="str">
        <f t="shared" ca="1" si="9"/>
        <v/>
      </c>
      <c r="AC23" s="84" t="str">
        <f t="shared" ca="1" si="9"/>
        <v/>
      </c>
      <c r="AD23" s="84" t="str">
        <f t="shared" ca="1" si="9"/>
        <v>夜A</v>
      </c>
      <c r="AE23" s="84" t="str">
        <f t="shared" ca="1" si="9"/>
        <v/>
      </c>
      <c r="AF23" s="84" t="str">
        <f t="shared" ca="1" si="9"/>
        <v/>
      </c>
      <c r="AG23" s="84" t="str">
        <f t="shared" ca="1" si="9"/>
        <v>夜B</v>
      </c>
      <c r="AH23" s="89"/>
      <c r="AI23" s="90"/>
      <c r="AJ23" s="159" t="s">
        <v>131</v>
      </c>
      <c r="AK23" s="100" t="s">
        <v>117</v>
      </c>
      <c r="AL23" s="100" t="s">
        <v>121</v>
      </c>
      <c r="AM23" s="101"/>
      <c r="AN23" s="74"/>
    </row>
    <row r="24" spans="1:40">
      <c r="A24" s="82">
        <v>9</v>
      </c>
      <c r="B24" s="213" t="s">
        <v>49</v>
      </c>
      <c r="C24" s="214"/>
      <c r="D24" s="84" t="str">
        <f t="shared" ca="1" si="10"/>
        <v/>
      </c>
      <c r="E24" s="84" t="str">
        <f t="shared" ca="1" si="9"/>
        <v/>
      </c>
      <c r="F24" s="84" t="str">
        <f t="shared" ca="1" si="9"/>
        <v/>
      </c>
      <c r="G24" s="84" t="str">
        <f t="shared" ca="1" si="9"/>
        <v/>
      </c>
      <c r="H24" s="84" t="str">
        <f t="shared" ca="1" si="9"/>
        <v/>
      </c>
      <c r="I24" s="84" t="str">
        <f t="shared" ca="1" si="9"/>
        <v/>
      </c>
      <c r="J24" s="84" t="str">
        <f t="shared" ca="1" si="9"/>
        <v>夜B</v>
      </c>
      <c r="K24" s="84" t="str">
        <f t="shared" ca="1" si="9"/>
        <v/>
      </c>
      <c r="L24" s="84" t="str">
        <f t="shared" ca="1" si="9"/>
        <v/>
      </c>
      <c r="M24" s="84" t="str">
        <f t="shared" ca="1" si="9"/>
        <v/>
      </c>
      <c r="N24" s="84" t="str">
        <f t="shared" ca="1" si="9"/>
        <v>夜B</v>
      </c>
      <c r="O24" s="84" t="str">
        <f t="shared" ca="1" si="9"/>
        <v>夜B</v>
      </c>
      <c r="P24" s="84" t="str">
        <f t="shared" ca="1" si="9"/>
        <v/>
      </c>
      <c r="Q24" s="84" t="str">
        <f t="shared" ca="1" si="9"/>
        <v>夜B</v>
      </c>
      <c r="R24" s="84" t="str">
        <f t="shared" ca="1" si="9"/>
        <v/>
      </c>
      <c r="S24" s="84" t="str">
        <f t="shared" ca="1" si="9"/>
        <v/>
      </c>
      <c r="T24" s="84" t="str">
        <f t="shared" ca="1" si="9"/>
        <v/>
      </c>
      <c r="U24" s="84" t="str">
        <f t="shared" ca="1" si="9"/>
        <v>夜B</v>
      </c>
      <c r="V24" s="84" t="str">
        <f t="shared" ca="1" si="9"/>
        <v/>
      </c>
      <c r="W24" s="84" t="str">
        <f t="shared" ca="1" si="9"/>
        <v/>
      </c>
      <c r="X24" s="84" t="str">
        <f t="shared" ca="1" si="9"/>
        <v>夜A</v>
      </c>
      <c r="Y24" s="84" t="str">
        <f t="shared" ca="1" si="9"/>
        <v/>
      </c>
      <c r="Z24" s="84" t="str">
        <f t="shared" ca="1" si="9"/>
        <v/>
      </c>
      <c r="AA24" s="84" t="str">
        <f t="shared" ca="1" si="9"/>
        <v/>
      </c>
      <c r="AB24" s="84" t="str">
        <f t="shared" ca="1" si="9"/>
        <v/>
      </c>
      <c r="AC24" s="84" t="str">
        <f t="shared" ca="1" si="9"/>
        <v>夜B</v>
      </c>
      <c r="AD24" s="84" t="str">
        <f t="shared" ca="1" si="9"/>
        <v/>
      </c>
      <c r="AE24" s="84" t="str">
        <f t="shared" ca="1" si="9"/>
        <v>夜A</v>
      </c>
      <c r="AF24" s="84" t="str">
        <f t="shared" ca="1" si="9"/>
        <v/>
      </c>
      <c r="AG24" s="84" t="str">
        <f t="shared" ca="1" si="9"/>
        <v/>
      </c>
      <c r="AH24" s="85"/>
      <c r="AI24" s="87"/>
      <c r="AJ24" s="159" t="s">
        <v>132</v>
      </c>
      <c r="AK24" s="100" t="s">
        <v>117</v>
      </c>
      <c r="AL24" s="100" t="s">
        <v>124</v>
      </c>
      <c r="AM24" s="74"/>
      <c r="AN24" s="74"/>
    </row>
    <row r="25" spans="1:40">
      <c r="A25" s="82">
        <v>10</v>
      </c>
      <c r="B25" s="215" t="s">
        <v>133</v>
      </c>
      <c r="C25" s="216"/>
      <c r="D25" s="84" t="str">
        <f t="shared" ca="1" si="10"/>
        <v/>
      </c>
      <c r="E25" s="84" t="str">
        <f t="shared" ca="1" si="9"/>
        <v/>
      </c>
      <c r="F25" s="84" t="str">
        <f t="shared" ca="1" si="9"/>
        <v/>
      </c>
      <c r="G25" s="84" t="str">
        <f t="shared" ca="1" si="9"/>
        <v/>
      </c>
      <c r="H25" s="84" t="str">
        <f t="shared" ca="1" si="9"/>
        <v/>
      </c>
      <c r="I25" s="84" t="str">
        <f t="shared" ca="1" si="9"/>
        <v/>
      </c>
      <c r="J25" s="84" t="str">
        <f t="shared" ca="1" si="9"/>
        <v/>
      </c>
      <c r="K25" s="84" t="str">
        <f t="shared" ca="1" si="9"/>
        <v/>
      </c>
      <c r="L25" s="84" t="str">
        <f t="shared" ca="1" si="9"/>
        <v/>
      </c>
      <c r="M25" s="84" t="str">
        <f t="shared" ca="1" si="9"/>
        <v/>
      </c>
      <c r="N25" s="84" t="str">
        <f t="shared" ca="1" si="9"/>
        <v/>
      </c>
      <c r="O25" s="84" t="str">
        <f t="shared" ca="1" si="9"/>
        <v/>
      </c>
      <c r="P25" s="84" t="str">
        <f t="shared" ca="1" si="9"/>
        <v/>
      </c>
      <c r="Q25" s="84" t="str">
        <f t="shared" ca="1" si="9"/>
        <v/>
      </c>
      <c r="R25" s="84" t="str">
        <f t="shared" ca="1" si="9"/>
        <v/>
      </c>
      <c r="S25" s="84" t="str">
        <f t="shared" ca="1" si="9"/>
        <v/>
      </c>
      <c r="T25" s="84" t="str">
        <f t="shared" ca="1" si="9"/>
        <v/>
      </c>
      <c r="U25" s="84" t="str">
        <f t="shared" ca="1" si="9"/>
        <v/>
      </c>
      <c r="V25" s="84" t="str">
        <f t="shared" ca="1" si="9"/>
        <v/>
      </c>
      <c r="W25" s="84" t="str">
        <f t="shared" ca="1" si="9"/>
        <v/>
      </c>
      <c r="X25" s="84" t="str">
        <f t="shared" ca="1" si="9"/>
        <v/>
      </c>
      <c r="Y25" s="84" t="str">
        <f t="shared" ca="1" si="9"/>
        <v/>
      </c>
      <c r="Z25" s="84" t="str">
        <f t="shared" ca="1" si="9"/>
        <v/>
      </c>
      <c r="AA25" s="84" t="str">
        <f t="shared" ca="1" si="9"/>
        <v/>
      </c>
      <c r="AB25" s="84" t="str">
        <f t="shared" ca="1" si="9"/>
        <v/>
      </c>
      <c r="AC25" s="84" t="str">
        <f t="shared" ca="1" si="9"/>
        <v/>
      </c>
      <c r="AD25" s="84" t="str">
        <f t="shared" ca="1" si="9"/>
        <v/>
      </c>
      <c r="AE25" s="84" t="str">
        <f t="shared" ca="1" si="9"/>
        <v/>
      </c>
      <c r="AF25" s="84" t="str">
        <f t="shared" ca="1" si="9"/>
        <v/>
      </c>
      <c r="AG25" s="84" t="str">
        <f t="shared" ca="1" si="9"/>
        <v/>
      </c>
      <c r="AH25" s="85"/>
      <c r="AI25" s="87"/>
      <c r="AJ25" s="159" t="s">
        <v>108</v>
      </c>
      <c r="AK25" s="100" t="s">
        <v>117</v>
      </c>
      <c r="AL25" s="100" t="s">
        <v>134</v>
      </c>
      <c r="AM25" s="74"/>
      <c r="AN25" s="74"/>
    </row>
    <row r="26" spans="1:40">
      <c r="A26" s="82">
        <v>11</v>
      </c>
      <c r="B26" s="215" t="s">
        <v>135</v>
      </c>
      <c r="C26" s="216"/>
      <c r="D26" s="84" t="str">
        <f t="shared" ca="1" si="10"/>
        <v/>
      </c>
      <c r="E26" s="84" t="str">
        <f t="shared" ca="1" si="9"/>
        <v/>
      </c>
      <c r="F26" s="84" t="str">
        <f t="shared" ca="1" si="9"/>
        <v/>
      </c>
      <c r="G26" s="84" t="str">
        <f t="shared" ca="1" si="9"/>
        <v/>
      </c>
      <c r="H26" s="84" t="str">
        <f t="shared" ca="1" si="9"/>
        <v>夜B</v>
      </c>
      <c r="I26" s="84" t="str">
        <f t="shared" ca="1" si="9"/>
        <v>夜A</v>
      </c>
      <c r="J26" s="84" t="str">
        <f t="shared" ca="1" si="9"/>
        <v/>
      </c>
      <c r="K26" s="84" t="str">
        <f t="shared" ca="1" si="9"/>
        <v>夜B</v>
      </c>
      <c r="L26" s="84" t="str">
        <f t="shared" ca="1" si="9"/>
        <v/>
      </c>
      <c r="M26" s="84" t="str">
        <f t="shared" ca="1" si="9"/>
        <v/>
      </c>
      <c r="N26" s="84" t="str">
        <f t="shared" ca="1" si="9"/>
        <v/>
      </c>
      <c r="O26" s="84" t="str">
        <f t="shared" ca="1" si="9"/>
        <v/>
      </c>
      <c r="P26" s="84" t="str">
        <f t="shared" ca="1" si="9"/>
        <v>夜B</v>
      </c>
      <c r="Q26" s="84" t="str">
        <f t="shared" ca="1" si="9"/>
        <v/>
      </c>
      <c r="R26" s="84" t="str">
        <f t="shared" ca="1" si="9"/>
        <v/>
      </c>
      <c r="S26" s="84" t="str">
        <f t="shared" ca="1" si="9"/>
        <v/>
      </c>
      <c r="T26" s="84" t="str">
        <f t="shared" ref="T26:AG28" ca="1" si="12">IFERROR(INDEX(INDIRECT("'"&amp;T$6&amp;"'!AV$9:AV$18"),MATCH($B26, INDIRECT("'"&amp;T$6&amp;"'!AU$9:AU$18"), 0)),"")</f>
        <v/>
      </c>
      <c r="U26" s="84" t="str">
        <f t="shared" ca="1" si="12"/>
        <v/>
      </c>
      <c r="V26" s="84" t="str">
        <f t="shared" ca="1" si="12"/>
        <v>夜A</v>
      </c>
      <c r="W26" s="84" t="str">
        <f t="shared" ca="1" si="12"/>
        <v>夜B</v>
      </c>
      <c r="X26" s="84" t="str">
        <f t="shared" ca="1" si="12"/>
        <v/>
      </c>
      <c r="Y26" s="84" t="str">
        <f t="shared" ca="1" si="12"/>
        <v/>
      </c>
      <c r="Z26" s="84" t="str">
        <f t="shared" ca="1" si="12"/>
        <v/>
      </c>
      <c r="AA26" s="84" t="str">
        <f t="shared" ca="1" si="12"/>
        <v/>
      </c>
      <c r="AB26" s="84" t="str">
        <f t="shared" ca="1" si="12"/>
        <v/>
      </c>
      <c r="AC26" s="84" t="str">
        <f t="shared" ca="1" si="12"/>
        <v>夜A</v>
      </c>
      <c r="AD26" s="84" t="str">
        <f t="shared" ca="1" si="12"/>
        <v>夜B</v>
      </c>
      <c r="AE26" s="84" t="str">
        <f t="shared" ca="1" si="12"/>
        <v/>
      </c>
      <c r="AF26" s="84" t="str">
        <f t="shared" ca="1" si="12"/>
        <v>夜A</v>
      </c>
      <c r="AG26" s="84" t="str">
        <f t="shared" ca="1" si="12"/>
        <v/>
      </c>
      <c r="AH26" s="89"/>
      <c r="AI26" s="87"/>
      <c r="AJ26" s="160" t="s">
        <v>109</v>
      </c>
      <c r="AK26" s="100" t="s">
        <v>117</v>
      </c>
      <c r="AL26" s="100" t="s">
        <v>136</v>
      </c>
      <c r="AM26" s="74"/>
      <c r="AN26" s="74"/>
    </row>
    <row r="27" spans="1:40">
      <c r="A27" s="82">
        <v>12</v>
      </c>
      <c r="B27" s="215" t="s">
        <v>137</v>
      </c>
      <c r="C27" s="216"/>
      <c r="D27" s="84" t="str">
        <f t="shared" ca="1" si="10"/>
        <v>夜B</v>
      </c>
      <c r="E27" s="84" t="str">
        <f t="shared" ca="1" si="10"/>
        <v>夜A</v>
      </c>
      <c r="F27" s="84" t="str">
        <f t="shared" ca="1" si="10"/>
        <v/>
      </c>
      <c r="G27" s="84" t="str">
        <f t="shared" ca="1" si="10"/>
        <v>夜B</v>
      </c>
      <c r="H27" s="84" t="str">
        <f t="shared" ca="1" si="10"/>
        <v/>
      </c>
      <c r="I27" s="84" t="str">
        <f t="shared" ca="1" si="10"/>
        <v/>
      </c>
      <c r="J27" s="84" t="str">
        <f t="shared" ca="1" si="10"/>
        <v>夜A</v>
      </c>
      <c r="K27" s="84" t="str">
        <f t="shared" ca="1" si="10"/>
        <v>夜A</v>
      </c>
      <c r="L27" s="84" t="str">
        <f t="shared" ca="1" si="10"/>
        <v/>
      </c>
      <c r="M27" s="84" t="str">
        <f t="shared" ca="1" si="10"/>
        <v>夜B</v>
      </c>
      <c r="N27" s="84" t="str">
        <f t="shared" ca="1" si="10"/>
        <v>夜A</v>
      </c>
      <c r="O27" s="84" t="str">
        <f t="shared" ca="1" si="10"/>
        <v>夜A</v>
      </c>
      <c r="P27" s="84" t="str">
        <f t="shared" ca="1" si="10"/>
        <v/>
      </c>
      <c r="Q27" s="84" t="str">
        <f t="shared" ca="1" si="10"/>
        <v>夜A</v>
      </c>
      <c r="R27" s="84" t="str">
        <f t="shared" ca="1" si="10"/>
        <v>夜B</v>
      </c>
      <c r="S27" s="84" t="str">
        <f t="shared" ca="1" si="10"/>
        <v/>
      </c>
      <c r="T27" s="84" t="str">
        <f t="shared" ca="1" si="12"/>
        <v>夜A</v>
      </c>
      <c r="U27" s="84" t="str">
        <f t="shared" ca="1" si="12"/>
        <v>夜A</v>
      </c>
      <c r="V27" s="84" t="str">
        <f t="shared" ca="1" si="12"/>
        <v/>
      </c>
      <c r="W27" s="84" t="str">
        <f t="shared" ca="1" si="12"/>
        <v/>
      </c>
      <c r="X27" s="84" t="str">
        <f t="shared" ca="1" si="12"/>
        <v/>
      </c>
      <c r="Y27" s="84" t="str">
        <f t="shared" ca="1" si="12"/>
        <v>夜B</v>
      </c>
      <c r="Z27" s="84" t="str">
        <f t="shared" ca="1" si="12"/>
        <v/>
      </c>
      <c r="AA27" s="84" t="str">
        <f t="shared" ca="1" si="12"/>
        <v>夜B</v>
      </c>
      <c r="AB27" s="84" t="str">
        <f t="shared" ca="1" si="12"/>
        <v>夜B</v>
      </c>
      <c r="AC27" s="84" t="str">
        <f t="shared" ca="1" si="12"/>
        <v/>
      </c>
      <c r="AD27" s="84" t="str">
        <f t="shared" ca="1" si="12"/>
        <v/>
      </c>
      <c r="AE27" s="84" t="str">
        <f t="shared" ca="1" si="12"/>
        <v/>
      </c>
      <c r="AF27" s="84" t="str">
        <f t="shared" ca="1" si="12"/>
        <v>夜B</v>
      </c>
      <c r="AG27" s="84" t="str">
        <f t="shared" ca="1" si="12"/>
        <v/>
      </c>
      <c r="AH27" s="89"/>
      <c r="AI27" s="68"/>
      <c r="AJ27" s="160" t="s">
        <v>110</v>
      </c>
      <c r="AK27" s="100" t="s">
        <v>117</v>
      </c>
      <c r="AL27" s="100" t="s">
        <v>136</v>
      </c>
      <c r="AM27" s="74"/>
      <c r="AN27" s="74"/>
    </row>
    <row r="28" spans="1:40">
      <c r="A28" s="82">
        <v>13</v>
      </c>
      <c r="B28" s="215" t="s">
        <v>138</v>
      </c>
      <c r="C28" s="216"/>
      <c r="D28" s="84" t="str">
        <f t="shared" ca="1" si="10"/>
        <v/>
      </c>
      <c r="E28" s="84" t="str">
        <f t="shared" ca="1" si="10"/>
        <v/>
      </c>
      <c r="F28" s="84" t="str">
        <f t="shared" ca="1" si="10"/>
        <v>夜B</v>
      </c>
      <c r="G28" s="84" t="str">
        <f t="shared" ca="1" si="10"/>
        <v/>
      </c>
      <c r="H28" s="84" t="str">
        <f t="shared" ca="1" si="10"/>
        <v/>
      </c>
      <c r="I28" s="84" t="str">
        <f t="shared" ca="1" si="10"/>
        <v/>
      </c>
      <c r="J28" s="84" t="str">
        <f t="shared" ca="1" si="10"/>
        <v/>
      </c>
      <c r="K28" s="84" t="str">
        <f t="shared" ca="1" si="10"/>
        <v/>
      </c>
      <c r="L28" s="84" t="str">
        <f t="shared" ca="1" si="10"/>
        <v>夜B</v>
      </c>
      <c r="M28" s="84" t="str">
        <f t="shared" ca="1" si="10"/>
        <v/>
      </c>
      <c r="N28" s="84" t="str">
        <f t="shared" ca="1" si="10"/>
        <v/>
      </c>
      <c r="O28" s="84" t="str">
        <f t="shared" ca="1" si="10"/>
        <v/>
      </c>
      <c r="P28" s="84" t="str">
        <f t="shared" ca="1" si="10"/>
        <v/>
      </c>
      <c r="Q28" s="84" t="str">
        <f t="shared" ca="1" si="10"/>
        <v/>
      </c>
      <c r="R28" s="84" t="str">
        <f t="shared" ca="1" si="10"/>
        <v/>
      </c>
      <c r="S28" s="84" t="str">
        <f t="shared" ca="1" si="10"/>
        <v>夜A</v>
      </c>
      <c r="T28" s="84" t="str">
        <f t="shared" ca="1" si="12"/>
        <v/>
      </c>
      <c r="U28" s="84" t="str">
        <f t="shared" ca="1" si="12"/>
        <v/>
      </c>
      <c r="V28" s="84" t="str">
        <f t="shared" ca="1" si="12"/>
        <v/>
      </c>
      <c r="W28" s="84" t="str">
        <f t="shared" ca="1" si="12"/>
        <v/>
      </c>
      <c r="X28" s="84" t="str">
        <f t="shared" ca="1" si="12"/>
        <v>夜B</v>
      </c>
      <c r="Y28" s="84" t="str">
        <f t="shared" ca="1" si="12"/>
        <v/>
      </c>
      <c r="Z28" s="84" t="str">
        <f t="shared" ca="1" si="12"/>
        <v>夜A</v>
      </c>
      <c r="AA28" s="84" t="str">
        <f t="shared" ca="1" si="12"/>
        <v/>
      </c>
      <c r="AB28" s="84" t="str">
        <f ca="1">IFERROR(INDEX(INDIRECT("'"&amp;AB$6&amp;"'!AV$9:AV$18"),MATCH($B28, INDIRECT("'"&amp;AB$6&amp;"'!AU$9:AU$18"), 0)),"")</f>
        <v/>
      </c>
      <c r="AC28" s="84" t="str">
        <f t="shared" ca="1" si="12"/>
        <v/>
      </c>
      <c r="AD28" s="84" t="str">
        <f t="shared" ca="1" si="12"/>
        <v/>
      </c>
      <c r="AE28" s="84" t="str">
        <f ca="1">IFERROR(INDEX(INDIRECT("'"&amp;AE$6&amp;"'!AV$9:AV$18"),MATCH($B28, INDIRECT("'"&amp;AE$6&amp;"'!AU$9:AU$18"), 0)),"")</f>
        <v>夜B</v>
      </c>
      <c r="AF28" s="84" t="str">
        <f t="shared" ca="1" si="12"/>
        <v/>
      </c>
      <c r="AG28" s="84" t="str">
        <f t="shared" ca="1" si="12"/>
        <v>夜A</v>
      </c>
      <c r="AH28" s="89"/>
      <c r="AI28" s="68"/>
      <c r="AN28" s="74"/>
    </row>
  </sheetData>
  <mergeCells count="36">
    <mergeCell ref="AC1:AE2"/>
    <mergeCell ref="AF1:AG2"/>
    <mergeCell ref="D4:T4"/>
    <mergeCell ref="U4:W4"/>
    <mergeCell ref="X4:Y4"/>
    <mergeCell ref="AA4:AC4"/>
    <mergeCell ref="AD4:AE4"/>
    <mergeCell ref="D1:I2"/>
    <mergeCell ref="K1:L2"/>
    <mergeCell ref="M1:N2"/>
    <mergeCell ref="O1:O2"/>
    <mergeCell ref="P1:Q2"/>
    <mergeCell ref="R1:R2"/>
    <mergeCell ref="AH6:AH7"/>
    <mergeCell ref="B16:C16"/>
    <mergeCell ref="B17:C17"/>
    <mergeCell ref="B21:C21"/>
    <mergeCell ref="B23:C23"/>
    <mergeCell ref="B18:C18"/>
    <mergeCell ref="B19:C19"/>
    <mergeCell ref="B10:C10"/>
    <mergeCell ref="B24:C24"/>
    <mergeCell ref="B25:C25"/>
    <mergeCell ref="B26:C26"/>
    <mergeCell ref="B27:C27"/>
    <mergeCell ref="B28:C28"/>
    <mergeCell ref="B4:C4"/>
    <mergeCell ref="B22:C22"/>
    <mergeCell ref="B8:C8"/>
    <mergeCell ref="B9:C9"/>
    <mergeCell ref="B15:C15"/>
    <mergeCell ref="B11:C11"/>
    <mergeCell ref="B14:C14"/>
    <mergeCell ref="B12:C12"/>
    <mergeCell ref="B13:C13"/>
    <mergeCell ref="B20:C20"/>
  </mergeCells>
  <phoneticPr fontId="2"/>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8AFC89C-34E2-4D9A-8D07-8CE556EB14C4}">
  <sheetPr codeName="Sheet10"/>
  <dimension ref="A1:AP38"/>
  <sheetViews>
    <sheetView workbookViewId="0">
      <selection activeCell="Z27" sqref="Z27"/>
    </sheetView>
  </sheetViews>
  <sheetFormatPr defaultRowHeight="18.75"/>
  <cols>
    <col min="1" max="1" width="4.75" customWidth="1"/>
    <col min="2" max="2" width="12.125" customWidth="1"/>
    <col min="3" max="3" width="5.5" customWidth="1"/>
    <col min="4" max="33" width="3.625" customWidth="1"/>
    <col min="34" max="34" width="14.125" customWidth="1"/>
  </cols>
  <sheetData>
    <row r="1" spans="1:42">
      <c r="A1" s="68"/>
      <c r="B1" s="68"/>
      <c r="C1" s="68"/>
      <c r="D1" s="225" t="s">
        <v>86</v>
      </c>
      <c r="E1" s="225"/>
      <c r="F1" s="225"/>
      <c r="G1" s="225"/>
      <c r="H1" s="225"/>
      <c r="I1" s="225"/>
      <c r="J1" s="69"/>
      <c r="K1" s="226" t="s">
        <v>87</v>
      </c>
      <c r="L1" s="226"/>
      <c r="M1" s="233">
        <f>DATE(初期値!A2, 初期値!A3, AN1)</f>
        <v>46174</v>
      </c>
      <c r="N1" s="233"/>
      <c r="O1" s="226" t="s">
        <v>88</v>
      </c>
      <c r="P1" s="228">
        <f>M1</f>
        <v>46174</v>
      </c>
      <c r="Q1" s="228"/>
      <c r="R1" s="226" t="s">
        <v>2</v>
      </c>
      <c r="S1" s="71"/>
      <c r="T1" s="72"/>
      <c r="U1" s="71" t="s">
        <v>89</v>
      </c>
      <c r="V1" s="91">
        <f>P1</f>
        <v>46174</v>
      </c>
      <c r="W1" s="72" t="s">
        <v>90</v>
      </c>
      <c r="X1" s="92">
        <f>M1</f>
        <v>46174</v>
      </c>
      <c r="Y1" s="72" t="s">
        <v>91</v>
      </c>
      <c r="Z1" s="72"/>
      <c r="AA1" s="71"/>
      <c r="AB1" s="72"/>
      <c r="AC1" s="219" t="s">
        <v>92</v>
      </c>
      <c r="AD1" s="219"/>
      <c r="AE1" s="219"/>
      <c r="AF1" s="220" t="s">
        <v>93</v>
      </c>
      <c r="AG1" s="220"/>
      <c r="AH1" s="68"/>
      <c r="AI1" s="68"/>
      <c r="AJ1" s="68"/>
      <c r="AK1" s="68"/>
      <c r="AL1" s="68"/>
      <c r="AM1" s="68"/>
      <c r="AN1" s="68">
        <v>1</v>
      </c>
      <c r="AO1" s="74"/>
      <c r="AP1" s="74"/>
    </row>
    <row r="2" spans="1:42">
      <c r="A2" s="68"/>
      <c r="B2" s="68"/>
      <c r="C2" s="68"/>
      <c r="D2" s="225"/>
      <c r="E2" s="225"/>
      <c r="F2" s="225"/>
      <c r="G2" s="225"/>
      <c r="H2" s="225"/>
      <c r="I2" s="225"/>
      <c r="J2" s="69"/>
      <c r="K2" s="226"/>
      <c r="L2" s="226"/>
      <c r="M2" s="233"/>
      <c r="N2" s="233"/>
      <c r="O2" s="220"/>
      <c r="P2" s="228"/>
      <c r="Q2" s="228"/>
      <c r="R2" s="226"/>
      <c r="S2" s="71"/>
      <c r="T2" s="72"/>
      <c r="U2" s="71" t="s">
        <v>94</v>
      </c>
      <c r="V2" s="91">
        <f>P1</f>
        <v>46174</v>
      </c>
      <c r="W2" s="72" t="s">
        <v>90</v>
      </c>
      <c r="X2" s="71">
        <v>30</v>
      </c>
      <c r="Y2" s="72" t="s">
        <v>95</v>
      </c>
      <c r="Z2" s="72"/>
      <c r="AA2" s="71"/>
      <c r="AB2" s="72"/>
      <c r="AC2" s="219"/>
      <c r="AD2" s="219"/>
      <c r="AE2" s="219"/>
      <c r="AF2" s="220"/>
      <c r="AG2" s="220"/>
      <c r="AH2" s="68"/>
      <c r="AI2" s="75"/>
      <c r="AJ2" s="68"/>
      <c r="AK2" s="68"/>
      <c r="AL2" s="68"/>
      <c r="AM2" s="68"/>
      <c r="AN2" s="68"/>
      <c r="AO2" s="74"/>
      <c r="AP2" s="74"/>
    </row>
    <row r="3" spans="1:42">
      <c r="A3" s="68"/>
      <c r="B3" s="68"/>
      <c r="C3" s="68"/>
      <c r="D3" s="71"/>
      <c r="E3" s="71"/>
      <c r="F3" s="71"/>
      <c r="G3" s="71"/>
      <c r="H3" s="71"/>
      <c r="I3" s="71"/>
      <c r="J3" s="71"/>
      <c r="K3" s="70"/>
      <c r="L3" s="70"/>
      <c r="M3" s="70"/>
      <c r="N3" s="70"/>
      <c r="O3" s="73"/>
      <c r="P3" s="70"/>
      <c r="Q3" s="70"/>
      <c r="R3" s="70"/>
      <c r="S3" s="71"/>
      <c r="T3" s="72"/>
      <c r="U3" s="71"/>
      <c r="V3" s="71"/>
      <c r="W3" s="72"/>
      <c r="X3" s="71"/>
      <c r="Y3" s="72"/>
      <c r="Z3" s="72"/>
      <c r="AA3" s="71"/>
      <c r="AB3" s="72"/>
      <c r="AC3" s="71"/>
      <c r="AD3" s="71"/>
      <c r="AE3" s="71"/>
      <c r="AF3" s="71"/>
      <c r="AG3" s="71"/>
      <c r="AH3" s="68"/>
      <c r="AI3" s="68"/>
      <c r="AJ3" s="68"/>
      <c r="AK3" s="68"/>
      <c r="AL3" s="68"/>
      <c r="AM3" s="68"/>
      <c r="AN3" s="68"/>
      <c r="AO3" s="74"/>
      <c r="AP3" s="74"/>
    </row>
    <row r="4" spans="1:42" ht="21">
      <c r="A4" s="76"/>
      <c r="B4" s="77" t="s">
        <v>96</v>
      </c>
      <c r="D4" s="221" t="s">
        <v>97</v>
      </c>
      <c r="E4" s="221"/>
      <c r="F4" s="221"/>
      <c r="G4" s="221"/>
      <c r="H4" s="221"/>
      <c r="I4" s="221"/>
      <c r="J4" s="221"/>
      <c r="K4" s="221"/>
      <c r="L4" s="221"/>
      <c r="M4" s="221"/>
      <c r="N4" s="221"/>
      <c r="O4" s="221"/>
      <c r="P4" s="221"/>
      <c r="Q4" s="221"/>
      <c r="R4" s="221"/>
      <c r="S4" s="221"/>
      <c r="T4" s="221"/>
      <c r="U4" s="222" t="s">
        <v>98</v>
      </c>
      <c r="V4" s="222"/>
      <c r="W4" s="222"/>
      <c r="X4" s="223" t="s">
        <v>99</v>
      </c>
      <c r="Y4" s="224"/>
      <c r="Z4" s="71"/>
      <c r="AA4" s="222" t="s">
        <v>100</v>
      </c>
      <c r="AB4" s="222"/>
      <c r="AC4" s="222"/>
      <c r="AD4" s="224" t="s">
        <v>101</v>
      </c>
      <c r="AE4" s="224"/>
      <c r="AF4" s="78"/>
      <c r="AG4" s="78"/>
      <c r="AH4" s="68"/>
      <c r="AI4" s="68"/>
      <c r="AJ4" s="68"/>
      <c r="AK4" s="68"/>
      <c r="AL4" s="68"/>
      <c r="AM4" s="68"/>
      <c r="AN4" s="68"/>
      <c r="AO4" s="74"/>
      <c r="AP4" s="74"/>
    </row>
    <row r="5" spans="1:42">
      <c r="A5" s="68"/>
      <c r="B5" s="68"/>
      <c r="C5" s="68"/>
      <c r="D5" s="71"/>
      <c r="E5" s="71"/>
      <c r="F5" s="71"/>
      <c r="G5" s="71"/>
      <c r="H5" s="71"/>
      <c r="I5" s="71"/>
      <c r="J5" s="71"/>
      <c r="K5" s="71"/>
      <c r="L5" s="71"/>
      <c r="M5" s="71"/>
      <c r="N5" s="71"/>
      <c r="O5" s="71"/>
      <c r="P5" s="71"/>
      <c r="Q5" s="71"/>
      <c r="R5" s="71"/>
      <c r="S5" s="71"/>
      <c r="T5" s="71"/>
      <c r="U5" s="71"/>
      <c r="V5" s="71"/>
      <c r="W5" s="71"/>
      <c r="X5" s="71"/>
      <c r="Y5" s="71"/>
      <c r="Z5" s="71"/>
      <c r="AA5" s="71"/>
      <c r="AB5" s="71"/>
      <c r="AC5" s="71"/>
      <c r="AD5" s="71"/>
      <c r="AE5" s="71"/>
      <c r="AF5" s="71"/>
      <c r="AG5" s="71"/>
      <c r="AH5" s="68"/>
      <c r="AI5" s="68"/>
      <c r="AJ5" s="68"/>
      <c r="AK5" s="68"/>
      <c r="AL5" s="68"/>
      <c r="AM5" s="68"/>
      <c r="AN5" s="68"/>
      <c r="AO5" s="74"/>
      <c r="AP5" s="74"/>
    </row>
    <row r="6" spans="1:42">
      <c r="A6" s="79"/>
      <c r="B6" s="79"/>
      <c r="C6" s="81" t="s">
        <v>102</v>
      </c>
      <c r="D6" s="80">
        <v>1</v>
      </c>
      <c r="E6" s="80">
        <v>2</v>
      </c>
      <c r="F6" s="80">
        <v>3</v>
      </c>
      <c r="G6" s="80">
        <v>4</v>
      </c>
      <c r="H6" s="80">
        <v>5</v>
      </c>
      <c r="I6" s="80">
        <v>6</v>
      </c>
      <c r="J6" s="80">
        <v>7</v>
      </c>
      <c r="K6" s="80">
        <v>8</v>
      </c>
      <c r="L6" s="80">
        <v>9</v>
      </c>
      <c r="M6" s="80">
        <v>10</v>
      </c>
      <c r="N6" s="80">
        <v>11</v>
      </c>
      <c r="O6" s="80">
        <v>12</v>
      </c>
      <c r="P6" s="80">
        <v>13</v>
      </c>
      <c r="Q6" s="80">
        <v>14</v>
      </c>
      <c r="R6" s="80">
        <v>15</v>
      </c>
      <c r="S6" s="80">
        <v>16</v>
      </c>
      <c r="T6" s="80">
        <v>17</v>
      </c>
      <c r="U6" s="80">
        <v>18</v>
      </c>
      <c r="V6" s="80">
        <v>19</v>
      </c>
      <c r="W6" s="80">
        <v>20</v>
      </c>
      <c r="X6" s="80">
        <v>21</v>
      </c>
      <c r="Y6" s="80">
        <v>22</v>
      </c>
      <c r="Z6" s="80">
        <v>23</v>
      </c>
      <c r="AA6" s="80">
        <v>24</v>
      </c>
      <c r="AB6" s="80">
        <v>25</v>
      </c>
      <c r="AC6" s="80">
        <v>26</v>
      </c>
      <c r="AD6" s="80">
        <v>27</v>
      </c>
      <c r="AE6" s="80">
        <v>28</v>
      </c>
      <c r="AF6" s="80">
        <v>29</v>
      </c>
      <c r="AG6" s="80">
        <v>30</v>
      </c>
      <c r="AH6" s="217" t="s">
        <v>103</v>
      </c>
      <c r="AI6" s="68"/>
      <c r="AJ6" s="68"/>
      <c r="AK6" s="68"/>
      <c r="AL6" s="68"/>
      <c r="AM6" s="68"/>
      <c r="AN6" s="68"/>
      <c r="AO6" s="74"/>
      <c r="AP6" s="74"/>
    </row>
    <row r="7" spans="1:42">
      <c r="A7" s="81"/>
      <c r="B7" s="81" t="s">
        <v>104</v>
      </c>
      <c r="C7" s="81" t="s">
        <v>105</v>
      </c>
      <c r="D7" s="93">
        <f>M1</f>
        <v>46174</v>
      </c>
      <c r="E7" s="93">
        <f>$M$1+1</f>
        <v>46175</v>
      </c>
      <c r="F7" s="93">
        <f>$M$1+2</f>
        <v>46176</v>
      </c>
      <c r="G7" s="93">
        <f>$M$1+3</f>
        <v>46177</v>
      </c>
      <c r="H7" s="93">
        <f>$M$1+4</f>
        <v>46178</v>
      </c>
      <c r="I7" s="93">
        <f>$M$1+5</f>
        <v>46179</v>
      </c>
      <c r="J7" s="93">
        <f>$M$1+6</f>
        <v>46180</v>
      </c>
      <c r="K7" s="93">
        <f>$M$1+7</f>
        <v>46181</v>
      </c>
      <c r="L7" s="93">
        <f>$M$1+8</f>
        <v>46182</v>
      </c>
      <c r="M7" s="93">
        <f>$M$1+9</f>
        <v>46183</v>
      </c>
      <c r="N7" s="93">
        <f>$M$1+10</f>
        <v>46184</v>
      </c>
      <c r="O7" s="93">
        <f>$M$1+11</f>
        <v>46185</v>
      </c>
      <c r="P7" s="93">
        <f>$M$1+12</f>
        <v>46186</v>
      </c>
      <c r="Q7" s="93">
        <f>$M$1+13</f>
        <v>46187</v>
      </c>
      <c r="R7" s="93">
        <f>$M$1+14</f>
        <v>46188</v>
      </c>
      <c r="S7" s="93">
        <f>$M$1+15</f>
        <v>46189</v>
      </c>
      <c r="T7" s="93">
        <f>$M$1+16</f>
        <v>46190</v>
      </c>
      <c r="U7" s="93">
        <f>$M$1+17</f>
        <v>46191</v>
      </c>
      <c r="V7" s="93">
        <f>$M$1+18</f>
        <v>46192</v>
      </c>
      <c r="W7" s="93">
        <f>$M$1+19</f>
        <v>46193</v>
      </c>
      <c r="X7" s="93">
        <f>$M$1+20</f>
        <v>46194</v>
      </c>
      <c r="Y7" s="93">
        <f>$M$1+21</f>
        <v>46195</v>
      </c>
      <c r="Z7" s="93">
        <f>$M$1+22</f>
        <v>46196</v>
      </c>
      <c r="AA7" s="93">
        <f>$M$1+23</f>
        <v>46197</v>
      </c>
      <c r="AB7" s="93">
        <f>$M$1+24</f>
        <v>46198</v>
      </c>
      <c r="AC7" s="93">
        <f>$M$1+25</f>
        <v>46199</v>
      </c>
      <c r="AD7" s="93">
        <f>$M$1+26</f>
        <v>46200</v>
      </c>
      <c r="AE7" s="93">
        <f>$M$1+27</f>
        <v>46201</v>
      </c>
      <c r="AF7" s="93">
        <f>$M$1+28</f>
        <v>46202</v>
      </c>
      <c r="AG7" s="93">
        <f>$M$1+29</f>
        <v>46203</v>
      </c>
      <c r="AH7" s="218"/>
      <c r="AI7" s="68"/>
      <c r="AJ7" s="83"/>
      <c r="AK7" s="83"/>
      <c r="AL7" s="68" t="s">
        <v>113</v>
      </c>
      <c r="AM7" s="83"/>
      <c r="AN7" s="68"/>
      <c r="AO7" s="74"/>
      <c r="AP7" s="74"/>
    </row>
    <row r="8" spans="1:42">
      <c r="A8" s="95"/>
      <c r="B8" s="211" t="s">
        <v>139</v>
      </c>
      <c r="C8" s="212"/>
      <c r="D8" s="97">
        <v>4</v>
      </c>
      <c r="E8" s="97">
        <v>4</v>
      </c>
      <c r="F8" s="97">
        <v>4</v>
      </c>
      <c r="G8" s="97">
        <v>4</v>
      </c>
      <c r="H8" s="97">
        <v>4</v>
      </c>
      <c r="I8" s="97">
        <v>4</v>
      </c>
      <c r="J8" s="97">
        <v>4</v>
      </c>
      <c r="K8" s="97">
        <v>4</v>
      </c>
      <c r="L8" s="97">
        <v>4</v>
      </c>
      <c r="M8" s="97">
        <v>4</v>
      </c>
      <c r="N8" s="97">
        <v>4</v>
      </c>
      <c r="O8" s="97">
        <v>4</v>
      </c>
      <c r="P8" s="97">
        <v>4</v>
      </c>
      <c r="Q8" s="97">
        <v>4</v>
      </c>
      <c r="R8" s="97">
        <v>4</v>
      </c>
      <c r="S8" s="97">
        <v>4</v>
      </c>
      <c r="T8" s="97">
        <v>4</v>
      </c>
      <c r="U8" s="97">
        <v>4</v>
      </c>
      <c r="V8" s="97">
        <v>4</v>
      </c>
      <c r="W8" s="97">
        <v>4</v>
      </c>
      <c r="X8" s="97">
        <v>4</v>
      </c>
      <c r="Y8" s="97">
        <v>4</v>
      </c>
      <c r="Z8" s="97">
        <v>4</v>
      </c>
      <c r="AA8" s="97">
        <v>4</v>
      </c>
      <c r="AB8" s="97">
        <v>4</v>
      </c>
      <c r="AC8" s="97">
        <v>4</v>
      </c>
      <c r="AD8" s="97">
        <v>4</v>
      </c>
      <c r="AE8" s="97">
        <v>4</v>
      </c>
      <c r="AF8" s="97">
        <v>4</v>
      </c>
      <c r="AG8" s="97">
        <v>4</v>
      </c>
      <c r="AH8" s="82"/>
      <c r="AI8" s="68"/>
      <c r="AJ8" s="83"/>
      <c r="AK8" s="83"/>
      <c r="AL8" s="68"/>
      <c r="AM8" s="83"/>
      <c r="AN8" s="68"/>
      <c r="AO8" s="74"/>
      <c r="AP8" s="74"/>
    </row>
    <row r="9" spans="1:42">
      <c r="A9" s="95"/>
      <c r="B9" s="211" t="s">
        <v>106</v>
      </c>
      <c r="C9" s="212"/>
      <c r="D9" s="96">
        <f ca="1">--(COUNTIF(D$21:D$33,"責")&gt;0)
+--(COUNTIF(D$21:D$33,"責A")&gt;0)*(COUNTIF(D$21:D$33,"責B")&gt;0)</f>
        <v>0</v>
      </c>
      <c r="E9" s="96">
        <f t="shared" ref="E9:AG9" ca="1" si="0">--(COUNTIF(E$21:E$33,"責")&gt;0)
+--(COUNTIF(E$21:E$33,"責A")&gt;0)*(COUNTIF(E$21:E$33,"責B")&gt;0)</f>
        <v>1</v>
      </c>
      <c r="F9" s="96">
        <f t="shared" ca="1" si="0"/>
        <v>1</v>
      </c>
      <c r="G9" s="96">
        <f t="shared" ca="1" si="0"/>
        <v>0</v>
      </c>
      <c r="H9" s="96">
        <f t="shared" ca="1" si="0"/>
        <v>1</v>
      </c>
      <c r="I9" s="96">
        <f t="shared" ca="1" si="0"/>
        <v>1</v>
      </c>
      <c r="J9" s="96">
        <f t="shared" ca="1" si="0"/>
        <v>1</v>
      </c>
      <c r="K9" s="96">
        <f t="shared" ca="1" si="0"/>
        <v>1</v>
      </c>
      <c r="L9" s="96">
        <f t="shared" ca="1" si="0"/>
        <v>1</v>
      </c>
      <c r="M9" s="96">
        <f t="shared" ca="1" si="0"/>
        <v>1</v>
      </c>
      <c r="N9" s="96">
        <f t="shared" ca="1" si="0"/>
        <v>1</v>
      </c>
      <c r="O9" s="96">
        <f t="shared" ca="1" si="0"/>
        <v>1</v>
      </c>
      <c r="P9" s="96">
        <f t="shared" ca="1" si="0"/>
        <v>1</v>
      </c>
      <c r="Q9" s="96">
        <f t="shared" ca="1" si="0"/>
        <v>1</v>
      </c>
      <c r="R9" s="96">
        <f t="shared" ca="1" si="0"/>
        <v>0</v>
      </c>
      <c r="S9" s="96">
        <f t="shared" ca="1" si="0"/>
        <v>1</v>
      </c>
      <c r="T9" s="96">
        <f t="shared" ca="1" si="0"/>
        <v>1</v>
      </c>
      <c r="U9" s="96">
        <f t="shared" ca="1" si="0"/>
        <v>1</v>
      </c>
      <c r="V9" s="96">
        <f t="shared" ca="1" si="0"/>
        <v>1</v>
      </c>
      <c r="W9" s="96">
        <f t="shared" ca="1" si="0"/>
        <v>1</v>
      </c>
      <c r="X9" s="96">
        <f t="shared" ca="1" si="0"/>
        <v>1</v>
      </c>
      <c r="Y9" s="96">
        <f t="shared" ca="1" si="0"/>
        <v>1</v>
      </c>
      <c r="Z9" s="96">
        <f t="shared" ca="1" si="0"/>
        <v>1</v>
      </c>
      <c r="AA9" s="96">
        <f t="shared" ca="1" si="0"/>
        <v>1</v>
      </c>
      <c r="AB9" s="96">
        <f t="shared" ca="1" si="0"/>
        <v>1</v>
      </c>
      <c r="AC9" s="96">
        <f t="shared" ca="1" si="0"/>
        <v>1</v>
      </c>
      <c r="AD9" s="96">
        <f t="shared" ca="1" si="0"/>
        <v>1</v>
      </c>
      <c r="AE9" s="96">
        <f t="shared" ca="1" si="0"/>
        <v>1</v>
      </c>
      <c r="AF9" s="96">
        <f t="shared" ca="1" si="0"/>
        <v>1</v>
      </c>
      <c r="AG9" s="96">
        <f t="shared" ca="1" si="0"/>
        <v>1</v>
      </c>
      <c r="AH9" s="82"/>
      <c r="AI9" s="68"/>
      <c r="AJ9" s="83"/>
      <c r="AK9" s="83"/>
      <c r="AL9" s="68"/>
      <c r="AM9" s="83"/>
      <c r="AN9" s="68"/>
      <c r="AO9" s="74"/>
      <c r="AP9" s="74"/>
    </row>
    <row r="10" spans="1:42">
      <c r="A10" s="95"/>
      <c r="B10" s="211" t="s">
        <v>107</v>
      </c>
      <c r="C10" s="212"/>
      <c r="D10" s="96">
        <f t="shared" ref="D10:M13" ca="1" si="1">COUNTIF(D$21:D$33,$B10)</f>
        <v>1</v>
      </c>
      <c r="E10" s="96">
        <f t="shared" ca="1" si="1"/>
        <v>1</v>
      </c>
      <c r="F10" s="96">
        <f t="shared" ca="1" si="1"/>
        <v>1</v>
      </c>
      <c r="G10" s="96">
        <f t="shared" ca="1" si="1"/>
        <v>1</v>
      </c>
      <c r="H10" s="96">
        <f t="shared" ca="1" si="1"/>
        <v>1</v>
      </c>
      <c r="I10" s="96">
        <f t="shared" ca="1" si="1"/>
        <v>1</v>
      </c>
      <c r="J10" s="96">
        <f t="shared" ca="1" si="1"/>
        <v>1</v>
      </c>
      <c r="K10" s="96">
        <f t="shared" ca="1" si="1"/>
        <v>1</v>
      </c>
      <c r="L10" s="96">
        <f t="shared" ca="1" si="1"/>
        <v>1</v>
      </c>
      <c r="M10" s="96">
        <f t="shared" ca="1" si="1"/>
        <v>1</v>
      </c>
      <c r="N10" s="96">
        <f t="shared" ref="N10:W13" ca="1" si="2">COUNTIF(N$21:N$33,$B10)</f>
        <v>1</v>
      </c>
      <c r="O10" s="96">
        <f t="shared" ca="1" si="2"/>
        <v>1</v>
      </c>
      <c r="P10" s="96">
        <f t="shared" ca="1" si="2"/>
        <v>1</v>
      </c>
      <c r="Q10" s="96">
        <f t="shared" ca="1" si="2"/>
        <v>1</v>
      </c>
      <c r="R10" s="96">
        <f t="shared" ca="1" si="2"/>
        <v>1</v>
      </c>
      <c r="S10" s="96">
        <f t="shared" ca="1" si="2"/>
        <v>1</v>
      </c>
      <c r="T10" s="96">
        <f t="shared" ca="1" si="2"/>
        <v>1</v>
      </c>
      <c r="U10" s="96">
        <f t="shared" ca="1" si="2"/>
        <v>1</v>
      </c>
      <c r="V10" s="96">
        <f t="shared" ca="1" si="2"/>
        <v>1</v>
      </c>
      <c r="W10" s="96">
        <f t="shared" ca="1" si="2"/>
        <v>1</v>
      </c>
      <c r="X10" s="96">
        <f t="shared" ref="X10:AG13" ca="1" si="3">COUNTIF(X$21:X$33,$B10)</f>
        <v>1</v>
      </c>
      <c r="Y10" s="96">
        <f t="shared" ca="1" si="3"/>
        <v>0</v>
      </c>
      <c r="Z10" s="96">
        <f t="shared" ca="1" si="3"/>
        <v>1</v>
      </c>
      <c r="AA10" s="96">
        <f t="shared" ca="1" si="3"/>
        <v>1</v>
      </c>
      <c r="AB10" s="96">
        <f t="shared" ca="1" si="3"/>
        <v>1</v>
      </c>
      <c r="AC10" s="96">
        <f t="shared" ca="1" si="3"/>
        <v>1</v>
      </c>
      <c r="AD10" s="96">
        <f t="shared" ca="1" si="3"/>
        <v>1</v>
      </c>
      <c r="AE10" s="96">
        <f t="shared" ca="1" si="3"/>
        <v>1</v>
      </c>
      <c r="AF10" s="96">
        <f t="shared" ca="1" si="3"/>
        <v>0</v>
      </c>
      <c r="AG10" s="96">
        <f t="shared" ca="1" si="3"/>
        <v>1</v>
      </c>
      <c r="AH10" s="82"/>
      <c r="AI10" s="68"/>
      <c r="AJ10" s="83"/>
      <c r="AK10" s="83"/>
      <c r="AL10" s="68"/>
      <c r="AM10" s="83"/>
      <c r="AN10" s="68"/>
      <c r="AO10" s="74"/>
      <c r="AP10" s="74"/>
    </row>
    <row r="11" spans="1:42">
      <c r="A11" s="95"/>
      <c r="B11" s="211" t="s">
        <v>109</v>
      </c>
      <c r="C11" s="212"/>
      <c r="D11" s="96">
        <f t="shared" ca="1" si="1"/>
        <v>0</v>
      </c>
      <c r="E11" s="96">
        <f t="shared" ca="1" si="1"/>
        <v>1</v>
      </c>
      <c r="F11" s="96">
        <f t="shared" ca="1" si="1"/>
        <v>1</v>
      </c>
      <c r="G11" s="96">
        <f t="shared" ca="1" si="1"/>
        <v>0</v>
      </c>
      <c r="H11" s="96">
        <f t="shared" ca="1" si="1"/>
        <v>1</v>
      </c>
      <c r="I11" s="96">
        <f t="shared" ca="1" si="1"/>
        <v>1</v>
      </c>
      <c r="J11" s="96">
        <f t="shared" ca="1" si="1"/>
        <v>1</v>
      </c>
      <c r="K11" s="96">
        <f t="shared" ca="1" si="1"/>
        <v>1</v>
      </c>
      <c r="L11" s="96">
        <f t="shared" ca="1" si="1"/>
        <v>1</v>
      </c>
      <c r="M11" s="96">
        <f t="shared" ca="1" si="1"/>
        <v>1</v>
      </c>
      <c r="N11" s="96">
        <f t="shared" ca="1" si="2"/>
        <v>1</v>
      </c>
      <c r="O11" s="96">
        <f t="shared" ca="1" si="2"/>
        <v>1</v>
      </c>
      <c r="P11" s="96">
        <f t="shared" ca="1" si="2"/>
        <v>1</v>
      </c>
      <c r="Q11" s="96">
        <f t="shared" ca="1" si="2"/>
        <v>1</v>
      </c>
      <c r="R11" s="96">
        <f t="shared" ca="1" si="2"/>
        <v>0</v>
      </c>
      <c r="S11" s="96">
        <f t="shared" ca="1" si="2"/>
        <v>1</v>
      </c>
      <c r="T11" s="96">
        <f t="shared" ca="1" si="2"/>
        <v>1</v>
      </c>
      <c r="U11" s="96">
        <f t="shared" ca="1" si="2"/>
        <v>1</v>
      </c>
      <c r="V11" s="96">
        <f t="shared" ca="1" si="2"/>
        <v>1</v>
      </c>
      <c r="W11" s="96">
        <f t="shared" ca="1" si="2"/>
        <v>1</v>
      </c>
      <c r="X11" s="96">
        <f t="shared" ca="1" si="3"/>
        <v>1</v>
      </c>
      <c r="Y11" s="96">
        <f t="shared" ca="1" si="3"/>
        <v>0</v>
      </c>
      <c r="Z11" s="96">
        <f t="shared" ca="1" si="3"/>
        <v>1</v>
      </c>
      <c r="AA11" s="96">
        <f t="shared" ca="1" si="3"/>
        <v>1</v>
      </c>
      <c r="AB11" s="96">
        <f t="shared" ca="1" si="3"/>
        <v>0</v>
      </c>
      <c r="AC11" s="96">
        <f t="shared" ca="1" si="3"/>
        <v>1</v>
      </c>
      <c r="AD11" s="96">
        <f t="shared" ca="1" si="3"/>
        <v>1</v>
      </c>
      <c r="AE11" s="96">
        <f t="shared" ca="1" si="3"/>
        <v>1</v>
      </c>
      <c r="AF11" s="96">
        <f t="shared" ca="1" si="3"/>
        <v>1</v>
      </c>
      <c r="AG11" s="96">
        <f t="shared" ca="1" si="3"/>
        <v>1</v>
      </c>
      <c r="AH11" s="82"/>
      <c r="AI11" s="68"/>
      <c r="AJ11" s="83"/>
      <c r="AK11" s="83"/>
      <c r="AL11" s="68"/>
      <c r="AM11" s="83"/>
      <c r="AN11" s="68"/>
      <c r="AO11" s="74"/>
      <c r="AP11" s="74"/>
    </row>
    <row r="12" spans="1:42">
      <c r="A12" s="95"/>
      <c r="B12" s="211" t="s">
        <v>110</v>
      </c>
      <c r="C12" s="212"/>
      <c r="D12" s="96">
        <f t="shared" ca="1" si="1"/>
        <v>1</v>
      </c>
      <c r="E12" s="96">
        <f t="shared" ca="1" si="1"/>
        <v>1</v>
      </c>
      <c r="F12" s="96">
        <f t="shared" ca="1" si="1"/>
        <v>1</v>
      </c>
      <c r="G12" s="96">
        <f t="shared" ca="1" si="1"/>
        <v>1</v>
      </c>
      <c r="H12" s="96">
        <f t="shared" ca="1" si="1"/>
        <v>1</v>
      </c>
      <c r="I12" s="96">
        <f t="shared" ca="1" si="1"/>
        <v>1</v>
      </c>
      <c r="J12" s="96">
        <f t="shared" ca="1" si="1"/>
        <v>1</v>
      </c>
      <c r="K12" s="96">
        <f t="shared" ca="1" si="1"/>
        <v>1</v>
      </c>
      <c r="L12" s="96">
        <f t="shared" ca="1" si="1"/>
        <v>1</v>
      </c>
      <c r="M12" s="96">
        <f t="shared" ca="1" si="1"/>
        <v>1</v>
      </c>
      <c r="N12" s="96">
        <f t="shared" ca="1" si="2"/>
        <v>1</v>
      </c>
      <c r="O12" s="96">
        <f t="shared" ca="1" si="2"/>
        <v>1</v>
      </c>
      <c r="P12" s="96">
        <f t="shared" ca="1" si="2"/>
        <v>1</v>
      </c>
      <c r="Q12" s="96">
        <f t="shared" ca="1" si="2"/>
        <v>1</v>
      </c>
      <c r="R12" s="96">
        <f t="shared" ca="1" si="2"/>
        <v>1</v>
      </c>
      <c r="S12" s="96">
        <f t="shared" ca="1" si="2"/>
        <v>1</v>
      </c>
      <c r="T12" s="96">
        <f t="shared" ca="1" si="2"/>
        <v>1</v>
      </c>
      <c r="U12" s="96">
        <f t="shared" ca="1" si="2"/>
        <v>1</v>
      </c>
      <c r="V12" s="96">
        <f t="shared" ca="1" si="2"/>
        <v>1</v>
      </c>
      <c r="W12" s="96">
        <f t="shared" ca="1" si="2"/>
        <v>1</v>
      </c>
      <c r="X12" s="96">
        <f t="shared" ca="1" si="3"/>
        <v>1</v>
      </c>
      <c r="Y12" s="96">
        <f t="shared" ca="1" si="3"/>
        <v>1</v>
      </c>
      <c r="Z12" s="96">
        <f t="shared" ca="1" si="3"/>
        <v>1</v>
      </c>
      <c r="AA12" s="96">
        <f t="shared" ca="1" si="3"/>
        <v>1</v>
      </c>
      <c r="AB12" s="96">
        <f t="shared" ca="1" si="3"/>
        <v>1</v>
      </c>
      <c r="AC12" s="96">
        <f t="shared" ca="1" si="3"/>
        <v>1</v>
      </c>
      <c r="AD12" s="96">
        <f t="shared" ca="1" si="3"/>
        <v>1</v>
      </c>
      <c r="AE12" s="96">
        <f t="shared" ca="1" si="3"/>
        <v>1</v>
      </c>
      <c r="AF12" s="96">
        <f t="shared" ca="1" si="3"/>
        <v>1</v>
      </c>
      <c r="AG12" s="96">
        <f t="shared" ca="1" si="3"/>
        <v>1</v>
      </c>
      <c r="AH12" s="82"/>
      <c r="AI12" s="68"/>
      <c r="AJ12" s="83"/>
      <c r="AK12" s="83"/>
      <c r="AL12" s="68"/>
      <c r="AM12" s="83"/>
      <c r="AN12" s="68"/>
      <c r="AO12" s="74"/>
      <c r="AP12" s="74"/>
    </row>
    <row r="13" spans="1:42">
      <c r="A13" s="95"/>
      <c r="B13" s="211" t="s">
        <v>111</v>
      </c>
      <c r="C13" s="212"/>
      <c r="D13" s="96">
        <f t="shared" ca="1" si="1"/>
        <v>0</v>
      </c>
      <c r="E13" s="96">
        <f t="shared" ca="1" si="1"/>
        <v>0</v>
      </c>
      <c r="F13" s="96">
        <f t="shared" ca="1" si="1"/>
        <v>0</v>
      </c>
      <c r="G13" s="96">
        <f t="shared" ca="1" si="1"/>
        <v>0</v>
      </c>
      <c r="H13" s="96">
        <f t="shared" ca="1" si="1"/>
        <v>0</v>
      </c>
      <c r="I13" s="96">
        <f t="shared" ca="1" si="1"/>
        <v>0</v>
      </c>
      <c r="J13" s="96">
        <f t="shared" ca="1" si="1"/>
        <v>0</v>
      </c>
      <c r="K13" s="96">
        <f t="shared" ca="1" si="1"/>
        <v>0</v>
      </c>
      <c r="L13" s="96">
        <f t="shared" ca="1" si="1"/>
        <v>0</v>
      </c>
      <c r="M13" s="96">
        <f t="shared" ca="1" si="1"/>
        <v>0</v>
      </c>
      <c r="N13" s="96">
        <f t="shared" ca="1" si="2"/>
        <v>0</v>
      </c>
      <c r="O13" s="96">
        <f t="shared" ca="1" si="2"/>
        <v>0</v>
      </c>
      <c r="P13" s="96">
        <f t="shared" ca="1" si="2"/>
        <v>0</v>
      </c>
      <c r="Q13" s="96">
        <f t="shared" ca="1" si="2"/>
        <v>0</v>
      </c>
      <c r="R13" s="96">
        <f t="shared" ca="1" si="2"/>
        <v>0</v>
      </c>
      <c r="S13" s="96">
        <f t="shared" ca="1" si="2"/>
        <v>0</v>
      </c>
      <c r="T13" s="96">
        <f t="shared" ca="1" si="2"/>
        <v>0</v>
      </c>
      <c r="U13" s="96">
        <f t="shared" ca="1" si="2"/>
        <v>0</v>
      </c>
      <c r="V13" s="96">
        <f t="shared" ca="1" si="2"/>
        <v>0</v>
      </c>
      <c r="W13" s="96">
        <f t="shared" ca="1" si="2"/>
        <v>0</v>
      </c>
      <c r="X13" s="96">
        <f t="shared" ca="1" si="3"/>
        <v>0</v>
      </c>
      <c r="Y13" s="96">
        <f t="shared" ca="1" si="3"/>
        <v>0</v>
      </c>
      <c r="Z13" s="96">
        <f t="shared" ca="1" si="3"/>
        <v>0</v>
      </c>
      <c r="AA13" s="96">
        <f t="shared" ca="1" si="3"/>
        <v>0</v>
      </c>
      <c r="AB13" s="96">
        <f t="shared" ca="1" si="3"/>
        <v>0</v>
      </c>
      <c r="AC13" s="96">
        <f t="shared" ca="1" si="3"/>
        <v>0</v>
      </c>
      <c r="AD13" s="96">
        <f t="shared" ca="1" si="3"/>
        <v>0</v>
      </c>
      <c r="AE13" s="96">
        <f t="shared" ca="1" si="3"/>
        <v>0</v>
      </c>
      <c r="AF13" s="96">
        <f t="shared" ca="1" si="3"/>
        <v>0</v>
      </c>
      <c r="AG13" s="96">
        <f t="shared" ca="1" si="3"/>
        <v>0</v>
      </c>
      <c r="AH13" s="82"/>
      <c r="AI13" s="68"/>
      <c r="AJ13" s="83"/>
      <c r="AK13" s="83"/>
      <c r="AL13" s="68"/>
      <c r="AM13" s="83"/>
      <c r="AN13" s="68"/>
      <c r="AO13" s="74"/>
      <c r="AP13" s="74"/>
    </row>
    <row r="14" spans="1:42">
      <c r="A14" s="95"/>
      <c r="B14" s="211" t="s">
        <v>140</v>
      </c>
      <c r="C14" s="212"/>
      <c r="D14" s="96">
        <f t="shared" ref="D14:AG14" ca="1" si="4">SUM(D9:D13)</f>
        <v>2</v>
      </c>
      <c r="E14" s="96">
        <f t="shared" ca="1" si="4"/>
        <v>4</v>
      </c>
      <c r="F14" s="96">
        <f t="shared" ca="1" si="4"/>
        <v>4</v>
      </c>
      <c r="G14" s="96">
        <f t="shared" ca="1" si="4"/>
        <v>2</v>
      </c>
      <c r="H14" s="96">
        <f t="shared" ca="1" si="4"/>
        <v>4</v>
      </c>
      <c r="I14" s="96">
        <f t="shared" ca="1" si="4"/>
        <v>4</v>
      </c>
      <c r="J14" s="96">
        <f t="shared" ca="1" si="4"/>
        <v>4</v>
      </c>
      <c r="K14" s="96">
        <f t="shared" ca="1" si="4"/>
        <v>4</v>
      </c>
      <c r="L14" s="96">
        <f t="shared" ca="1" si="4"/>
        <v>4</v>
      </c>
      <c r="M14" s="96">
        <f t="shared" ca="1" si="4"/>
        <v>4</v>
      </c>
      <c r="N14" s="96">
        <f t="shared" ca="1" si="4"/>
        <v>4</v>
      </c>
      <c r="O14" s="96">
        <f t="shared" ca="1" si="4"/>
        <v>4</v>
      </c>
      <c r="P14" s="96">
        <f t="shared" ca="1" si="4"/>
        <v>4</v>
      </c>
      <c r="Q14" s="96">
        <f t="shared" ca="1" si="4"/>
        <v>4</v>
      </c>
      <c r="R14" s="96">
        <f t="shared" ca="1" si="4"/>
        <v>2</v>
      </c>
      <c r="S14" s="96">
        <f t="shared" ca="1" si="4"/>
        <v>4</v>
      </c>
      <c r="T14" s="96">
        <f t="shared" ca="1" si="4"/>
        <v>4</v>
      </c>
      <c r="U14" s="96">
        <f t="shared" ca="1" si="4"/>
        <v>4</v>
      </c>
      <c r="V14" s="96">
        <f t="shared" ca="1" si="4"/>
        <v>4</v>
      </c>
      <c r="W14" s="96">
        <f t="shared" ca="1" si="4"/>
        <v>4</v>
      </c>
      <c r="X14" s="96">
        <f t="shared" ca="1" si="4"/>
        <v>4</v>
      </c>
      <c r="Y14" s="96">
        <f t="shared" ca="1" si="4"/>
        <v>2</v>
      </c>
      <c r="Z14" s="96">
        <f t="shared" ca="1" si="4"/>
        <v>4</v>
      </c>
      <c r="AA14" s="96">
        <f t="shared" ca="1" si="4"/>
        <v>4</v>
      </c>
      <c r="AB14" s="96">
        <f t="shared" ca="1" si="4"/>
        <v>3</v>
      </c>
      <c r="AC14" s="96">
        <f t="shared" ca="1" si="4"/>
        <v>4</v>
      </c>
      <c r="AD14" s="96">
        <f t="shared" ca="1" si="4"/>
        <v>4</v>
      </c>
      <c r="AE14" s="96">
        <f t="shared" ca="1" si="4"/>
        <v>4</v>
      </c>
      <c r="AF14" s="96">
        <f t="shared" ca="1" si="4"/>
        <v>3</v>
      </c>
      <c r="AG14" s="96">
        <f t="shared" ca="1" si="4"/>
        <v>4</v>
      </c>
      <c r="AH14" s="82"/>
      <c r="AI14" s="68"/>
      <c r="AJ14" s="83"/>
      <c r="AK14" s="83"/>
      <c r="AL14" s="68"/>
      <c r="AM14" s="83"/>
      <c r="AN14" s="68"/>
      <c r="AO14" s="74"/>
      <c r="AP14" s="74"/>
    </row>
    <row r="15" spans="1:42">
      <c r="A15" s="95"/>
      <c r="B15" s="211" t="s">
        <v>141</v>
      </c>
      <c r="C15" s="212"/>
      <c r="D15" s="96"/>
      <c r="E15" s="96"/>
      <c r="F15" s="96"/>
      <c r="G15" s="96"/>
      <c r="H15" s="96"/>
      <c r="I15" s="96"/>
      <c r="J15" s="96"/>
      <c r="K15" s="96"/>
      <c r="L15" s="96"/>
      <c r="M15" s="96"/>
      <c r="N15" s="96"/>
      <c r="O15" s="96"/>
      <c r="P15" s="96"/>
      <c r="Q15" s="96"/>
      <c r="R15" s="96"/>
      <c r="S15" s="96"/>
      <c r="T15" s="96"/>
      <c r="U15" s="96"/>
      <c r="V15" s="96"/>
      <c r="W15" s="96"/>
      <c r="X15" s="96"/>
      <c r="Y15" s="96"/>
      <c r="Z15" s="96"/>
      <c r="AA15" s="96"/>
      <c r="AB15" s="96"/>
      <c r="AC15" s="96"/>
      <c r="AD15" s="96"/>
      <c r="AE15" s="96"/>
      <c r="AF15" s="96"/>
      <c r="AG15" s="96"/>
      <c r="AH15" s="82"/>
      <c r="AI15" s="68"/>
      <c r="AJ15" s="83"/>
      <c r="AK15" s="83"/>
      <c r="AL15" s="68"/>
      <c r="AM15" s="83"/>
      <c r="AN15" s="68"/>
      <c r="AO15" s="74"/>
      <c r="AP15" s="74"/>
    </row>
    <row r="16" spans="1:42">
      <c r="A16" s="95"/>
      <c r="B16" s="211" t="s">
        <v>142</v>
      </c>
      <c r="C16" s="212"/>
      <c r="D16" s="96"/>
      <c r="E16" s="96"/>
      <c r="F16" s="96"/>
      <c r="G16" s="96"/>
      <c r="H16" s="96"/>
      <c r="I16" s="96"/>
      <c r="J16" s="96"/>
      <c r="K16" s="96"/>
      <c r="L16" s="96"/>
      <c r="M16" s="96"/>
      <c r="N16" s="96"/>
      <c r="O16" s="96"/>
      <c r="P16" s="96"/>
      <c r="Q16" s="96"/>
      <c r="R16" s="96"/>
      <c r="S16" s="96"/>
      <c r="T16" s="96"/>
      <c r="U16" s="96"/>
      <c r="V16" s="96"/>
      <c r="W16" s="96"/>
      <c r="X16" s="96"/>
      <c r="Y16" s="96"/>
      <c r="Z16" s="96"/>
      <c r="AA16" s="96"/>
      <c r="AB16" s="96"/>
      <c r="AC16" s="96"/>
      <c r="AD16" s="96"/>
      <c r="AE16" s="96"/>
      <c r="AF16" s="96"/>
      <c r="AG16" s="96"/>
      <c r="AH16" s="82"/>
      <c r="AI16" s="68"/>
      <c r="AJ16" s="83"/>
      <c r="AK16" s="83"/>
      <c r="AL16" s="68"/>
      <c r="AM16" s="83"/>
      <c r="AN16" s="68"/>
      <c r="AO16" s="74"/>
      <c r="AP16" s="74"/>
    </row>
    <row r="17" spans="1:42">
      <c r="A17" s="95"/>
      <c r="B17" s="211" t="s">
        <v>143</v>
      </c>
      <c r="C17" s="212"/>
      <c r="D17" s="96"/>
      <c r="E17" s="96"/>
      <c r="F17" s="96"/>
      <c r="G17" s="96"/>
      <c r="H17" s="96"/>
      <c r="I17" s="96"/>
      <c r="J17" s="96"/>
      <c r="K17" s="96"/>
      <c r="L17" s="96"/>
      <c r="M17" s="96"/>
      <c r="N17" s="96"/>
      <c r="O17" s="96"/>
      <c r="P17" s="96"/>
      <c r="Q17" s="96"/>
      <c r="R17" s="96"/>
      <c r="S17" s="96"/>
      <c r="T17" s="96"/>
      <c r="U17" s="96"/>
      <c r="V17" s="96"/>
      <c r="W17" s="96"/>
      <c r="X17" s="96"/>
      <c r="Y17" s="96"/>
      <c r="Z17" s="96"/>
      <c r="AA17" s="96"/>
      <c r="AB17" s="96"/>
      <c r="AC17" s="96"/>
      <c r="AD17" s="96"/>
      <c r="AE17" s="96"/>
      <c r="AF17" s="96"/>
      <c r="AG17" s="96"/>
      <c r="AH17" s="82"/>
      <c r="AI17" s="68">
        <v>30</v>
      </c>
      <c r="AJ17" s="83">
        <v>9</v>
      </c>
      <c r="AK17" s="83"/>
      <c r="AL17" s="68"/>
      <c r="AM17" s="83"/>
      <c r="AN17" s="68"/>
      <c r="AO17" s="74"/>
      <c r="AP17" s="74"/>
    </row>
    <row r="18" spans="1:42">
      <c r="A18" s="95"/>
      <c r="B18" s="211" t="s">
        <v>144</v>
      </c>
      <c r="C18" s="212"/>
      <c r="D18" s="96"/>
      <c r="E18" s="96"/>
      <c r="F18" s="96"/>
      <c r="G18" s="96"/>
      <c r="H18" s="96"/>
      <c r="I18" s="96"/>
      <c r="J18" s="96"/>
      <c r="K18" s="96"/>
      <c r="L18" s="96"/>
      <c r="M18" s="96"/>
      <c r="N18" s="96"/>
      <c r="O18" s="96"/>
      <c r="P18" s="96"/>
      <c r="Q18" s="96"/>
      <c r="R18" s="96"/>
      <c r="S18" s="96"/>
      <c r="T18" s="96"/>
      <c r="U18" s="96"/>
      <c r="V18" s="96"/>
      <c r="W18" s="96"/>
      <c r="X18" s="96"/>
      <c r="Y18" s="96"/>
      <c r="Z18" s="96"/>
      <c r="AA18" s="96"/>
      <c r="AB18" s="96"/>
      <c r="AC18" s="96"/>
      <c r="AD18" s="96"/>
      <c r="AE18" s="96"/>
      <c r="AF18" s="96"/>
      <c r="AG18" s="96"/>
      <c r="AH18" s="82"/>
      <c r="AI18" s="68"/>
      <c r="AJ18" s="83"/>
      <c r="AK18" s="83"/>
      <c r="AL18" s="68"/>
      <c r="AM18" s="83"/>
      <c r="AN18" s="68"/>
      <c r="AO18" s="74"/>
      <c r="AP18" s="74"/>
    </row>
    <row r="19" spans="1:42">
      <c r="A19" s="95"/>
      <c r="B19" s="211" t="s">
        <v>145</v>
      </c>
      <c r="C19" s="212"/>
      <c r="D19" s="96">
        <f>SUM(D16:D18)</f>
        <v>0</v>
      </c>
      <c r="E19" s="96">
        <f t="shared" ref="E19:AG19" si="5">SUM(E16:E18)</f>
        <v>0</v>
      </c>
      <c r="F19" s="96">
        <f t="shared" si="5"/>
        <v>0</v>
      </c>
      <c r="G19" s="96">
        <f t="shared" si="5"/>
        <v>0</v>
      </c>
      <c r="H19" s="96">
        <f t="shared" si="5"/>
        <v>0</v>
      </c>
      <c r="I19" s="96">
        <f t="shared" si="5"/>
        <v>0</v>
      </c>
      <c r="J19" s="96">
        <f t="shared" si="5"/>
        <v>0</v>
      </c>
      <c r="K19" s="96">
        <f t="shared" si="5"/>
        <v>0</v>
      </c>
      <c r="L19" s="96">
        <f t="shared" si="5"/>
        <v>0</v>
      </c>
      <c r="M19" s="96">
        <f t="shared" si="5"/>
        <v>0</v>
      </c>
      <c r="N19" s="96">
        <f t="shared" si="5"/>
        <v>0</v>
      </c>
      <c r="O19" s="96">
        <f t="shared" si="5"/>
        <v>0</v>
      </c>
      <c r="P19" s="96">
        <f t="shared" si="5"/>
        <v>0</v>
      </c>
      <c r="Q19" s="96">
        <f t="shared" si="5"/>
        <v>0</v>
      </c>
      <c r="R19" s="96">
        <f t="shared" si="5"/>
        <v>0</v>
      </c>
      <c r="S19" s="96">
        <f t="shared" si="5"/>
        <v>0</v>
      </c>
      <c r="T19" s="96">
        <f t="shared" si="5"/>
        <v>0</v>
      </c>
      <c r="U19" s="96">
        <f t="shared" si="5"/>
        <v>0</v>
      </c>
      <c r="V19" s="96">
        <f t="shared" si="5"/>
        <v>0</v>
      </c>
      <c r="W19" s="96">
        <f t="shared" si="5"/>
        <v>0</v>
      </c>
      <c r="X19" s="96">
        <f t="shared" si="5"/>
        <v>0</v>
      </c>
      <c r="Y19" s="96">
        <f t="shared" si="5"/>
        <v>0</v>
      </c>
      <c r="Z19" s="96">
        <f t="shared" si="5"/>
        <v>0</v>
      </c>
      <c r="AA19" s="96">
        <f t="shared" si="5"/>
        <v>0</v>
      </c>
      <c r="AB19" s="96">
        <f t="shared" si="5"/>
        <v>0</v>
      </c>
      <c r="AC19" s="96">
        <f t="shared" si="5"/>
        <v>0</v>
      </c>
      <c r="AD19" s="96">
        <f t="shared" si="5"/>
        <v>0</v>
      </c>
      <c r="AE19" s="96">
        <f t="shared" si="5"/>
        <v>0</v>
      </c>
      <c r="AF19" s="96">
        <f t="shared" si="5"/>
        <v>0</v>
      </c>
      <c r="AG19" s="96">
        <f t="shared" si="5"/>
        <v>0</v>
      </c>
      <c r="AH19" s="82"/>
      <c r="AI19" s="229" t="s">
        <v>146</v>
      </c>
      <c r="AJ19" s="229" t="s">
        <v>147</v>
      </c>
      <c r="AK19" s="229" t="s">
        <v>148</v>
      </c>
      <c r="AL19" s="68"/>
      <c r="AM19" s="83"/>
      <c r="AN19" s="68"/>
      <c r="AO19" s="74"/>
      <c r="AP19" s="74"/>
    </row>
    <row r="20" spans="1:42">
      <c r="A20" s="95"/>
      <c r="B20" s="211" t="s">
        <v>141</v>
      </c>
      <c r="C20" s="212"/>
      <c r="D20" s="96"/>
      <c r="E20" s="96"/>
      <c r="F20" s="96"/>
      <c r="G20" s="96"/>
      <c r="H20" s="96"/>
      <c r="I20" s="96"/>
      <c r="J20" s="96"/>
      <c r="K20" s="96"/>
      <c r="L20" s="96"/>
      <c r="M20" s="96"/>
      <c r="N20" s="96"/>
      <c r="O20" s="96"/>
      <c r="P20" s="96"/>
      <c r="Q20" s="96"/>
      <c r="R20" s="96"/>
      <c r="S20" s="96"/>
      <c r="T20" s="96"/>
      <c r="U20" s="96"/>
      <c r="V20" s="96"/>
      <c r="W20" s="96"/>
      <c r="X20" s="96"/>
      <c r="Y20" s="96"/>
      <c r="Z20" s="96"/>
      <c r="AA20" s="96"/>
      <c r="AB20" s="96"/>
      <c r="AC20" s="96"/>
      <c r="AD20" s="96"/>
      <c r="AE20" s="96"/>
      <c r="AF20" s="96"/>
      <c r="AG20" s="96"/>
      <c r="AH20" s="82"/>
      <c r="AI20" s="229"/>
      <c r="AJ20" s="229"/>
      <c r="AK20" s="229"/>
      <c r="AL20" s="68"/>
      <c r="AM20" s="83"/>
      <c r="AN20" s="68"/>
      <c r="AO20" s="74"/>
      <c r="AP20" s="74"/>
    </row>
    <row r="21" spans="1:42">
      <c r="A21" s="82">
        <v>1</v>
      </c>
      <c r="B21" s="213" t="s">
        <v>20</v>
      </c>
      <c r="C21" s="214"/>
      <c r="D21" s="84" t="str">
        <f ca="1">IF(配置表!D16="","休",配置表!D16)</f>
        <v>責/夜A</v>
      </c>
      <c r="E21" s="84" t="str">
        <f ca="1">IF(配置表!E16="","休",配置表!E16)</f>
        <v>日C</v>
      </c>
      <c r="F21" s="84" t="str">
        <f ca="1">IF(配置表!F16="","休",配置表!F16)</f>
        <v>責</v>
      </c>
      <c r="G21" s="84" t="str">
        <f ca="1">IF(配置表!G16="","休",配置表!G16)</f>
        <v>責/夜A</v>
      </c>
      <c r="H21" s="84" t="str">
        <f ca="1">IF(配置表!H16="","休",配置表!H16)</f>
        <v>責</v>
      </c>
      <c r="I21" s="84" t="str">
        <f ca="1">IF(配置表!I16="","休",配置表!I16)</f>
        <v>責</v>
      </c>
      <c r="J21" s="84" t="str">
        <f ca="1">IF(配置表!J16="","休",配置表!J16)</f>
        <v>休</v>
      </c>
      <c r="K21" s="84" t="str">
        <f ca="1">IF(配置表!K16="","休",配置表!K16)</f>
        <v>責</v>
      </c>
      <c r="L21" s="84" t="str">
        <f ca="1">IF(配置表!L16="","休",配置表!L16)</f>
        <v>責</v>
      </c>
      <c r="M21" s="84" t="str">
        <f ca="1">IF(配置表!M16="","休",配置表!M16)</f>
        <v>責</v>
      </c>
      <c r="N21" s="84" t="str">
        <f ca="1">IF(配置表!N16="","休",配置表!N16)</f>
        <v>責</v>
      </c>
      <c r="O21" s="84" t="str">
        <f ca="1">IF(配置表!O16="","休",配置表!O16)</f>
        <v>休</v>
      </c>
      <c r="P21" s="84" t="str">
        <f ca="1">IF(配置表!P16="","休",配置表!P16)</f>
        <v>責</v>
      </c>
      <c r="Q21" s="84" t="str">
        <f ca="1">IF(配置表!Q16="","休",配置表!Q16)</f>
        <v>休</v>
      </c>
      <c r="R21" s="84" t="str">
        <f ca="1">IF(配置表!R16="","休",配置表!R16)</f>
        <v>責/夜A</v>
      </c>
      <c r="S21" s="84" t="str">
        <f ca="1">IF(配置表!S16="","休",配置表!S16)</f>
        <v>日C</v>
      </c>
      <c r="T21" s="84" t="str">
        <f ca="1">IF(配置表!T16="","休",配置表!T16)</f>
        <v>責</v>
      </c>
      <c r="U21" s="84" t="str">
        <f ca="1">IF(配置表!U16="","休",配置表!U16)</f>
        <v>責</v>
      </c>
      <c r="V21" s="84" t="str">
        <f ca="1">IF(配置表!V16="","休",配置表!V16)</f>
        <v>責</v>
      </c>
      <c r="W21" s="84" t="str">
        <f ca="1">IF(配置表!W16="","休",配置表!W16)</f>
        <v>責</v>
      </c>
      <c r="X21" s="84" t="str">
        <f ca="1">IF(配置表!X16="","休",配置表!X16)</f>
        <v>責</v>
      </c>
      <c r="Y21" s="84" t="str">
        <f ca="1">IF(配置表!Y16="","休",配置表!Y16)</f>
        <v>日C</v>
      </c>
      <c r="Z21" s="84" t="str">
        <f ca="1">IF(配置表!Z16="","休",配置表!Z16)</f>
        <v>日C</v>
      </c>
      <c r="AA21" s="84" t="str">
        <f ca="1">IF(配置表!AA16="","休",配置表!AA16)</f>
        <v>責</v>
      </c>
      <c r="AB21" s="84" t="str">
        <f ca="1">IF(配置表!AB16="","休",配置表!AB16)</f>
        <v>日C/夜A</v>
      </c>
      <c r="AC21" s="84" t="str">
        <f ca="1">IF(配置表!AC16="","休",配置表!AC16)</f>
        <v>責</v>
      </c>
      <c r="AD21" s="84" t="str">
        <f ca="1">IF(配置表!AD16="","休",配置表!AD16)</f>
        <v>責</v>
      </c>
      <c r="AE21" s="84" t="str">
        <f ca="1">IF(配置表!AE16="","休",配置表!AE16)</f>
        <v>休</v>
      </c>
      <c r="AF21" s="84" t="str">
        <f ca="1">IF(配置表!AF16="","休",配置表!AF16)</f>
        <v>日B-4</v>
      </c>
      <c r="AG21" s="84" t="str">
        <f ca="1">IF(配置表!AG16="","休",配置表!AG16)</f>
        <v>日C</v>
      </c>
      <c r="AH21" s="85" t="s">
        <v>115</v>
      </c>
      <c r="AI21" s="98">
        <f t="shared" ref="AI21:AI33" ca="1" si="6">COUNTIF(D21:AG21,"休")</f>
        <v>4</v>
      </c>
      <c r="AJ21" s="99">
        <f ca="1">COUNTIF($D21:$AG21,"責")*11
+COUNTIF($D21:$AG21,"責A")*5
+COUNTIF($D21:$AG21,"責B")*5
+COUNTIF($D21:$AG21,"日B")*11
+COUNTIF($D21:$AG21,"日C")*8
+COUNTIF($D21:$AG21,"夜A")*10.5
+COUNTIF($D21:$AG21,"夜B")*10.5
+COUNTIF($D21:$AG21,"責/夜*")*(11+11)
+COUNTIF($D21:$AG21,"責B/夜*")*(5+11)
+COUNTIF($D21:$AG21,"日B/夜*")*(11+11)
+COUNTIF($D21:$AG21,"日C/夜*")*(8+11)
+COUNTIF($D21:$AG21,"日B-*")*5</f>
        <v>306</v>
      </c>
      <c r="AK21" s="99">
        <f ca="1">MAX(0, AJ21 - (($AI$17 - $AJ$17) * 8))</f>
        <v>138</v>
      </c>
      <c r="AL21" s="68" t="s">
        <v>113</v>
      </c>
      <c r="AM21" s="83"/>
      <c r="AN21" s="68"/>
      <c r="AO21" s="74"/>
      <c r="AP21" s="74"/>
    </row>
    <row r="22" spans="1:42">
      <c r="A22" s="82">
        <v>2</v>
      </c>
      <c r="B22" s="213" t="s">
        <v>119</v>
      </c>
      <c r="C22" s="214"/>
      <c r="D22" s="84" t="str">
        <f ca="1">IF(配置表!D17="","休",配置表!D17)</f>
        <v>日C</v>
      </c>
      <c r="E22" s="84" t="str">
        <f ca="1">IF(配置表!E17="","休",配置表!E17)</f>
        <v>責</v>
      </c>
      <c r="F22" s="84" t="str">
        <f ca="1">IF(配置表!F17="","休",配置表!F17)</f>
        <v>休</v>
      </c>
      <c r="G22" s="84" t="str">
        <f ca="1">IF(配置表!G17="","休",配置表!G17)</f>
        <v>日C</v>
      </c>
      <c r="H22" s="84" t="str">
        <f ca="1">IF(配置表!H17="","休",配置表!H17)</f>
        <v>休</v>
      </c>
      <c r="I22" s="84" t="str">
        <f ca="1">IF(配置表!I17="","休",配置表!I17)</f>
        <v>休</v>
      </c>
      <c r="J22" s="84" t="str">
        <f ca="1">IF(配置表!J17="","休",配置表!J17)</f>
        <v>休</v>
      </c>
      <c r="K22" s="84" t="str">
        <f ca="1">IF(配置表!K17="","休",配置表!K17)</f>
        <v>休</v>
      </c>
      <c r="L22" s="84" t="str">
        <f ca="1">IF(配置表!L17="","休",配置表!L17)</f>
        <v>日C</v>
      </c>
      <c r="M22" s="84" t="str">
        <f ca="1">IF(配置表!M17="","休",配置表!M17)</f>
        <v>休</v>
      </c>
      <c r="N22" s="84" t="str">
        <f ca="1">IF(配置表!N17="","休",配置表!N17)</f>
        <v>日C</v>
      </c>
      <c r="O22" s="84" t="str">
        <f ca="1">IF(配置表!O17="","休",配置表!O17)</f>
        <v>責</v>
      </c>
      <c r="P22" s="84" t="str">
        <f ca="1">IF(配置表!P17="","休",配置表!P17)</f>
        <v>休</v>
      </c>
      <c r="Q22" s="84" t="str">
        <f ca="1">IF(配置表!Q17="","休",配置表!Q17)</f>
        <v>責</v>
      </c>
      <c r="R22" s="84" t="str">
        <f ca="1">IF(配置表!R17="","休",配置表!R17)</f>
        <v>休</v>
      </c>
      <c r="S22" s="84" t="str">
        <f ca="1">IF(配置表!S17="","休",配置表!S17)</f>
        <v>責</v>
      </c>
      <c r="T22" s="84" t="str">
        <f ca="1">IF(配置表!T17="","休",配置表!T17)</f>
        <v>休</v>
      </c>
      <c r="U22" s="84" t="str">
        <f ca="1">IF(配置表!U17="","休",配置表!U17)</f>
        <v>日C</v>
      </c>
      <c r="V22" s="84" t="str">
        <f ca="1">IF(配置表!V17="","休",配置表!V17)</f>
        <v>休</v>
      </c>
      <c r="W22" s="84" t="str">
        <f ca="1">IF(配置表!W17="","休",配置表!W17)</f>
        <v>日C</v>
      </c>
      <c r="X22" s="84" t="str">
        <f ca="1">IF(配置表!X17="","休",配置表!X17)</f>
        <v>日C</v>
      </c>
      <c r="Y22" s="84" t="str">
        <f ca="1">IF(配置表!Y17="","休",配置表!Y17)</f>
        <v>責</v>
      </c>
      <c r="Z22" s="84" t="str">
        <f ca="1">IF(配置表!Z17="","休",配置表!Z17)</f>
        <v>責</v>
      </c>
      <c r="AA22" s="84" t="str">
        <f ca="1">IF(配置表!AA17="","休",配置表!AA17)</f>
        <v>休</v>
      </c>
      <c r="AB22" s="84" t="str">
        <f ca="1">IF(配置表!AB17="","休",配置表!AB17)</f>
        <v>責</v>
      </c>
      <c r="AC22" s="84" t="str">
        <f ca="1">IF(配置表!AC17="","休",配置表!AC17)</f>
        <v>休</v>
      </c>
      <c r="AD22" s="84" t="str">
        <f ca="1">IF(配置表!AD17="","休",配置表!AD17)</f>
        <v>休</v>
      </c>
      <c r="AE22" s="84" t="str">
        <f ca="1">IF(配置表!AE17="","休",配置表!AE17)</f>
        <v>責</v>
      </c>
      <c r="AF22" s="84" t="str">
        <f ca="1">IF(配置表!AF17="","休",配置表!AF17)</f>
        <v>責</v>
      </c>
      <c r="AG22" s="84" t="str">
        <f ca="1">IF(配置表!AG17="","休",配置表!AG17)</f>
        <v>責</v>
      </c>
      <c r="AH22" s="85" t="s">
        <v>115</v>
      </c>
      <c r="AI22" s="98">
        <f t="shared" ca="1" si="6"/>
        <v>13</v>
      </c>
      <c r="AJ22" s="99">
        <f t="shared" ref="AJ22:AJ33" ca="1" si="7">COUNTIF($D22:$AG22,"責")*11
+COUNTIF($D22:$AG22,"責A")*5
+COUNTIF($D22:$AG22,"責B")*5
+COUNTIF($D22:$AG22,"日B")*11
+COUNTIF($D22:$AG22,"日C")*8
+COUNTIF($D22:$AG22,"夜A")*10.5
+COUNTIF($D22:$AG22,"夜B")*10.5
+COUNTIF($D22:$AG22,"責/夜*")*(11+11)
+COUNTIF($D22:$AG22,"責B/夜*")*(5+11)
+COUNTIF($D22:$AG22,"日B/夜*")*(11+11)
+COUNTIF($D22:$AG22,"日C/夜*")*(8+11)</f>
        <v>166</v>
      </c>
      <c r="AK22" s="99">
        <f t="shared" ref="AK22:AK33" ca="1" si="8">MAX(0, AJ22 - (($AI$17 - $AJ$17) * 8))</f>
        <v>0</v>
      </c>
      <c r="AL22" s="68"/>
      <c r="AM22" s="83"/>
      <c r="AN22" s="68"/>
      <c r="AO22" s="74"/>
      <c r="AP22" s="74"/>
    </row>
    <row r="23" spans="1:42">
      <c r="A23" s="82">
        <v>3</v>
      </c>
      <c r="B23" s="215" t="s">
        <v>122</v>
      </c>
      <c r="C23" s="216"/>
      <c r="D23" s="84" t="str">
        <f ca="1">IF(配置表!D18="","休",配置表!D18)</f>
        <v>休</v>
      </c>
      <c r="E23" s="84" t="str">
        <f ca="1">IF(配置表!E18="","休",配置表!E18)</f>
        <v>休</v>
      </c>
      <c r="F23" s="84" t="str">
        <f ca="1">IF(配置表!F18="","休",配置表!F18)</f>
        <v>休</v>
      </c>
      <c r="G23" s="84" t="str">
        <f ca="1">IF(配置表!G18="","休",配置表!G18)</f>
        <v>休</v>
      </c>
      <c r="H23" s="84" t="str">
        <f ca="1">IF(配置表!H18="","休",配置表!H18)</f>
        <v>休</v>
      </c>
      <c r="I23" s="84" t="str">
        <f ca="1">IF(配置表!I18="","休",配置表!I18)</f>
        <v>休</v>
      </c>
      <c r="J23" s="84" t="str">
        <f ca="1">IF(配置表!J18="","休",配置表!J18)</f>
        <v>責</v>
      </c>
      <c r="K23" s="84" t="str">
        <f ca="1">IF(配置表!K18="","休",配置表!K18)</f>
        <v>休</v>
      </c>
      <c r="L23" s="84" t="str">
        <f ca="1">IF(配置表!L18="","休",配置表!L18)</f>
        <v>休</v>
      </c>
      <c r="M23" s="84" t="str">
        <f ca="1">IF(配置表!M18="","休",配置表!M18)</f>
        <v>休</v>
      </c>
      <c r="N23" s="84" t="str">
        <f ca="1">IF(配置表!N18="","休",配置表!N18)</f>
        <v>休</v>
      </c>
      <c r="O23" s="84" t="str">
        <f ca="1">IF(配置表!O18="","休",配置表!O18)</f>
        <v>休</v>
      </c>
      <c r="P23" s="84" t="str">
        <f ca="1">IF(配置表!P18="","休",配置表!P18)</f>
        <v>休</v>
      </c>
      <c r="Q23" s="84" t="str">
        <f ca="1">IF(配置表!Q18="","休",配置表!Q18)</f>
        <v>休</v>
      </c>
      <c r="R23" s="84" t="str">
        <f ca="1">IF(配置表!R18="","休",配置表!R18)</f>
        <v>休</v>
      </c>
      <c r="S23" s="84" t="str">
        <f ca="1">IF(配置表!S18="","休",配置表!S18)</f>
        <v>休</v>
      </c>
      <c r="T23" s="84" t="str">
        <f ca="1">IF(配置表!T18="","休",配置表!T18)</f>
        <v>休</v>
      </c>
      <c r="U23" s="84" t="str">
        <f ca="1">IF(配置表!U18="","休",配置表!U18)</f>
        <v>休</v>
      </c>
      <c r="V23" s="84" t="str">
        <f ca="1">IF(配置表!V18="","休",配置表!V18)</f>
        <v>休</v>
      </c>
      <c r="W23" s="84" t="str">
        <f ca="1">IF(配置表!W18="","休",配置表!W18)</f>
        <v>休</v>
      </c>
      <c r="X23" s="84" t="str">
        <f ca="1">IF(配置表!X18="","休",配置表!X18)</f>
        <v>休</v>
      </c>
      <c r="Y23" s="84" t="str">
        <f ca="1">IF(配置表!Y18="","休",配置表!Y18)</f>
        <v>休</v>
      </c>
      <c r="Z23" s="84" t="str">
        <f ca="1">IF(配置表!Z18="","休",配置表!Z18)</f>
        <v>休</v>
      </c>
      <c r="AA23" s="84" t="str">
        <f ca="1">IF(配置表!AA18="","休",配置表!AA18)</f>
        <v>休</v>
      </c>
      <c r="AB23" s="84" t="str">
        <f ca="1">IF(配置表!AB18="","休",配置表!AB18)</f>
        <v>休</v>
      </c>
      <c r="AC23" s="84" t="str">
        <f ca="1">IF(配置表!AC18="","休",配置表!AC18)</f>
        <v>休</v>
      </c>
      <c r="AD23" s="84" t="str">
        <f ca="1">IF(配置表!AD18="","休",配置表!AD18)</f>
        <v>休</v>
      </c>
      <c r="AE23" s="84" t="str">
        <f ca="1">IF(配置表!AE18="","休",配置表!AE18)</f>
        <v>休</v>
      </c>
      <c r="AF23" s="84" t="str">
        <f ca="1">IF(配置表!AF18="","休",配置表!AF18)</f>
        <v>休</v>
      </c>
      <c r="AG23" s="84" t="str">
        <f ca="1">IF(配置表!AG18="","休",配置表!AG18)</f>
        <v>休</v>
      </c>
      <c r="AH23" s="85" t="s">
        <v>115</v>
      </c>
      <c r="AI23" s="98">
        <f t="shared" ca="1" si="6"/>
        <v>29</v>
      </c>
      <c r="AJ23" s="99">
        <f t="shared" ca="1" si="7"/>
        <v>11</v>
      </c>
      <c r="AK23" s="99">
        <f t="shared" ca="1" si="8"/>
        <v>0</v>
      </c>
      <c r="AL23" s="105" t="s">
        <v>116</v>
      </c>
      <c r="AM23" s="100" t="s">
        <v>117</v>
      </c>
      <c r="AN23" s="100" t="s">
        <v>118</v>
      </c>
      <c r="AO23" s="101"/>
      <c r="AP23" s="74"/>
    </row>
    <row r="24" spans="1:42">
      <c r="A24" s="82">
        <v>4</v>
      </c>
      <c r="B24" s="215" t="s">
        <v>149</v>
      </c>
      <c r="C24" s="216"/>
      <c r="D24" s="84" t="str">
        <f ca="1">IF(配置表!D19="","休",配置表!D19)</f>
        <v>休</v>
      </c>
      <c r="E24" s="84" t="str">
        <f ca="1">IF(配置表!E19="","休",配置表!E19)</f>
        <v>休</v>
      </c>
      <c r="F24" s="84" t="str">
        <f ca="1">IF(配置表!F19="","休",配置表!F19)</f>
        <v>休</v>
      </c>
      <c r="G24" s="84" t="str">
        <f ca="1">IF(配置表!G19="","休",配置表!G19)</f>
        <v>休</v>
      </c>
      <c r="H24" s="84" t="str">
        <f ca="1">IF(配置表!H19="","休",配置表!H19)</f>
        <v>休</v>
      </c>
      <c r="I24" s="84" t="str">
        <f ca="1">IF(配置表!I19="","休",配置表!I19)</f>
        <v>休</v>
      </c>
      <c r="J24" s="84" t="str">
        <f ca="1">IF(配置表!J19="","休",配置表!J19)</f>
        <v>休</v>
      </c>
      <c r="K24" s="84" t="str">
        <f ca="1">IF(配置表!K19="","休",配置表!K19)</f>
        <v>休</v>
      </c>
      <c r="L24" s="84" t="str">
        <f ca="1">IF(配置表!L19="","休",配置表!L19)</f>
        <v>休</v>
      </c>
      <c r="M24" s="84" t="str">
        <f ca="1">IF(配置表!M19="","休",配置表!M19)</f>
        <v>休</v>
      </c>
      <c r="N24" s="84" t="str">
        <f ca="1">IF(配置表!N19="","休",配置表!N19)</f>
        <v>休</v>
      </c>
      <c r="O24" s="84" t="str">
        <f ca="1">IF(配置表!O19="","休",配置表!O19)</f>
        <v>休</v>
      </c>
      <c r="P24" s="84" t="str">
        <f ca="1">IF(配置表!P19="","休",配置表!P19)</f>
        <v>休</v>
      </c>
      <c r="Q24" s="84" t="str">
        <f ca="1">IF(配置表!Q19="","休",配置表!Q19)</f>
        <v>休</v>
      </c>
      <c r="R24" s="84" t="str">
        <f ca="1">IF(配置表!R19="","休",配置表!R19)</f>
        <v>日C</v>
      </c>
      <c r="S24" s="84" t="str">
        <f ca="1">IF(配置表!S19="","休",配置表!S19)</f>
        <v>休</v>
      </c>
      <c r="T24" s="84" t="str">
        <f ca="1">IF(配置表!T19="","休",配置表!T19)</f>
        <v>休</v>
      </c>
      <c r="U24" s="84" t="str">
        <f ca="1">IF(配置表!U19="","休",配置表!U19)</f>
        <v>休</v>
      </c>
      <c r="V24" s="84" t="str">
        <f ca="1">IF(配置表!V19="","休",配置表!V19)</f>
        <v>休</v>
      </c>
      <c r="W24" s="84" t="str">
        <f ca="1">IF(配置表!W19="","休",配置表!W19)</f>
        <v>休</v>
      </c>
      <c r="X24" s="84" t="str">
        <f ca="1">IF(配置表!X19="","休",配置表!X19)</f>
        <v>休</v>
      </c>
      <c r="Y24" s="84" t="str">
        <f ca="1">IF(配置表!Y19="","休",配置表!Y19)</f>
        <v>日B-2</v>
      </c>
      <c r="Z24" s="84" t="str">
        <f ca="1">IF(配置表!Z19="","休",配置表!Z19)</f>
        <v>休</v>
      </c>
      <c r="AA24" s="84" t="str">
        <f ca="1">IF(配置表!AA19="","休",配置表!AA19)</f>
        <v>休</v>
      </c>
      <c r="AB24" s="84" t="str">
        <f ca="1">IF(配置表!AB19="","休",配置表!AB19)</f>
        <v>休</v>
      </c>
      <c r="AC24" s="84" t="str">
        <f ca="1">IF(配置表!AC19="","休",配置表!AC19)</f>
        <v>休</v>
      </c>
      <c r="AD24" s="84" t="str">
        <f ca="1">IF(配置表!AD19="","休",配置表!AD19)</f>
        <v>休</v>
      </c>
      <c r="AE24" s="84" t="str">
        <f ca="1">IF(配置表!AE19="","休",配置表!AE19)</f>
        <v>休</v>
      </c>
      <c r="AF24" s="84" t="str">
        <f ca="1">IF(配置表!AF19="","休",配置表!AF19)</f>
        <v>休</v>
      </c>
      <c r="AG24" s="84" t="str">
        <f ca="1">IF(配置表!AG19="","休",配置表!AG19)</f>
        <v>休</v>
      </c>
      <c r="AH24" s="85" t="s">
        <v>115</v>
      </c>
      <c r="AI24" s="98">
        <f t="shared" ca="1" si="6"/>
        <v>28</v>
      </c>
      <c r="AJ24" s="99">
        <f t="shared" ca="1" si="7"/>
        <v>8</v>
      </c>
      <c r="AK24" s="99">
        <f t="shared" ref="AK24" ca="1" si="9">MAX(0, AJ24 - (($AI$17 - $AJ$17) * 8))</f>
        <v>0</v>
      </c>
      <c r="AL24" s="105"/>
      <c r="AM24" s="100"/>
      <c r="AN24" s="100"/>
      <c r="AO24" s="101"/>
      <c r="AP24" s="74"/>
    </row>
    <row r="25" spans="1:42">
      <c r="A25" s="82">
        <v>5</v>
      </c>
      <c r="B25" s="213" t="s">
        <v>28</v>
      </c>
      <c r="C25" s="214"/>
      <c r="D25" s="84" t="str">
        <f ca="1">IF(配置表!D20="","休",配置表!D20)</f>
        <v>日B</v>
      </c>
      <c r="E25" s="84" t="str">
        <f ca="1">IF(配置表!E20="","休",配置表!E20)</f>
        <v>休</v>
      </c>
      <c r="F25" s="84" t="str">
        <f ca="1">IF(配置表!F20="","休",配置表!F20)</f>
        <v>日C</v>
      </c>
      <c r="G25" s="84" t="str">
        <f ca="1">IF(配置表!G20="","休",配置表!G20)</f>
        <v>日B</v>
      </c>
      <c r="H25" s="84" t="str">
        <f ca="1">IF(配置表!H20="","休",配置表!H20)</f>
        <v>休</v>
      </c>
      <c r="I25" s="84" t="str">
        <f ca="1">IF(配置表!I20="","休",配置表!I20)</f>
        <v>休</v>
      </c>
      <c r="J25" s="84" t="str">
        <f ca="1">IF(配置表!J20="","休",配置表!J20)</f>
        <v>日B</v>
      </c>
      <c r="K25" s="84" t="str">
        <f ca="1">IF(配置表!K20="","休",配置表!K20)</f>
        <v>日B</v>
      </c>
      <c r="L25" s="84" t="str">
        <f ca="1">IF(配置表!L20="","休",配置表!L20)</f>
        <v>休</v>
      </c>
      <c r="M25" s="84" t="str">
        <f ca="1">IF(配置表!M20="","休",配置表!M20)</f>
        <v>日B</v>
      </c>
      <c r="N25" s="84" t="str">
        <f ca="1">IF(配置表!N20="","休",配置表!N20)</f>
        <v>休</v>
      </c>
      <c r="O25" s="84" t="str">
        <f ca="1">IF(配置表!O20="","休",配置表!O20)</f>
        <v>日B</v>
      </c>
      <c r="P25" s="84" t="str">
        <f ca="1">IF(配置表!P20="","休",配置表!P20)</f>
        <v>日B</v>
      </c>
      <c r="Q25" s="84" t="str">
        <f ca="1">IF(配置表!Q20="","休",配置表!Q20)</f>
        <v>休</v>
      </c>
      <c r="R25" s="84" t="str">
        <f ca="1">IF(配置表!R20="","休",配置表!R20)</f>
        <v>日B</v>
      </c>
      <c r="S25" s="84" t="str">
        <f ca="1">IF(配置表!S20="","休",配置表!S20)</f>
        <v>休</v>
      </c>
      <c r="T25" s="84" t="str">
        <f ca="1">IF(配置表!T20="","休",配置表!T20)</f>
        <v>日B</v>
      </c>
      <c r="U25" s="84" t="str">
        <f ca="1">IF(配置表!U20="","休",配置表!U20)</f>
        <v>休</v>
      </c>
      <c r="V25" s="84" t="str">
        <f ca="1">IF(配置表!V20="","休",配置表!V20)</f>
        <v>日B</v>
      </c>
      <c r="W25" s="84" t="str">
        <f ca="1">IF(配置表!W20="","休",配置表!W20)</f>
        <v>休</v>
      </c>
      <c r="X25" s="84" t="str">
        <f ca="1">IF(配置表!X20="","休",配置表!X20)</f>
        <v>日B</v>
      </c>
      <c r="Y25" s="84" t="str">
        <f ca="1">IF(配置表!Y20="","休",配置表!Y20)</f>
        <v>日B-1</v>
      </c>
      <c r="Z25" s="84" t="str">
        <f ca="1">IF(配置表!Z20="","休",配置表!Z20)</f>
        <v>休</v>
      </c>
      <c r="AA25" s="84" t="str">
        <f ca="1">IF(配置表!AA20="","休",配置表!AA20)</f>
        <v>日B</v>
      </c>
      <c r="AB25" s="84" t="str">
        <f ca="1">IF(配置表!AB20="","休",配置表!AB20)</f>
        <v>休</v>
      </c>
      <c r="AC25" s="84" t="str">
        <f ca="1">IF(配置表!AC20="","休",配置表!AC20)</f>
        <v>日B</v>
      </c>
      <c r="AD25" s="84" t="str">
        <f ca="1">IF(配置表!AD20="","休",配置表!AD20)</f>
        <v>日B</v>
      </c>
      <c r="AE25" s="84" t="str">
        <f ca="1">IF(配置表!AE20="","休",配置表!AE20)</f>
        <v>休</v>
      </c>
      <c r="AF25" s="84" t="str">
        <f ca="1">IF(配置表!AF20="","休",配置表!AF20)</f>
        <v>日B-3</v>
      </c>
      <c r="AG25" s="84" t="str">
        <f ca="1">IF(配置表!AG20="","休",配置表!AG20)</f>
        <v>休</v>
      </c>
      <c r="AH25" s="85"/>
      <c r="AI25" s="98">
        <f t="shared" ca="1" si="6"/>
        <v>13</v>
      </c>
      <c r="AJ25" s="99">
        <f t="shared" ca="1" si="7"/>
        <v>162</v>
      </c>
      <c r="AK25" s="99">
        <f t="shared" ca="1" si="8"/>
        <v>0</v>
      </c>
      <c r="AL25" s="105" t="s">
        <v>120</v>
      </c>
      <c r="AM25" s="100" t="s">
        <v>117</v>
      </c>
      <c r="AN25" s="100" t="s">
        <v>121</v>
      </c>
      <c r="AO25" s="101"/>
      <c r="AP25" s="74"/>
    </row>
    <row r="26" spans="1:42">
      <c r="A26" s="82">
        <v>6</v>
      </c>
      <c r="B26" s="213" t="s">
        <v>150</v>
      </c>
      <c r="C26" s="214"/>
      <c r="D26" s="84" t="str">
        <f ca="1">IF(配置表!D21="","休",配置表!D21)</f>
        <v>休</v>
      </c>
      <c r="E26" s="84" t="str">
        <f ca="1">IF(配置表!E21="","休",配置表!E21)</f>
        <v>日B</v>
      </c>
      <c r="F26" s="84" t="str">
        <f ca="1">IF(配置表!F21="","休",配置表!F21)</f>
        <v>日B</v>
      </c>
      <c r="G26" s="84" t="str">
        <f ca="1">IF(配置表!G21="","休",配置表!G21)</f>
        <v>休</v>
      </c>
      <c r="H26" s="84" t="str">
        <f ca="1">IF(配置表!H21="","休",配置表!H21)</f>
        <v>日B</v>
      </c>
      <c r="I26" s="84" t="str">
        <f ca="1">IF(配置表!I21="","休",配置表!I21)</f>
        <v>日B</v>
      </c>
      <c r="J26" s="84" t="str">
        <f ca="1">IF(配置表!J21="","休",配置表!J21)</f>
        <v>休</v>
      </c>
      <c r="K26" s="84" t="str">
        <f ca="1">IF(配置表!K21="","休",配置表!K21)</f>
        <v>休</v>
      </c>
      <c r="L26" s="84" t="str">
        <f ca="1">IF(配置表!L21="","休",配置表!L21)</f>
        <v>日B</v>
      </c>
      <c r="M26" s="84" t="str">
        <f ca="1">IF(配置表!M21="","休",配置表!M21)</f>
        <v>日C</v>
      </c>
      <c r="N26" s="84" t="str">
        <f ca="1">IF(配置表!N21="","休",配置表!N21)</f>
        <v>日B</v>
      </c>
      <c r="O26" s="84" t="str">
        <f ca="1">IF(配置表!O21="","休",配置表!O21)</f>
        <v>休</v>
      </c>
      <c r="P26" s="84" t="str">
        <f ca="1">IF(配置表!P21="","休",配置表!P21)</f>
        <v>日C</v>
      </c>
      <c r="Q26" s="84" t="str">
        <f ca="1">IF(配置表!Q21="","休",配置表!Q21)</f>
        <v>休</v>
      </c>
      <c r="R26" s="84" t="str">
        <f ca="1">IF(配置表!R21="","休",配置表!R21)</f>
        <v>休</v>
      </c>
      <c r="S26" s="84" t="str">
        <f ca="1">IF(配置表!S21="","休",配置表!S21)</f>
        <v>日B</v>
      </c>
      <c r="T26" s="84" t="str">
        <f ca="1">IF(配置表!T21="","休",配置表!T21)</f>
        <v>日C</v>
      </c>
      <c r="U26" s="84" t="str">
        <f ca="1">IF(配置表!U21="","休",配置表!U21)</f>
        <v>日B</v>
      </c>
      <c r="V26" s="84" t="str">
        <f ca="1">IF(配置表!V21="","休",配置表!V21)</f>
        <v>日C</v>
      </c>
      <c r="W26" s="84" t="str">
        <f ca="1">IF(配置表!W21="","休",配置表!W21)</f>
        <v>日B</v>
      </c>
      <c r="X26" s="84" t="str">
        <f ca="1">IF(配置表!X21="","休",配置表!X21)</f>
        <v>休</v>
      </c>
      <c r="Y26" s="84" t="str">
        <f ca="1">IF(配置表!Y21="","休",配置表!Y21)</f>
        <v>休</v>
      </c>
      <c r="Z26" s="84" t="str">
        <f ca="1">IF(配置表!Z21="","休",配置表!Z21)</f>
        <v>日B</v>
      </c>
      <c r="AA26" s="84" t="str">
        <f ca="1">IF(配置表!AA21="","休",配置表!AA21)</f>
        <v>日C</v>
      </c>
      <c r="AB26" s="84" t="str">
        <f ca="1">IF(配置表!AB21="","休",配置表!AB21)</f>
        <v>日B</v>
      </c>
      <c r="AC26" s="84" t="str">
        <f ca="1">IF(配置表!AC21="","休",配置表!AC21)</f>
        <v>日C</v>
      </c>
      <c r="AD26" s="84" t="str">
        <f ca="1">IF(配置表!AD21="","休",配置表!AD21)</f>
        <v>日C</v>
      </c>
      <c r="AE26" s="84" t="str">
        <f ca="1">IF(配置表!AE21="","休",配置表!AE21)</f>
        <v>休</v>
      </c>
      <c r="AF26" s="84" t="str">
        <f ca="1">IF(配置表!AF21="","休",配置表!AF21)</f>
        <v>休</v>
      </c>
      <c r="AG26" s="84" t="str">
        <f ca="1">IF(配置表!AG21="","休",配置表!AG21)</f>
        <v>日B</v>
      </c>
      <c r="AH26" s="85"/>
      <c r="AI26" s="98">
        <f t="shared" ca="1" si="6"/>
        <v>11</v>
      </c>
      <c r="AJ26" s="99">
        <f t="shared" ca="1" si="7"/>
        <v>188</v>
      </c>
      <c r="AK26" s="99">
        <f t="shared" ca="1" si="8"/>
        <v>20</v>
      </c>
      <c r="AL26" s="105" t="s">
        <v>123</v>
      </c>
      <c r="AM26" s="100" t="s">
        <v>117</v>
      </c>
      <c r="AN26" s="100" t="s">
        <v>124</v>
      </c>
      <c r="AO26" s="101"/>
      <c r="AP26" s="74"/>
    </row>
    <row r="27" spans="1:42">
      <c r="A27" s="82">
        <v>7</v>
      </c>
      <c r="B27" s="209" t="s">
        <v>128</v>
      </c>
      <c r="C27" s="210"/>
      <c r="D27" s="84" t="str">
        <f ca="1">IF(配置表!D22="","休",配置表!D22)</f>
        <v>休</v>
      </c>
      <c r="E27" s="84" t="str">
        <f ca="1">IF(配置表!E22="","休",配置表!E22)</f>
        <v>休</v>
      </c>
      <c r="F27" s="84" t="str">
        <f ca="1">IF(配置表!F22="","休",配置表!F22)</f>
        <v>休</v>
      </c>
      <c r="G27" s="84" t="str">
        <f ca="1">IF(配置表!G22="","休",配置表!G22)</f>
        <v>休</v>
      </c>
      <c r="H27" s="84" t="str">
        <f ca="1">IF(配置表!H22="","休",配置表!H22)</f>
        <v>休</v>
      </c>
      <c r="I27" s="84" t="str">
        <f ca="1">IF(配置表!I22="","休",配置表!I22)</f>
        <v>休</v>
      </c>
      <c r="J27" s="84" t="str">
        <f ca="1">IF(配置表!J22="","休",配置表!J22)</f>
        <v>休</v>
      </c>
      <c r="K27" s="84" t="str">
        <f ca="1">IF(配置表!K22="","休",配置表!K22)</f>
        <v>休</v>
      </c>
      <c r="L27" s="84" t="str">
        <f ca="1">IF(配置表!L22="","休",配置表!L22)</f>
        <v>休</v>
      </c>
      <c r="M27" s="84" t="str">
        <f ca="1">IF(配置表!M22="","休",配置表!M22)</f>
        <v>休</v>
      </c>
      <c r="N27" s="84" t="str">
        <f ca="1">IF(配置表!N22="","休",配置表!N22)</f>
        <v>休</v>
      </c>
      <c r="O27" s="84" t="str">
        <f ca="1">IF(配置表!O22="","休",配置表!O22)</f>
        <v>休</v>
      </c>
      <c r="P27" s="84" t="str">
        <f ca="1">IF(配置表!P22="","休",配置表!P22)</f>
        <v>休</v>
      </c>
      <c r="Q27" s="84" t="str">
        <f ca="1">IF(配置表!Q22="","休",配置表!Q22)</f>
        <v>日B</v>
      </c>
      <c r="R27" s="84" t="str">
        <f ca="1">IF(配置表!R22="","休",配置表!R22)</f>
        <v>休</v>
      </c>
      <c r="S27" s="84" t="str">
        <f ca="1">IF(配置表!S22="","休",配置表!S22)</f>
        <v>休</v>
      </c>
      <c r="T27" s="84" t="str">
        <f ca="1">IF(配置表!T22="","休",配置表!T22)</f>
        <v>休</v>
      </c>
      <c r="U27" s="84" t="str">
        <f ca="1">IF(配置表!U22="","休",配置表!U22)</f>
        <v>休</v>
      </c>
      <c r="V27" s="84" t="str">
        <f ca="1">IF(配置表!V22="","休",配置表!V22)</f>
        <v>休</v>
      </c>
      <c r="W27" s="84" t="str">
        <f ca="1">IF(配置表!W22="","休",配置表!W22)</f>
        <v>休</v>
      </c>
      <c r="X27" s="84" t="str">
        <f ca="1">IF(配置表!X22="","休",配置表!X22)</f>
        <v>休</v>
      </c>
      <c r="Y27" s="84" t="str">
        <f ca="1">IF(配置表!Y22="","休",配置表!Y22)</f>
        <v>休</v>
      </c>
      <c r="Z27" s="84" t="str">
        <f ca="1">IF(配置表!Z22="","休",配置表!Z22)</f>
        <v>休</v>
      </c>
      <c r="AA27" s="84" t="str">
        <f ca="1">IF(配置表!AA22="","休",配置表!AA22)</f>
        <v>休</v>
      </c>
      <c r="AB27" s="84" t="str">
        <f ca="1">IF(配置表!AB22="","休",配置表!AB22)</f>
        <v>休</v>
      </c>
      <c r="AC27" s="84" t="str">
        <f ca="1">IF(配置表!AC22="","休",配置表!AC22)</f>
        <v>休</v>
      </c>
      <c r="AD27" s="84" t="str">
        <f ca="1">IF(配置表!AD22="","休",配置表!AD22)</f>
        <v>休</v>
      </c>
      <c r="AE27" s="84" t="str">
        <f ca="1">IF(配置表!AE22="","休",配置表!AE22)</f>
        <v>日B</v>
      </c>
      <c r="AF27" s="84" t="str">
        <f ca="1">IF(配置表!AF22="","休",配置表!AF22)</f>
        <v>休</v>
      </c>
      <c r="AG27" s="84" t="str">
        <f ca="1">IF(配置表!AG22="","休",配置表!AG22)</f>
        <v>休</v>
      </c>
      <c r="AH27" s="85"/>
      <c r="AI27" s="98">
        <f t="shared" ca="1" si="6"/>
        <v>28</v>
      </c>
      <c r="AJ27" s="99">
        <f t="shared" ca="1" si="7"/>
        <v>22</v>
      </c>
      <c r="AK27" s="99">
        <f t="shared" ca="1" si="8"/>
        <v>0</v>
      </c>
      <c r="AL27" s="106" t="s">
        <v>107</v>
      </c>
      <c r="AM27" s="100" t="s">
        <v>117</v>
      </c>
      <c r="AN27" s="100" t="s">
        <v>118</v>
      </c>
      <c r="AO27" s="101"/>
      <c r="AP27" s="74"/>
    </row>
    <row r="28" spans="1:42">
      <c r="A28" s="82">
        <v>8</v>
      </c>
      <c r="B28" s="213" t="s">
        <v>42</v>
      </c>
      <c r="C28" s="214"/>
      <c r="D28" s="84" t="str">
        <f ca="1">IF(配置表!D23="","休",配置表!D23)</f>
        <v>休</v>
      </c>
      <c r="E28" s="84" t="str">
        <f ca="1">IF(配置表!E23="","休",配置表!E23)</f>
        <v>夜B</v>
      </c>
      <c r="F28" s="84" t="str">
        <f ca="1">IF(配置表!F23="","休",配置表!F23)</f>
        <v>夜A</v>
      </c>
      <c r="G28" s="84" t="str">
        <f ca="1">IF(配置表!G23="","休",配置表!G23)</f>
        <v>休</v>
      </c>
      <c r="H28" s="84" t="str">
        <f ca="1">IF(配置表!H23="","休",配置表!H23)</f>
        <v>夜A</v>
      </c>
      <c r="I28" s="84" t="str">
        <f ca="1">IF(配置表!I23="","休",配置表!I23)</f>
        <v>夜B</v>
      </c>
      <c r="J28" s="84" t="str">
        <f ca="1">IF(配置表!J23="","休",配置表!J23)</f>
        <v>休</v>
      </c>
      <c r="K28" s="84" t="str">
        <f ca="1">IF(配置表!K23="","休",配置表!K23)</f>
        <v>休</v>
      </c>
      <c r="L28" s="84" t="str">
        <f ca="1">IF(配置表!L23="","休",配置表!L23)</f>
        <v>夜A</v>
      </c>
      <c r="M28" s="84" t="str">
        <f ca="1">IF(配置表!M23="","休",配置表!M23)</f>
        <v>夜A</v>
      </c>
      <c r="N28" s="84" t="str">
        <f ca="1">IF(配置表!N23="","休",配置表!N23)</f>
        <v>休</v>
      </c>
      <c r="O28" s="84" t="str">
        <f ca="1">IF(配置表!O23="","休",配置表!O23)</f>
        <v>休</v>
      </c>
      <c r="P28" s="84" t="str">
        <f ca="1">IF(配置表!P23="","休",配置表!P23)</f>
        <v>夜A</v>
      </c>
      <c r="Q28" s="84" t="str">
        <f ca="1">IF(配置表!Q23="","休",配置表!Q23)</f>
        <v>休</v>
      </c>
      <c r="R28" s="84" t="str">
        <f ca="1">IF(配置表!R23="","休",配置表!R23)</f>
        <v>休</v>
      </c>
      <c r="S28" s="84" t="str">
        <f ca="1">IF(配置表!S23="","休",配置表!S23)</f>
        <v>夜B</v>
      </c>
      <c r="T28" s="84" t="str">
        <f ca="1">IF(配置表!T23="","休",配置表!T23)</f>
        <v>夜B</v>
      </c>
      <c r="U28" s="84" t="str">
        <f ca="1">IF(配置表!U23="","休",配置表!U23)</f>
        <v>休</v>
      </c>
      <c r="V28" s="84" t="str">
        <f ca="1">IF(配置表!V23="","休",配置表!V23)</f>
        <v>夜B</v>
      </c>
      <c r="W28" s="84" t="str">
        <f ca="1">IF(配置表!W23="","休",配置表!W23)</f>
        <v>夜A</v>
      </c>
      <c r="X28" s="84" t="str">
        <f ca="1">IF(配置表!X23="","休",配置表!X23)</f>
        <v>休</v>
      </c>
      <c r="Y28" s="84" t="str">
        <f ca="1">IF(配置表!Y23="","休",配置表!Y23)</f>
        <v>休</v>
      </c>
      <c r="Z28" s="84" t="str">
        <f ca="1">IF(配置表!Z23="","休",配置表!Z23)</f>
        <v>夜B</v>
      </c>
      <c r="AA28" s="84" t="str">
        <f ca="1">IF(配置表!AA23="","休",配置表!AA23)</f>
        <v>夜A</v>
      </c>
      <c r="AB28" s="84" t="str">
        <f ca="1">IF(配置表!AB23="","休",配置表!AB23)</f>
        <v>休</v>
      </c>
      <c r="AC28" s="84" t="str">
        <f ca="1">IF(配置表!AC23="","休",配置表!AC23)</f>
        <v>休</v>
      </c>
      <c r="AD28" s="84" t="str">
        <f ca="1">IF(配置表!AD23="","休",配置表!AD23)</f>
        <v>夜A</v>
      </c>
      <c r="AE28" s="84" t="str">
        <f ca="1">IF(配置表!AE23="","休",配置表!AE23)</f>
        <v>休</v>
      </c>
      <c r="AF28" s="84" t="str">
        <f ca="1">IF(配置表!AF23="","休",配置表!AF23)</f>
        <v>休</v>
      </c>
      <c r="AG28" s="84" t="str">
        <f ca="1">IF(配置表!AG23="","休",配置表!AG23)</f>
        <v>夜B</v>
      </c>
      <c r="AH28" s="89"/>
      <c r="AI28" s="98">
        <f t="shared" ca="1" si="6"/>
        <v>15</v>
      </c>
      <c r="AJ28" s="99">
        <f t="shared" ca="1" si="7"/>
        <v>157.5</v>
      </c>
      <c r="AK28" s="99">
        <f t="shared" ca="1" si="8"/>
        <v>0</v>
      </c>
      <c r="AL28" s="106" t="s">
        <v>108</v>
      </c>
      <c r="AM28" s="100" t="s">
        <v>117</v>
      </c>
      <c r="AN28" s="100" t="s">
        <v>134</v>
      </c>
      <c r="AP28" s="74"/>
    </row>
    <row r="29" spans="1:42">
      <c r="A29" s="82">
        <v>9</v>
      </c>
      <c r="B29" s="213" t="s">
        <v>49</v>
      </c>
      <c r="C29" s="214"/>
      <c r="D29" s="84" t="str">
        <f ca="1">IF(配置表!D24="","休",配置表!D24)</f>
        <v>休</v>
      </c>
      <c r="E29" s="84" t="str">
        <f ca="1">IF(配置表!E24="","休",配置表!E24)</f>
        <v>休</v>
      </c>
      <c r="F29" s="84" t="str">
        <f ca="1">IF(配置表!F24="","休",配置表!F24)</f>
        <v>休</v>
      </c>
      <c r="G29" s="84" t="str">
        <f ca="1">IF(配置表!G24="","休",配置表!G24)</f>
        <v>休</v>
      </c>
      <c r="H29" s="84" t="str">
        <f ca="1">IF(配置表!H24="","休",配置表!H24)</f>
        <v>休</v>
      </c>
      <c r="I29" s="84" t="str">
        <f ca="1">IF(配置表!I24="","休",配置表!I24)</f>
        <v>休</v>
      </c>
      <c r="J29" s="84" t="str">
        <f ca="1">IF(配置表!J24="","休",配置表!J24)</f>
        <v>夜B</v>
      </c>
      <c r="K29" s="84" t="str">
        <f ca="1">IF(配置表!K24="","休",配置表!K24)</f>
        <v>休</v>
      </c>
      <c r="L29" s="84" t="str">
        <f ca="1">IF(配置表!L24="","休",配置表!L24)</f>
        <v>休</v>
      </c>
      <c r="M29" s="84" t="str">
        <f ca="1">IF(配置表!M24="","休",配置表!M24)</f>
        <v>休</v>
      </c>
      <c r="N29" s="84" t="str">
        <f ca="1">IF(配置表!N24="","休",配置表!N24)</f>
        <v>夜B</v>
      </c>
      <c r="O29" s="84" t="str">
        <f ca="1">IF(配置表!O24="","休",配置表!O24)</f>
        <v>夜B</v>
      </c>
      <c r="P29" s="84" t="str">
        <f ca="1">IF(配置表!P24="","休",配置表!P24)</f>
        <v>休</v>
      </c>
      <c r="Q29" s="84" t="str">
        <f ca="1">IF(配置表!Q24="","休",配置表!Q24)</f>
        <v>夜B</v>
      </c>
      <c r="R29" s="84" t="str">
        <f ca="1">IF(配置表!R24="","休",配置表!R24)</f>
        <v>休</v>
      </c>
      <c r="S29" s="84" t="str">
        <f ca="1">IF(配置表!S24="","休",配置表!S24)</f>
        <v>休</v>
      </c>
      <c r="T29" s="84" t="str">
        <f ca="1">IF(配置表!T24="","休",配置表!T24)</f>
        <v>休</v>
      </c>
      <c r="U29" s="84" t="str">
        <f ca="1">IF(配置表!U24="","休",配置表!U24)</f>
        <v>夜B</v>
      </c>
      <c r="V29" s="84" t="str">
        <f ca="1">IF(配置表!V24="","休",配置表!V24)</f>
        <v>休</v>
      </c>
      <c r="W29" s="84" t="str">
        <f ca="1">IF(配置表!W24="","休",配置表!W24)</f>
        <v>休</v>
      </c>
      <c r="X29" s="84" t="str">
        <f ca="1">IF(配置表!X24="","休",配置表!X24)</f>
        <v>夜A</v>
      </c>
      <c r="Y29" s="84" t="str">
        <f ca="1">IF(配置表!Y24="","休",配置表!Y24)</f>
        <v>休</v>
      </c>
      <c r="Z29" s="84" t="str">
        <f ca="1">IF(配置表!Z24="","休",配置表!Z24)</f>
        <v>休</v>
      </c>
      <c r="AA29" s="84" t="str">
        <f ca="1">IF(配置表!AA24="","休",配置表!AA24)</f>
        <v>休</v>
      </c>
      <c r="AB29" s="84" t="str">
        <f ca="1">IF(配置表!AB24="","休",配置表!AB24)</f>
        <v>休</v>
      </c>
      <c r="AC29" s="84" t="str">
        <f ca="1">IF(配置表!AC24="","休",配置表!AC24)</f>
        <v>夜B</v>
      </c>
      <c r="AD29" s="84" t="str">
        <f ca="1">IF(配置表!AD24="","休",配置表!AD24)</f>
        <v>休</v>
      </c>
      <c r="AE29" s="84" t="str">
        <f ca="1">IF(配置表!AE24="","休",配置表!AE24)</f>
        <v>夜A</v>
      </c>
      <c r="AF29" s="84" t="str">
        <f ca="1">IF(配置表!AF24="","休",配置表!AF24)</f>
        <v>休</v>
      </c>
      <c r="AG29" s="84" t="str">
        <f ca="1">IF(配置表!AG24="","休",配置表!AG24)</f>
        <v>休</v>
      </c>
      <c r="AH29" s="85"/>
      <c r="AI29" s="98">
        <f t="shared" ca="1" si="6"/>
        <v>22</v>
      </c>
      <c r="AJ29" s="99">
        <f t="shared" ca="1" si="7"/>
        <v>84</v>
      </c>
      <c r="AK29" s="99">
        <f t="shared" ca="1" si="8"/>
        <v>0</v>
      </c>
      <c r="AL29" s="107" t="s">
        <v>109</v>
      </c>
      <c r="AM29" s="100" t="s">
        <v>117</v>
      </c>
      <c r="AN29" s="100" t="s">
        <v>136</v>
      </c>
      <c r="AO29" s="101"/>
      <c r="AP29" s="74"/>
    </row>
    <row r="30" spans="1:42">
      <c r="A30" s="82">
        <v>10</v>
      </c>
      <c r="B30" s="215" t="s">
        <v>133</v>
      </c>
      <c r="C30" s="216"/>
      <c r="D30" s="84" t="str">
        <f ca="1">IF(配置表!D25="","休",配置表!D25)</f>
        <v>休</v>
      </c>
      <c r="E30" s="84" t="str">
        <f ca="1">IF(配置表!E25="","休",配置表!E25)</f>
        <v>休</v>
      </c>
      <c r="F30" s="84" t="str">
        <f ca="1">IF(配置表!F25="","休",配置表!F25)</f>
        <v>休</v>
      </c>
      <c r="G30" s="84" t="str">
        <f ca="1">IF(配置表!G25="","休",配置表!G25)</f>
        <v>休</v>
      </c>
      <c r="H30" s="84" t="str">
        <f ca="1">IF(配置表!H25="","休",配置表!H25)</f>
        <v>休</v>
      </c>
      <c r="I30" s="84" t="str">
        <f ca="1">IF(配置表!I25="","休",配置表!I25)</f>
        <v>休</v>
      </c>
      <c r="J30" s="84" t="str">
        <f ca="1">IF(配置表!J25="","休",配置表!J25)</f>
        <v>休</v>
      </c>
      <c r="K30" s="84" t="str">
        <f ca="1">IF(配置表!K25="","休",配置表!K25)</f>
        <v>休</v>
      </c>
      <c r="L30" s="84" t="str">
        <f ca="1">IF(配置表!L25="","休",配置表!L25)</f>
        <v>休</v>
      </c>
      <c r="M30" s="84" t="str">
        <f ca="1">IF(配置表!M25="","休",配置表!M25)</f>
        <v>休</v>
      </c>
      <c r="N30" s="84" t="str">
        <f ca="1">IF(配置表!N25="","休",配置表!N25)</f>
        <v>休</v>
      </c>
      <c r="O30" s="84" t="str">
        <f ca="1">IF(配置表!O25="","休",配置表!O25)</f>
        <v>休</v>
      </c>
      <c r="P30" s="84" t="str">
        <f ca="1">IF(配置表!P25="","休",配置表!P25)</f>
        <v>休</v>
      </c>
      <c r="Q30" s="84" t="str">
        <f ca="1">IF(配置表!Q25="","休",配置表!Q25)</f>
        <v>休</v>
      </c>
      <c r="R30" s="84" t="str">
        <f ca="1">IF(配置表!R25="","休",配置表!R25)</f>
        <v>休</v>
      </c>
      <c r="S30" s="84" t="str">
        <f ca="1">IF(配置表!S25="","休",配置表!S25)</f>
        <v>休</v>
      </c>
      <c r="T30" s="84" t="str">
        <f ca="1">IF(配置表!T25="","休",配置表!T25)</f>
        <v>休</v>
      </c>
      <c r="U30" s="84" t="str">
        <f ca="1">IF(配置表!U25="","休",配置表!U25)</f>
        <v>休</v>
      </c>
      <c r="V30" s="84" t="str">
        <f ca="1">IF(配置表!V25="","休",配置表!V25)</f>
        <v>休</v>
      </c>
      <c r="W30" s="84" t="str">
        <f ca="1">IF(配置表!W25="","休",配置表!W25)</f>
        <v>休</v>
      </c>
      <c r="X30" s="84" t="str">
        <f ca="1">IF(配置表!X25="","休",配置表!X25)</f>
        <v>休</v>
      </c>
      <c r="Y30" s="84" t="str">
        <f ca="1">IF(配置表!Y25="","休",配置表!Y25)</f>
        <v>休</v>
      </c>
      <c r="Z30" s="84" t="str">
        <f ca="1">IF(配置表!Z25="","休",配置表!Z25)</f>
        <v>休</v>
      </c>
      <c r="AA30" s="84" t="str">
        <f ca="1">IF(配置表!AA25="","休",配置表!AA25)</f>
        <v>休</v>
      </c>
      <c r="AB30" s="84" t="str">
        <f ca="1">IF(配置表!AB25="","休",配置表!AB25)</f>
        <v>休</v>
      </c>
      <c r="AC30" s="84" t="str">
        <f ca="1">IF(配置表!AC25="","休",配置表!AC25)</f>
        <v>休</v>
      </c>
      <c r="AD30" s="84" t="str">
        <f ca="1">IF(配置表!AD25="","休",配置表!AD25)</f>
        <v>休</v>
      </c>
      <c r="AE30" s="84" t="str">
        <f ca="1">IF(配置表!AE25="","休",配置表!AE25)</f>
        <v>休</v>
      </c>
      <c r="AF30" s="84" t="str">
        <f ca="1">IF(配置表!AF25="","休",配置表!AF25)</f>
        <v>休</v>
      </c>
      <c r="AG30" s="84" t="str">
        <f ca="1">IF(配置表!AG25="","休",配置表!AG25)</f>
        <v>休</v>
      </c>
      <c r="AH30" s="85"/>
      <c r="AI30" s="98">
        <f t="shared" ca="1" si="6"/>
        <v>30</v>
      </c>
      <c r="AJ30" s="99">
        <f t="shared" ca="1" si="7"/>
        <v>0</v>
      </c>
      <c r="AK30" s="99">
        <f t="shared" ca="1" si="8"/>
        <v>0</v>
      </c>
      <c r="AL30" s="107" t="s">
        <v>110</v>
      </c>
      <c r="AM30" s="100" t="s">
        <v>117</v>
      </c>
      <c r="AN30" s="100" t="s">
        <v>136</v>
      </c>
      <c r="AO30" s="101"/>
      <c r="AP30" s="74"/>
    </row>
    <row r="31" spans="1:42">
      <c r="A31" s="82">
        <v>11</v>
      </c>
      <c r="B31" s="215" t="s">
        <v>135</v>
      </c>
      <c r="C31" s="216"/>
      <c r="D31" s="84" t="str">
        <f ca="1">IF(配置表!D26="","休",配置表!D26)</f>
        <v>休</v>
      </c>
      <c r="E31" s="84" t="str">
        <f ca="1">IF(配置表!E26="","休",配置表!E26)</f>
        <v>休</v>
      </c>
      <c r="F31" s="84" t="str">
        <f ca="1">IF(配置表!F26="","休",配置表!F26)</f>
        <v>休</v>
      </c>
      <c r="G31" s="84" t="str">
        <f ca="1">IF(配置表!G26="","休",配置表!G26)</f>
        <v>休</v>
      </c>
      <c r="H31" s="84" t="str">
        <f ca="1">IF(配置表!H26="","休",配置表!H26)</f>
        <v>夜B</v>
      </c>
      <c r="I31" s="84" t="str">
        <f ca="1">IF(配置表!I26="","休",配置表!I26)</f>
        <v>夜A</v>
      </c>
      <c r="J31" s="84" t="str">
        <f ca="1">IF(配置表!J26="","休",配置表!J26)</f>
        <v>休</v>
      </c>
      <c r="K31" s="84" t="str">
        <f ca="1">IF(配置表!K26="","休",配置表!K26)</f>
        <v>夜B</v>
      </c>
      <c r="L31" s="84" t="str">
        <f ca="1">IF(配置表!L26="","休",配置表!L26)</f>
        <v>休</v>
      </c>
      <c r="M31" s="84" t="str">
        <f ca="1">IF(配置表!M26="","休",配置表!M26)</f>
        <v>休</v>
      </c>
      <c r="N31" s="84" t="str">
        <f ca="1">IF(配置表!N26="","休",配置表!N26)</f>
        <v>休</v>
      </c>
      <c r="O31" s="84" t="str">
        <f ca="1">IF(配置表!O26="","休",配置表!O26)</f>
        <v>休</v>
      </c>
      <c r="P31" s="84" t="str">
        <f ca="1">IF(配置表!P26="","休",配置表!P26)</f>
        <v>夜B</v>
      </c>
      <c r="Q31" s="84" t="str">
        <f ca="1">IF(配置表!Q26="","休",配置表!Q26)</f>
        <v>休</v>
      </c>
      <c r="R31" s="84" t="str">
        <f ca="1">IF(配置表!R26="","休",配置表!R26)</f>
        <v>休</v>
      </c>
      <c r="S31" s="84" t="str">
        <f ca="1">IF(配置表!S26="","休",配置表!S26)</f>
        <v>休</v>
      </c>
      <c r="T31" s="84" t="str">
        <f ca="1">IF(配置表!T26="","休",配置表!T26)</f>
        <v>休</v>
      </c>
      <c r="U31" s="84" t="str">
        <f ca="1">IF(配置表!U26="","休",配置表!U26)</f>
        <v>休</v>
      </c>
      <c r="V31" s="84" t="str">
        <f ca="1">IF(配置表!V26="","休",配置表!V26)</f>
        <v>夜A</v>
      </c>
      <c r="W31" s="84" t="str">
        <f ca="1">IF(配置表!W26="","休",配置表!W26)</f>
        <v>夜B</v>
      </c>
      <c r="X31" s="84" t="str">
        <f ca="1">IF(配置表!X26="","休",配置表!X26)</f>
        <v>休</v>
      </c>
      <c r="Y31" s="84" t="str">
        <f ca="1">IF(配置表!Y26="","休",配置表!Y26)</f>
        <v>休</v>
      </c>
      <c r="Z31" s="84" t="str">
        <f ca="1">IF(配置表!Z26="","休",配置表!Z26)</f>
        <v>休</v>
      </c>
      <c r="AA31" s="84" t="str">
        <f ca="1">IF(配置表!AA26="","休",配置表!AA26)</f>
        <v>休</v>
      </c>
      <c r="AB31" s="84" t="str">
        <f ca="1">IF(配置表!AB26="","休",配置表!AB26)</f>
        <v>休</v>
      </c>
      <c r="AC31" s="84" t="str">
        <f ca="1">IF(配置表!AC26="","休",配置表!AC26)</f>
        <v>夜A</v>
      </c>
      <c r="AD31" s="84" t="str">
        <f ca="1">IF(配置表!AD26="","休",配置表!AD26)</f>
        <v>夜B</v>
      </c>
      <c r="AE31" s="84" t="str">
        <f ca="1">IF(配置表!AE26="","休",配置表!AE26)</f>
        <v>休</v>
      </c>
      <c r="AF31" s="84" t="str">
        <f ca="1">IF(配置表!AF26="","休",配置表!AF26)</f>
        <v>夜A</v>
      </c>
      <c r="AG31" s="84" t="str">
        <f ca="1">IF(配置表!AG26="","休",配置表!AG26)</f>
        <v>休</v>
      </c>
      <c r="AH31" s="89"/>
      <c r="AI31" s="98">
        <f t="shared" ca="1" si="6"/>
        <v>21</v>
      </c>
      <c r="AJ31" s="99">
        <f t="shared" ca="1" si="7"/>
        <v>94.5</v>
      </c>
      <c r="AK31" s="99">
        <f t="shared" ca="1" si="8"/>
        <v>0</v>
      </c>
      <c r="AL31" s="88"/>
      <c r="AM31" s="68"/>
      <c r="AN31" s="86"/>
      <c r="AO31" s="74"/>
      <c r="AP31" s="74"/>
    </row>
    <row r="32" spans="1:42">
      <c r="A32" s="82">
        <v>12</v>
      </c>
      <c r="B32" s="215" t="s">
        <v>137</v>
      </c>
      <c r="C32" s="216"/>
      <c r="D32" s="84" t="str">
        <f ca="1">IF(配置表!D27="","休",配置表!D27)</f>
        <v>夜B</v>
      </c>
      <c r="E32" s="84" t="str">
        <f ca="1">IF(配置表!E27="","休",配置表!E27)</f>
        <v>夜A</v>
      </c>
      <c r="F32" s="84" t="str">
        <f ca="1">IF(配置表!F27="","休",配置表!F27)</f>
        <v>休</v>
      </c>
      <c r="G32" s="84" t="str">
        <f ca="1">IF(配置表!G27="","休",配置表!G27)</f>
        <v>夜B</v>
      </c>
      <c r="H32" s="84" t="str">
        <f ca="1">IF(配置表!H27="","休",配置表!H27)</f>
        <v>休</v>
      </c>
      <c r="I32" s="84" t="str">
        <f ca="1">IF(配置表!I27="","休",配置表!I27)</f>
        <v>休</v>
      </c>
      <c r="J32" s="84" t="str">
        <f ca="1">IF(配置表!J27="","休",配置表!J27)</f>
        <v>夜A</v>
      </c>
      <c r="K32" s="84" t="str">
        <f ca="1">IF(配置表!K27="","休",配置表!K27)</f>
        <v>夜A</v>
      </c>
      <c r="L32" s="84" t="str">
        <f ca="1">IF(配置表!L27="","休",配置表!L27)</f>
        <v>休</v>
      </c>
      <c r="M32" s="84" t="str">
        <f ca="1">IF(配置表!M27="","休",配置表!M27)</f>
        <v>夜B</v>
      </c>
      <c r="N32" s="84" t="str">
        <f ca="1">IF(配置表!N27="","休",配置表!N27)</f>
        <v>夜A</v>
      </c>
      <c r="O32" s="84" t="str">
        <f ca="1">IF(配置表!O27="","休",配置表!O27)</f>
        <v>夜A</v>
      </c>
      <c r="P32" s="84" t="str">
        <f ca="1">IF(配置表!P27="","休",配置表!P27)</f>
        <v>休</v>
      </c>
      <c r="Q32" s="84" t="str">
        <f ca="1">IF(配置表!Q27="","休",配置表!Q27)</f>
        <v>夜A</v>
      </c>
      <c r="R32" s="84" t="str">
        <f ca="1">IF(配置表!R27="","休",配置表!R27)</f>
        <v>夜B</v>
      </c>
      <c r="S32" s="84" t="str">
        <f ca="1">IF(配置表!S27="","休",配置表!S27)</f>
        <v>休</v>
      </c>
      <c r="T32" s="84" t="str">
        <f ca="1">IF(配置表!T27="","休",配置表!T27)</f>
        <v>夜A</v>
      </c>
      <c r="U32" s="84" t="str">
        <f ca="1">IF(配置表!U27="","休",配置表!U27)</f>
        <v>夜A</v>
      </c>
      <c r="V32" s="84" t="str">
        <f ca="1">IF(配置表!V27="","休",配置表!V27)</f>
        <v>休</v>
      </c>
      <c r="W32" s="84" t="str">
        <f ca="1">IF(配置表!W27="","休",配置表!W27)</f>
        <v>休</v>
      </c>
      <c r="X32" s="84" t="str">
        <f ca="1">IF(配置表!X27="","休",配置表!X27)</f>
        <v>休</v>
      </c>
      <c r="Y32" s="84" t="str">
        <f ca="1">IF(配置表!Y27="","休",配置表!Y27)</f>
        <v>夜B</v>
      </c>
      <c r="Z32" s="84" t="str">
        <f ca="1">IF(配置表!Z27="","休",配置表!Z27)</f>
        <v>休</v>
      </c>
      <c r="AA32" s="84" t="str">
        <f ca="1">IF(配置表!AA27="","休",配置表!AA27)</f>
        <v>夜B</v>
      </c>
      <c r="AB32" s="84" t="str">
        <f ca="1">IF(配置表!AB27="","休",配置表!AB27)</f>
        <v>夜B</v>
      </c>
      <c r="AC32" s="84" t="str">
        <f ca="1">IF(配置表!AC27="","休",配置表!AC27)</f>
        <v>休</v>
      </c>
      <c r="AD32" s="84" t="str">
        <f ca="1">IF(配置表!AD27="","休",配置表!AD27)</f>
        <v>休</v>
      </c>
      <c r="AE32" s="84" t="str">
        <f ca="1">IF(配置表!AE27="","休",配置表!AE27)</f>
        <v>休</v>
      </c>
      <c r="AF32" s="84" t="str">
        <f ca="1">IF(配置表!AF27="","休",配置表!AF27)</f>
        <v>夜B</v>
      </c>
      <c r="AG32" s="84" t="str">
        <f ca="1">IF(配置表!AG27="","休",配置表!AG27)</f>
        <v>休</v>
      </c>
      <c r="AH32" s="89"/>
      <c r="AI32" s="98">
        <f t="shared" ca="1" si="6"/>
        <v>14</v>
      </c>
      <c r="AJ32" s="99">
        <f t="shared" ca="1" si="7"/>
        <v>168</v>
      </c>
      <c r="AK32" s="99">
        <f t="shared" ca="1" si="8"/>
        <v>0</v>
      </c>
      <c r="AL32" s="103" t="s">
        <v>151</v>
      </c>
      <c r="AM32" s="102" t="s">
        <v>152</v>
      </c>
      <c r="AN32" s="231" t="s">
        <v>153</v>
      </c>
      <c r="AO32" s="231"/>
      <c r="AP32" s="231"/>
    </row>
    <row r="33" spans="1:42">
      <c r="A33" s="82">
        <v>13</v>
      </c>
      <c r="B33" s="215" t="s">
        <v>138</v>
      </c>
      <c r="C33" s="216"/>
      <c r="D33" s="84" t="str">
        <f ca="1">IF(配置表!D28="","休",配置表!D28)</f>
        <v>休</v>
      </c>
      <c r="E33" s="84" t="str">
        <f ca="1">IF(配置表!E28="","休",配置表!E28)</f>
        <v>休</v>
      </c>
      <c r="F33" s="84" t="str">
        <f ca="1">IF(配置表!F28="","休",配置表!F28)</f>
        <v>夜B</v>
      </c>
      <c r="G33" s="84" t="str">
        <f ca="1">IF(配置表!G28="","休",配置表!G28)</f>
        <v>休</v>
      </c>
      <c r="H33" s="84" t="str">
        <f ca="1">IF(配置表!H28="","休",配置表!H28)</f>
        <v>休</v>
      </c>
      <c r="I33" s="84" t="str">
        <f ca="1">IF(配置表!I28="","休",配置表!I28)</f>
        <v>休</v>
      </c>
      <c r="J33" s="84" t="str">
        <f ca="1">IF(配置表!J28="","休",配置表!J28)</f>
        <v>休</v>
      </c>
      <c r="K33" s="84" t="str">
        <f ca="1">IF(配置表!K28="","休",配置表!K28)</f>
        <v>休</v>
      </c>
      <c r="L33" s="84" t="str">
        <f ca="1">IF(配置表!L28="","休",配置表!L28)</f>
        <v>夜B</v>
      </c>
      <c r="M33" s="84" t="str">
        <f ca="1">IF(配置表!M28="","休",配置表!M28)</f>
        <v>休</v>
      </c>
      <c r="N33" s="84" t="str">
        <f ca="1">IF(配置表!N28="","休",配置表!N28)</f>
        <v>休</v>
      </c>
      <c r="O33" s="84" t="str">
        <f ca="1">IF(配置表!O28="","休",配置表!O28)</f>
        <v>休</v>
      </c>
      <c r="P33" s="84" t="str">
        <f ca="1">IF(配置表!P28="","休",配置表!P28)</f>
        <v>休</v>
      </c>
      <c r="Q33" s="84" t="str">
        <f ca="1">IF(配置表!Q28="","休",配置表!Q28)</f>
        <v>休</v>
      </c>
      <c r="R33" s="84" t="str">
        <f ca="1">IF(配置表!R28="","休",配置表!R28)</f>
        <v>休</v>
      </c>
      <c r="S33" s="84" t="str">
        <f ca="1">IF(配置表!S28="","休",配置表!S28)</f>
        <v>夜A</v>
      </c>
      <c r="T33" s="84" t="str">
        <f ca="1">IF(配置表!T28="","休",配置表!T28)</f>
        <v>休</v>
      </c>
      <c r="U33" s="84" t="str">
        <f ca="1">IF(配置表!U28="","休",配置表!U28)</f>
        <v>休</v>
      </c>
      <c r="V33" s="84" t="str">
        <f ca="1">IF(配置表!V28="","休",配置表!V28)</f>
        <v>休</v>
      </c>
      <c r="W33" s="84" t="str">
        <f ca="1">IF(配置表!W28="","休",配置表!W28)</f>
        <v>休</v>
      </c>
      <c r="X33" s="84" t="str">
        <f ca="1">IF(配置表!X28="","休",配置表!X28)</f>
        <v>夜B</v>
      </c>
      <c r="Y33" s="84" t="str">
        <f ca="1">IF(配置表!Y28="","休",配置表!Y28)</f>
        <v>休</v>
      </c>
      <c r="Z33" s="84" t="str">
        <f ca="1">IF(配置表!Z28="","休",配置表!Z28)</f>
        <v>夜A</v>
      </c>
      <c r="AA33" s="84" t="str">
        <f ca="1">IF(配置表!AA28="","休",配置表!AA28)</f>
        <v>休</v>
      </c>
      <c r="AB33" s="84" t="str">
        <f ca="1">IF(配置表!AB28="","休",配置表!AB28)</f>
        <v>休</v>
      </c>
      <c r="AC33" s="84" t="str">
        <f ca="1">IF(配置表!AC28="","休",配置表!AC28)</f>
        <v>休</v>
      </c>
      <c r="AD33" s="84" t="str">
        <f ca="1">IF(配置表!AD28="","休",配置表!AD28)</f>
        <v>休</v>
      </c>
      <c r="AE33" s="84" t="str">
        <f ca="1">IF(配置表!AE28="","休",配置表!AE28)</f>
        <v>夜B</v>
      </c>
      <c r="AF33" s="84" t="str">
        <f ca="1">IF(配置表!AF28="","休",配置表!AF28)</f>
        <v>休</v>
      </c>
      <c r="AG33" s="84" t="str">
        <f ca="1">IF(配置表!AG28="","休",配置表!AG28)</f>
        <v>夜A</v>
      </c>
      <c r="AH33" s="89"/>
      <c r="AI33" s="98">
        <f t="shared" ca="1" si="6"/>
        <v>23</v>
      </c>
      <c r="AJ33" s="99">
        <f t="shared" ca="1" si="7"/>
        <v>73.5</v>
      </c>
      <c r="AK33" s="99">
        <f t="shared" ca="1" si="8"/>
        <v>0</v>
      </c>
      <c r="AL33" s="104" t="s">
        <v>154</v>
      </c>
      <c r="AM33" s="102" t="s">
        <v>152</v>
      </c>
      <c r="AN33" s="231" t="s">
        <v>155</v>
      </c>
      <c r="AO33" s="231"/>
      <c r="AP33" s="231"/>
    </row>
    <row r="34" spans="1:42">
      <c r="AL34" s="104" t="s">
        <v>156</v>
      </c>
      <c r="AM34" s="102" t="s">
        <v>152</v>
      </c>
      <c r="AN34" s="231" t="s">
        <v>157</v>
      </c>
      <c r="AO34" s="231"/>
      <c r="AP34" s="231"/>
    </row>
    <row r="35" spans="1:42">
      <c r="AL35" s="104" t="s">
        <v>158</v>
      </c>
      <c r="AM35" s="102" t="s">
        <v>152</v>
      </c>
      <c r="AN35" s="231" t="s">
        <v>159</v>
      </c>
      <c r="AO35" s="231"/>
      <c r="AP35" s="231"/>
    </row>
    <row r="36" spans="1:42">
      <c r="AL36" s="94" t="s">
        <v>160</v>
      </c>
      <c r="AM36" s="102" t="s">
        <v>152</v>
      </c>
      <c r="AN36" s="230" t="s">
        <v>161</v>
      </c>
      <c r="AO36" s="231"/>
      <c r="AP36" s="231"/>
    </row>
    <row r="37" spans="1:42">
      <c r="AL37" s="94" t="s">
        <v>162</v>
      </c>
      <c r="AM37" s="102" t="s">
        <v>152</v>
      </c>
      <c r="AN37" s="232" t="s">
        <v>163</v>
      </c>
      <c r="AO37" s="232"/>
      <c r="AP37" s="232"/>
    </row>
    <row r="38" spans="1:42">
      <c r="AL38" s="94" t="s">
        <v>164</v>
      </c>
      <c r="AM38" s="102" t="s">
        <v>152</v>
      </c>
      <c r="AN38" s="232" t="s">
        <v>165</v>
      </c>
      <c r="AO38" s="232"/>
      <c r="AP38" s="232"/>
    </row>
  </sheetData>
  <mergeCells count="50">
    <mergeCell ref="AC1:AE2"/>
    <mergeCell ref="AF1:AG2"/>
    <mergeCell ref="D4:T4"/>
    <mergeCell ref="U4:W4"/>
    <mergeCell ref="X4:Y4"/>
    <mergeCell ref="AA4:AC4"/>
    <mergeCell ref="AD4:AE4"/>
    <mergeCell ref="D1:I2"/>
    <mergeCell ref="K1:L2"/>
    <mergeCell ref="M1:N2"/>
    <mergeCell ref="O1:O2"/>
    <mergeCell ref="P1:Q2"/>
    <mergeCell ref="R1:R2"/>
    <mergeCell ref="B23:C23"/>
    <mergeCell ref="B25:C25"/>
    <mergeCell ref="B19:C19"/>
    <mergeCell ref="B20:C20"/>
    <mergeCell ref="AH6:AH7"/>
    <mergeCell ref="B9:C9"/>
    <mergeCell ref="B10:C10"/>
    <mergeCell ref="B11:C11"/>
    <mergeCell ref="B12:C12"/>
    <mergeCell ref="B13:C13"/>
    <mergeCell ref="B24:C24"/>
    <mergeCell ref="B32:C32"/>
    <mergeCell ref="B33:C33"/>
    <mergeCell ref="B8:C8"/>
    <mergeCell ref="B15:C15"/>
    <mergeCell ref="B16:C16"/>
    <mergeCell ref="B17:C17"/>
    <mergeCell ref="B18:C18"/>
    <mergeCell ref="B26:C26"/>
    <mergeCell ref="B27:C27"/>
    <mergeCell ref="B28:C28"/>
    <mergeCell ref="B29:C29"/>
    <mergeCell ref="B30:C30"/>
    <mergeCell ref="B31:C31"/>
    <mergeCell ref="B14:C14"/>
    <mergeCell ref="B21:C21"/>
    <mergeCell ref="B22:C22"/>
    <mergeCell ref="AK19:AK20"/>
    <mergeCell ref="AN36:AP36"/>
    <mergeCell ref="AN37:AP37"/>
    <mergeCell ref="AN38:AP38"/>
    <mergeCell ref="AI19:AI20"/>
    <mergeCell ref="AJ19:AJ20"/>
    <mergeCell ref="AN32:AP32"/>
    <mergeCell ref="AN33:AP33"/>
    <mergeCell ref="AN34:AP34"/>
    <mergeCell ref="AN35:AP35"/>
  </mergeCells>
  <phoneticPr fontId="2"/>
  <conditionalFormatting sqref="D21:AG33">
    <cfRule type="containsText" dxfId="396" priority="1" operator="containsText" text="休">
      <formula>NOT(ISERROR(SEARCH("休",D21)))</formula>
    </cfRule>
  </conditionalFormatting>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87FBA0A-7BF3-4E40-A1AA-4667A61701C9}">
  <sheetPr codeName="Sheet7"/>
  <dimension ref="A1:AN270"/>
  <sheetViews>
    <sheetView view="pageBreakPreview" topLeftCell="A108" zoomScaleNormal="100" zoomScaleSheetLayoutView="100" workbookViewId="0">
      <selection activeCell="AB7" sqref="AB7:AI8"/>
    </sheetView>
  </sheetViews>
  <sheetFormatPr defaultColWidth="8.875" defaultRowHeight="13.5"/>
  <cols>
    <col min="1" max="36" width="2.25" style="23" customWidth="1"/>
    <col min="37" max="39" width="8.875" style="23"/>
    <col min="40" max="40" width="53.5" style="23" customWidth="1"/>
    <col min="41" max="16384" width="8.875" style="23"/>
  </cols>
  <sheetData>
    <row r="1" spans="1:40" ht="14.1" customHeight="1">
      <c r="A1" s="251" t="s">
        <v>166</v>
      </c>
      <c r="B1" s="251"/>
      <c r="C1" s="251"/>
      <c r="D1" s="251"/>
      <c r="E1" s="251"/>
      <c r="F1" s="251"/>
      <c r="G1" s="251"/>
      <c r="H1" s="251"/>
      <c r="I1" s="251"/>
      <c r="J1" s="251"/>
      <c r="K1" s="251"/>
      <c r="L1" s="251"/>
      <c r="M1" s="251"/>
      <c r="N1" s="251"/>
      <c r="O1" s="251"/>
      <c r="P1" s="251"/>
      <c r="Q1" s="251"/>
      <c r="R1" s="251"/>
      <c r="S1" s="251"/>
      <c r="Z1" s="24"/>
      <c r="AA1" s="24"/>
      <c r="AB1" s="32"/>
      <c r="AD1" s="252" t="s">
        <v>167</v>
      </c>
      <c r="AE1" s="252"/>
      <c r="AF1" s="252"/>
      <c r="AG1" s="252"/>
      <c r="AH1" s="252"/>
      <c r="AI1" s="252"/>
      <c r="AM1" s="23">
        <v>1</v>
      </c>
    </row>
    <row r="2" spans="1:40" ht="14.1" customHeight="1">
      <c r="A2" s="251"/>
      <c r="B2" s="251"/>
      <c r="C2" s="251"/>
      <c r="D2" s="251"/>
      <c r="E2" s="251"/>
      <c r="F2" s="251"/>
      <c r="G2" s="251"/>
      <c r="H2" s="251"/>
      <c r="I2" s="251"/>
      <c r="J2" s="251"/>
      <c r="K2" s="251"/>
      <c r="L2" s="251"/>
      <c r="M2" s="251"/>
      <c r="N2" s="251"/>
      <c r="O2" s="251"/>
      <c r="P2" s="251"/>
      <c r="Q2" s="251"/>
      <c r="R2" s="251"/>
      <c r="S2" s="251"/>
      <c r="Z2" s="25"/>
      <c r="AA2" s="25"/>
      <c r="AB2" s="31"/>
      <c r="AD2" s="253"/>
      <c r="AE2" s="253"/>
      <c r="AF2" s="253"/>
      <c r="AG2" s="253"/>
      <c r="AH2" s="253"/>
      <c r="AI2" s="253"/>
    </row>
    <row r="3" spans="1:40" ht="14.1" customHeight="1">
      <c r="A3" s="251"/>
      <c r="B3" s="251"/>
      <c r="C3" s="251"/>
      <c r="D3" s="251"/>
      <c r="E3" s="251"/>
      <c r="F3" s="251"/>
      <c r="G3" s="251"/>
      <c r="H3" s="251"/>
      <c r="I3" s="251"/>
      <c r="J3" s="251"/>
      <c r="K3" s="251"/>
      <c r="L3" s="251"/>
      <c r="M3" s="251"/>
      <c r="N3" s="251"/>
      <c r="O3" s="251"/>
      <c r="P3" s="251"/>
      <c r="Q3" s="251"/>
      <c r="R3" s="251"/>
      <c r="S3" s="251"/>
      <c r="Z3" s="25"/>
      <c r="AA3" s="25"/>
      <c r="AB3" s="31"/>
      <c r="AD3" s="253"/>
      <c r="AE3" s="253"/>
      <c r="AF3" s="253"/>
      <c r="AG3" s="253"/>
      <c r="AH3" s="253"/>
      <c r="AI3" s="253"/>
    </row>
    <row r="4" spans="1:40" ht="14.1" customHeight="1">
      <c r="A4" s="254" t="s">
        <v>168</v>
      </c>
      <c r="B4" s="254"/>
      <c r="C4" s="254"/>
      <c r="D4" s="254"/>
      <c r="E4" s="254"/>
      <c r="F4" s="254"/>
      <c r="G4" s="254"/>
      <c r="H4" s="254"/>
      <c r="I4" s="254"/>
      <c r="J4" s="254"/>
      <c r="K4" s="254"/>
      <c r="L4" s="254"/>
      <c r="M4" s="254"/>
      <c r="N4" s="254"/>
      <c r="O4" s="254"/>
      <c r="P4" s="254"/>
      <c r="Q4" s="254"/>
      <c r="R4" s="254"/>
      <c r="S4" s="254"/>
      <c r="Z4" s="26"/>
      <c r="AA4" s="26"/>
      <c r="AB4" s="31"/>
      <c r="AD4" s="253"/>
      <c r="AE4" s="253"/>
      <c r="AF4" s="253"/>
      <c r="AG4" s="253"/>
      <c r="AH4" s="253"/>
      <c r="AI4" s="253"/>
    </row>
    <row r="5" spans="1:40" ht="14.1" customHeight="1">
      <c r="A5" s="254"/>
      <c r="B5" s="254"/>
      <c r="C5" s="254"/>
      <c r="D5" s="254"/>
      <c r="E5" s="254"/>
      <c r="F5" s="254"/>
      <c r="G5" s="254"/>
      <c r="H5" s="254"/>
      <c r="I5" s="254"/>
      <c r="J5" s="254"/>
      <c r="K5" s="254"/>
      <c r="L5" s="254"/>
      <c r="M5" s="254"/>
      <c r="N5" s="254"/>
      <c r="O5" s="254"/>
      <c r="P5" s="254"/>
      <c r="Q5" s="254"/>
      <c r="R5" s="254"/>
      <c r="S5" s="254"/>
      <c r="U5" s="24"/>
      <c r="V5" s="26"/>
      <c r="W5" s="26"/>
      <c r="X5" s="26"/>
      <c r="Y5" s="26"/>
      <c r="Z5" s="26"/>
      <c r="AA5" s="26"/>
      <c r="AB5" s="31"/>
      <c r="AC5" s="31"/>
      <c r="AD5" s="31"/>
      <c r="AE5" s="31"/>
      <c r="AF5" s="31"/>
      <c r="AG5" s="31"/>
      <c r="AH5" s="31"/>
      <c r="AI5" s="31"/>
    </row>
    <row r="6" spans="1:40" ht="14.1" customHeight="1" thickBot="1">
      <c r="A6" s="27"/>
      <c r="B6" s="27"/>
      <c r="C6" s="27"/>
      <c r="D6" s="27"/>
      <c r="E6" s="27"/>
      <c r="F6" s="27"/>
      <c r="G6" s="27"/>
      <c r="H6" s="27"/>
      <c r="I6" s="27"/>
    </row>
    <row r="7" spans="1:40" ht="12" customHeight="1">
      <c r="A7" s="255">
        <f>DATE(初期値!A2, 初期値!A3, AM1)</f>
        <v>46174</v>
      </c>
      <c r="B7" s="256"/>
      <c r="C7" s="256"/>
      <c r="D7" s="256"/>
      <c r="E7" s="256"/>
      <c r="F7" s="259" t="s">
        <v>169</v>
      </c>
      <c r="G7" s="236">
        <f>$A$7</f>
        <v>46174</v>
      </c>
      <c r="H7" s="236"/>
      <c r="I7" s="239" t="s">
        <v>170</v>
      </c>
      <c r="J7" s="261">
        <f>$A$7</f>
        <v>46174</v>
      </c>
      <c r="K7" s="261"/>
      <c r="L7" s="239" t="s">
        <v>3</v>
      </c>
      <c r="M7" s="234">
        <f>J7</f>
        <v>46174</v>
      </c>
      <c r="N7" s="234"/>
      <c r="O7" s="234" t="s">
        <v>171</v>
      </c>
      <c r="P7" s="234"/>
      <c r="Q7" s="236">
        <f>$A$7</f>
        <v>46174</v>
      </c>
      <c r="R7" s="236"/>
      <c r="S7" s="239" t="s">
        <v>170</v>
      </c>
      <c r="T7" s="261">
        <f>初期値!C3</f>
        <v>30</v>
      </c>
      <c r="U7" s="261"/>
      <c r="V7" s="239" t="s">
        <v>3</v>
      </c>
      <c r="W7" s="234">
        <f>DATE(初期値!A2, 初期値!A3, T7)</f>
        <v>46203</v>
      </c>
      <c r="X7" s="234"/>
      <c r="Y7" s="238" t="s">
        <v>172</v>
      </c>
      <c r="Z7" s="239"/>
      <c r="AA7" s="240"/>
      <c r="AB7" s="244" t="s">
        <v>173</v>
      </c>
      <c r="AC7" s="244"/>
      <c r="AD7" s="244"/>
      <c r="AE7" s="244"/>
      <c r="AF7" s="244"/>
      <c r="AG7" s="244"/>
      <c r="AH7" s="244"/>
      <c r="AI7" s="245"/>
    </row>
    <row r="8" spans="1:40" ht="12" customHeight="1" thickBot="1">
      <c r="A8" s="257"/>
      <c r="B8" s="258"/>
      <c r="C8" s="258"/>
      <c r="D8" s="258"/>
      <c r="E8" s="258"/>
      <c r="F8" s="260"/>
      <c r="G8" s="237"/>
      <c r="H8" s="237"/>
      <c r="I8" s="242"/>
      <c r="J8" s="262"/>
      <c r="K8" s="262"/>
      <c r="L8" s="242"/>
      <c r="M8" s="235"/>
      <c r="N8" s="235"/>
      <c r="O8" s="235"/>
      <c r="P8" s="235"/>
      <c r="Q8" s="237"/>
      <c r="R8" s="237"/>
      <c r="S8" s="242"/>
      <c r="T8" s="262"/>
      <c r="U8" s="262"/>
      <c r="V8" s="242"/>
      <c r="W8" s="235"/>
      <c r="X8" s="235"/>
      <c r="Y8" s="241"/>
      <c r="Z8" s="242"/>
      <c r="AA8" s="243"/>
      <c r="AB8" s="246"/>
      <c r="AC8" s="246"/>
      <c r="AD8" s="246"/>
      <c r="AE8" s="246"/>
      <c r="AF8" s="246"/>
      <c r="AG8" s="246"/>
      <c r="AH8" s="246"/>
      <c r="AI8" s="247"/>
    </row>
    <row r="9" spans="1:40" ht="18" customHeight="1">
      <c r="A9" s="248" t="s">
        <v>174</v>
      </c>
      <c r="B9" s="249"/>
      <c r="C9" s="249"/>
      <c r="D9" s="249"/>
      <c r="E9" s="249"/>
      <c r="F9" s="249"/>
      <c r="G9" s="249"/>
      <c r="H9" s="249"/>
      <c r="I9" s="249"/>
      <c r="J9" s="249"/>
      <c r="K9" s="249"/>
      <c r="L9" s="249"/>
      <c r="M9" s="249"/>
      <c r="N9" s="249"/>
      <c r="O9" s="249"/>
      <c r="P9" s="249"/>
      <c r="Q9" s="249"/>
      <c r="R9" s="249"/>
      <c r="S9" s="249"/>
      <c r="T9" s="249"/>
      <c r="U9" s="249"/>
      <c r="V9" s="249"/>
      <c r="W9" s="249"/>
      <c r="X9" s="249"/>
      <c r="Y9" s="249"/>
      <c r="Z9" s="249"/>
      <c r="AA9" s="249"/>
      <c r="AB9" s="249"/>
      <c r="AC9" s="249"/>
      <c r="AD9" s="249"/>
      <c r="AE9" s="249"/>
      <c r="AF9" s="249"/>
      <c r="AG9" s="249"/>
      <c r="AH9" s="249"/>
      <c r="AI9" s="250"/>
    </row>
    <row r="10" spans="1:40" ht="18" customHeight="1">
      <c r="A10" s="270" t="s">
        <v>175</v>
      </c>
      <c r="B10" s="264"/>
      <c r="C10" s="264"/>
      <c r="D10" s="264"/>
      <c r="E10" s="264"/>
      <c r="F10" s="264"/>
      <c r="G10" s="264"/>
      <c r="H10" s="264"/>
      <c r="I10" s="264">
        <f ca="1">カウント!E32</f>
        <v>54</v>
      </c>
      <c r="J10" s="264"/>
      <c r="K10" s="267" t="s">
        <v>176</v>
      </c>
      <c r="L10" s="268"/>
      <c r="M10" s="263" t="s">
        <v>177</v>
      </c>
      <c r="N10" s="264"/>
      <c r="O10" s="264"/>
      <c r="P10" s="264"/>
      <c r="Q10" s="264"/>
      <c r="R10" s="264"/>
      <c r="S10" s="264"/>
      <c r="T10" s="264"/>
      <c r="U10" s="264">
        <f ca="1">カウント!F32</f>
        <v>0</v>
      </c>
      <c r="V10" s="264"/>
      <c r="W10" s="267" t="s">
        <v>176</v>
      </c>
      <c r="X10" s="268"/>
      <c r="Y10" s="263" t="s">
        <v>178</v>
      </c>
      <c r="Z10" s="264"/>
      <c r="AA10" s="264"/>
      <c r="AB10" s="264"/>
      <c r="AC10" s="264"/>
      <c r="AD10" s="264"/>
      <c r="AE10" s="264"/>
      <c r="AF10" s="264"/>
      <c r="AG10" s="264">
        <f ca="1">カウント!G32</f>
        <v>1</v>
      </c>
      <c r="AH10" s="264"/>
      <c r="AI10" s="28" t="s">
        <v>176</v>
      </c>
      <c r="AL10" s="127"/>
    </row>
    <row r="11" spans="1:40" ht="18" customHeight="1">
      <c r="A11" s="265" t="s">
        <v>179</v>
      </c>
      <c r="B11" s="266"/>
      <c r="C11" s="266"/>
      <c r="D11" s="266"/>
      <c r="E11" s="266"/>
      <c r="F11" s="266"/>
      <c r="G11" s="266"/>
      <c r="H11" s="266"/>
      <c r="I11" s="264">
        <f ca="1">カウント!H32</f>
        <v>1</v>
      </c>
      <c r="J11" s="264"/>
      <c r="K11" s="267" t="s">
        <v>176</v>
      </c>
      <c r="L11" s="268"/>
      <c r="M11" s="269" t="s">
        <v>180</v>
      </c>
      <c r="N11" s="266"/>
      <c r="O11" s="266"/>
      <c r="P11" s="266"/>
      <c r="Q11" s="266"/>
      <c r="R11" s="266"/>
      <c r="S11" s="266"/>
      <c r="T11" s="266"/>
      <c r="U11" s="264">
        <f ca="1">カウント!I32</f>
        <v>1</v>
      </c>
      <c r="V11" s="264"/>
      <c r="W11" s="267" t="s">
        <v>176</v>
      </c>
      <c r="X11" s="268"/>
      <c r="Y11" s="269" t="s">
        <v>181</v>
      </c>
      <c r="Z11" s="266"/>
      <c r="AA11" s="266"/>
      <c r="AB11" s="266"/>
      <c r="AC11" s="266"/>
      <c r="AD11" s="266"/>
      <c r="AE11" s="266"/>
      <c r="AF11" s="266"/>
      <c r="AG11" s="264">
        <f ca="1">カウント!J32</f>
        <v>0</v>
      </c>
      <c r="AH11" s="264"/>
      <c r="AI11" s="28" t="s">
        <v>176</v>
      </c>
      <c r="AL11" s="128"/>
      <c r="AM11" s="128"/>
      <c r="AN11" s="128"/>
    </row>
    <row r="12" spans="1:40" ht="18" customHeight="1">
      <c r="A12" s="270" t="s">
        <v>182</v>
      </c>
      <c r="B12" s="264"/>
      <c r="C12" s="264"/>
      <c r="D12" s="264"/>
      <c r="E12" s="264"/>
      <c r="F12" s="264"/>
      <c r="G12" s="264"/>
      <c r="H12" s="264"/>
      <c r="I12" s="264">
        <f ca="1">カウント!K32</f>
        <v>4</v>
      </c>
      <c r="J12" s="264"/>
      <c r="K12" s="267" t="s">
        <v>176</v>
      </c>
      <c r="L12" s="268"/>
      <c r="M12" s="263" t="s">
        <v>183</v>
      </c>
      <c r="N12" s="264"/>
      <c r="O12" s="264"/>
      <c r="P12" s="264"/>
      <c r="Q12" s="264"/>
      <c r="R12" s="264"/>
      <c r="S12" s="264"/>
      <c r="T12" s="264"/>
      <c r="U12" s="264">
        <f ca="1">カウント!L32</f>
        <v>2</v>
      </c>
      <c r="V12" s="264"/>
      <c r="W12" s="267" t="s">
        <v>176</v>
      </c>
      <c r="X12" s="268"/>
      <c r="Y12" s="263" t="s">
        <v>184</v>
      </c>
      <c r="Z12" s="264"/>
      <c r="AA12" s="264"/>
      <c r="AB12" s="264"/>
      <c r="AC12" s="264"/>
      <c r="AD12" s="264"/>
      <c r="AE12" s="264"/>
      <c r="AF12" s="264"/>
      <c r="AG12" s="264">
        <f ca="1">カウント!M32</f>
        <v>6</v>
      </c>
      <c r="AH12" s="264"/>
      <c r="AI12" s="28" t="s">
        <v>176</v>
      </c>
      <c r="AL12" s="129"/>
      <c r="AM12" s="130"/>
      <c r="AN12" s="131"/>
    </row>
    <row r="13" spans="1:40" ht="18" customHeight="1" thickBot="1">
      <c r="A13" s="271" t="s">
        <v>185</v>
      </c>
      <c r="B13" s="272"/>
      <c r="C13" s="272"/>
      <c r="D13" s="272"/>
      <c r="E13" s="272"/>
      <c r="F13" s="272"/>
      <c r="G13" s="272"/>
      <c r="H13" s="272"/>
      <c r="I13" s="272">
        <v>0</v>
      </c>
      <c r="J13" s="272"/>
      <c r="K13" s="273" t="s">
        <v>176</v>
      </c>
      <c r="L13" s="274"/>
      <c r="M13" s="275" t="s">
        <v>186</v>
      </c>
      <c r="N13" s="272"/>
      <c r="O13" s="272"/>
      <c r="P13" s="272"/>
      <c r="Q13" s="272"/>
      <c r="R13" s="272"/>
      <c r="S13" s="272"/>
      <c r="T13" s="272"/>
      <c r="U13" s="272">
        <f ca="1">カウント!O32</f>
        <v>1</v>
      </c>
      <c r="V13" s="272"/>
      <c r="W13" s="273" t="s">
        <v>176</v>
      </c>
      <c r="X13" s="274"/>
      <c r="Y13" s="276" t="s">
        <v>187</v>
      </c>
      <c r="Z13" s="277"/>
      <c r="AA13" s="277"/>
      <c r="AB13" s="277"/>
      <c r="AC13" s="277"/>
      <c r="AD13" s="277"/>
      <c r="AE13" s="277"/>
      <c r="AF13" s="277"/>
      <c r="AG13" s="272">
        <f ca="1">カウント!P32</f>
        <v>20</v>
      </c>
      <c r="AH13" s="272"/>
      <c r="AI13" s="34" t="s">
        <v>176</v>
      </c>
      <c r="AL13" s="129"/>
      <c r="AM13" s="130"/>
      <c r="AN13" s="131"/>
    </row>
    <row r="14" spans="1:40" ht="18" customHeight="1">
      <c r="A14" s="248" t="s">
        <v>188</v>
      </c>
      <c r="B14" s="249"/>
      <c r="C14" s="249"/>
      <c r="D14" s="249"/>
      <c r="E14" s="249"/>
      <c r="F14" s="249"/>
      <c r="G14" s="249"/>
      <c r="H14" s="249"/>
      <c r="I14" s="249"/>
      <c r="J14" s="249"/>
      <c r="K14" s="249"/>
      <c r="L14" s="249"/>
      <c r="M14" s="249"/>
      <c r="N14" s="249"/>
      <c r="O14" s="249"/>
      <c r="P14" s="249"/>
      <c r="Q14" s="249"/>
      <c r="R14" s="249"/>
      <c r="S14" s="249"/>
      <c r="T14" s="249"/>
      <c r="U14" s="249"/>
      <c r="V14" s="249"/>
      <c r="W14" s="249"/>
      <c r="X14" s="249"/>
      <c r="Y14" s="249"/>
      <c r="Z14" s="249"/>
      <c r="AA14" s="249"/>
      <c r="AB14" s="249"/>
      <c r="AC14" s="249"/>
      <c r="AD14" s="249"/>
      <c r="AE14" s="249"/>
      <c r="AF14" s="249"/>
      <c r="AG14" s="249"/>
      <c r="AH14" s="249"/>
      <c r="AI14" s="250"/>
      <c r="AL14" s="129"/>
      <c r="AM14" s="130"/>
      <c r="AN14" s="131"/>
    </row>
    <row r="15" spans="1:40" ht="18" customHeight="1">
      <c r="A15" s="30" t="s">
        <v>189</v>
      </c>
      <c r="B15" s="264" t="s">
        <v>190</v>
      </c>
      <c r="C15" s="264"/>
      <c r="D15" s="264"/>
      <c r="E15" s="264"/>
      <c r="F15" s="264"/>
      <c r="G15" s="264"/>
      <c r="H15" s="264"/>
      <c r="I15" s="264"/>
      <c r="J15" s="278">
        <f ca="1">カウント!C32</f>
        <v>1394</v>
      </c>
      <c r="K15" s="278"/>
      <c r="L15" s="278"/>
      <c r="M15" s="264" t="s">
        <v>176</v>
      </c>
      <c r="N15" s="264"/>
      <c r="O15" s="264" t="s">
        <v>191</v>
      </c>
      <c r="P15" s="264"/>
      <c r="Q15" s="264"/>
      <c r="R15" s="264"/>
      <c r="S15" s="264"/>
      <c r="T15" s="264"/>
      <c r="U15" s="264"/>
      <c r="V15" s="264"/>
      <c r="W15" s="278">
        <f ca="1">カウント!D32</f>
        <v>1137</v>
      </c>
      <c r="X15" s="278"/>
      <c r="Y15" s="278"/>
      <c r="Z15" s="264" t="s">
        <v>176</v>
      </c>
      <c r="AA15" s="264"/>
      <c r="AB15" s="279" t="s">
        <v>192</v>
      </c>
      <c r="AC15" s="279"/>
      <c r="AD15" s="279"/>
      <c r="AE15" s="280"/>
      <c r="AF15" s="280"/>
      <c r="AG15" s="280"/>
      <c r="AH15" s="281"/>
      <c r="AI15" s="282"/>
      <c r="AL15" s="129"/>
      <c r="AM15" s="130"/>
      <c r="AN15" s="131"/>
    </row>
    <row r="16" spans="1:40" ht="18" customHeight="1">
      <c r="A16" s="124"/>
      <c r="B16" s="318" t="s">
        <v>193</v>
      </c>
      <c r="C16" s="318"/>
      <c r="D16" s="318"/>
      <c r="E16" s="318"/>
      <c r="F16" s="318"/>
      <c r="G16" s="318"/>
      <c r="H16" s="318"/>
      <c r="I16" s="318"/>
      <c r="J16" s="318"/>
      <c r="K16" s="318"/>
      <c r="L16" s="318"/>
      <c r="M16" s="318"/>
      <c r="N16" s="318"/>
      <c r="O16" s="318"/>
      <c r="P16" s="318"/>
      <c r="Q16" s="318"/>
      <c r="R16" s="318"/>
      <c r="S16" s="318"/>
      <c r="T16" s="318"/>
      <c r="U16" s="318"/>
      <c r="V16" s="318"/>
      <c r="W16" s="318"/>
      <c r="X16" s="318"/>
      <c r="Y16" s="318"/>
      <c r="Z16" s="318"/>
      <c r="AA16" s="318"/>
      <c r="AB16" s="318"/>
      <c r="AC16" s="318"/>
      <c r="AD16" s="318"/>
      <c r="AE16" s="318"/>
      <c r="AF16" s="318"/>
      <c r="AG16" s="318"/>
      <c r="AH16" s="318"/>
      <c r="AI16" s="319"/>
      <c r="AL16" s="129"/>
      <c r="AM16" s="130"/>
      <c r="AN16" s="131"/>
    </row>
    <row r="17" spans="1:40" ht="18" customHeight="1">
      <c r="A17" s="36"/>
      <c r="B17" s="290"/>
      <c r="C17" s="291"/>
      <c r="D17" s="291"/>
      <c r="E17" s="291"/>
      <c r="F17" s="288"/>
      <c r="G17" s="288"/>
      <c r="H17" s="288"/>
      <c r="I17" s="288"/>
      <c r="J17" s="288"/>
      <c r="K17" s="288"/>
      <c r="L17" s="288"/>
      <c r="M17" s="288"/>
      <c r="N17" s="288"/>
      <c r="O17" s="288"/>
      <c r="P17" s="288"/>
      <c r="Q17" s="288"/>
      <c r="R17" s="288"/>
      <c r="S17" s="288"/>
      <c r="T17" s="288"/>
      <c r="U17" s="288"/>
      <c r="V17" s="288"/>
      <c r="W17" s="288"/>
      <c r="X17" s="288"/>
      <c r="Y17" s="288"/>
      <c r="Z17" s="288"/>
      <c r="AA17" s="288"/>
      <c r="AB17" s="288"/>
      <c r="AC17" s="288"/>
      <c r="AD17" s="288"/>
      <c r="AE17" s="288"/>
      <c r="AF17" s="288"/>
      <c r="AG17" s="288"/>
      <c r="AH17" s="288"/>
      <c r="AI17" s="289"/>
      <c r="AL17" s="129"/>
      <c r="AM17" s="130"/>
      <c r="AN17" s="131"/>
    </row>
    <row r="18" spans="1:40" ht="18" customHeight="1">
      <c r="A18" s="36"/>
      <c r="B18" s="320" t="s">
        <v>194</v>
      </c>
      <c r="C18" s="320"/>
      <c r="D18" s="320"/>
      <c r="E18" s="320"/>
      <c r="F18" s="320"/>
      <c r="G18" s="320"/>
      <c r="H18" s="320"/>
      <c r="I18" s="320"/>
      <c r="J18" s="320"/>
      <c r="K18" s="320"/>
      <c r="L18" s="320"/>
      <c r="M18" s="320"/>
      <c r="N18" s="320"/>
      <c r="O18" s="320"/>
      <c r="P18" s="320"/>
      <c r="Q18" s="320"/>
      <c r="R18" s="320"/>
      <c r="S18" s="320"/>
      <c r="T18" s="320"/>
      <c r="U18" s="320"/>
      <c r="V18" s="320"/>
      <c r="W18" s="320"/>
      <c r="X18" s="320"/>
      <c r="Y18" s="320"/>
      <c r="Z18" s="320"/>
      <c r="AA18" s="320"/>
      <c r="AB18" s="320"/>
      <c r="AC18" s="320"/>
      <c r="AD18" s="320"/>
      <c r="AE18" s="320"/>
      <c r="AF18" s="320"/>
      <c r="AG18" s="320"/>
      <c r="AH18" s="320"/>
      <c r="AI18" s="321"/>
      <c r="AL18" s="129"/>
      <c r="AM18" s="130"/>
      <c r="AN18" s="131"/>
    </row>
    <row r="19" spans="1:40" ht="18" customHeight="1">
      <c r="A19" s="36"/>
      <c r="B19" s="314">
        <v>46176</v>
      </c>
      <c r="C19" s="291"/>
      <c r="D19" s="291"/>
      <c r="E19" s="291"/>
      <c r="F19" s="288" t="s">
        <v>195</v>
      </c>
      <c r="G19" s="288"/>
      <c r="H19" s="288"/>
      <c r="I19" s="288"/>
      <c r="J19" s="288"/>
      <c r="K19" s="288"/>
      <c r="L19" s="288"/>
      <c r="M19" s="288"/>
      <c r="N19" s="288"/>
      <c r="O19" s="288"/>
      <c r="P19" s="288"/>
      <c r="Q19" s="288"/>
      <c r="R19" s="288"/>
      <c r="S19" s="288"/>
      <c r="T19" s="288"/>
      <c r="U19" s="288"/>
      <c r="V19" s="288"/>
      <c r="W19" s="288"/>
      <c r="X19" s="288"/>
      <c r="Y19" s="288"/>
      <c r="Z19" s="288"/>
      <c r="AA19" s="288"/>
      <c r="AB19" s="288"/>
      <c r="AC19" s="288"/>
      <c r="AD19" s="288"/>
      <c r="AE19" s="288"/>
      <c r="AF19" s="288"/>
      <c r="AG19" s="288"/>
      <c r="AH19" s="288"/>
      <c r="AI19" s="289"/>
      <c r="AL19" s="129"/>
      <c r="AM19" s="132"/>
      <c r="AN19" s="131"/>
    </row>
    <row r="20" spans="1:40" ht="18" customHeight="1">
      <c r="A20" s="36"/>
      <c r="B20" s="290"/>
      <c r="C20" s="291"/>
      <c r="D20" s="291"/>
      <c r="E20" s="291"/>
      <c r="F20" s="288"/>
      <c r="G20" s="288"/>
      <c r="H20" s="288"/>
      <c r="I20" s="288"/>
      <c r="J20" s="288"/>
      <c r="K20" s="288"/>
      <c r="L20" s="288"/>
      <c r="M20" s="288"/>
      <c r="N20" s="288"/>
      <c r="O20" s="288"/>
      <c r="P20" s="288"/>
      <c r="Q20" s="288"/>
      <c r="R20" s="288"/>
      <c r="S20" s="288"/>
      <c r="T20" s="288"/>
      <c r="U20" s="288"/>
      <c r="V20" s="288"/>
      <c r="W20" s="288"/>
      <c r="X20" s="288"/>
      <c r="Y20" s="288"/>
      <c r="Z20" s="288"/>
      <c r="AA20" s="288"/>
      <c r="AB20" s="288"/>
      <c r="AC20" s="288"/>
      <c r="AD20" s="288"/>
      <c r="AE20" s="288"/>
      <c r="AF20" s="288"/>
      <c r="AG20" s="288"/>
      <c r="AH20" s="288"/>
      <c r="AI20" s="289"/>
      <c r="AN20" s="125"/>
    </row>
    <row r="21" spans="1:40" ht="18" customHeight="1">
      <c r="A21" s="36"/>
      <c r="B21" s="292" t="s">
        <v>196</v>
      </c>
      <c r="C21" s="292"/>
      <c r="D21" s="292"/>
      <c r="E21" s="292"/>
      <c r="F21" s="292"/>
      <c r="G21" s="292"/>
      <c r="H21" s="292"/>
      <c r="I21" s="292"/>
      <c r="J21" s="292"/>
      <c r="K21" s="292"/>
      <c r="L21" s="292"/>
      <c r="M21" s="292"/>
      <c r="N21" s="292"/>
      <c r="O21" s="292"/>
      <c r="P21" s="292"/>
      <c r="Q21" s="292"/>
      <c r="R21" s="292"/>
      <c r="S21" s="292"/>
      <c r="T21" s="292"/>
      <c r="U21" s="292"/>
      <c r="V21" s="292"/>
      <c r="W21" s="292"/>
      <c r="X21" s="292"/>
      <c r="Y21" s="292"/>
      <c r="Z21" s="292"/>
      <c r="AA21" s="292"/>
      <c r="AB21" s="292"/>
      <c r="AC21" s="292"/>
      <c r="AD21" s="292"/>
      <c r="AE21" s="292"/>
      <c r="AF21" s="292"/>
      <c r="AG21" s="292"/>
      <c r="AH21" s="292"/>
      <c r="AI21" s="293"/>
      <c r="AL21" s="133"/>
      <c r="AM21"/>
      <c r="AN21" s="126"/>
    </row>
    <row r="22" spans="1:40" ht="18" customHeight="1">
      <c r="A22" s="36"/>
      <c r="B22" s="283" t="s">
        <v>197</v>
      </c>
      <c r="C22" s="284"/>
      <c r="D22" s="284"/>
      <c r="E22" s="284"/>
      <c r="F22" s="286" t="s">
        <v>198</v>
      </c>
      <c r="G22" s="286"/>
      <c r="H22" s="286"/>
      <c r="I22" s="286"/>
      <c r="J22" s="286"/>
      <c r="K22" s="286"/>
      <c r="L22" s="286"/>
      <c r="M22" s="286"/>
      <c r="N22" s="286"/>
      <c r="O22" s="286"/>
      <c r="P22" s="286"/>
      <c r="Q22" s="286"/>
      <c r="R22" s="286"/>
      <c r="S22" s="286"/>
      <c r="T22" s="286"/>
      <c r="U22" s="286"/>
      <c r="V22" s="286"/>
      <c r="W22" s="286"/>
      <c r="X22" s="286"/>
      <c r="Y22" s="286"/>
      <c r="Z22" s="286"/>
      <c r="AA22" s="286"/>
      <c r="AB22" s="286"/>
      <c r="AC22" s="286"/>
      <c r="AD22" s="286"/>
      <c r="AE22" s="286"/>
      <c r="AF22" s="286"/>
      <c r="AG22" s="286"/>
      <c r="AH22" s="286"/>
      <c r="AI22" s="287"/>
      <c r="AL22" s="127"/>
      <c r="AM22"/>
      <c r="AN22" s="126"/>
    </row>
    <row r="23" spans="1:40" ht="18" customHeight="1">
      <c r="A23" s="36"/>
      <c r="B23" s="283" t="s">
        <v>199</v>
      </c>
      <c r="C23" s="284"/>
      <c r="D23" s="284"/>
      <c r="E23" s="284"/>
      <c r="F23" s="286" t="s">
        <v>200</v>
      </c>
      <c r="G23" s="286"/>
      <c r="H23" s="286"/>
      <c r="I23" s="286"/>
      <c r="J23" s="286"/>
      <c r="K23" s="286"/>
      <c r="L23" s="286"/>
      <c r="M23" s="286"/>
      <c r="N23" s="286"/>
      <c r="O23" s="286"/>
      <c r="P23" s="286"/>
      <c r="Q23" s="286"/>
      <c r="R23" s="286"/>
      <c r="S23" s="286"/>
      <c r="T23" s="286"/>
      <c r="U23" s="286"/>
      <c r="V23" s="286"/>
      <c r="W23" s="286"/>
      <c r="X23" s="286"/>
      <c r="Y23" s="286"/>
      <c r="Z23" s="286"/>
      <c r="AA23" s="286"/>
      <c r="AB23" s="286"/>
      <c r="AC23" s="286"/>
      <c r="AD23" s="286"/>
      <c r="AE23" s="286"/>
      <c r="AF23" s="286"/>
      <c r="AG23" s="286"/>
      <c r="AH23" s="286"/>
      <c r="AI23" s="287"/>
      <c r="AL23" s="128"/>
      <c r="AM23" s="128"/>
      <c r="AN23" s="134"/>
    </row>
    <row r="24" spans="1:40" ht="18" customHeight="1">
      <c r="A24" s="36"/>
      <c r="B24" s="283" t="s">
        <v>201</v>
      </c>
      <c r="C24" s="284"/>
      <c r="D24" s="284"/>
      <c r="E24" s="284"/>
      <c r="F24" s="286" t="s">
        <v>202</v>
      </c>
      <c r="G24" s="286"/>
      <c r="H24" s="286"/>
      <c r="I24" s="286"/>
      <c r="J24" s="286"/>
      <c r="K24" s="286"/>
      <c r="L24" s="286"/>
      <c r="M24" s="286"/>
      <c r="N24" s="286"/>
      <c r="O24" s="286"/>
      <c r="P24" s="286"/>
      <c r="Q24" s="286"/>
      <c r="R24" s="286"/>
      <c r="S24" s="286"/>
      <c r="T24" s="286"/>
      <c r="U24" s="286"/>
      <c r="V24" s="286"/>
      <c r="W24" s="286"/>
      <c r="X24" s="286"/>
      <c r="Y24" s="286"/>
      <c r="Z24" s="286"/>
      <c r="AA24" s="286"/>
      <c r="AB24" s="286"/>
      <c r="AC24" s="286"/>
      <c r="AD24" s="286"/>
      <c r="AE24" s="286"/>
      <c r="AF24" s="286"/>
      <c r="AG24" s="286"/>
      <c r="AH24" s="286"/>
      <c r="AI24" s="287"/>
      <c r="AL24" s="129"/>
      <c r="AM24" s="130"/>
      <c r="AN24" s="131"/>
    </row>
    <row r="25" spans="1:40" ht="18" customHeight="1">
      <c r="A25" s="36"/>
      <c r="B25" s="283" t="s">
        <v>203</v>
      </c>
      <c r="C25" s="284"/>
      <c r="D25" s="284"/>
      <c r="E25" s="284"/>
      <c r="F25" s="286" t="s">
        <v>204</v>
      </c>
      <c r="G25" s="286"/>
      <c r="H25" s="286"/>
      <c r="I25" s="286"/>
      <c r="J25" s="286"/>
      <c r="K25" s="286"/>
      <c r="L25" s="286"/>
      <c r="M25" s="286"/>
      <c r="N25" s="286"/>
      <c r="O25" s="286"/>
      <c r="P25" s="286"/>
      <c r="Q25" s="286"/>
      <c r="R25" s="286"/>
      <c r="S25" s="286"/>
      <c r="T25" s="286"/>
      <c r="U25" s="286"/>
      <c r="V25" s="286"/>
      <c r="W25" s="286"/>
      <c r="X25" s="286"/>
      <c r="Y25" s="286"/>
      <c r="Z25" s="286"/>
      <c r="AA25" s="286"/>
      <c r="AB25" s="286"/>
      <c r="AC25" s="286"/>
      <c r="AD25" s="286"/>
      <c r="AE25" s="286"/>
      <c r="AF25" s="286"/>
      <c r="AG25" s="286"/>
      <c r="AH25" s="286"/>
      <c r="AI25" s="287"/>
      <c r="AN25" s="125"/>
    </row>
    <row r="26" spans="1:40" ht="18" customHeight="1">
      <c r="A26" s="36"/>
      <c r="B26" s="283" t="s">
        <v>205</v>
      </c>
      <c r="C26" s="284"/>
      <c r="D26" s="284"/>
      <c r="E26" s="284"/>
      <c r="F26" s="286" t="s">
        <v>206</v>
      </c>
      <c r="G26" s="286"/>
      <c r="H26" s="286"/>
      <c r="I26" s="286"/>
      <c r="J26" s="286"/>
      <c r="K26" s="286"/>
      <c r="L26" s="286"/>
      <c r="M26" s="286"/>
      <c r="N26" s="286"/>
      <c r="O26" s="286"/>
      <c r="P26" s="286"/>
      <c r="Q26" s="286"/>
      <c r="R26" s="286"/>
      <c r="S26" s="286"/>
      <c r="T26" s="286"/>
      <c r="U26" s="286"/>
      <c r="V26" s="286"/>
      <c r="W26" s="286"/>
      <c r="X26" s="286"/>
      <c r="Y26" s="286"/>
      <c r="Z26" s="286"/>
      <c r="AA26" s="286"/>
      <c r="AB26" s="286"/>
      <c r="AC26" s="286"/>
      <c r="AD26" s="286"/>
      <c r="AE26" s="286"/>
      <c r="AF26" s="286"/>
      <c r="AG26" s="286"/>
      <c r="AH26" s="286"/>
      <c r="AI26" s="287"/>
      <c r="AL26" s="127"/>
      <c r="AN26" s="125"/>
    </row>
    <row r="27" spans="1:40" ht="18" customHeight="1">
      <c r="A27" s="36"/>
      <c r="B27" s="283" t="s">
        <v>207</v>
      </c>
      <c r="C27" s="284"/>
      <c r="D27" s="284"/>
      <c r="E27" s="284"/>
      <c r="F27" s="286" t="s">
        <v>208</v>
      </c>
      <c r="G27" s="286"/>
      <c r="H27" s="286"/>
      <c r="I27" s="286"/>
      <c r="J27" s="286"/>
      <c r="K27" s="286"/>
      <c r="L27" s="286"/>
      <c r="M27" s="286"/>
      <c r="N27" s="286"/>
      <c r="O27" s="286"/>
      <c r="P27" s="286"/>
      <c r="Q27" s="286"/>
      <c r="R27" s="286"/>
      <c r="S27" s="286"/>
      <c r="T27" s="286"/>
      <c r="U27" s="286"/>
      <c r="V27" s="286"/>
      <c r="W27" s="286"/>
      <c r="X27" s="286"/>
      <c r="Y27" s="286"/>
      <c r="Z27" s="286"/>
      <c r="AA27" s="286"/>
      <c r="AB27" s="286"/>
      <c r="AC27" s="286"/>
      <c r="AD27" s="286"/>
      <c r="AE27" s="286"/>
      <c r="AF27" s="286"/>
      <c r="AG27" s="286"/>
      <c r="AH27" s="286"/>
      <c r="AI27" s="287"/>
      <c r="AL27" s="128"/>
      <c r="AM27" s="128"/>
      <c r="AN27" s="134"/>
    </row>
    <row r="28" spans="1:40" ht="18.75">
      <c r="A28" s="205"/>
      <c r="B28" s="566"/>
      <c r="C28" s="566"/>
      <c r="D28" s="566"/>
      <c r="E28" s="566"/>
      <c r="F28" s="566"/>
      <c r="G28" s="566"/>
      <c r="H28" s="566"/>
      <c r="I28" s="566"/>
      <c r="J28" s="566"/>
      <c r="K28" s="566"/>
      <c r="L28" s="566"/>
      <c r="M28" s="566"/>
      <c r="N28" s="566"/>
      <c r="O28" s="566"/>
      <c r="P28" s="566"/>
      <c r="Q28" s="566"/>
      <c r="R28" s="566"/>
      <c r="S28" s="566"/>
      <c r="T28" s="566"/>
      <c r="U28" s="566"/>
      <c r="V28" s="566"/>
      <c r="W28" s="566"/>
      <c r="X28" s="566"/>
      <c r="Y28" s="566"/>
      <c r="Z28" s="566"/>
      <c r="AA28" s="566"/>
      <c r="AB28" s="566"/>
      <c r="AC28" s="566"/>
      <c r="AD28" s="566"/>
      <c r="AE28" s="566"/>
      <c r="AF28" s="566"/>
      <c r="AG28" s="566"/>
      <c r="AH28" s="566"/>
      <c r="AI28" s="567"/>
      <c r="AN28" s="125"/>
    </row>
    <row r="29" spans="1:40" ht="18" customHeight="1">
      <c r="A29" s="36"/>
      <c r="B29" s="302" t="s">
        <v>209</v>
      </c>
      <c r="C29" s="302"/>
      <c r="D29" s="302"/>
      <c r="E29" s="302"/>
      <c r="F29" s="302"/>
      <c r="G29" s="302"/>
      <c r="H29" s="302"/>
      <c r="I29" s="302"/>
      <c r="J29" s="302"/>
      <c r="K29" s="302"/>
      <c r="L29" s="302"/>
      <c r="M29" s="302"/>
      <c r="N29" s="302"/>
      <c r="O29" s="302"/>
      <c r="P29" s="302"/>
      <c r="Q29" s="302"/>
      <c r="R29" s="302"/>
      <c r="S29" s="302"/>
      <c r="T29" s="302"/>
      <c r="U29" s="302"/>
      <c r="V29" s="302"/>
      <c r="W29" s="302"/>
      <c r="X29" s="302"/>
      <c r="Y29" s="302"/>
      <c r="Z29" s="302"/>
      <c r="AA29" s="302"/>
      <c r="AB29" s="302"/>
      <c r="AC29" s="302"/>
      <c r="AD29" s="302"/>
      <c r="AE29" s="302"/>
      <c r="AF29" s="302"/>
      <c r="AG29" s="302"/>
      <c r="AH29" s="302"/>
      <c r="AI29" s="303"/>
      <c r="AN29" s="125"/>
    </row>
    <row r="30" spans="1:40" ht="18" customHeight="1">
      <c r="A30" s="36"/>
      <c r="B30" s="283" t="s">
        <v>210</v>
      </c>
      <c r="C30" s="284"/>
      <c r="D30" s="284"/>
      <c r="E30" s="284"/>
      <c r="F30" s="285" t="s">
        <v>211</v>
      </c>
      <c r="G30" s="286"/>
      <c r="H30" s="286"/>
      <c r="I30" s="286"/>
      <c r="J30" s="286"/>
      <c r="K30" s="286"/>
      <c r="L30" s="286"/>
      <c r="M30" s="286"/>
      <c r="N30" s="286"/>
      <c r="O30" s="286"/>
      <c r="P30" s="286"/>
      <c r="Q30" s="286"/>
      <c r="R30" s="286"/>
      <c r="S30" s="286"/>
      <c r="T30" s="286"/>
      <c r="U30" s="286"/>
      <c r="V30" s="286"/>
      <c r="W30" s="286"/>
      <c r="X30" s="286"/>
      <c r="Y30" s="286"/>
      <c r="Z30" s="286"/>
      <c r="AA30" s="286"/>
      <c r="AB30" s="286"/>
      <c r="AC30" s="286"/>
      <c r="AD30" s="286"/>
      <c r="AE30" s="286"/>
      <c r="AF30" s="286"/>
      <c r="AG30" s="286"/>
      <c r="AH30" s="286"/>
      <c r="AI30" s="287"/>
      <c r="AL30" s="127"/>
      <c r="AN30" s="125"/>
    </row>
    <row r="31" spans="1:40" ht="18" customHeight="1">
      <c r="A31" s="36"/>
      <c r="B31" s="283"/>
      <c r="C31" s="284"/>
      <c r="D31" s="284"/>
      <c r="E31" s="284"/>
      <c r="F31" s="285" t="s">
        <v>212</v>
      </c>
      <c r="G31" s="286"/>
      <c r="H31" s="286"/>
      <c r="I31" s="286"/>
      <c r="J31" s="286"/>
      <c r="K31" s="286"/>
      <c r="L31" s="286"/>
      <c r="M31" s="286"/>
      <c r="N31" s="286"/>
      <c r="O31" s="286"/>
      <c r="P31" s="286"/>
      <c r="Q31" s="286"/>
      <c r="R31" s="286"/>
      <c r="S31" s="286"/>
      <c r="T31" s="286"/>
      <c r="U31" s="286"/>
      <c r="V31" s="286"/>
      <c r="W31" s="286"/>
      <c r="X31" s="286"/>
      <c r="Y31" s="286"/>
      <c r="Z31" s="286"/>
      <c r="AA31" s="286"/>
      <c r="AB31" s="286"/>
      <c r="AC31" s="286"/>
      <c r="AD31" s="286"/>
      <c r="AE31" s="286"/>
      <c r="AF31" s="286"/>
      <c r="AG31" s="286"/>
      <c r="AH31" s="286"/>
      <c r="AI31" s="287"/>
      <c r="AL31" s="128"/>
      <c r="AM31" s="128"/>
      <c r="AN31" s="134"/>
    </row>
    <row r="32" spans="1:40" ht="18" customHeight="1">
      <c r="A32" s="36"/>
      <c r="B32" s="283" t="s">
        <v>210</v>
      </c>
      <c r="C32" s="284"/>
      <c r="D32" s="284"/>
      <c r="E32" s="284"/>
      <c r="F32" s="285" t="s">
        <v>213</v>
      </c>
      <c r="G32" s="286"/>
      <c r="H32" s="286"/>
      <c r="I32" s="286"/>
      <c r="J32" s="286"/>
      <c r="K32" s="286"/>
      <c r="L32" s="286"/>
      <c r="M32" s="286"/>
      <c r="N32" s="286"/>
      <c r="O32" s="286"/>
      <c r="P32" s="286"/>
      <c r="Q32" s="286"/>
      <c r="R32" s="286"/>
      <c r="S32" s="286"/>
      <c r="T32" s="286"/>
      <c r="U32" s="286"/>
      <c r="V32" s="286"/>
      <c r="W32" s="286"/>
      <c r="X32" s="286"/>
      <c r="Y32" s="286"/>
      <c r="Z32" s="286"/>
      <c r="AA32" s="286"/>
      <c r="AB32" s="286"/>
      <c r="AC32" s="286"/>
      <c r="AD32" s="286"/>
      <c r="AE32" s="286"/>
      <c r="AF32" s="286"/>
      <c r="AG32" s="286"/>
      <c r="AH32" s="286"/>
      <c r="AI32" s="287"/>
      <c r="AL32" s="129"/>
      <c r="AM32" s="130"/>
      <c r="AN32" s="135"/>
    </row>
    <row r="33" spans="1:40" ht="18" customHeight="1">
      <c r="A33" s="36"/>
      <c r="B33" s="283"/>
      <c r="C33" s="284"/>
      <c r="D33" s="284"/>
      <c r="E33" s="284"/>
      <c r="F33" s="285" t="s">
        <v>214</v>
      </c>
      <c r="G33" s="286"/>
      <c r="H33" s="286"/>
      <c r="I33" s="286"/>
      <c r="J33" s="286"/>
      <c r="K33" s="286"/>
      <c r="L33" s="286"/>
      <c r="M33" s="286"/>
      <c r="N33" s="286"/>
      <c r="O33" s="286"/>
      <c r="P33" s="286"/>
      <c r="Q33" s="286"/>
      <c r="R33" s="286"/>
      <c r="S33" s="286"/>
      <c r="T33" s="286"/>
      <c r="U33" s="286"/>
      <c r="V33" s="286"/>
      <c r="W33" s="286"/>
      <c r="X33" s="286"/>
      <c r="Y33" s="286"/>
      <c r="Z33" s="286"/>
      <c r="AA33" s="286"/>
      <c r="AB33" s="286"/>
      <c r="AC33" s="286"/>
      <c r="AD33" s="286"/>
      <c r="AE33" s="286"/>
      <c r="AF33" s="286"/>
      <c r="AG33" s="286"/>
      <c r="AH33" s="286"/>
      <c r="AI33" s="287"/>
      <c r="AN33" s="125"/>
    </row>
    <row r="34" spans="1:40" ht="18" customHeight="1">
      <c r="A34" s="36"/>
      <c r="B34" s="283" t="s">
        <v>215</v>
      </c>
      <c r="C34" s="284"/>
      <c r="D34" s="284"/>
      <c r="E34" s="284"/>
      <c r="F34" s="285" t="s">
        <v>216</v>
      </c>
      <c r="G34" s="286"/>
      <c r="H34" s="286"/>
      <c r="I34" s="286"/>
      <c r="J34" s="286"/>
      <c r="K34" s="286"/>
      <c r="L34" s="286"/>
      <c r="M34" s="286"/>
      <c r="N34" s="286"/>
      <c r="O34" s="286"/>
      <c r="P34" s="286"/>
      <c r="Q34" s="286"/>
      <c r="R34" s="286"/>
      <c r="S34" s="286"/>
      <c r="T34" s="286"/>
      <c r="U34" s="286"/>
      <c r="V34" s="286"/>
      <c r="W34" s="286"/>
      <c r="X34" s="286"/>
      <c r="Y34" s="286"/>
      <c r="Z34" s="286"/>
      <c r="AA34" s="286"/>
      <c r="AB34" s="286"/>
      <c r="AC34" s="286"/>
      <c r="AD34" s="286"/>
      <c r="AE34" s="286"/>
      <c r="AF34" s="286"/>
      <c r="AG34" s="286"/>
      <c r="AH34" s="286"/>
      <c r="AI34" s="287"/>
      <c r="AN34" s="125"/>
    </row>
    <row r="35" spans="1:40" ht="18" customHeight="1">
      <c r="A35" s="36"/>
      <c r="B35" s="283"/>
      <c r="C35" s="284"/>
      <c r="D35" s="284"/>
      <c r="E35" s="284"/>
      <c r="F35" s="288" t="s">
        <v>217</v>
      </c>
      <c r="G35" s="288"/>
      <c r="H35" s="288"/>
      <c r="I35" s="288"/>
      <c r="J35" s="288"/>
      <c r="K35" s="288"/>
      <c r="L35" s="288"/>
      <c r="M35" s="288"/>
      <c r="N35" s="288"/>
      <c r="O35" s="288"/>
      <c r="P35" s="288"/>
      <c r="Q35" s="288"/>
      <c r="R35" s="288"/>
      <c r="S35" s="288"/>
      <c r="T35" s="288"/>
      <c r="U35" s="288"/>
      <c r="V35" s="288"/>
      <c r="W35" s="288"/>
      <c r="X35" s="288"/>
      <c r="Y35" s="288"/>
      <c r="Z35" s="288"/>
      <c r="AA35" s="288"/>
      <c r="AB35" s="288"/>
      <c r="AC35" s="288"/>
      <c r="AD35" s="288"/>
      <c r="AE35" s="288"/>
      <c r="AF35" s="288"/>
      <c r="AG35" s="288"/>
      <c r="AH35" s="288"/>
      <c r="AI35" s="289"/>
      <c r="AN35" s="125"/>
    </row>
    <row r="36" spans="1:40" ht="18" customHeight="1">
      <c r="A36" s="36"/>
      <c r="B36" s="283" t="s">
        <v>218</v>
      </c>
      <c r="C36" s="284"/>
      <c r="D36" s="284"/>
      <c r="E36" s="284"/>
      <c r="F36" s="285" t="s">
        <v>219</v>
      </c>
      <c r="G36" s="286"/>
      <c r="H36" s="286"/>
      <c r="I36" s="286"/>
      <c r="J36" s="286"/>
      <c r="K36" s="286"/>
      <c r="L36" s="286"/>
      <c r="M36" s="286"/>
      <c r="N36" s="286"/>
      <c r="O36" s="286"/>
      <c r="P36" s="286"/>
      <c r="Q36" s="286"/>
      <c r="R36" s="286"/>
      <c r="S36" s="286"/>
      <c r="T36" s="286"/>
      <c r="U36" s="286"/>
      <c r="V36" s="286"/>
      <c r="W36" s="286"/>
      <c r="X36" s="286"/>
      <c r="Y36" s="286"/>
      <c r="Z36" s="286"/>
      <c r="AA36" s="286"/>
      <c r="AB36" s="286"/>
      <c r="AC36" s="286"/>
      <c r="AD36" s="286"/>
      <c r="AE36" s="286"/>
      <c r="AF36" s="286"/>
      <c r="AG36" s="286"/>
      <c r="AH36" s="286"/>
      <c r="AI36" s="287"/>
      <c r="AN36" s="125"/>
    </row>
    <row r="37" spans="1:40" ht="18" customHeight="1">
      <c r="A37" s="36"/>
      <c r="B37" s="283"/>
      <c r="C37" s="284"/>
      <c r="D37" s="284"/>
      <c r="E37" s="284"/>
      <c r="F37" s="288" t="s">
        <v>220</v>
      </c>
      <c r="G37" s="288"/>
      <c r="H37" s="288"/>
      <c r="I37" s="288"/>
      <c r="J37" s="288"/>
      <c r="K37" s="288"/>
      <c r="L37" s="288"/>
      <c r="M37" s="288"/>
      <c r="N37" s="288"/>
      <c r="O37" s="288"/>
      <c r="P37" s="288"/>
      <c r="Q37" s="288"/>
      <c r="R37" s="288"/>
      <c r="S37" s="288"/>
      <c r="T37" s="288"/>
      <c r="U37" s="288"/>
      <c r="V37" s="288"/>
      <c r="W37" s="288"/>
      <c r="X37" s="288"/>
      <c r="Y37" s="288"/>
      <c r="Z37" s="288"/>
      <c r="AA37" s="288"/>
      <c r="AB37" s="288"/>
      <c r="AC37" s="288"/>
      <c r="AD37" s="288"/>
      <c r="AE37" s="288"/>
      <c r="AF37" s="288"/>
      <c r="AG37" s="288"/>
      <c r="AH37" s="288"/>
      <c r="AI37" s="289"/>
      <c r="AN37" s="125"/>
    </row>
    <row r="38" spans="1:40" ht="18" customHeight="1">
      <c r="A38" s="36"/>
      <c r="B38" s="283"/>
      <c r="C38" s="284"/>
      <c r="D38" s="284"/>
      <c r="E38" s="284"/>
      <c r="F38" s="288"/>
      <c r="G38" s="288"/>
      <c r="H38" s="288"/>
      <c r="I38" s="288"/>
      <c r="J38" s="288"/>
      <c r="K38" s="288"/>
      <c r="L38" s="288"/>
      <c r="M38" s="288"/>
      <c r="N38" s="288"/>
      <c r="O38" s="288"/>
      <c r="P38" s="288"/>
      <c r="Q38" s="288"/>
      <c r="R38" s="288"/>
      <c r="S38" s="288"/>
      <c r="T38" s="288"/>
      <c r="U38" s="288"/>
      <c r="V38" s="288"/>
      <c r="W38" s="288"/>
      <c r="X38" s="288"/>
      <c r="Y38" s="288"/>
      <c r="Z38" s="288"/>
      <c r="AA38" s="288"/>
      <c r="AB38" s="288"/>
      <c r="AC38" s="288"/>
      <c r="AD38" s="288"/>
      <c r="AE38" s="288"/>
      <c r="AF38" s="288"/>
      <c r="AG38" s="288"/>
      <c r="AH38" s="288"/>
      <c r="AI38" s="289"/>
      <c r="AN38" s="125"/>
    </row>
    <row r="39" spans="1:40" ht="18" customHeight="1">
      <c r="A39" s="36"/>
      <c r="B39" s="302" t="s">
        <v>221</v>
      </c>
      <c r="C39" s="302"/>
      <c r="D39" s="302"/>
      <c r="E39" s="302"/>
      <c r="F39" s="302"/>
      <c r="G39" s="302"/>
      <c r="H39" s="302"/>
      <c r="I39" s="302"/>
      <c r="J39" s="302"/>
      <c r="K39" s="302"/>
      <c r="L39" s="302"/>
      <c r="M39" s="302"/>
      <c r="N39" s="302"/>
      <c r="O39" s="302"/>
      <c r="P39" s="302"/>
      <c r="Q39" s="302"/>
      <c r="R39" s="302"/>
      <c r="S39" s="302"/>
      <c r="T39" s="302"/>
      <c r="U39" s="302"/>
      <c r="V39" s="302"/>
      <c r="W39" s="302"/>
      <c r="X39" s="302"/>
      <c r="Y39" s="302"/>
      <c r="Z39" s="302"/>
      <c r="AA39" s="302"/>
      <c r="AB39" s="302"/>
      <c r="AC39" s="302"/>
      <c r="AD39" s="302"/>
      <c r="AE39" s="302"/>
      <c r="AF39" s="302"/>
      <c r="AG39" s="302"/>
      <c r="AH39" s="302"/>
      <c r="AI39" s="303"/>
      <c r="AN39" s="125"/>
    </row>
    <row r="40" spans="1:40" ht="18" customHeight="1">
      <c r="A40" s="315" t="s">
        <v>222</v>
      </c>
      <c r="B40" s="283"/>
      <c r="C40" s="283"/>
      <c r="D40" s="283"/>
      <c r="E40" s="283"/>
      <c r="F40" s="286" t="s">
        <v>223</v>
      </c>
      <c r="G40" s="286"/>
      <c r="H40" s="286"/>
      <c r="I40" s="286"/>
      <c r="J40" s="286"/>
      <c r="K40" s="286"/>
      <c r="L40" s="286"/>
      <c r="M40" s="286"/>
      <c r="N40" s="286"/>
      <c r="O40" s="286"/>
      <c r="P40" s="286"/>
      <c r="Q40" s="286"/>
      <c r="R40" s="286"/>
      <c r="S40" s="286"/>
      <c r="T40" s="286"/>
      <c r="U40" s="286"/>
      <c r="V40" s="286"/>
      <c r="W40" s="286"/>
      <c r="X40" s="286"/>
      <c r="Y40" s="286"/>
      <c r="Z40" s="286"/>
      <c r="AA40" s="286"/>
      <c r="AB40" s="286"/>
      <c r="AC40" s="286"/>
      <c r="AD40" s="286"/>
      <c r="AE40" s="286"/>
      <c r="AF40" s="286"/>
      <c r="AG40" s="286"/>
      <c r="AH40" s="286"/>
      <c r="AI40" s="287"/>
      <c r="AN40" s="125"/>
    </row>
    <row r="41" spans="1:40" ht="18" customHeight="1">
      <c r="A41" s="36"/>
      <c r="B41" s="292"/>
      <c r="C41" s="292"/>
      <c r="D41" s="292"/>
      <c r="E41" s="292"/>
      <c r="F41" s="292"/>
      <c r="G41" s="292"/>
      <c r="H41" s="292"/>
      <c r="I41" s="292"/>
      <c r="J41" s="292"/>
      <c r="K41" s="292"/>
      <c r="L41" s="292"/>
      <c r="M41" s="292"/>
      <c r="N41" s="292"/>
      <c r="O41" s="292"/>
      <c r="P41" s="292"/>
      <c r="Q41" s="292"/>
      <c r="R41" s="292"/>
      <c r="S41" s="292"/>
      <c r="T41" s="292"/>
      <c r="U41" s="292"/>
      <c r="V41" s="292"/>
      <c r="W41" s="292"/>
      <c r="X41" s="292"/>
      <c r="Y41" s="292"/>
      <c r="Z41" s="292"/>
      <c r="AA41" s="292"/>
      <c r="AB41" s="292"/>
      <c r="AC41" s="292"/>
      <c r="AD41" s="292"/>
      <c r="AE41" s="292"/>
      <c r="AF41" s="292"/>
      <c r="AG41" s="292"/>
      <c r="AH41" s="292"/>
      <c r="AI41" s="293"/>
      <c r="AN41" s="125"/>
    </row>
    <row r="42" spans="1:40" ht="18" customHeight="1">
      <c r="A42" s="36"/>
      <c r="B42" s="302" t="s">
        <v>224</v>
      </c>
      <c r="C42" s="302"/>
      <c r="D42" s="302"/>
      <c r="E42" s="302"/>
      <c r="F42" s="302"/>
      <c r="G42" s="302"/>
      <c r="H42" s="302"/>
      <c r="I42" s="302"/>
      <c r="J42" s="302"/>
      <c r="K42" s="302"/>
      <c r="L42" s="302"/>
      <c r="M42" s="302"/>
      <c r="N42" s="302"/>
      <c r="O42" s="302"/>
      <c r="P42" s="302"/>
      <c r="Q42" s="302"/>
      <c r="R42" s="302"/>
      <c r="S42" s="302"/>
      <c r="T42" s="302"/>
      <c r="U42" s="302"/>
      <c r="V42" s="302"/>
      <c r="W42" s="302"/>
      <c r="X42" s="302"/>
      <c r="Y42" s="302"/>
      <c r="Z42" s="302"/>
      <c r="AA42" s="302"/>
      <c r="AB42" s="302"/>
      <c r="AC42" s="302"/>
      <c r="AD42" s="302"/>
      <c r="AE42" s="302"/>
      <c r="AF42" s="302"/>
      <c r="AG42" s="302"/>
      <c r="AH42" s="302"/>
      <c r="AI42" s="303"/>
      <c r="AN42" s="125"/>
    </row>
    <row r="43" spans="1:40" ht="18" customHeight="1" thickBot="1">
      <c r="A43" s="316" t="s">
        <v>225</v>
      </c>
      <c r="B43" s="317"/>
      <c r="C43" s="317"/>
      <c r="D43" s="317"/>
      <c r="E43" s="317"/>
      <c r="F43" s="322" t="s">
        <v>226</v>
      </c>
      <c r="G43" s="322"/>
      <c r="H43" s="322"/>
      <c r="I43" s="322"/>
      <c r="J43" s="322"/>
      <c r="K43" s="322"/>
      <c r="L43" s="322"/>
      <c r="M43" s="322"/>
      <c r="N43" s="322"/>
      <c r="O43" s="322"/>
      <c r="P43" s="322"/>
      <c r="Q43" s="322"/>
      <c r="R43" s="322"/>
      <c r="S43" s="322"/>
      <c r="T43" s="322"/>
      <c r="U43" s="322"/>
      <c r="V43" s="322"/>
      <c r="W43" s="322"/>
      <c r="X43" s="322"/>
      <c r="Y43" s="322"/>
      <c r="Z43" s="322"/>
      <c r="AA43" s="322"/>
      <c r="AB43" s="322"/>
      <c r="AC43" s="322"/>
      <c r="AD43" s="322"/>
      <c r="AE43" s="322"/>
      <c r="AF43" s="322"/>
      <c r="AG43" s="322"/>
      <c r="AH43" s="322"/>
      <c r="AI43" s="323"/>
      <c r="AN43" s="125"/>
    </row>
    <row r="44" spans="1:40" ht="18" customHeight="1" thickBot="1">
      <c r="A44" s="27"/>
      <c r="B44" s="27"/>
      <c r="C44" s="27"/>
      <c r="D44" s="27"/>
      <c r="E44" s="27"/>
      <c r="F44" s="27"/>
      <c r="G44" s="27"/>
      <c r="H44" s="27"/>
      <c r="I44" s="27"/>
      <c r="N44" s="307">
        <f>A7</f>
        <v>46174</v>
      </c>
      <c r="O44" s="308"/>
      <c r="P44" s="308"/>
      <c r="Q44" s="308"/>
      <c r="R44" s="206" t="s">
        <v>169</v>
      </c>
      <c r="S44" s="309">
        <f>G7</f>
        <v>46174</v>
      </c>
      <c r="T44" s="308"/>
      <c r="U44" s="23" t="s">
        <v>227</v>
      </c>
      <c r="V44" s="310">
        <f>J7</f>
        <v>46174</v>
      </c>
      <c r="W44" s="308"/>
      <c r="X44" s="23" t="s">
        <v>3</v>
      </c>
      <c r="Y44" s="308" t="s">
        <v>171</v>
      </c>
      <c r="Z44" s="308"/>
      <c r="AA44" s="309">
        <f>Q7</f>
        <v>46174</v>
      </c>
      <c r="AB44" s="308"/>
      <c r="AC44" s="23" t="s">
        <v>227</v>
      </c>
      <c r="AD44" s="310">
        <f>T7</f>
        <v>30</v>
      </c>
      <c r="AE44" s="308"/>
      <c r="AF44" s="23" t="s">
        <v>3</v>
      </c>
      <c r="AN44" s="125"/>
    </row>
    <row r="45" spans="1:40" customFormat="1" ht="18" customHeight="1">
      <c r="A45" s="248" t="s">
        <v>188</v>
      </c>
      <c r="B45" s="249"/>
      <c r="C45" s="249"/>
      <c r="D45" s="249"/>
      <c r="E45" s="249"/>
      <c r="F45" s="249"/>
      <c r="G45" s="249"/>
      <c r="H45" s="249"/>
      <c r="I45" s="249"/>
      <c r="J45" s="249"/>
      <c r="K45" s="249"/>
      <c r="L45" s="249"/>
      <c r="M45" s="249"/>
      <c r="N45" s="249"/>
      <c r="O45" s="249"/>
      <c r="P45" s="249"/>
      <c r="Q45" s="249"/>
      <c r="R45" s="249"/>
      <c r="S45" s="249"/>
      <c r="T45" s="249"/>
      <c r="U45" s="249"/>
      <c r="V45" s="249"/>
      <c r="W45" s="249"/>
      <c r="X45" s="249"/>
      <c r="Y45" s="249"/>
      <c r="Z45" s="249"/>
      <c r="AA45" s="249"/>
      <c r="AB45" s="249"/>
      <c r="AC45" s="249"/>
      <c r="AD45" s="249"/>
      <c r="AE45" s="249"/>
      <c r="AF45" s="249"/>
      <c r="AG45" s="249"/>
      <c r="AH45" s="249"/>
      <c r="AI45" s="250"/>
      <c r="AN45" s="126"/>
    </row>
    <row r="46" spans="1:40" ht="18" customHeight="1">
      <c r="A46" s="36"/>
      <c r="B46" s="302" t="s">
        <v>228</v>
      </c>
      <c r="C46" s="302"/>
      <c r="D46" s="302"/>
      <c r="E46" s="302"/>
      <c r="F46" s="302"/>
      <c r="G46" s="302"/>
      <c r="H46" s="302"/>
      <c r="I46" s="302"/>
      <c r="J46" s="302"/>
      <c r="K46" s="302"/>
      <c r="L46" s="302"/>
      <c r="M46" s="302"/>
      <c r="N46" s="302"/>
      <c r="O46" s="302"/>
      <c r="P46" s="302"/>
      <c r="Q46" s="302"/>
      <c r="R46" s="302"/>
      <c r="S46" s="302"/>
      <c r="T46" s="302"/>
      <c r="U46" s="302"/>
      <c r="V46" s="302"/>
      <c r="W46" s="302"/>
      <c r="X46" s="302"/>
      <c r="Y46" s="302"/>
      <c r="Z46" s="302"/>
      <c r="AA46" s="302"/>
      <c r="AB46" s="302"/>
      <c r="AC46" s="302"/>
      <c r="AD46" s="302"/>
      <c r="AE46" s="302"/>
      <c r="AF46" s="302"/>
      <c r="AG46" s="302"/>
      <c r="AH46" s="302"/>
      <c r="AI46" s="303"/>
      <c r="AN46" s="125"/>
    </row>
    <row r="47" spans="1:40" ht="18" customHeight="1">
      <c r="A47" s="36"/>
      <c r="B47" s="283" t="s">
        <v>201</v>
      </c>
      <c r="C47" s="284"/>
      <c r="D47" s="284"/>
      <c r="E47" s="284"/>
      <c r="F47" s="288" t="s">
        <v>229</v>
      </c>
      <c r="G47" s="288"/>
      <c r="H47" s="288"/>
      <c r="I47" s="288"/>
      <c r="J47" s="288"/>
      <c r="K47" s="288"/>
      <c r="L47" s="288"/>
      <c r="M47" s="288"/>
      <c r="N47" s="288"/>
      <c r="O47" s="288"/>
      <c r="P47" s="288"/>
      <c r="Q47" s="288"/>
      <c r="R47" s="288"/>
      <c r="S47" s="288"/>
      <c r="T47" s="288"/>
      <c r="U47" s="288"/>
      <c r="V47" s="288"/>
      <c r="W47" s="288"/>
      <c r="X47" s="288"/>
      <c r="Y47" s="288"/>
      <c r="Z47" s="288"/>
      <c r="AA47" s="288"/>
      <c r="AB47" s="288"/>
      <c r="AC47" s="288"/>
      <c r="AD47" s="288"/>
      <c r="AE47" s="288"/>
      <c r="AF47" s="288"/>
      <c r="AG47" s="288"/>
      <c r="AH47" s="288"/>
      <c r="AI47" s="289"/>
      <c r="AN47" s="125"/>
    </row>
    <row r="48" spans="1:40" ht="18" customHeight="1">
      <c r="A48" s="36"/>
      <c r="B48" s="302"/>
      <c r="C48" s="302"/>
      <c r="D48" s="302"/>
      <c r="E48" s="302"/>
      <c r="F48" s="302"/>
      <c r="G48" s="302"/>
      <c r="H48" s="302"/>
      <c r="I48" s="302"/>
      <c r="J48" s="302"/>
      <c r="K48" s="302"/>
      <c r="L48" s="302"/>
      <c r="M48" s="302"/>
      <c r="N48" s="302"/>
      <c r="O48" s="302"/>
      <c r="P48" s="302"/>
      <c r="Q48" s="302"/>
      <c r="R48" s="302"/>
      <c r="S48" s="302"/>
      <c r="T48" s="302"/>
      <c r="U48" s="302"/>
      <c r="V48" s="302"/>
      <c r="W48" s="302"/>
      <c r="X48" s="302"/>
      <c r="Y48" s="302"/>
      <c r="Z48" s="302"/>
      <c r="AA48" s="302"/>
      <c r="AB48" s="302"/>
      <c r="AC48" s="302"/>
      <c r="AD48" s="302"/>
      <c r="AE48" s="302"/>
      <c r="AF48" s="302"/>
      <c r="AG48" s="302"/>
      <c r="AH48" s="302"/>
      <c r="AI48" s="303"/>
      <c r="AN48" s="125"/>
    </row>
    <row r="49" spans="1:40" ht="18" customHeight="1">
      <c r="A49" s="36"/>
      <c r="B49" s="292" t="s">
        <v>230</v>
      </c>
      <c r="C49" s="292"/>
      <c r="D49" s="292"/>
      <c r="E49" s="292"/>
      <c r="F49" s="292"/>
      <c r="G49" s="292"/>
      <c r="H49" s="292"/>
      <c r="I49" s="292"/>
      <c r="J49" s="292"/>
      <c r="K49" s="292"/>
      <c r="L49" s="292"/>
      <c r="M49" s="292"/>
      <c r="N49" s="292"/>
      <c r="O49" s="292"/>
      <c r="P49" s="292"/>
      <c r="Q49" s="292"/>
      <c r="R49" s="292"/>
      <c r="S49" s="292"/>
      <c r="T49" s="292"/>
      <c r="U49" s="292"/>
      <c r="V49" s="292"/>
      <c r="W49" s="292"/>
      <c r="X49" s="292"/>
      <c r="Y49" s="292"/>
      <c r="Z49" s="292"/>
      <c r="AA49" s="292"/>
      <c r="AB49" s="292"/>
      <c r="AC49" s="292"/>
      <c r="AD49" s="292"/>
      <c r="AE49" s="292"/>
      <c r="AF49" s="292"/>
      <c r="AG49" s="292"/>
      <c r="AH49" s="292"/>
      <c r="AI49" s="293"/>
      <c r="AN49" s="125"/>
    </row>
    <row r="50" spans="1:40" ht="18" customHeight="1">
      <c r="A50" s="36"/>
      <c r="B50" s="283" t="s">
        <v>231</v>
      </c>
      <c r="C50" s="284"/>
      <c r="D50" s="284"/>
      <c r="E50" s="284"/>
      <c r="F50" s="286" t="s">
        <v>232</v>
      </c>
      <c r="G50" s="286"/>
      <c r="H50" s="286"/>
      <c r="I50" s="286"/>
      <c r="J50" s="286"/>
      <c r="K50" s="286"/>
      <c r="L50" s="286"/>
      <c r="M50" s="286"/>
      <c r="N50" s="286"/>
      <c r="O50" s="286"/>
      <c r="P50" s="286"/>
      <c r="Q50" s="286"/>
      <c r="R50" s="286"/>
      <c r="S50" s="286"/>
      <c r="T50" s="286"/>
      <c r="U50" s="286"/>
      <c r="V50" s="286"/>
      <c r="W50" s="286"/>
      <c r="X50" s="286"/>
      <c r="Y50" s="286"/>
      <c r="Z50" s="286"/>
      <c r="AA50" s="286"/>
      <c r="AB50" s="286"/>
      <c r="AC50" s="286"/>
      <c r="AD50" s="286"/>
      <c r="AE50" s="286"/>
      <c r="AF50" s="286"/>
      <c r="AG50" s="286"/>
      <c r="AH50" s="286"/>
      <c r="AI50" s="287"/>
      <c r="AN50" s="125"/>
    </row>
    <row r="51" spans="1:40" ht="18" customHeight="1">
      <c r="A51" s="36"/>
      <c r="B51" s="290"/>
      <c r="C51" s="291"/>
      <c r="D51" s="291"/>
      <c r="E51" s="291"/>
      <c r="F51" s="288"/>
      <c r="G51" s="288"/>
      <c r="H51" s="288"/>
      <c r="I51" s="288"/>
      <c r="J51" s="288"/>
      <c r="K51" s="288"/>
      <c r="L51" s="288"/>
      <c r="M51" s="288"/>
      <c r="N51" s="288"/>
      <c r="O51" s="288"/>
      <c r="P51" s="288"/>
      <c r="Q51" s="288"/>
      <c r="R51" s="288"/>
      <c r="S51" s="288"/>
      <c r="T51" s="288"/>
      <c r="U51" s="288"/>
      <c r="V51" s="288"/>
      <c r="W51" s="288"/>
      <c r="X51" s="288"/>
      <c r="Y51" s="288"/>
      <c r="Z51" s="288"/>
      <c r="AA51" s="288"/>
      <c r="AB51" s="288"/>
      <c r="AC51" s="288"/>
      <c r="AD51" s="288"/>
      <c r="AE51" s="288"/>
      <c r="AF51" s="288"/>
      <c r="AG51" s="288"/>
      <c r="AH51" s="288"/>
      <c r="AI51" s="289"/>
    </row>
    <row r="52" spans="1:40" ht="18" customHeight="1">
      <c r="A52" s="36"/>
      <c r="B52" s="292" t="s">
        <v>233</v>
      </c>
      <c r="C52" s="292"/>
      <c r="D52" s="292"/>
      <c r="E52" s="292"/>
      <c r="F52" s="292"/>
      <c r="G52" s="292"/>
      <c r="H52" s="292"/>
      <c r="I52" s="292"/>
      <c r="J52" s="292"/>
      <c r="K52" s="292"/>
      <c r="L52" s="292"/>
      <c r="M52" s="292"/>
      <c r="N52" s="292"/>
      <c r="O52" s="292"/>
      <c r="P52" s="292"/>
      <c r="Q52" s="292"/>
      <c r="R52" s="292"/>
      <c r="S52" s="292"/>
      <c r="T52" s="292"/>
      <c r="U52" s="292"/>
      <c r="V52" s="292"/>
      <c r="W52" s="292"/>
      <c r="X52" s="292"/>
      <c r="Y52" s="292"/>
      <c r="Z52" s="292"/>
      <c r="AA52" s="292"/>
      <c r="AB52" s="292"/>
      <c r="AC52" s="292"/>
      <c r="AD52" s="292"/>
      <c r="AE52" s="292"/>
      <c r="AF52" s="292"/>
      <c r="AG52" s="292"/>
      <c r="AH52" s="292"/>
      <c r="AI52" s="293"/>
    </row>
    <row r="53" spans="1:40" ht="18" customHeight="1">
      <c r="A53" s="39"/>
      <c r="B53" s="283" t="s">
        <v>197</v>
      </c>
      <c r="C53" s="284"/>
      <c r="D53" s="284"/>
      <c r="E53" s="284"/>
      <c r="F53" s="286" t="s">
        <v>234</v>
      </c>
      <c r="G53" s="286"/>
      <c r="H53" s="286"/>
      <c r="I53" s="286"/>
      <c r="J53" s="286"/>
      <c r="K53" s="286"/>
      <c r="L53" s="286"/>
      <c r="M53" s="286"/>
      <c r="N53" s="286"/>
      <c r="O53" s="286"/>
      <c r="P53" s="286"/>
      <c r="Q53" s="286"/>
      <c r="R53" s="286"/>
      <c r="S53" s="286"/>
      <c r="T53" s="286"/>
      <c r="U53" s="286"/>
      <c r="V53" s="286"/>
      <c r="W53" s="286"/>
      <c r="X53" s="286"/>
      <c r="Y53" s="286"/>
      <c r="Z53" s="286"/>
      <c r="AA53" s="286"/>
      <c r="AB53" s="286"/>
      <c r="AC53" s="286"/>
      <c r="AD53" s="286"/>
      <c r="AE53" s="286"/>
      <c r="AF53" s="286"/>
      <c r="AG53" s="286"/>
      <c r="AH53" s="286"/>
      <c r="AI53" s="287"/>
    </row>
    <row r="54" spans="1:40" ht="18" customHeight="1">
      <c r="A54" s="36"/>
      <c r="B54" s="283" t="s">
        <v>199</v>
      </c>
      <c r="C54" s="284"/>
      <c r="D54" s="284"/>
      <c r="E54" s="284"/>
      <c r="F54" s="286" t="s">
        <v>235</v>
      </c>
      <c r="G54" s="286"/>
      <c r="H54" s="286"/>
      <c r="I54" s="286"/>
      <c r="J54" s="286"/>
      <c r="K54" s="286"/>
      <c r="L54" s="286"/>
      <c r="M54" s="286"/>
      <c r="N54" s="286"/>
      <c r="O54" s="286"/>
      <c r="P54" s="286"/>
      <c r="Q54" s="286"/>
      <c r="R54" s="286"/>
      <c r="S54" s="286"/>
      <c r="T54" s="286"/>
      <c r="U54" s="286"/>
      <c r="V54" s="286"/>
      <c r="W54" s="286"/>
      <c r="X54" s="286"/>
      <c r="Y54" s="286"/>
      <c r="Z54" s="286"/>
      <c r="AA54" s="286"/>
      <c r="AB54" s="286"/>
      <c r="AC54" s="286"/>
      <c r="AD54" s="286"/>
      <c r="AE54" s="286"/>
      <c r="AF54" s="286"/>
      <c r="AG54" s="286"/>
      <c r="AH54" s="286"/>
      <c r="AI54" s="287"/>
    </row>
    <row r="55" spans="1:40" ht="18" customHeight="1">
      <c r="A55" s="207"/>
      <c r="B55" s="296"/>
      <c r="C55" s="297"/>
      <c r="D55" s="297"/>
      <c r="E55" s="297"/>
      <c r="F55" s="298"/>
      <c r="G55" s="298"/>
      <c r="H55" s="298"/>
      <c r="I55" s="298"/>
      <c r="J55" s="298"/>
      <c r="K55" s="298"/>
      <c r="L55" s="298"/>
      <c r="M55" s="298"/>
      <c r="N55" s="298"/>
      <c r="O55" s="298"/>
      <c r="P55" s="298"/>
      <c r="Q55" s="298"/>
      <c r="R55" s="298"/>
      <c r="S55" s="298"/>
      <c r="T55" s="298"/>
      <c r="U55" s="298"/>
      <c r="V55" s="298"/>
      <c r="W55" s="298"/>
      <c r="X55" s="298"/>
      <c r="Y55" s="298"/>
      <c r="Z55" s="298"/>
      <c r="AA55" s="298"/>
      <c r="AB55" s="298"/>
      <c r="AC55" s="298"/>
      <c r="AD55" s="298"/>
      <c r="AE55" s="298"/>
      <c r="AF55" s="298"/>
      <c r="AG55" s="298"/>
      <c r="AH55" s="298"/>
      <c r="AI55" s="299"/>
    </row>
    <row r="56" spans="1:40" ht="18" customHeight="1">
      <c r="A56" s="36"/>
      <c r="B56" s="300" t="s">
        <v>236</v>
      </c>
      <c r="C56" s="300"/>
      <c r="D56" s="300"/>
      <c r="E56" s="300"/>
      <c r="F56" s="300"/>
      <c r="G56" s="300"/>
      <c r="H56" s="300"/>
      <c r="I56" s="300"/>
      <c r="J56" s="300"/>
      <c r="K56" s="300"/>
      <c r="L56" s="300"/>
      <c r="M56" s="300"/>
      <c r="N56" s="300"/>
      <c r="O56" s="300"/>
      <c r="P56" s="300"/>
      <c r="Q56" s="300"/>
      <c r="R56" s="300"/>
      <c r="S56" s="300"/>
      <c r="T56" s="300"/>
      <c r="U56" s="300"/>
      <c r="V56" s="300"/>
      <c r="W56" s="300"/>
      <c r="X56" s="300"/>
      <c r="Y56" s="300"/>
      <c r="Z56" s="300"/>
      <c r="AA56" s="300"/>
      <c r="AB56" s="300"/>
      <c r="AC56" s="300"/>
      <c r="AD56" s="300"/>
      <c r="AE56" s="300"/>
      <c r="AF56" s="300"/>
      <c r="AG56" s="300"/>
      <c r="AH56" s="300"/>
      <c r="AI56" s="301"/>
    </row>
    <row r="57" spans="1:40" ht="18" customHeight="1">
      <c r="A57" s="36"/>
      <c r="B57" s="283" t="s">
        <v>199</v>
      </c>
      <c r="C57" s="284"/>
      <c r="D57" s="284"/>
      <c r="E57" s="284"/>
      <c r="F57" s="286" t="s">
        <v>237</v>
      </c>
      <c r="G57" s="286"/>
      <c r="H57" s="286"/>
      <c r="I57" s="286"/>
      <c r="J57" s="286"/>
      <c r="K57" s="286"/>
      <c r="L57" s="286"/>
      <c r="M57" s="286"/>
      <c r="N57" s="286"/>
      <c r="O57" s="286"/>
      <c r="P57" s="286"/>
      <c r="Q57" s="286"/>
      <c r="R57" s="286"/>
      <c r="S57" s="286"/>
      <c r="T57" s="286"/>
      <c r="U57" s="286"/>
      <c r="V57" s="286"/>
      <c r="W57" s="286"/>
      <c r="X57" s="286"/>
      <c r="Y57" s="286"/>
      <c r="Z57" s="286"/>
      <c r="AA57" s="286"/>
      <c r="AB57" s="286"/>
      <c r="AC57" s="286"/>
      <c r="AD57" s="286"/>
      <c r="AE57" s="286"/>
      <c r="AF57" s="286"/>
      <c r="AG57" s="286"/>
      <c r="AH57" s="286"/>
      <c r="AI57" s="287"/>
    </row>
    <row r="58" spans="1:40" ht="18" customHeight="1">
      <c r="A58" s="36"/>
      <c r="B58" s="283"/>
      <c r="C58" s="284"/>
      <c r="D58" s="284"/>
      <c r="E58" s="284"/>
      <c r="F58" s="288" t="s">
        <v>238</v>
      </c>
      <c r="G58" s="288"/>
      <c r="H58" s="288"/>
      <c r="I58" s="288"/>
      <c r="J58" s="288"/>
      <c r="K58" s="288"/>
      <c r="L58" s="288"/>
      <c r="M58" s="288"/>
      <c r="N58" s="288"/>
      <c r="O58" s="288"/>
      <c r="P58" s="288"/>
      <c r="Q58" s="288"/>
      <c r="R58" s="288"/>
      <c r="S58" s="288"/>
      <c r="T58" s="288"/>
      <c r="U58" s="288"/>
      <c r="V58" s="288"/>
      <c r="W58" s="288"/>
      <c r="X58" s="288"/>
      <c r="Y58" s="288"/>
      <c r="Z58" s="288"/>
      <c r="AA58" s="288"/>
      <c r="AB58" s="288"/>
      <c r="AC58" s="288"/>
      <c r="AD58" s="288"/>
      <c r="AE58" s="288"/>
      <c r="AF58" s="288"/>
      <c r="AG58" s="288"/>
      <c r="AH58" s="288"/>
      <c r="AI58" s="289"/>
    </row>
    <row r="59" spans="1:40" ht="18" customHeight="1">
      <c r="A59" s="36"/>
      <c r="B59" s="283" t="s">
        <v>199</v>
      </c>
      <c r="C59" s="284"/>
      <c r="D59" s="284"/>
      <c r="E59" s="284"/>
      <c r="F59" s="286" t="s">
        <v>239</v>
      </c>
      <c r="G59" s="286"/>
      <c r="H59" s="286"/>
      <c r="I59" s="286"/>
      <c r="J59" s="286"/>
      <c r="K59" s="286"/>
      <c r="L59" s="286"/>
      <c r="M59" s="286"/>
      <c r="N59" s="286"/>
      <c r="O59" s="286"/>
      <c r="P59" s="286"/>
      <c r="Q59" s="286"/>
      <c r="R59" s="286"/>
      <c r="S59" s="286"/>
      <c r="T59" s="286"/>
      <c r="U59" s="286"/>
      <c r="V59" s="286"/>
      <c r="W59" s="286"/>
      <c r="X59" s="286"/>
      <c r="Y59" s="286"/>
      <c r="Z59" s="286"/>
      <c r="AA59" s="286"/>
      <c r="AB59" s="286"/>
      <c r="AC59" s="286"/>
      <c r="AD59" s="286"/>
      <c r="AE59" s="286"/>
      <c r="AF59" s="286"/>
      <c r="AG59" s="286"/>
      <c r="AH59" s="286"/>
      <c r="AI59" s="287"/>
    </row>
    <row r="60" spans="1:40" ht="18" customHeight="1">
      <c r="A60" s="36"/>
      <c r="B60" s="291"/>
      <c r="C60" s="291"/>
      <c r="D60" s="291"/>
      <c r="E60" s="291"/>
      <c r="F60" s="288"/>
      <c r="G60" s="288"/>
      <c r="H60" s="288"/>
      <c r="I60" s="288"/>
      <c r="J60" s="288"/>
      <c r="K60" s="288"/>
      <c r="L60" s="288"/>
      <c r="M60" s="288"/>
      <c r="N60" s="288"/>
      <c r="O60" s="288"/>
      <c r="P60" s="288"/>
      <c r="Q60" s="288"/>
      <c r="R60" s="288"/>
      <c r="S60" s="288"/>
      <c r="T60" s="288"/>
      <c r="U60" s="288"/>
      <c r="V60" s="288"/>
      <c r="W60" s="288"/>
      <c r="X60" s="288"/>
      <c r="Y60" s="288"/>
      <c r="Z60" s="288"/>
      <c r="AA60" s="288"/>
      <c r="AB60" s="288"/>
      <c r="AC60" s="288"/>
      <c r="AD60" s="288"/>
      <c r="AE60" s="288"/>
      <c r="AF60" s="288"/>
      <c r="AG60" s="288"/>
      <c r="AH60" s="288"/>
      <c r="AI60" s="289"/>
    </row>
    <row r="61" spans="1:40" ht="18" customHeight="1">
      <c r="A61" s="36"/>
      <c r="B61" s="294" t="s">
        <v>240</v>
      </c>
      <c r="C61" s="294"/>
      <c r="D61" s="294"/>
      <c r="E61" s="294"/>
      <c r="F61" s="294"/>
      <c r="G61" s="294"/>
      <c r="H61" s="294"/>
      <c r="I61" s="294"/>
      <c r="J61" s="294"/>
      <c r="K61" s="294"/>
      <c r="L61" s="294"/>
      <c r="M61" s="294"/>
      <c r="N61" s="294"/>
      <c r="O61" s="294"/>
      <c r="P61" s="294"/>
      <c r="Q61" s="294"/>
      <c r="R61" s="294"/>
      <c r="S61" s="294"/>
      <c r="T61" s="294"/>
      <c r="U61" s="294"/>
      <c r="V61" s="294"/>
      <c r="W61" s="294"/>
      <c r="X61" s="294"/>
      <c r="Y61" s="294"/>
      <c r="Z61" s="294"/>
      <c r="AA61" s="294"/>
      <c r="AB61" s="294"/>
      <c r="AC61" s="294"/>
      <c r="AD61" s="294"/>
      <c r="AE61" s="294"/>
      <c r="AF61" s="294"/>
      <c r="AG61" s="294"/>
      <c r="AH61" s="294"/>
      <c r="AI61" s="295"/>
    </row>
    <row r="62" spans="1:40" ht="18" customHeight="1">
      <c r="A62" s="36"/>
      <c r="B62" s="291"/>
      <c r="C62" s="291"/>
      <c r="D62" s="291"/>
      <c r="E62" s="291"/>
      <c r="F62" s="286" t="s">
        <v>241</v>
      </c>
      <c r="G62" s="286"/>
      <c r="H62" s="286"/>
      <c r="I62" s="286"/>
      <c r="J62" s="286"/>
      <c r="K62" s="286"/>
      <c r="L62" s="286"/>
      <c r="M62" s="286"/>
      <c r="N62" s="286"/>
      <c r="O62" s="286"/>
      <c r="P62" s="286"/>
      <c r="Q62" s="286"/>
      <c r="R62" s="286"/>
      <c r="S62" s="286"/>
      <c r="T62" s="286"/>
      <c r="U62" s="286"/>
      <c r="V62" s="286"/>
      <c r="W62" s="286"/>
      <c r="X62" s="286"/>
      <c r="Y62" s="286"/>
      <c r="Z62" s="286"/>
      <c r="AA62" s="286"/>
      <c r="AB62" s="286"/>
      <c r="AC62" s="286"/>
      <c r="AD62" s="286"/>
      <c r="AE62" s="286"/>
      <c r="AF62" s="286"/>
      <c r="AG62" s="286"/>
      <c r="AH62" s="286"/>
      <c r="AI62" s="287"/>
    </row>
    <row r="63" spans="1:40" ht="18" customHeight="1">
      <c r="A63" s="36"/>
      <c r="B63" s="291"/>
      <c r="C63" s="291"/>
      <c r="D63" s="291"/>
      <c r="E63" s="291"/>
      <c r="F63" s="288"/>
      <c r="G63" s="288"/>
      <c r="H63" s="288"/>
      <c r="I63" s="288"/>
      <c r="J63" s="288"/>
      <c r="K63" s="288"/>
      <c r="L63" s="288"/>
      <c r="M63" s="288"/>
      <c r="N63" s="288"/>
      <c r="O63" s="288"/>
      <c r="P63" s="288"/>
      <c r="Q63" s="288"/>
      <c r="R63" s="288"/>
      <c r="S63" s="288"/>
      <c r="T63" s="288"/>
      <c r="U63" s="288"/>
      <c r="V63" s="288"/>
      <c r="W63" s="288"/>
      <c r="X63" s="288"/>
      <c r="Y63" s="288"/>
      <c r="Z63" s="288"/>
      <c r="AA63" s="288"/>
      <c r="AB63" s="288"/>
      <c r="AC63" s="288"/>
      <c r="AD63" s="288"/>
      <c r="AE63" s="288"/>
      <c r="AF63" s="288"/>
      <c r="AG63" s="288"/>
      <c r="AH63" s="288"/>
      <c r="AI63" s="289"/>
    </row>
    <row r="64" spans="1:40" ht="18" customHeight="1">
      <c r="A64" s="36"/>
      <c r="B64" s="294" t="s">
        <v>242</v>
      </c>
      <c r="C64" s="294"/>
      <c r="D64" s="294"/>
      <c r="E64" s="294"/>
      <c r="F64" s="294"/>
      <c r="G64" s="294"/>
      <c r="H64" s="294"/>
      <c r="I64" s="294"/>
      <c r="J64" s="294"/>
      <c r="K64" s="294"/>
      <c r="L64" s="294"/>
      <c r="M64" s="294"/>
      <c r="N64" s="294"/>
      <c r="O64" s="294"/>
      <c r="P64" s="294"/>
      <c r="Q64" s="294"/>
      <c r="R64" s="294"/>
      <c r="S64" s="294"/>
      <c r="T64" s="294"/>
      <c r="U64" s="294"/>
      <c r="V64" s="294"/>
      <c r="W64" s="294"/>
      <c r="X64" s="294"/>
      <c r="Y64" s="294"/>
      <c r="Z64" s="294"/>
      <c r="AA64" s="294"/>
      <c r="AB64" s="294"/>
      <c r="AC64" s="294"/>
      <c r="AD64" s="294"/>
      <c r="AE64" s="294"/>
      <c r="AF64" s="294"/>
      <c r="AG64" s="294"/>
      <c r="AH64" s="294"/>
      <c r="AI64" s="295"/>
    </row>
    <row r="65" spans="1:35" ht="18" customHeight="1">
      <c r="A65" s="36"/>
      <c r="B65" s="283" t="s">
        <v>243</v>
      </c>
      <c r="C65" s="284"/>
      <c r="D65" s="284"/>
      <c r="E65" s="284"/>
      <c r="F65" s="286" t="s">
        <v>244</v>
      </c>
      <c r="G65" s="286"/>
      <c r="H65" s="286"/>
      <c r="I65" s="286"/>
      <c r="J65" s="286"/>
      <c r="K65" s="286"/>
      <c r="L65" s="286"/>
      <c r="M65" s="286"/>
      <c r="N65" s="286"/>
      <c r="O65" s="286"/>
      <c r="P65" s="286"/>
      <c r="Q65" s="286"/>
      <c r="R65" s="286"/>
      <c r="S65" s="286"/>
      <c r="T65" s="286"/>
      <c r="U65" s="286"/>
      <c r="V65" s="286"/>
      <c r="W65" s="286"/>
      <c r="X65" s="286"/>
      <c r="Y65" s="286"/>
      <c r="Z65" s="286"/>
      <c r="AA65" s="286"/>
      <c r="AB65" s="286"/>
      <c r="AC65" s="286"/>
      <c r="AD65" s="286"/>
      <c r="AE65" s="286"/>
      <c r="AF65" s="286"/>
      <c r="AG65" s="286"/>
      <c r="AH65" s="286"/>
      <c r="AI65" s="287"/>
    </row>
    <row r="66" spans="1:35" ht="18" customHeight="1">
      <c r="A66" s="36"/>
      <c r="B66" s="283" t="s">
        <v>207</v>
      </c>
      <c r="C66" s="284"/>
      <c r="D66" s="284"/>
      <c r="E66" s="284"/>
      <c r="F66" s="286" t="s">
        <v>245</v>
      </c>
      <c r="G66" s="286"/>
      <c r="H66" s="286"/>
      <c r="I66" s="286"/>
      <c r="J66" s="286"/>
      <c r="K66" s="286"/>
      <c r="L66" s="286"/>
      <c r="M66" s="286"/>
      <c r="N66" s="286"/>
      <c r="O66" s="286"/>
      <c r="P66" s="286"/>
      <c r="Q66" s="286"/>
      <c r="R66" s="286"/>
      <c r="S66" s="286"/>
      <c r="T66" s="286"/>
      <c r="U66" s="286"/>
      <c r="V66" s="286"/>
      <c r="W66" s="286"/>
      <c r="X66" s="286"/>
      <c r="Y66" s="286"/>
      <c r="Z66" s="286"/>
      <c r="AA66" s="286"/>
      <c r="AB66" s="286"/>
      <c r="AC66" s="286"/>
      <c r="AD66" s="286"/>
      <c r="AE66" s="286"/>
      <c r="AF66" s="286"/>
      <c r="AG66" s="286"/>
      <c r="AH66" s="286"/>
      <c r="AI66" s="287"/>
    </row>
    <row r="67" spans="1:35" ht="18" customHeight="1">
      <c r="A67" s="36"/>
      <c r="B67" s="283" t="s">
        <v>246</v>
      </c>
      <c r="C67" s="284"/>
      <c r="D67" s="284"/>
      <c r="E67" s="284"/>
      <c r="F67" s="286" t="s">
        <v>247</v>
      </c>
      <c r="G67" s="286"/>
      <c r="H67" s="286"/>
      <c r="I67" s="286"/>
      <c r="J67" s="286"/>
      <c r="K67" s="286"/>
      <c r="L67" s="286"/>
      <c r="M67" s="286"/>
      <c r="N67" s="286"/>
      <c r="O67" s="286"/>
      <c r="P67" s="286"/>
      <c r="Q67" s="286"/>
      <c r="R67" s="286"/>
      <c r="S67" s="286"/>
      <c r="T67" s="286"/>
      <c r="U67" s="286"/>
      <c r="V67" s="286"/>
      <c r="W67" s="286"/>
      <c r="X67" s="286"/>
      <c r="Y67" s="286"/>
      <c r="Z67" s="286"/>
      <c r="AA67" s="286"/>
      <c r="AB67" s="286"/>
      <c r="AC67" s="286"/>
      <c r="AD67" s="286"/>
      <c r="AE67" s="286"/>
      <c r="AF67" s="286"/>
      <c r="AG67" s="286"/>
      <c r="AH67" s="286"/>
      <c r="AI67" s="287"/>
    </row>
    <row r="68" spans="1:35" ht="18" customHeight="1">
      <c r="A68" s="36"/>
      <c r="B68" s="283" t="s">
        <v>246</v>
      </c>
      <c r="C68" s="284"/>
      <c r="D68" s="284"/>
      <c r="E68" s="284"/>
      <c r="F68" s="286" t="s">
        <v>248</v>
      </c>
      <c r="G68" s="286"/>
      <c r="H68" s="286"/>
      <c r="I68" s="286"/>
      <c r="J68" s="286"/>
      <c r="K68" s="286"/>
      <c r="L68" s="286"/>
      <c r="M68" s="286"/>
      <c r="N68" s="286"/>
      <c r="O68" s="286"/>
      <c r="P68" s="286"/>
      <c r="Q68" s="286"/>
      <c r="R68" s="286"/>
      <c r="S68" s="286"/>
      <c r="T68" s="286"/>
      <c r="U68" s="286"/>
      <c r="V68" s="286"/>
      <c r="W68" s="286"/>
      <c r="X68" s="286"/>
      <c r="Y68" s="286"/>
      <c r="Z68" s="286"/>
      <c r="AA68" s="286"/>
      <c r="AB68" s="286"/>
      <c r="AC68" s="286"/>
      <c r="AD68" s="286"/>
      <c r="AE68" s="286"/>
      <c r="AF68" s="286"/>
      <c r="AG68" s="286"/>
      <c r="AH68" s="286"/>
      <c r="AI68" s="287"/>
    </row>
    <row r="69" spans="1:35" ht="18" customHeight="1">
      <c r="A69" s="36"/>
      <c r="B69" s="283"/>
      <c r="C69" s="284"/>
      <c r="D69" s="284"/>
      <c r="E69" s="284"/>
      <c r="F69" s="286" t="s">
        <v>249</v>
      </c>
      <c r="G69" s="286"/>
      <c r="H69" s="286"/>
      <c r="I69" s="286"/>
      <c r="J69" s="286"/>
      <c r="K69" s="286"/>
      <c r="L69" s="286"/>
      <c r="M69" s="286"/>
      <c r="N69" s="286"/>
      <c r="O69" s="286"/>
      <c r="P69" s="286"/>
      <c r="Q69" s="286"/>
      <c r="R69" s="286"/>
      <c r="S69" s="286"/>
      <c r="T69" s="286"/>
      <c r="U69" s="286"/>
      <c r="V69" s="286"/>
      <c r="W69" s="286"/>
      <c r="X69" s="286"/>
      <c r="Y69" s="286"/>
      <c r="Z69" s="286"/>
      <c r="AA69" s="286"/>
      <c r="AB69" s="286"/>
      <c r="AC69" s="286"/>
      <c r="AD69" s="286"/>
      <c r="AE69" s="286"/>
      <c r="AF69" s="286"/>
      <c r="AG69" s="286"/>
      <c r="AH69" s="286"/>
      <c r="AI69" s="287"/>
    </row>
    <row r="70" spans="1:35" ht="18" customHeight="1">
      <c r="A70" s="36"/>
      <c r="B70" s="283" t="s">
        <v>250</v>
      </c>
      <c r="C70" s="284"/>
      <c r="D70" s="284"/>
      <c r="E70" s="284"/>
      <c r="F70" s="286" t="s">
        <v>251</v>
      </c>
      <c r="G70" s="286"/>
      <c r="H70" s="286"/>
      <c r="I70" s="286"/>
      <c r="J70" s="286"/>
      <c r="K70" s="286"/>
      <c r="L70" s="286"/>
      <c r="M70" s="286"/>
      <c r="N70" s="286"/>
      <c r="O70" s="286"/>
      <c r="P70" s="286"/>
      <c r="Q70" s="286"/>
      <c r="R70" s="286"/>
      <c r="S70" s="286"/>
      <c r="T70" s="286"/>
      <c r="U70" s="286"/>
      <c r="V70" s="286"/>
      <c r="W70" s="286"/>
      <c r="X70" s="286"/>
      <c r="Y70" s="286"/>
      <c r="Z70" s="286"/>
      <c r="AA70" s="286"/>
      <c r="AB70" s="286"/>
      <c r="AC70" s="286"/>
      <c r="AD70" s="286"/>
      <c r="AE70" s="286"/>
      <c r="AF70" s="286"/>
      <c r="AG70" s="286"/>
      <c r="AH70" s="286"/>
      <c r="AI70" s="287"/>
    </row>
    <row r="71" spans="1:35" ht="18" customHeight="1">
      <c r="A71" s="36"/>
      <c r="B71" s="291"/>
      <c r="C71" s="291"/>
      <c r="D71" s="291"/>
      <c r="E71" s="291"/>
      <c r="F71" s="288"/>
      <c r="G71" s="288"/>
      <c r="H71" s="288"/>
      <c r="I71" s="288"/>
      <c r="J71" s="288"/>
      <c r="K71" s="288"/>
      <c r="L71" s="288"/>
      <c r="M71" s="288"/>
      <c r="N71" s="288"/>
      <c r="O71" s="288"/>
      <c r="P71" s="288"/>
      <c r="Q71" s="288"/>
      <c r="R71" s="288"/>
      <c r="S71" s="288"/>
      <c r="T71" s="288"/>
      <c r="U71" s="288"/>
      <c r="V71" s="288"/>
      <c r="W71" s="288"/>
      <c r="X71" s="288"/>
      <c r="Y71" s="288"/>
      <c r="Z71" s="288"/>
      <c r="AA71" s="288"/>
      <c r="AB71" s="288"/>
      <c r="AC71" s="288"/>
      <c r="AD71" s="288"/>
      <c r="AE71" s="288"/>
      <c r="AF71" s="288"/>
      <c r="AG71" s="288"/>
      <c r="AH71" s="288"/>
      <c r="AI71" s="289"/>
    </row>
    <row r="72" spans="1:35" ht="18" customHeight="1">
      <c r="A72" s="36"/>
      <c r="B72" s="292" t="s">
        <v>252</v>
      </c>
      <c r="C72" s="292"/>
      <c r="D72" s="292"/>
      <c r="E72" s="292"/>
      <c r="F72" s="292"/>
      <c r="G72" s="292"/>
      <c r="H72" s="292"/>
      <c r="I72" s="292"/>
      <c r="J72" s="292"/>
      <c r="K72" s="292"/>
      <c r="L72" s="292"/>
      <c r="M72" s="292"/>
      <c r="N72" s="292"/>
      <c r="O72" s="292"/>
      <c r="P72" s="292"/>
      <c r="Q72" s="292"/>
      <c r="R72" s="292"/>
      <c r="S72" s="292"/>
      <c r="T72" s="292"/>
      <c r="U72" s="292"/>
      <c r="V72" s="292"/>
      <c r="W72" s="292"/>
      <c r="X72" s="292"/>
      <c r="Y72" s="292"/>
      <c r="Z72" s="292"/>
      <c r="AA72" s="292"/>
      <c r="AB72" s="292"/>
      <c r="AC72" s="292"/>
      <c r="AD72" s="292"/>
      <c r="AE72" s="292"/>
      <c r="AF72" s="292"/>
      <c r="AG72" s="292"/>
      <c r="AH72" s="292"/>
      <c r="AI72" s="293"/>
    </row>
    <row r="73" spans="1:35" ht="18" customHeight="1">
      <c r="A73" s="36"/>
      <c r="B73" s="283" t="s">
        <v>231</v>
      </c>
      <c r="C73" s="284"/>
      <c r="D73" s="284"/>
      <c r="E73" s="284"/>
      <c r="F73" s="286" t="s">
        <v>253</v>
      </c>
      <c r="G73" s="286"/>
      <c r="H73" s="286"/>
      <c r="I73" s="286"/>
      <c r="J73" s="286"/>
      <c r="K73" s="286"/>
      <c r="L73" s="286"/>
      <c r="M73" s="286"/>
      <c r="N73" s="286"/>
      <c r="O73" s="286"/>
      <c r="P73" s="286"/>
      <c r="Q73" s="286"/>
      <c r="R73" s="286"/>
      <c r="S73" s="286"/>
      <c r="T73" s="286"/>
      <c r="U73" s="286"/>
      <c r="V73" s="286"/>
      <c r="W73" s="286"/>
      <c r="X73" s="286"/>
      <c r="Y73" s="286"/>
      <c r="Z73" s="286"/>
      <c r="AA73" s="286"/>
      <c r="AB73" s="286"/>
      <c r="AC73" s="286"/>
      <c r="AD73" s="286"/>
      <c r="AE73" s="286"/>
      <c r="AF73" s="286"/>
      <c r="AG73" s="286"/>
      <c r="AH73" s="286"/>
      <c r="AI73" s="287"/>
    </row>
    <row r="74" spans="1:35" ht="18" customHeight="1">
      <c r="A74" s="36"/>
      <c r="B74" s="291"/>
      <c r="C74" s="291"/>
      <c r="D74" s="291"/>
      <c r="E74" s="291"/>
      <c r="F74" s="288" t="s">
        <v>254</v>
      </c>
      <c r="G74" s="288"/>
      <c r="H74" s="288"/>
      <c r="I74" s="288"/>
      <c r="J74" s="288"/>
      <c r="K74" s="288"/>
      <c r="L74" s="288"/>
      <c r="M74" s="288"/>
      <c r="N74" s="288"/>
      <c r="O74" s="288"/>
      <c r="P74" s="288"/>
      <c r="Q74" s="288"/>
      <c r="R74" s="288"/>
      <c r="S74" s="288"/>
      <c r="T74" s="288"/>
      <c r="U74" s="288"/>
      <c r="V74" s="288"/>
      <c r="W74" s="288"/>
      <c r="X74" s="288"/>
      <c r="Y74" s="288"/>
      <c r="Z74" s="288"/>
      <c r="AA74" s="288"/>
      <c r="AB74" s="288"/>
      <c r="AC74" s="288"/>
      <c r="AD74" s="288"/>
      <c r="AE74" s="288"/>
      <c r="AF74" s="288"/>
      <c r="AG74" s="288"/>
      <c r="AH74" s="288"/>
      <c r="AI74" s="289"/>
    </row>
    <row r="75" spans="1:35" ht="18" customHeight="1">
      <c r="A75" s="36"/>
      <c r="B75" s="291"/>
      <c r="C75" s="291"/>
      <c r="D75" s="291"/>
      <c r="E75" s="291"/>
      <c r="F75" s="288"/>
      <c r="G75" s="288"/>
      <c r="H75" s="288"/>
      <c r="I75" s="288"/>
      <c r="J75" s="288"/>
      <c r="K75" s="288"/>
      <c r="L75" s="288"/>
      <c r="M75" s="288"/>
      <c r="N75" s="288"/>
      <c r="O75" s="288"/>
      <c r="P75" s="288"/>
      <c r="Q75" s="288"/>
      <c r="R75" s="288"/>
      <c r="S75" s="288"/>
      <c r="T75" s="288"/>
      <c r="U75" s="288"/>
      <c r="V75" s="288"/>
      <c r="W75" s="288"/>
      <c r="X75" s="288"/>
      <c r="Y75" s="288"/>
      <c r="Z75" s="288"/>
      <c r="AA75" s="288"/>
      <c r="AB75" s="288"/>
      <c r="AC75" s="288"/>
      <c r="AD75" s="288"/>
      <c r="AE75" s="288"/>
      <c r="AF75" s="288"/>
      <c r="AG75" s="288"/>
      <c r="AH75" s="288"/>
      <c r="AI75" s="289"/>
    </row>
    <row r="76" spans="1:35" ht="18" customHeight="1">
      <c r="A76" s="36"/>
      <c r="B76" s="302" t="s">
        <v>255</v>
      </c>
      <c r="C76" s="302"/>
      <c r="D76" s="302"/>
      <c r="E76" s="302"/>
      <c r="F76" s="302"/>
      <c r="G76" s="302"/>
      <c r="H76" s="302"/>
      <c r="I76" s="302"/>
      <c r="J76" s="302"/>
      <c r="K76" s="302"/>
      <c r="L76" s="302"/>
      <c r="M76" s="302"/>
      <c r="N76" s="302"/>
      <c r="O76" s="302"/>
      <c r="P76" s="302"/>
      <c r="Q76" s="302"/>
      <c r="R76" s="302"/>
      <c r="S76" s="302"/>
      <c r="T76" s="302"/>
      <c r="U76" s="302"/>
      <c r="V76" s="302"/>
      <c r="W76" s="302"/>
      <c r="X76" s="302"/>
      <c r="Y76" s="302"/>
      <c r="Z76" s="302"/>
      <c r="AA76" s="302"/>
      <c r="AB76" s="302"/>
      <c r="AC76" s="302"/>
      <c r="AD76" s="302"/>
      <c r="AE76" s="302"/>
      <c r="AF76" s="302"/>
      <c r="AG76" s="302"/>
      <c r="AH76" s="302"/>
      <c r="AI76" s="303"/>
    </row>
    <row r="77" spans="1:35" ht="18" customHeight="1">
      <c r="A77" s="36"/>
      <c r="B77" s="291"/>
      <c r="C77" s="291"/>
      <c r="D77" s="291"/>
      <c r="E77" s="291"/>
      <c r="F77" s="286" t="s">
        <v>241</v>
      </c>
      <c r="G77" s="286"/>
      <c r="H77" s="286"/>
      <c r="I77" s="286"/>
      <c r="J77" s="286"/>
      <c r="K77" s="286"/>
      <c r="L77" s="286"/>
      <c r="M77" s="286"/>
      <c r="N77" s="286"/>
      <c r="O77" s="286"/>
      <c r="P77" s="286"/>
      <c r="Q77" s="286"/>
      <c r="R77" s="286"/>
      <c r="S77" s="286"/>
      <c r="T77" s="286"/>
      <c r="U77" s="286"/>
      <c r="V77" s="286"/>
      <c r="W77" s="286"/>
      <c r="X77" s="286"/>
      <c r="Y77" s="286"/>
      <c r="Z77" s="286"/>
      <c r="AA77" s="286"/>
      <c r="AB77" s="286"/>
      <c r="AC77" s="286"/>
      <c r="AD77" s="286"/>
      <c r="AE77" s="286"/>
      <c r="AF77" s="286"/>
      <c r="AG77" s="286"/>
      <c r="AH77" s="286"/>
      <c r="AI77" s="287"/>
    </row>
    <row r="78" spans="1:35" ht="18" customHeight="1">
      <c r="A78" s="36"/>
      <c r="B78" s="291"/>
      <c r="C78" s="291"/>
      <c r="D78" s="291"/>
      <c r="E78" s="291"/>
      <c r="F78" s="288"/>
      <c r="G78" s="288"/>
      <c r="H78" s="288"/>
      <c r="I78" s="288"/>
      <c r="J78" s="288"/>
      <c r="K78" s="288"/>
      <c r="L78" s="288"/>
      <c r="M78" s="288"/>
      <c r="N78" s="288"/>
      <c r="O78" s="288"/>
      <c r="P78" s="288"/>
      <c r="Q78" s="288"/>
      <c r="R78" s="288"/>
      <c r="S78" s="288"/>
      <c r="T78" s="288"/>
      <c r="U78" s="288"/>
      <c r="V78" s="288"/>
      <c r="W78" s="288"/>
      <c r="X78" s="288"/>
      <c r="Y78" s="288"/>
      <c r="Z78" s="288"/>
      <c r="AA78" s="288"/>
      <c r="AB78" s="288"/>
      <c r="AC78" s="288"/>
      <c r="AD78" s="288"/>
      <c r="AE78" s="288"/>
      <c r="AF78" s="288"/>
      <c r="AG78" s="288"/>
      <c r="AH78" s="288"/>
      <c r="AI78" s="289"/>
    </row>
    <row r="79" spans="1:35" ht="18" customHeight="1">
      <c r="A79" s="36"/>
      <c r="B79" s="302" t="s">
        <v>256</v>
      </c>
      <c r="C79" s="302"/>
      <c r="D79" s="302"/>
      <c r="E79" s="302"/>
      <c r="F79" s="302"/>
      <c r="G79" s="302"/>
      <c r="H79" s="302"/>
      <c r="I79" s="302"/>
      <c r="J79" s="302"/>
      <c r="K79" s="302"/>
      <c r="L79" s="302"/>
      <c r="M79" s="302"/>
      <c r="N79" s="302"/>
      <c r="O79" s="302"/>
      <c r="P79" s="302"/>
      <c r="Q79" s="302"/>
      <c r="R79" s="302"/>
      <c r="S79" s="302"/>
      <c r="T79" s="302"/>
      <c r="U79" s="302"/>
      <c r="V79" s="302"/>
      <c r="W79" s="302"/>
      <c r="X79" s="302"/>
      <c r="Y79" s="302"/>
      <c r="Z79" s="302"/>
      <c r="AA79" s="302"/>
      <c r="AB79" s="302"/>
      <c r="AC79" s="302"/>
      <c r="AD79" s="302"/>
      <c r="AE79" s="302"/>
      <c r="AF79" s="302"/>
      <c r="AG79" s="302"/>
      <c r="AH79" s="302"/>
      <c r="AI79" s="303"/>
    </row>
    <row r="80" spans="1:35" ht="18" customHeight="1">
      <c r="A80" s="36"/>
      <c r="B80" s="291"/>
      <c r="C80" s="291"/>
      <c r="D80" s="291"/>
      <c r="E80" s="291"/>
      <c r="F80" s="286" t="s">
        <v>241</v>
      </c>
      <c r="G80" s="286"/>
      <c r="H80" s="286"/>
      <c r="I80" s="286"/>
      <c r="J80" s="286"/>
      <c r="K80" s="286"/>
      <c r="L80" s="286"/>
      <c r="M80" s="286"/>
      <c r="N80" s="286"/>
      <c r="O80" s="286"/>
      <c r="P80" s="286"/>
      <c r="Q80" s="286"/>
      <c r="R80" s="286"/>
      <c r="S80" s="286"/>
      <c r="T80" s="286"/>
      <c r="U80" s="286"/>
      <c r="V80" s="286"/>
      <c r="W80" s="286"/>
      <c r="X80" s="286"/>
      <c r="Y80" s="286"/>
      <c r="Z80" s="286"/>
      <c r="AA80" s="286"/>
      <c r="AB80" s="286"/>
      <c r="AC80" s="286"/>
      <c r="AD80" s="286"/>
      <c r="AE80" s="286"/>
      <c r="AF80" s="286"/>
      <c r="AG80" s="286"/>
      <c r="AH80" s="286"/>
      <c r="AI80" s="287"/>
    </row>
    <row r="81" spans="1:35" ht="18" customHeight="1">
      <c r="A81" s="36"/>
      <c r="B81" s="291"/>
      <c r="C81" s="291"/>
      <c r="D81" s="291"/>
      <c r="E81" s="291"/>
      <c r="F81" s="288"/>
      <c r="G81" s="288"/>
      <c r="H81" s="288"/>
      <c r="I81" s="288"/>
      <c r="J81" s="288"/>
      <c r="K81" s="288"/>
      <c r="L81" s="288"/>
      <c r="M81" s="288"/>
      <c r="N81" s="288"/>
      <c r="O81" s="288"/>
      <c r="P81" s="288"/>
      <c r="Q81" s="288"/>
      <c r="R81" s="288"/>
      <c r="S81" s="288"/>
      <c r="T81" s="288"/>
      <c r="U81" s="288"/>
      <c r="V81" s="288"/>
      <c r="W81" s="288"/>
      <c r="X81" s="288"/>
      <c r="Y81" s="288"/>
      <c r="Z81" s="288"/>
      <c r="AA81" s="288"/>
      <c r="AB81" s="288"/>
      <c r="AC81" s="288"/>
      <c r="AD81" s="288"/>
      <c r="AE81" s="288"/>
      <c r="AF81" s="288"/>
      <c r="AG81" s="288"/>
      <c r="AH81" s="288"/>
      <c r="AI81" s="289"/>
    </row>
    <row r="82" spans="1:35" ht="18" customHeight="1">
      <c r="A82" s="36"/>
      <c r="B82" s="291"/>
      <c r="C82" s="291"/>
      <c r="D82" s="291"/>
      <c r="E82" s="291"/>
      <c r="F82" s="288"/>
      <c r="G82" s="288"/>
      <c r="H82" s="288"/>
      <c r="I82" s="288"/>
      <c r="J82" s="288"/>
      <c r="K82" s="288"/>
      <c r="L82" s="288"/>
      <c r="M82" s="288"/>
      <c r="N82" s="288"/>
      <c r="O82" s="288"/>
      <c r="P82" s="288"/>
      <c r="Q82" s="288"/>
      <c r="R82" s="288"/>
      <c r="S82" s="288"/>
      <c r="T82" s="288"/>
      <c r="U82" s="288"/>
      <c r="V82" s="288"/>
      <c r="W82" s="288"/>
      <c r="X82" s="288"/>
      <c r="Y82" s="288"/>
      <c r="Z82" s="288"/>
      <c r="AA82" s="288"/>
      <c r="AB82" s="288"/>
      <c r="AC82" s="288"/>
      <c r="AD82" s="288"/>
      <c r="AE82" s="288"/>
      <c r="AF82" s="288"/>
      <c r="AG82" s="288"/>
      <c r="AH82" s="288"/>
      <c r="AI82" s="289"/>
    </row>
    <row r="83" spans="1:35" ht="18" customHeight="1">
      <c r="A83" s="36"/>
      <c r="B83" s="291"/>
      <c r="C83" s="291"/>
      <c r="D83" s="291"/>
      <c r="E83" s="291"/>
      <c r="F83" s="288"/>
      <c r="G83" s="288"/>
      <c r="H83" s="288"/>
      <c r="I83" s="288"/>
      <c r="J83" s="288"/>
      <c r="K83" s="288"/>
      <c r="L83" s="288"/>
      <c r="M83" s="288"/>
      <c r="N83" s="288"/>
      <c r="O83" s="288"/>
      <c r="P83" s="288"/>
      <c r="Q83" s="288"/>
      <c r="R83" s="288"/>
      <c r="S83" s="288"/>
      <c r="T83" s="288"/>
      <c r="U83" s="288"/>
      <c r="V83" s="288"/>
      <c r="W83" s="288"/>
      <c r="X83" s="288"/>
      <c r="Y83" s="288"/>
      <c r="Z83" s="288"/>
      <c r="AA83" s="288"/>
      <c r="AB83" s="288"/>
      <c r="AC83" s="288"/>
      <c r="AD83" s="288"/>
      <c r="AE83" s="288"/>
      <c r="AF83" s="288"/>
      <c r="AG83" s="288"/>
      <c r="AH83" s="288"/>
      <c r="AI83" s="289"/>
    </row>
    <row r="84" spans="1:35" ht="18" customHeight="1" thickBot="1">
      <c r="A84" s="41"/>
      <c r="B84" s="304"/>
      <c r="C84" s="304"/>
      <c r="D84" s="304"/>
      <c r="E84" s="304"/>
      <c r="F84" s="305"/>
      <c r="G84" s="305"/>
      <c r="H84" s="305"/>
      <c r="I84" s="305"/>
      <c r="J84" s="305"/>
      <c r="K84" s="305"/>
      <c r="L84" s="305"/>
      <c r="M84" s="305"/>
      <c r="N84" s="305"/>
      <c r="O84" s="305"/>
      <c r="P84" s="305"/>
      <c r="Q84" s="305"/>
      <c r="R84" s="305"/>
      <c r="S84" s="305"/>
      <c r="T84" s="305"/>
      <c r="U84" s="305"/>
      <c r="V84" s="305"/>
      <c r="W84" s="305"/>
      <c r="X84" s="305"/>
      <c r="Y84" s="305"/>
      <c r="Z84" s="305"/>
      <c r="AA84" s="305"/>
      <c r="AB84" s="305"/>
      <c r="AC84" s="305"/>
      <c r="AD84" s="305"/>
      <c r="AE84" s="305"/>
      <c r="AF84" s="305"/>
      <c r="AG84" s="305"/>
      <c r="AH84" s="305"/>
      <c r="AI84" s="306"/>
    </row>
    <row r="85" spans="1:35" ht="18" customHeight="1" thickBot="1">
      <c r="A85" s="27"/>
      <c r="B85" s="27"/>
      <c r="C85" s="27"/>
      <c r="D85" s="27"/>
      <c r="E85" s="27"/>
      <c r="F85" s="27"/>
      <c r="G85" s="27"/>
      <c r="H85" s="27"/>
      <c r="I85" s="27"/>
      <c r="N85" s="307">
        <f>N44</f>
        <v>46174</v>
      </c>
      <c r="O85" s="308"/>
      <c r="P85" s="308"/>
      <c r="Q85" s="308"/>
      <c r="R85" s="206" t="s">
        <v>169</v>
      </c>
      <c r="S85" s="309">
        <f>S44</f>
        <v>46174</v>
      </c>
      <c r="T85" s="308"/>
      <c r="U85" s="23" t="s">
        <v>227</v>
      </c>
      <c r="V85" s="310">
        <f>V44</f>
        <v>46174</v>
      </c>
      <c r="W85" s="310"/>
      <c r="X85" s="23" t="s">
        <v>3</v>
      </c>
      <c r="Y85" s="308" t="s">
        <v>171</v>
      </c>
      <c r="Z85" s="308"/>
      <c r="AA85" s="309">
        <f>AA44</f>
        <v>46174</v>
      </c>
      <c r="AB85" s="308"/>
      <c r="AC85" s="23" t="s">
        <v>227</v>
      </c>
      <c r="AD85" s="310">
        <f>AD44</f>
        <v>30</v>
      </c>
      <c r="AE85" s="310"/>
      <c r="AF85" s="23" t="s">
        <v>3</v>
      </c>
    </row>
    <row r="86" spans="1:35" customFormat="1" ht="18" customHeight="1">
      <c r="A86" s="248" t="s">
        <v>188</v>
      </c>
      <c r="B86" s="249"/>
      <c r="C86" s="249"/>
      <c r="D86" s="249"/>
      <c r="E86" s="249"/>
      <c r="F86" s="249"/>
      <c r="G86" s="249"/>
      <c r="H86" s="249"/>
      <c r="I86" s="249"/>
      <c r="J86" s="249"/>
      <c r="K86" s="249"/>
      <c r="L86" s="249"/>
      <c r="M86" s="249"/>
      <c r="N86" s="249"/>
      <c r="O86" s="249"/>
      <c r="P86" s="249"/>
      <c r="Q86" s="249"/>
      <c r="R86" s="249"/>
      <c r="S86" s="249"/>
      <c r="T86" s="249"/>
      <c r="U86" s="249"/>
      <c r="V86" s="249"/>
      <c r="W86" s="249"/>
      <c r="X86" s="249"/>
      <c r="Y86" s="249"/>
      <c r="Z86" s="249"/>
      <c r="AA86" s="249"/>
      <c r="AB86" s="249"/>
      <c r="AC86" s="249"/>
      <c r="AD86" s="249"/>
      <c r="AE86" s="249"/>
      <c r="AF86" s="249"/>
      <c r="AG86" s="249"/>
      <c r="AH86" s="249"/>
      <c r="AI86" s="250"/>
    </row>
    <row r="87" spans="1:35" ht="18" customHeight="1">
      <c r="A87" s="36"/>
      <c r="B87" s="302" t="s">
        <v>257</v>
      </c>
      <c r="C87" s="302"/>
      <c r="D87" s="302"/>
      <c r="E87" s="302"/>
      <c r="F87" s="302"/>
      <c r="G87" s="302"/>
      <c r="H87" s="302"/>
      <c r="I87" s="302"/>
      <c r="J87" s="302"/>
      <c r="K87" s="302"/>
      <c r="L87" s="302"/>
      <c r="M87" s="302"/>
      <c r="N87" s="302"/>
      <c r="O87" s="302"/>
      <c r="P87" s="302"/>
      <c r="Q87" s="302"/>
      <c r="R87" s="302"/>
      <c r="S87" s="302"/>
      <c r="T87" s="302"/>
      <c r="U87" s="302"/>
      <c r="V87" s="302"/>
      <c r="W87" s="302"/>
      <c r="X87" s="302"/>
      <c r="Y87" s="302"/>
      <c r="Z87" s="302"/>
      <c r="AA87" s="302"/>
      <c r="AB87" s="302"/>
      <c r="AC87" s="302"/>
      <c r="AD87" s="302"/>
      <c r="AE87" s="302"/>
      <c r="AF87" s="302"/>
      <c r="AG87" s="302"/>
      <c r="AH87" s="302"/>
      <c r="AI87" s="303"/>
    </row>
    <row r="88" spans="1:35" ht="18" customHeight="1">
      <c r="A88" s="36"/>
      <c r="B88" s="283" t="s">
        <v>258</v>
      </c>
      <c r="C88" s="284"/>
      <c r="D88" s="284"/>
      <c r="E88" s="284"/>
      <c r="F88" s="286" t="s">
        <v>259</v>
      </c>
      <c r="G88" s="286"/>
      <c r="H88" s="286"/>
      <c r="I88" s="286"/>
      <c r="J88" s="286"/>
      <c r="K88" s="286"/>
      <c r="L88" s="286"/>
      <c r="M88" s="286"/>
      <c r="N88" s="286"/>
      <c r="O88" s="286"/>
      <c r="P88" s="286"/>
      <c r="Q88" s="286"/>
      <c r="R88" s="286"/>
      <c r="S88" s="286"/>
      <c r="T88" s="286"/>
      <c r="U88" s="286"/>
      <c r="V88" s="286"/>
      <c r="W88" s="286"/>
      <c r="X88" s="286"/>
      <c r="Y88" s="286"/>
      <c r="Z88" s="286"/>
      <c r="AA88" s="286"/>
      <c r="AB88" s="286"/>
      <c r="AC88" s="286"/>
      <c r="AD88" s="286"/>
      <c r="AE88" s="286"/>
      <c r="AF88" s="286"/>
      <c r="AG88" s="286"/>
      <c r="AH88" s="286"/>
      <c r="AI88" s="287"/>
    </row>
    <row r="89" spans="1:35" ht="18" customHeight="1">
      <c r="A89" s="36"/>
      <c r="B89" s="283" t="s">
        <v>260</v>
      </c>
      <c r="C89" s="284"/>
      <c r="D89" s="284"/>
      <c r="E89" s="284"/>
      <c r="F89" s="286" t="s">
        <v>261</v>
      </c>
      <c r="G89" s="286"/>
      <c r="H89" s="286"/>
      <c r="I89" s="286"/>
      <c r="J89" s="286"/>
      <c r="K89" s="286"/>
      <c r="L89" s="286"/>
      <c r="M89" s="286"/>
      <c r="N89" s="286"/>
      <c r="O89" s="286"/>
      <c r="P89" s="286"/>
      <c r="Q89" s="286"/>
      <c r="R89" s="286"/>
      <c r="S89" s="286"/>
      <c r="T89" s="286"/>
      <c r="U89" s="286"/>
      <c r="V89" s="286"/>
      <c r="W89" s="286"/>
      <c r="X89" s="286"/>
      <c r="Y89" s="286"/>
      <c r="Z89" s="286"/>
      <c r="AA89" s="286"/>
      <c r="AB89" s="286"/>
      <c r="AC89" s="286"/>
      <c r="AD89" s="286"/>
      <c r="AE89" s="286"/>
      <c r="AF89" s="286"/>
      <c r="AG89" s="286"/>
      <c r="AH89" s="286"/>
      <c r="AI89" s="287"/>
    </row>
    <row r="90" spans="1:35" ht="18" customHeight="1">
      <c r="A90" s="36"/>
      <c r="B90" s="311" t="s">
        <v>262</v>
      </c>
      <c r="C90" s="311"/>
      <c r="D90" s="291"/>
      <c r="E90" s="291"/>
      <c r="F90" s="312" t="s">
        <v>263</v>
      </c>
      <c r="G90" s="312"/>
      <c r="H90" s="312"/>
      <c r="I90" s="312"/>
      <c r="J90" s="312"/>
      <c r="K90" s="312"/>
      <c r="L90" s="312"/>
      <c r="M90" s="312"/>
      <c r="N90" s="312"/>
      <c r="O90" s="312"/>
      <c r="P90" s="312"/>
      <c r="Q90" s="312"/>
      <c r="R90" s="312"/>
      <c r="S90" s="312"/>
      <c r="T90" s="312"/>
      <c r="U90" s="312"/>
      <c r="V90" s="312"/>
      <c r="W90" s="312"/>
      <c r="X90" s="312"/>
      <c r="Y90" s="312"/>
      <c r="Z90" s="312"/>
      <c r="AA90" s="312"/>
      <c r="AB90" s="312"/>
      <c r="AC90" s="312"/>
      <c r="AD90" s="312"/>
      <c r="AE90" s="312"/>
      <c r="AF90" s="312"/>
      <c r="AG90" s="312"/>
      <c r="AH90" s="312"/>
      <c r="AI90" s="313"/>
    </row>
    <row r="91" spans="1:35" ht="18" customHeight="1">
      <c r="A91" s="36"/>
      <c r="B91" s="283" t="s">
        <v>197</v>
      </c>
      <c r="C91" s="284"/>
      <c r="D91" s="284"/>
      <c r="E91" s="284"/>
      <c r="F91" s="286" t="s">
        <v>264</v>
      </c>
      <c r="G91" s="286"/>
      <c r="H91" s="286"/>
      <c r="I91" s="286"/>
      <c r="J91" s="286"/>
      <c r="K91" s="286"/>
      <c r="L91" s="286"/>
      <c r="M91" s="286"/>
      <c r="N91" s="286"/>
      <c r="O91" s="286"/>
      <c r="P91" s="286"/>
      <c r="Q91" s="286"/>
      <c r="R91" s="286"/>
      <c r="S91" s="286"/>
      <c r="T91" s="286"/>
      <c r="U91" s="286"/>
      <c r="V91" s="286"/>
      <c r="W91" s="286"/>
      <c r="X91" s="286"/>
      <c r="Y91" s="286"/>
      <c r="Z91" s="286"/>
      <c r="AA91" s="286"/>
      <c r="AB91" s="286"/>
      <c r="AC91" s="286"/>
      <c r="AD91" s="286"/>
      <c r="AE91" s="286"/>
      <c r="AF91" s="286"/>
      <c r="AG91" s="286"/>
      <c r="AH91" s="286"/>
      <c r="AI91" s="287"/>
    </row>
    <row r="92" spans="1:35" ht="18" customHeight="1">
      <c r="A92" s="36"/>
      <c r="B92" s="283" t="s">
        <v>265</v>
      </c>
      <c r="C92" s="284"/>
      <c r="D92" s="284"/>
      <c r="E92" s="284"/>
      <c r="F92" s="286" t="s">
        <v>266</v>
      </c>
      <c r="G92" s="286"/>
      <c r="H92" s="286"/>
      <c r="I92" s="286"/>
      <c r="J92" s="286"/>
      <c r="K92" s="286"/>
      <c r="L92" s="286"/>
      <c r="M92" s="286"/>
      <c r="N92" s="286"/>
      <c r="O92" s="286"/>
      <c r="P92" s="286"/>
      <c r="Q92" s="286"/>
      <c r="R92" s="286"/>
      <c r="S92" s="286"/>
      <c r="T92" s="286"/>
      <c r="U92" s="286"/>
      <c r="V92" s="286"/>
      <c r="W92" s="286"/>
      <c r="X92" s="286"/>
      <c r="Y92" s="286"/>
      <c r="Z92" s="286"/>
      <c r="AA92" s="286"/>
      <c r="AB92" s="286"/>
      <c r="AC92" s="286"/>
      <c r="AD92" s="286"/>
      <c r="AE92" s="286"/>
      <c r="AF92" s="286"/>
      <c r="AG92" s="286"/>
      <c r="AH92" s="286"/>
      <c r="AI92" s="287"/>
    </row>
    <row r="93" spans="1:35" ht="18" customHeight="1">
      <c r="A93" s="36"/>
      <c r="B93" s="283" t="s">
        <v>267</v>
      </c>
      <c r="C93" s="284"/>
      <c r="D93" s="284"/>
      <c r="E93" s="284"/>
      <c r="F93" s="286" t="s">
        <v>268</v>
      </c>
      <c r="G93" s="286"/>
      <c r="H93" s="286"/>
      <c r="I93" s="286"/>
      <c r="J93" s="286"/>
      <c r="K93" s="286"/>
      <c r="L93" s="286"/>
      <c r="M93" s="286"/>
      <c r="N93" s="286"/>
      <c r="O93" s="286"/>
      <c r="P93" s="286"/>
      <c r="Q93" s="286"/>
      <c r="R93" s="286"/>
      <c r="S93" s="286"/>
      <c r="T93" s="286"/>
      <c r="U93" s="286"/>
      <c r="V93" s="286"/>
      <c r="W93" s="286"/>
      <c r="X93" s="286"/>
      <c r="Y93" s="286"/>
      <c r="Z93" s="286"/>
      <c r="AA93" s="286"/>
      <c r="AB93" s="286"/>
      <c r="AC93" s="286"/>
      <c r="AD93" s="286"/>
      <c r="AE93" s="286"/>
      <c r="AF93" s="286"/>
      <c r="AG93" s="286"/>
      <c r="AH93" s="286"/>
      <c r="AI93" s="287"/>
    </row>
    <row r="94" spans="1:35" ht="18" customHeight="1">
      <c r="A94" s="36"/>
      <c r="B94" s="283" t="s">
        <v>201</v>
      </c>
      <c r="C94" s="284"/>
      <c r="D94" s="284"/>
      <c r="E94" s="284"/>
      <c r="F94" s="286" t="s">
        <v>269</v>
      </c>
      <c r="G94" s="286"/>
      <c r="H94" s="286"/>
      <c r="I94" s="286"/>
      <c r="J94" s="286"/>
      <c r="K94" s="286"/>
      <c r="L94" s="286"/>
      <c r="M94" s="286"/>
      <c r="N94" s="286"/>
      <c r="O94" s="286"/>
      <c r="P94" s="286"/>
      <c r="Q94" s="286"/>
      <c r="R94" s="286"/>
      <c r="S94" s="286"/>
      <c r="T94" s="286"/>
      <c r="U94" s="286"/>
      <c r="V94" s="286"/>
      <c r="W94" s="286"/>
      <c r="X94" s="286"/>
      <c r="Y94" s="286"/>
      <c r="Z94" s="286"/>
      <c r="AA94" s="286"/>
      <c r="AB94" s="286"/>
      <c r="AC94" s="286"/>
      <c r="AD94" s="286"/>
      <c r="AE94" s="286"/>
      <c r="AF94" s="286"/>
      <c r="AG94" s="286"/>
      <c r="AH94" s="286"/>
      <c r="AI94" s="287"/>
    </row>
    <row r="95" spans="1:35" ht="18" customHeight="1">
      <c r="A95" s="36"/>
      <c r="B95" s="283" t="s">
        <v>270</v>
      </c>
      <c r="C95" s="284"/>
      <c r="D95" s="284"/>
      <c r="E95" s="284"/>
      <c r="F95" s="286" t="s">
        <v>271</v>
      </c>
      <c r="G95" s="286"/>
      <c r="H95" s="286"/>
      <c r="I95" s="286"/>
      <c r="J95" s="286"/>
      <c r="K95" s="286"/>
      <c r="L95" s="286"/>
      <c r="M95" s="286"/>
      <c r="N95" s="286"/>
      <c r="O95" s="286"/>
      <c r="P95" s="286"/>
      <c r="Q95" s="286"/>
      <c r="R95" s="286"/>
      <c r="S95" s="286"/>
      <c r="T95" s="286"/>
      <c r="U95" s="286"/>
      <c r="V95" s="286"/>
      <c r="W95" s="286"/>
      <c r="X95" s="286"/>
      <c r="Y95" s="286"/>
      <c r="Z95" s="286"/>
      <c r="AA95" s="286"/>
      <c r="AB95" s="286"/>
      <c r="AC95" s="286"/>
      <c r="AD95" s="286"/>
      <c r="AE95" s="286"/>
      <c r="AF95" s="286"/>
      <c r="AG95" s="286"/>
      <c r="AH95" s="286"/>
      <c r="AI95" s="287"/>
    </row>
    <row r="96" spans="1:35" ht="18" customHeight="1">
      <c r="A96" s="36"/>
      <c r="B96" s="283" t="s">
        <v>272</v>
      </c>
      <c r="C96" s="284"/>
      <c r="D96" s="284"/>
      <c r="E96" s="284"/>
      <c r="F96" s="286" t="s">
        <v>273</v>
      </c>
      <c r="G96" s="286"/>
      <c r="H96" s="286"/>
      <c r="I96" s="286"/>
      <c r="J96" s="286"/>
      <c r="K96" s="286"/>
      <c r="L96" s="286"/>
      <c r="M96" s="286"/>
      <c r="N96" s="286"/>
      <c r="O96" s="286"/>
      <c r="P96" s="286"/>
      <c r="Q96" s="286"/>
      <c r="R96" s="286"/>
      <c r="S96" s="286"/>
      <c r="T96" s="286"/>
      <c r="U96" s="286"/>
      <c r="V96" s="286"/>
      <c r="W96" s="286"/>
      <c r="X96" s="286"/>
      <c r="Y96" s="286"/>
      <c r="Z96" s="286"/>
      <c r="AA96" s="286"/>
      <c r="AB96" s="286"/>
      <c r="AC96" s="286"/>
      <c r="AD96" s="286"/>
      <c r="AE96" s="286"/>
      <c r="AF96" s="286"/>
      <c r="AG96" s="286"/>
      <c r="AH96" s="286"/>
      <c r="AI96" s="287"/>
    </row>
    <row r="97" spans="1:35" ht="18" customHeight="1">
      <c r="A97" s="36"/>
      <c r="B97" s="283" t="s">
        <v>274</v>
      </c>
      <c r="C97" s="284"/>
      <c r="D97" s="284"/>
      <c r="E97" s="284"/>
      <c r="F97" s="286" t="s">
        <v>275</v>
      </c>
      <c r="G97" s="286"/>
      <c r="H97" s="286"/>
      <c r="I97" s="286"/>
      <c r="J97" s="286"/>
      <c r="K97" s="286"/>
      <c r="L97" s="286"/>
      <c r="M97" s="286"/>
      <c r="N97" s="286"/>
      <c r="O97" s="286"/>
      <c r="P97" s="286"/>
      <c r="Q97" s="286"/>
      <c r="R97" s="286"/>
      <c r="S97" s="286"/>
      <c r="T97" s="286"/>
      <c r="U97" s="286"/>
      <c r="V97" s="286"/>
      <c r="W97" s="286"/>
      <c r="X97" s="286"/>
      <c r="Y97" s="286"/>
      <c r="Z97" s="286"/>
      <c r="AA97" s="286"/>
      <c r="AB97" s="286"/>
      <c r="AC97" s="286"/>
      <c r="AD97" s="286"/>
      <c r="AE97" s="286"/>
      <c r="AF97" s="286"/>
      <c r="AG97" s="286"/>
      <c r="AH97" s="286"/>
      <c r="AI97" s="287"/>
    </row>
    <row r="98" spans="1:35" ht="18" customHeight="1">
      <c r="A98" s="36"/>
      <c r="B98" s="283" t="s">
        <v>274</v>
      </c>
      <c r="C98" s="284"/>
      <c r="D98" s="284"/>
      <c r="E98" s="284"/>
      <c r="F98" s="286" t="s">
        <v>276</v>
      </c>
      <c r="G98" s="286"/>
      <c r="H98" s="286"/>
      <c r="I98" s="286"/>
      <c r="J98" s="286"/>
      <c r="K98" s="286"/>
      <c r="L98" s="286"/>
      <c r="M98" s="286"/>
      <c r="N98" s="286"/>
      <c r="O98" s="286"/>
      <c r="P98" s="286"/>
      <c r="Q98" s="286"/>
      <c r="R98" s="286"/>
      <c r="S98" s="286"/>
      <c r="T98" s="286"/>
      <c r="U98" s="286"/>
      <c r="V98" s="286"/>
      <c r="W98" s="286"/>
      <c r="X98" s="286"/>
      <c r="Y98" s="286"/>
      <c r="Z98" s="286"/>
      <c r="AA98" s="286"/>
      <c r="AB98" s="286"/>
      <c r="AC98" s="286"/>
      <c r="AD98" s="286"/>
      <c r="AE98" s="286"/>
      <c r="AF98" s="286"/>
      <c r="AG98" s="286"/>
      <c r="AH98" s="286"/>
      <c r="AI98" s="287"/>
    </row>
    <row r="99" spans="1:35" ht="18" customHeight="1">
      <c r="A99" s="36"/>
      <c r="B99" s="283" t="s">
        <v>277</v>
      </c>
      <c r="C99" s="283"/>
      <c r="D99" s="283"/>
      <c r="E99" s="283"/>
      <c r="F99" s="312" t="s">
        <v>278</v>
      </c>
      <c r="G99" s="312"/>
      <c r="H99" s="312"/>
      <c r="I99" s="312"/>
      <c r="J99" s="312"/>
      <c r="K99" s="312"/>
      <c r="L99" s="312"/>
      <c r="M99" s="312"/>
      <c r="N99" s="312"/>
      <c r="O99" s="312"/>
      <c r="P99" s="312"/>
      <c r="Q99" s="312"/>
      <c r="R99" s="312"/>
      <c r="S99" s="312"/>
      <c r="T99" s="312"/>
      <c r="U99" s="312"/>
      <c r="V99" s="312"/>
      <c r="W99" s="312"/>
      <c r="X99" s="312"/>
      <c r="Y99" s="312"/>
      <c r="Z99" s="312"/>
      <c r="AA99" s="312"/>
      <c r="AB99" s="312"/>
      <c r="AC99" s="312"/>
      <c r="AD99" s="312"/>
      <c r="AE99" s="312"/>
      <c r="AF99" s="312"/>
      <c r="AG99" s="312"/>
      <c r="AH99" s="312"/>
      <c r="AI99" s="313"/>
    </row>
    <row r="100" spans="1:35" ht="18" customHeight="1">
      <c r="A100" s="36"/>
      <c r="B100" s="291" t="s">
        <v>205</v>
      </c>
      <c r="C100" s="291"/>
      <c r="D100" s="291"/>
      <c r="E100" s="291"/>
      <c r="F100" s="312" t="s">
        <v>279</v>
      </c>
      <c r="G100" s="312"/>
      <c r="H100" s="312"/>
      <c r="I100" s="312"/>
      <c r="J100" s="312"/>
      <c r="K100" s="312"/>
      <c r="L100" s="312"/>
      <c r="M100" s="312"/>
      <c r="N100" s="312"/>
      <c r="O100" s="312"/>
      <c r="P100" s="312"/>
      <c r="Q100" s="312"/>
      <c r="R100" s="312"/>
      <c r="S100" s="312"/>
      <c r="T100" s="312"/>
      <c r="U100" s="312"/>
      <c r="V100" s="312"/>
      <c r="W100" s="312"/>
      <c r="X100" s="312"/>
      <c r="Y100" s="312"/>
      <c r="Z100" s="312"/>
      <c r="AA100" s="312"/>
      <c r="AB100" s="312"/>
      <c r="AC100" s="312"/>
      <c r="AD100" s="312"/>
      <c r="AE100" s="312"/>
      <c r="AF100" s="312"/>
      <c r="AG100" s="312"/>
      <c r="AH100" s="312"/>
      <c r="AI100" s="313"/>
    </row>
    <row r="101" spans="1:35" ht="18" customHeight="1">
      <c r="A101" s="36"/>
      <c r="B101" s="291" t="s">
        <v>207</v>
      </c>
      <c r="C101" s="291"/>
      <c r="D101" s="291"/>
      <c r="E101" s="291"/>
      <c r="F101" s="312" t="s">
        <v>280</v>
      </c>
      <c r="G101" s="312"/>
      <c r="H101" s="312"/>
      <c r="I101" s="312"/>
      <c r="J101" s="312"/>
      <c r="K101" s="312"/>
      <c r="L101" s="312"/>
      <c r="M101" s="312"/>
      <c r="N101" s="312"/>
      <c r="O101" s="312"/>
      <c r="P101" s="312"/>
      <c r="Q101" s="312"/>
      <c r="R101" s="312"/>
      <c r="S101" s="312"/>
      <c r="T101" s="312"/>
      <c r="U101" s="312"/>
      <c r="V101" s="312"/>
      <c r="W101" s="312"/>
      <c r="X101" s="312"/>
      <c r="Y101" s="312"/>
      <c r="Z101" s="312"/>
      <c r="AA101" s="312"/>
      <c r="AB101" s="312"/>
      <c r="AC101" s="312"/>
      <c r="AD101" s="312"/>
      <c r="AE101" s="312"/>
      <c r="AF101" s="312"/>
      <c r="AG101" s="312"/>
      <c r="AH101" s="312"/>
      <c r="AI101" s="313"/>
    </row>
    <row r="102" spans="1:35" ht="18" customHeight="1">
      <c r="A102" s="36"/>
      <c r="B102" s="291" t="s">
        <v>281</v>
      </c>
      <c r="C102" s="291"/>
      <c r="D102" s="291"/>
      <c r="E102" s="291"/>
      <c r="F102" s="312" t="s">
        <v>282</v>
      </c>
      <c r="G102" s="312"/>
      <c r="H102" s="312"/>
      <c r="I102" s="312"/>
      <c r="J102" s="312"/>
      <c r="K102" s="312"/>
      <c r="L102" s="312"/>
      <c r="M102" s="312"/>
      <c r="N102" s="312"/>
      <c r="O102" s="312"/>
      <c r="P102" s="312"/>
      <c r="Q102" s="312"/>
      <c r="R102" s="312"/>
      <c r="S102" s="312"/>
      <c r="T102" s="312"/>
      <c r="U102" s="312"/>
      <c r="V102" s="312"/>
      <c r="W102" s="312"/>
      <c r="X102" s="312"/>
      <c r="Y102" s="312"/>
      <c r="Z102" s="312"/>
      <c r="AA102" s="312"/>
      <c r="AB102" s="312"/>
      <c r="AC102" s="312"/>
      <c r="AD102" s="312"/>
      <c r="AE102" s="312"/>
      <c r="AF102" s="312"/>
      <c r="AG102" s="312"/>
      <c r="AH102" s="312"/>
      <c r="AI102" s="313"/>
    </row>
    <row r="103" spans="1:35" ht="18" customHeight="1">
      <c r="A103" s="36"/>
      <c r="B103" s="283" t="s">
        <v>283</v>
      </c>
      <c r="C103" s="284"/>
      <c r="D103" s="284"/>
      <c r="E103" s="284"/>
      <c r="F103" s="312" t="s">
        <v>284</v>
      </c>
      <c r="G103" s="312"/>
      <c r="H103" s="312"/>
      <c r="I103" s="312"/>
      <c r="J103" s="312"/>
      <c r="K103" s="312"/>
      <c r="L103" s="312"/>
      <c r="M103" s="312"/>
      <c r="N103" s="312"/>
      <c r="O103" s="312"/>
      <c r="P103" s="312"/>
      <c r="Q103" s="312"/>
      <c r="R103" s="312"/>
      <c r="S103" s="312"/>
      <c r="T103" s="312"/>
      <c r="U103" s="312"/>
      <c r="V103" s="312"/>
      <c r="W103" s="312"/>
      <c r="X103" s="312"/>
      <c r="Y103" s="312"/>
      <c r="Z103" s="312"/>
      <c r="AA103" s="312"/>
      <c r="AB103" s="312"/>
      <c r="AC103" s="312"/>
      <c r="AD103" s="312"/>
      <c r="AE103" s="312"/>
      <c r="AF103" s="312"/>
      <c r="AG103" s="312"/>
      <c r="AH103" s="312"/>
      <c r="AI103" s="313"/>
    </row>
    <row r="104" spans="1:35" ht="18" customHeight="1">
      <c r="A104" s="36"/>
      <c r="B104" s="291" t="s">
        <v>285</v>
      </c>
      <c r="C104" s="291"/>
      <c r="D104" s="291"/>
      <c r="E104" s="291"/>
      <c r="F104" s="312" t="s">
        <v>286</v>
      </c>
      <c r="G104" s="312"/>
      <c r="H104" s="312"/>
      <c r="I104" s="312"/>
      <c r="J104" s="312"/>
      <c r="K104" s="312"/>
      <c r="L104" s="312"/>
      <c r="M104" s="312"/>
      <c r="N104" s="312"/>
      <c r="O104" s="312"/>
      <c r="P104" s="312"/>
      <c r="Q104" s="312"/>
      <c r="R104" s="312"/>
      <c r="S104" s="312"/>
      <c r="T104" s="312"/>
      <c r="U104" s="312"/>
      <c r="V104" s="312"/>
      <c r="W104" s="312"/>
      <c r="X104" s="312"/>
      <c r="Y104" s="312"/>
      <c r="Z104" s="312"/>
      <c r="AA104" s="312"/>
      <c r="AB104" s="312"/>
      <c r="AC104" s="312"/>
      <c r="AD104" s="312"/>
      <c r="AE104" s="312"/>
      <c r="AF104" s="312"/>
      <c r="AG104" s="312"/>
      <c r="AH104" s="312"/>
      <c r="AI104" s="313"/>
    </row>
    <row r="105" spans="1:35" ht="18" customHeight="1">
      <c r="A105" s="36"/>
      <c r="B105" s="291" t="s">
        <v>287</v>
      </c>
      <c r="C105" s="291"/>
      <c r="D105" s="291"/>
      <c r="E105" s="291"/>
      <c r="F105" s="312" t="s">
        <v>288</v>
      </c>
      <c r="G105" s="312"/>
      <c r="H105" s="312"/>
      <c r="I105" s="312"/>
      <c r="J105" s="312"/>
      <c r="K105" s="312"/>
      <c r="L105" s="312"/>
      <c r="M105" s="312"/>
      <c r="N105" s="312"/>
      <c r="O105" s="312"/>
      <c r="P105" s="312"/>
      <c r="Q105" s="312"/>
      <c r="R105" s="312"/>
      <c r="S105" s="312"/>
      <c r="T105" s="312"/>
      <c r="U105" s="312"/>
      <c r="V105" s="312"/>
      <c r="W105" s="312"/>
      <c r="X105" s="312"/>
      <c r="Y105" s="312"/>
      <c r="Z105" s="312"/>
      <c r="AA105" s="312"/>
      <c r="AB105" s="312"/>
      <c r="AC105" s="312"/>
      <c r="AD105" s="312"/>
      <c r="AE105" s="312"/>
      <c r="AF105" s="312"/>
      <c r="AG105" s="312"/>
      <c r="AH105" s="312"/>
      <c r="AI105" s="313"/>
    </row>
    <row r="106" spans="1:35" ht="18" customHeight="1">
      <c r="A106" s="36"/>
      <c r="B106" s="291" t="s">
        <v>287</v>
      </c>
      <c r="C106" s="291"/>
      <c r="D106" s="291"/>
      <c r="E106" s="291"/>
      <c r="F106" s="312" t="s">
        <v>289</v>
      </c>
      <c r="G106" s="312"/>
      <c r="H106" s="312"/>
      <c r="I106" s="312"/>
      <c r="J106" s="312"/>
      <c r="K106" s="312"/>
      <c r="L106" s="312"/>
      <c r="M106" s="312"/>
      <c r="N106" s="312"/>
      <c r="O106" s="312"/>
      <c r="P106" s="312"/>
      <c r="Q106" s="312"/>
      <c r="R106" s="312"/>
      <c r="S106" s="312"/>
      <c r="T106" s="312"/>
      <c r="U106" s="312"/>
      <c r="V106" s="312"/>
      <c r="W106" s="312"/>
      <c r="X106" s="312"/>
      <c r="Y106" s="312"/>
      <c r="Z106" s="312"/>
      <c r="AA106" s="312"/>
      <c r="AB106" s="312"/>
      <c r="AC106" s="312"/>
      <c r="AD106" s="312"/>
      <c r="AE106" s="312"/>
      <c r="AF106" s="312"/>
      <c r="AG106" s="312"/>
      <c r="AH106" s="312"/>
      <c r="AI106" s="313"/>
    </row>
    <row r="107" spans="1:35" ht="18" customHeight="1">
      <c r="A107" s="36"/>
      <c r="B107" s="291" t="s">
        <v>287</v>
      </c>
      <c r="C107" s="291"/>
      <c r="D107" s="291"/>
      <c r="E107" s="291"/>
      <c r="F107" s="312" t="s">
        <v>290</v>
      </c>
      <c r="G107" s="312"/>
      <c r="H107" s="312"/>
      <c r="I107" s="312"/>
      <c r="J107" s="312"/>
      <c r="K107" s="312"/>
      <c r="L107" s="312"/>
      <c r="M107" s="312"/>
      <c r="N107" s="312"/>
      <c r="O107" s="312"/>
      <c r="P107" s="312"/>
      <c r="Q107" s="312"/>
      <c r="R107" s="312"/>
      <c r="S107" s="312"/>
      <c r="T107" s="312"/>
      <c r="U107" s="312"/>
      <c r="V107" s="312"/>
      <c r="W107" s="312"/>
      <c r="X107" s="312"/>
      <c r="Y107" s="312"/>
      <c r="Z107" s="312"/>
      <c r="AA107" s="312"/>
      <c r="AB107" s="312"/>
      <c r="AC107" s="312"/>
      <c r="AD107" s="312"/>
      <c r="AE107" s="312"/>
      <c r="AF107" s="312"/>
      <c r="AG107" s="312"/>
      <c r="AH107" s="312"/>
      <c r="AI107" s="313"/>
    </row>
    <row r="108" spans="1:35" ht="18" customHeight="1">
      <c r="A108" s="36"/>
      <c r="B108" s="291" t="s">
        <v>287</v>
      </c>
      <c r="C108" s="291"/>
      <c r="D108" s="291"/>
      <c r="E108" s="291"/>
      <c r="F108" s="312" t="s">
        <v>291</v>
      </c>
      <c r="G108" s="312"/>
      <c r="H108" s="312"/>
      <c r="I108" s="312"/>
      <c r="J108" s="312"/>
      <c r="K108" s="312"/>
      <c r="L108" s="312"/>
      <c r="M108" s="312"/>
      <c r="N108" s="312"/>
      <c r="O108" s="312"/>
      <c r="P108" s="312"/>
      <c r="Q108" s="312"/>
      <c r="R108" s="312"/>
      <c r="S108" s="312"/>
      <c r="T108" s="312"/>
      <c r="U108" s="312"/>
      <c r="V108" s="312"/>
      <c r="W108" s="312"/>
      <c r="X108" s="312"/>
      <c r="Y108" s="312"/>
      <c r="Z108" s="312"/>
      <c r="AA108" s="312"/>
      <c r="AB108" s="312"/>
      <c r="AC108" s="312"/>
      <c r="AD108" s="312"/>
      <c r="AE108" s="312"/>
      <c r="AF108" s="312"/>
      <c r="AG108" s="312"/>
      <c r="AH108" s="312"/>
      <c r="AI108" s="313"/>
    </row>
    <row r="109" spans="1:35" ht="18" customHeight="1">
      <c r="A109" s="36"/>
      <c r="B109" s="283"/>
      <c r="C109" s="284"/>
      <c r="D109" s="284"/>
      <c r="E109" s="284"/>
      <c r="F109" s="286"/>
      <c r="G109" s="286"/>
      <c r="H109" s="286"/>
      <c r="I109" s="286"/>
      <c r="J109" s="286"/>
      <c r="K109" s="286"/>
      <c r="L109" s="286"/>
      <c r="M109" s="286"/>
      <c r="N109" s="286"/>
      <c r="O109" s="286"/>
      <c r="P109" s="286"/>
      <c r="Q109" s="286"/>
      <c r="R109" s="286"/>
      <c r="S109" s="286"/>
      <c r="T109" s="286"/>
      <c r="U109" s="286"/>
      <c r="V109" s="286"/>
      <c r="W109" s="286"/>
      <c r="X109" s="286"/>
      <c r="Y109" s="286"/>
      <c r="Z109" s="286"/>
      <c r="AA109" s="286"/>
      <c r="AB109" s="286"/>
      <c r="AC109" s="286"/>
      <c r="AD109" s="286"/>
      <c r="AE109" s="286"/>
      <c r="AF109" s="286"/>
      <c r="AG109" s="286"/>
      <c r="AH109" s="286"/>
      <c r="AI109" s="287"/>
    </row>
    <row r="110" spans="1:35" ht="18" customHeight="1">
      <c r="A110" s="36"/>
      <c r="B110" s="283"/>
      <c r="C110" s="284"/>
      <c r="D110" s="284"/>
      <c r="E110" s="284"/>
      <c r="F110" s="286"/>
      <c r="G110" s="286"/>
      <c r="H110" s="286"/>
      <c r="I110" s="286"/>
      <c r="J110" s="286"/>
      <c r="K110" s="286"/>
      <c r="L110" s="286"/>
      <c r="M110" s="286"/>
      <c r="N110" s="286"/>
      <c r="O110" s="286"/>
      <c r="P110" s="286"/>
      <c r="Q110" s="286"/>
      <c r="R110" s="286"/>
      <c r="S110" s="286"/>
      <c r="T110" s="286"/>
      <c r="U110" s="286"/>
      <c r="V110" s="286"/>
      <c r="W110" s="286"/>
      <c r="X110" s="286"/>
      <c r="Y110" s="286"/>
      <c r="Z110" s="286"/>
      <c r="AA110" s="286"/>
      <c r="AB110" s="286"/>
      <c r="AC110" s="286"/>
      <c r="AD110" s="286"/>
      <c r="AE110" s="286"/>
      <c r="AF110" s="286"/>
      <c r="AG110" s="286"/>
      <c r="AH110" s="286"/>
      <c r="AI110" s="287"/>
    </row>
    <row r="111" spans="1:35" ht="18" customHeight="1">
      <c r="A111" s="36"/>
      <c r="B111" s="291"/>
      <c r="C111" s="291"/>
      <c r="D111" s="291"/>
      <c r="E111" s="291"/>
      <c r="F111" s="286"/>
      <c r="G111" s="286"/>
      <c r="H111" s="286"/>
      <c r="I111" s="286"/>
      <c r="J111" s="286"/>
      <c r="K111" s="286"/>
      <c r="L111" s="286"/>
      <c r="M111" s="286"/>
      <c r="N111" s="286"/>
      <c r="O111" s="286"/>
      <c r="P111" s="286"/>
      <c r="Q111" s="286"/>
      <c r="R111" s="286"/>
      <c r="S111" s="286"/>
      <c r="T111" s="286"/>
      <c r="U111" s="286"/>
      <c r="V111" s="286"/>
      <c r="W111" s="286"/>
      <c r="X111" s="286"/>
      <c r="Y111" s="286"/>
      <c r="Z111" s="286"/>
      <c r="AA111" s="286"/>
      <c r="AB111" s="286"/>
      <c r="AC111" s="286"/>
      <c r="AD111" s="286"/>
      <c r="AE111" s="286"/>
      <c r="AF111" s="286"/>
      <c r="AG111" s="286"/>
      <c r="AH111" s="286"/>
      <c r="AI111" s="287"/>
    </row>
    <row r="112" spans="1:35" ht="18" customHeight="1">
      <c r="A112" s="36"/>
      <c r="B112" s="291"/>
      <c r="C112" s="291"/>
      <c r="D112" s="291"/>
      <c r="E112" s="291"/>
      <c r="F112" s="288"/>
      <c r="G112" s="288"/>
      <c r="H112" s="288"/>
      <c r="I112" s="288"/>
      <c r="J112" s="288"/>
      <c r="K112" s="288"/>
      <c r="L112" s="288"/>
      <c r="M112" s="288"/>
      <c r="N112" s="288"/>
      <c r="O112" s="288"/>
      <c r="P112" s="288"/>
      <c r="Q112" s="288"/>
      <c r="R112" s="288"/>
      <c r="S112" s="288"/>
      <c r="T112" s="288"/>
      <c r="U112" s="288"/>
      <c r="V112" s="288"/>
      <c r="W112" s="288"/>
      <c r="X112" s="288"/>
      <c r="Y112" s="288"/>
      <c r="Z112" s="288"/>
      <c r="AA112" s="288"/>
      <c r="AB112" s="288"/>
      <c r="AC112" s="288"/>
      <c r="AD112" s="288"/>
      <c r="AE112" s="288"/>
      <c r="AF112" s="288"/>
      <c r="AG112" s="288"/>
      <c r="AH112" s="288"/>
      <c r="AI112" s="289"/>
    </row>
    <row r="113" spans="1:35" ht="18" customHeight="1">
      <c r="A113" s="36"/>
      <c r="B113" s="302"/>
      <c r="C113" s="302"/>
      <c r="D113" s="302"/>
      <c r="E113" s="302"/>
      <c r="F113" s="302"/>
      <c r="G113" s="302"/>
      <c r="H113" s="302"/>
      <c r="I113" s="302"/>
      <c r="J113" s="302"/>
      <c r="K113" s="302"/>
      <c r="L113" s="302"/>
      <c r="M113" s="302"/>
      <c r="N113" s="302"/>
      <c r="O113" s="302"/>
      <c r="P113" s="302"/>
      <c r="Q113" s="302"/>
      <c r="R113" s="302"/>
      <c r="S113" s="302"/>
      <c r="T113" s="302"/>
      <c r="U113" s="302"/>
      <c r="V113" s="302"/>
      <c r="W113" s="302"/>
      <c r="X113" s="302"/>
      <c r="Y113" s="302"/>
      <c r="Z113" s="302"/>
      <c r="AA113" s="302"/>
      <c r="AB113" s="302"/>
      <c r="AC113" s="302"/>
      <c r="AD113" s="302"/>
      <c r="AE113" s="302"/>
      <c r="AF113" s="302"/>
      <c r="AG113" s="302"/>
      <c r="AH113" s="302"/>
      <c r="AI113" s="303"/>
    </row>
    <row r="114" spans="1:35" ht="18" customHeight="1">
      <c r="A114" s="36"/>
      <c r="B114" s="283"/>
      <c r="C114" s="284"/>
      <c r="D114" s="284"/>
      <c r="E114" s="284"/>
      <c r="F114" s="286"/>
      <c r="G114" s="286"/>
      <c r="H114" s="286"/>
      <c r="I114" s="286"/>
      <c r="J114" s="286"/>
      <c r="K114" s="286"/>
      <c r="L114" s="286"/>
      <c r="M114" s="286"/>
      <c r="N114" s="286"/>
      <c r="O114" s="286"/>
      <c r="P114" s="286"/>
      <c r="Q114" s="286"/>
      <c r="R114" s="286"/>
      <c r="S114" s="286"/>
      <c r="T114" s="286"/>
      <c r="U114" s="286"/>
      <c r="V114" s="286"/>
      <c r="W114" s="286"/>
      <c r="X114" s="286"/>
      <c r="Y114" s="286"/>
      <c r="Z114" s="286"/>
      <c r="AA114" s="286"/>
      <c r="AB114" s="286"/>
      <c r="AC114" s="286"/>
      <c r="AD114" s="286"/>
      <c r="AE114" s="286"/>
      <c r="AF114" s="286"/>
      <c r="AG114" s="286"/>
      <c r="AH114" s="286"/>
      <c r="AI114" s="287"/>
    </row>
    <row r="115" spans="1:35" ht="18" customHeight="1">
      <c r="A115" s="36"/>
      <c r="B115" s="283"/>
      <c r="C115" s="284"/>
      <c r="D115" s="284"/>
      <c r="E115" s="284"/>
      <c r="F115" s="312"/>
      <c r="G115" s="312"/>
      <c r="H115" s="312"/>
      <c r="I115" s="312"/>
      <c r="J115" s="312"/>
      <c r="K115" s="312"/>
      <c r="L115" s="312"/>
      <c r="M115" s="312"/>
      <c r="N115" s="312"/>
      <c r="O115" s="312"/>
      <c r="P115" s="312"/>
      <c r="Q115" s="312"/>
      <c r="R115" s="312"/>
      <c r="S115" s="312"/>
      <c r="T115" s="312"/>
      <c r="U115" s="312"/>
      <c r="V115" s="312"/>
      <c r="W115" s="312"/>
      <c r="X115" s="312"/>
      <c r="Y115" s="312"/>
      <c r="Z115" s="312"/>
      <c r="AA115" s="312"/>
      <c r="AB115" s="312"/>
      <c r="AC115" s="312"/>
      <c r="AD115" s="312"/>
      <c r="AE115" s="312"/>
      <c r="AF115" s="312"/>
      <c r="AG115" s="312"/>
      <c r="AH115" s="312"/>
      <c r="AI115" s="313"/>
    </row>
    <row r="116" spans="1:35" ht="18" customHeight="1">
      <c r="A116" s="36"/>
      <c r="B116" s="291"/>
      <c r="C116" s="291"/>
      <c r="D116" s="291"/>
      <c r="E116" s="291"/>
      <c r="F116" s="312"/>
      <c r="G116" s="312"/>
      <c r="H116" s="312"/>
      <c r="I116" s="312"/>
      <c r="J116" s="312"/>
      <c r="K116" s="312"/>
      <c r="L116" s="312"/>
      <c r="M116" s="312"/>
      <c r="N116" s="312"/>
      <c r="O116" s="312"/>
      <c r="P116" s="312"/>
      <c r="Q116" s="312"/>
      <c r="R116" s="312"/>
      <c r="S116" s="312"/>
      <c r="T116" s="312"/>
      <c r="U116" s="312"/>
      <c r="V116" s="312"/>
      <c r="W116" s="312"/>
      <c r="X116" s="312"/>
      <c r="Y116" s="312"/>
      <c r="Z116" s="312"/>
      <c r="AA116" s="312"/>
      <c r="AB116" s="312"/>
      <c r="AC116" s="312"/>
      <c r="AD116" s="312"/>
      <c r="AE116" s="312"/>
      <c r="AF116" s="312"/>
      <c r="AG116" s="312"/>
      <c r="AH116" s="312"/>
      <c r="AI116" s="313"/>
    </row>
    <row r="117" spans="1:35" ht="18" customHeight="1">
      <c r="A117" s="36"/>
      <c r="B117" s="291"/>
      <c r="C117" s="291"/>
      <c r="D117" s="291"/>
      <c r="E117" s="291"/>
      <c r="F117" s="312"/>
      <c r="G117" s="312"/>
      <c r="H117" s="312"/>
      <c r="I117" s="312"/>
      <c r="J117" s="312"/>
      <c r="K117" s="312"/>
      <c r="L117" s="312"/>
      <c r="M117" s="312"/>
      <c r="N117" s="312"/>
      <c r="O117" s="312"/>
      <c r="P117" s="312"/>
      <c r="Q117" s="312"/>
      <c r="R117" s="312"/>
      <c r="S117" s="312"/>
      <c r="T117" s="312"/>
      <c r="U117" s="312"/>
      <c r="V117" s="312"/>
      <c r="W117" s="312"/>
      <c r="X117" s="312"/>
      <c r="Y117" s="312"/>
      <c r="Z117" s="312"/>
      <c r="AA117" s="312"/>
      <c r="AB117" s="312"/>
      <c r="AC117" s="312"/>
      <c r="AD117" s="312"/>
      <c r="AE117" s="312"/>
      <c r="AF117" s="312"/>
      <c r="AG117" s="312"/>
      <c r="AH117" s="312"/>
      <c r="AI117" s="313"/>
    </row>
    <row r="118" spans="1:35" ht="18" customHeight="1">
      <c r="A118" s="36"/>
      <c r="B118" s="291"/>
      <c r="C118" s="291"/>
      <c r="D118" s="291"/>
      <c r="E118" s="291"/>
      <c r="F118" s="312"/>
      <c r="G118" s="312"/>
      <c r="H118" s="312"/>
      <c r="I118" s="312"/>
      <c r="J118" s="312"/>
      <c r="K118" s="312"/>
      <c r="L118" s="312"/>
      <c r="M118" s="312"/>
      <c r="N118" s="312"/>
      <c r="O118" s="312"/>
      <c r="P118" s="312"/>
      <c r="Q118" s="312"/>
      <c r="R118" s="312"/>
      <c r="S118" s="312"/>
      <c r="T118" s="312"/>
      <c r="U118" s="312"/>
      <c r="V118" s="312"/>
      <c r="W118" s="312"/>
      <c r="X118" s="312"/>
      <c r="Y118" s="312"/>
      <c r="Z118" s="312"/>
      <c r="AA118" s="312"/>
      <c r="AB118" s="312"/>
      <c r="AC118" s="312"/>
      <c r="AD118" s="312"/>
      <c r="AE118" s="312"/>
      <c r="AF118" s="312"/>
      <c r="AG118" s="312"/>
      <c r="AH118" s="312"/>
      <c r="AI118" s="313"/>
    </row>
    <row r="119" spans="1:35" ht="18" customHeight="1">
      <c r="A119" s="36"/>
      <c r="B119" s="291"/>
      <c r="C119" s="291"/>
      <c r="D119" s="291"/>
      <c r="E119" s="291"/>
      <c r="F119" s="312"/>
      <c r="G119" s="312"/>
      <c r="H119" s="312"/>
      <c r="I119" s="312"/>
      <c r="J119" s="312"/>
      <c r="K119" s="312"/>
      <c r="L119" s="312"/>
      <c r="M119" s="312"/>
      <c r="N119" s="312"/>
      <c r="O119" s="312"/>
      <c r="P119" s="312"/>
      <c r="Q119" s="312"/>
      <c r="R119" s="312"/>
      <c r="S119" s="312"/>
      <c r="T119" s="312"/>
      <c r="U119" s="312"/>
      <c r="V119" s="312"/>
      <c r="W119" s="312"/>
      <c r="X119" s="312"/>
      <c r="Y119" s="312"/>
      <c r="Z119" s="312"/>
      <c r="AA119" s="312"/>
      <c r="AB119" s="312"/>
      <c r="AC119" s="312"/>
      <c r="AD119" s="312"/>
      <c r="AE119" s="312"/>
      <c r="AF119" s="312"/>
      <c r="AG119" s="312"/>
      <c r="AH119" s="312"/>
      <c r="AI119" s="313"/>
    </row>
    <row r="120" spans="1:35" ht="18" customHeight="1">
      <c r="A120" s="36"/>
      <c r="B120" s="291"/>
      <c r="C120" s="291"/>
      <c r="D120" s="291"/>
      <c r="E120" s="291"/>
      <c r="F120" s="312"/>
      <c r="G120" s="312"/>
      <c r="H120" s="312"/>
      <c r="I120" s="312"/>
      <c r="J120" s="312"/>
      <c r="K120" s="312"/>
      <c r="L120" s="312"/>
      <c r="M120" s="312"/>
      <c r="N120" s="312"/>
      <c r="O120" s="312"/>
      <c r="P120" s="312"/>
      <c r="Q120" s="312"/>
      <c r="R120" s="312"/>
      <c r="S120" s="312"/>
      <c r="T120" s="312"/>
      <c r="U120" s="312"/>
      <c r="V120" s="312"/>
      <c r="W120" s="312"/>
      <c r="X120" s="312"/>
      <c r="Y120" s="312"/>
      <c r="Z120" s="312"/>
      <c r="AA120" s="312"/>
      <c r="AB120" s="312"/>
      <c r="AC120" s="312"/>
      <c r="AD120" s="312"/>
      <c r="AE120" s="312"/>
      <c r="AF120" s="312"/>
      <c r="AG120" s="312"/>
      <c r="AH120" s="312"/>
      <c r="AI120" s="313"/>
    </row>
    <row r="121" spans="1:35" ht="18" customHeight="1">
      <c r="A121" s="36"/>
      <c r="B121" s="291"/>
      <c r="C121" s="291"/>
      <c r="D121" s="291"/>
      <c r="E121" s="291"/>
      <c r="F121" s="288"/>
      <c r="G121" s="288"/>
      <c r="H121" s="288"/>
      <c r="I121" s="288"/>
      <c r="J121" s="288"/>
      <c r="K121" s="288"/>
      <c r="L121" s="288"/>
      <c r="M121" s="288"/>
      <c r="N121" s="288"/>
      <c r="O121" s="288"/>
      <c r="P121" s="288"/>
      <c r="Q121" s="288"/>
      <c r="R121" s="288"/>
      <c r="S121" s="288"/>
      <c r="T121" s="288"/>
      <c r="U121" s="288"/>
      <c r="V121" s="288"/>
      <c r="W121" s="288"/>
      <c r="X121" s="288"/>
      <c r="Y121" s="288"/>
      <c r="Z121" s="288"/>
      <c r="AA121" s="288"/>
      <c r="AB121" s="288"/>
      <c r="AC121" s="288"/>
      <c r="AD121" s="288"/>
      <c r="AE121" s="288"/>
      <c r="AF121" s="288"/>
      <c r="AG121" s="288"/>
      <c r="AH121" s="288"/>
      <c r="AI121" s="289"/>
    </row>
    <row r="122" spans="1:35" ht="18" customHeight="1">
      <c r="A122" s="36"/>
      <c r="B122" s="291"/>
      <c r="C122" s="291"/>
      <c r="D122" s="291"/>
      <c r="E122" s="291"/>
      <c r="F122" s="288"/>
      <c r="G122" s="288"/>
      <c r="H122" s="288"/>
      <c r="I122" s="288"/>
      <c r="J122" s="288"/>
      <c r="K122" s="288"/>
      <c r="L122" s="288"/>
      <c r="M122" s="288"/>
      <c r="N122" s="288"/>
      <c r="O122" s="288"/>
      <c r="P122" s="288"/>
      <c r="Q122" s="288"/>
      <c r="R122" s="288"/>
      <c r="S122" s="288"/>
      <c r="T122" s="288"/>
      <c r="U122" s="288"/>
      <c r="V122" s="288"/>
      <c r="W122" s="288"/>
      <c r="X122" s="288"/>
      <c r="Y122" s="288"/>
      <c r="Z122" s="288"/>
      <c r="AA122" s="288"/>
      <c r="AB122" s="288"/>
      <c r="AC122" s="288"/>
      <c r="AD122" s="288"/>
      <c r="AE122" s="288"/>
      <c r="AF122" s="288"/>
      <c r="AG122" s="288"/>
      <c r="AH122" s="288"/>
      <c r="AI122" s="289"/>
    </row>
    <row r="123" spans="1:35" ht="18" customHeight="1">
      <c r="A123" s="36"/>
      <c r="B123" s="291"/>
      <c r="C123" s="291"/>
      <c r="D123" s="291"/>
      <c r="E123" s="291"/>
      <c r="F123" s="288"/>
      <c r="G123" s="288"/>
      <c r="H123" s="288"/>
      <c r="I123" s="288"/>
      <c r="J123" s="288"/>
      <c r="K123" s="288"/>
      <c r="L123" s="288"/>
      <c r="M123" s="288"/>
      <c r="N123" s="288"/>
      <c r="O123" s="288"/>
      <c r="P123" s="288"/>
      <c r="Q123" s="288"/>
      <c r="R123" s="288"/>
      <c r="S123" s="288"/>
      <c r="T123" s="288"/>
      <c r="U123" s="288"/>
      <c r="V123" s="288"/>
      <c r="W123" s="288"/>
      <c r="X123" s="288"/>
      <c r="Y123" s="288"/>
      <c r="Z123" s="288"/>
      <c r="AA123" s="288"/>
      <c r="AB123" s="288"/>
      <c r="AC123" s="288"/>
      <c r="AD123" s="288"/>
      <c r="AE123" s="288"/>
      <c r="AF123" s="288"/>
      <c r="AG123" s="288"/>
      <c r="AH123" s="288"/>
      <c r="AI123" s="289"/>
    </row>
    <row r="124" spans="1:35" ht="18" customHeight="1">
      <c r="A124" s="36"/>
      <c r="B124" s="291"/>
      <c r="C124" s="291"/>
      <c r="D124" s="291"/>
      <c r="E124" s="291"/>
      <c r="F124" s="288"/>
      <c r="G124" s="288"/>
      <c r="H124" s="288"/>
      <c r="I124" s="288"/>
      <c r="J124" s="288"/>
      <c r="K124" s="288"/>
      <c r="L124" s="288"/>
      <c r="M124" s="288"/>
      <c r="N124" s="288"/>
      <c r="O124" s="288"/>
      <c r="P124" s="288"/>
      <c r="Q124" s="288"/>
      <c r="R124" s="288"/>
      <c r="S124" s="288"/>
      <c r="T124" s="288"/>
      <c r="U124" s="288"/>
      <c r="V124" s="288"/>
      <c r="W124" s="288"/>
      <c r="X124" s="288"/>
      <c r="Y124" s="288"/>
      <c r="Z124" s="288"/>
      <c r="AA124" s="288"/>
      <c r="AB124" s="288"/>
      <c r="AC124" s="288"/>
      <c r="AD124" s="288"/>
      <c r="AE124" s="288"/>
      <c r="AF124" s="288"/>
      <c r="AG124" s="288"/>
      <c r="AH124" s="288"/>
      <c r="AI124" s="289"/>
    </row>
    <row r="125" spans="1:35" ht="18" customHeight="1" thickBot="1">
      <c r="A125" s="41"/>
      <c r="B125" s="304"/>
      <c r="C125" s="304"/>
      <c r="D125" s="304"/>
      <c r="E125" s="304"/>
      <c r="F125" s="305"/>
      <c r="G125" s="305"/>
      <c r="H125" s="305"/>
      <c r="I125" s="305"/>
      <c r="J125" s="305"/>
      <c r="K125" s="305"/>
      <c r="L125" s="305"/>
      <c r="M125" s="305"/>
      <c r="N125" s="305"/>
      <c r="O125" s="305"/>
      <c r="P125" s="305"/>
      <c r="Q125" s="305"/>
      <c r="R125" s="305"/>
      <c r="S125" s="305"/>
      <c r="T125" s="305"/>
      <c r="U125" s="305"/>
      <c r="V125" s="305"/>
      <c r="W125" s="305"/>
      <c r="X125" s="305"/>
      <c r="Y125" s="305"/>
      <c r="Z125" s="305"/>
      <c r="AA125" s="305"/>
      <c r="AB125" s="305"/>
      <c r="AC125" s="305"/>
      <c r="AD125" s="305"/>
      <c r="AE125" s="305"/>
      <c r="AF125" s="305"/>
      <c r="AG125" s="305"/>
      <c r="AH125" s="305"/>
      <c r="AI125" s="306"/>
    </row>
    <row r="126" spans="1:35" ht="14.1" customHeight="1"/>
    <row r="127" spans="1:35" ht="14.1" customHeight="1"/>
    <row r="128" spans="1:35" ht="14.1" customHeight="1"/>
    <row r="129" ht="14.1" customHeight="1"/>
    <row r="130" ht="14.1" customHeight="1"/>
    <row r="131" ht="14.1" customHeight="1"/>
    <row r="132" ht="14.1" customHeight="1"/>
    <row r="133" ht="14.1" customHeight="1"/>
    <row r="134" ht="14.1" customHeight="1"/>
    <row r="135" ht="14.1" customHeight="1"/>
    <row r="136" ht="14.1" customHeight="1"/>
    <row r="137" ht="14.1" customHeight="1"/>
    <row r="138" ht="14.1" customHeight="1"/>
    <row r="139" ht="14.1" customHeight="1"/>
    <row r="140" ht="14.1" customHeight="1"/>
    <row r="141" ht="14.1" customHeight="1"/>
    <row r="142" ht="14.1" customHeight="1"/>
    <row r="143" ht="14.1" customHeight="1"/>
    <row r="144" ht="14.1" customHeight="1"/>
    <row r="145" ht="14.1" customHeight="1"/>
    <row r="146" ht="14.1" customHeight="1"/>
    <row r="147" ht="14.1" customHeight="1"/>
    <row r="148" ht="14.1" customHeight="1"/>
    <row r="149" ht="14.1" customHeight="1"/>
    <row r="150" ht="14.1" customHeight="1"/>
    <row r="151" ht="14.1" customHeight="1"/>
    <row r="152" ht="14.1" customHeight="1"/>
    <row r="153" ht="14.1" customHeight="1"/>
    <row r="154" ht="14.1" customHeight="1"/>
    <row r="155" ht="14.1" customHeight="1"/>
    <row r="156" ht="14.1" customHeight="1"/>
    <row r="157" ht="14.1" customHeight="1"/>
    <row r="158" ht="14.1" customHeight="1"/>
    <row r="159" ht="14.1" customHeight="1"/>
    <row r="160" ht="14.1" customHeight="1"/>
    <row r="161" ht="14.1" customHeight="1"/>
    <row r="162" ht="14.1" customHeight="1"/>
    <row r="163" ht="14.1" customHeight="1"/>
    <row r="164" ht="14.1" customHeight="1"/>
    <row r="165" ht="14.1" customHeight="1"/>
    <row r="166" ht="14.1" customHeight="1"/>
    <row r="167" ht="14.1" customHeight="1"/>
    <row r="168" ht="14.1" customHeight="1"/>
    <row r="169" ht="14.1" customHeight="1"/>
    <row r="170" ht="14.1" customHeight="1"/>
    <row r="171" ht="14.1" customHeight="1"/>
    <row r="172" ht="14.1" customHeight="1"/>
    <row r="173" ht="14.1" customHeight="1"/>
    <row r="174" ht="14.1" customHeight="1"/>
    <row r="175" ht="14.1" customHeight="1"/>
    <row r="176" ht="14.1" customHeight="1"/>
    <row r="177" ht="14.1" customHeight="1"/>
    <row r="178" ht="14.1" customHeight="1"/>
    <row r="179" ht="14.1" customHeight="1"/>
    <row r="180" ht="14.1" customHeight="1"/>
    <row r="181" ht="14.1" customHeight="1"/>
    <row r="182" ht="14.1" customHeight="1"/>
    <row r="183" ht="14.1" customHeight="1"/>
    <row r="184" ht="14.1" customHeight="1"/>
    <row r="185" ht="14.1" customHeight="1"/>
    <row r="186" ht="14.1" customHeight="1"/>
    <row r="187" ht="14.1" customHeight="1"/>
    <row r="188" ht="14.1" customHeight="1"/>
    <row r="189" ht="14.1" customHeight="1"/>
    <row r="190" ht="14.1" customHeight="1"/>
    <row r="191" ht="14.1" customHeight="1"/>
    <row r="192" ht="14.1" customHeight="1"/>
    <row r="193" ht="14.1" customHeight="1"/>
    <row r="194" ht="14.1" customHeight="1"/>
    <row r="195" ht="14.1" customHeight="1"/>
    <row r="196" ht="14.1" customHeight="1"/>
    <row r="197" ht="14.1" customHeight="1"/>
    <row r="198" ht="14.1" customHeight="1"/>
    <row r="199" ht="14.1" customHeight="1"/>
    <row r="200" ht="14.1" customHeight="1"/>
    <row r="201" ht="14.1" customHeight="1"/>
    <row r="202" ht="14.1" customHeight="1"/>
    <row r="203" ht="14.1" customHeight="1"/>
    <row r="204" ht="14.1" customHeight="1"/>
    <row r="205" ht="14.1" customHeight="1"/>
    <row r="206" ht="14.1" customHeight="1"/>
    <row r="207" ht="14.1" customHeight="1"/>
    <row r="208" ht="14.1" customHeight="1"/>
    <row r="209" ht="14.1" customHeight="1"/>
    <row r="210" ht="14.1" customHeight="1"/>
    <row r="211" ht="14.1" customHeight="1"/>
    <row r="212" ht="14.1" customHeight="1"/>
    <row r="213" ht="14.1" customHeight="1"/>
    <row r="214" ht="14.1" customHeight="1"/>
    <row r="215" ht="14.1" customHeight="1"/>
    <row r="216" ht="14.1" customHeight="1"/>
    <row r="217" ht="14.1" customHeight="1"/>
    <row r="218" ht="14.1" customHeight="1"/>
    <row r="219" ht="14.1" customHeight="1"/>
    <row r="220" ht="14.1" customHeight="1"/>
    <row r="221" ht="14.1" customHeight="1"/>
    <row r="222" ht="14.1" customHeight="1"/>
    <row r="223" ht="14.1" customHeight="1"/>
    <row r="224" ht="14.1" customHeight="1"/>
    <row r="225" ht="14.1" customHeight="1"/>
    <row r="226" ht="14.1" customHeight="1"/>
    <row r="227" ht="14.1" customHeight="1"/>
    <row r="228" ht="14.1" customHeight="1"/>
    <row r="229" ht="14.1" customHeight="1"/>
    <row r="230" ht="14.1" customHeight="1"/>
    <row r="231" ht="14.1" customHeight="1"/>
    <row r="232" ht="14.1" customHeight="1"/>
    <row r="233" ht="14.1" customHeight="1"/>
    <row r="234" ht="14.1" customHeight="1"/>
    <row r="235" ht="14.1" customHeight="1"/>
    <row r="236" ht="14.1" customHeight="1"/>
    <row r="237" ht="14.1" customHeight="1"/>
    <row r="238" ht="14.1" customHeight="1"/>
    <row r="239" ht="14.1" customHeight="1"/>
    <row r="240" ht="14.1" customHeight="1"/>
    <row r="241" ht="14.1" customHeight="1"/>
    <row r="242" ht="14.1" customHeight="1"/>
    <row r="243" ht="14.1" customHeight="1"/>
    <row r="244" ht="14.1" customHeight="1"/>
    <row r="245" ht="14.1" customHeight="1"/>
    <row r="246" ht="14.1" customHeight="1"/>
    <row r="247" ht="14.1" customHeight="1"/>
    <row r="248" ht="14.1" customHeight="1"/>
    <row r="249" ht="14.1" customHeight="1"/>
    <row r="250" ht="14.1" customHeight="1"/>
    <row r="251" ht="14.1" customHeight="1"/>
    <row r="252" ht="14.1" customHeight="1"/>
    <row r="253" ht="14.1" customHeight="1"/>
    <row r="254" ht="14.1" customHeight="1"/>
    <row r="255" ht="14.1" customHeight="1"/>
    <row r="256" ht="14.1" customHeight="1"/>
    <row r="257" ht="14.1" customHeight="1"/>
    <row r="258" ht="14.1" customHeight="1"/>
    <row r="259" ht="14.1" customHeight="1"/>
    <row r="260" ht="14.1" customHeight="1"/>
    <row r="261" ht="14.1" customHeight="1"/>
    <row r="262" ht="14.1" customHeight="1"/>
    <row r="263" ht="14.1" customHeight="1"/>
    <row r="264" ht="14.1" customHeight="1"/>
    <row r="265" ht="14.1" customHeight="1"/>
    <row r="266" ht="14.1" customHeight="1"/>
    <row r="267" ht="14.1" customHeight="1"/>
    <row r="268" ht="14.1" customHeight="1"/>
    <row r="269" ht="14.1" customHeight="1"/>
    <row r="270" ht="14.1" customHeight="1"/>
  </sheetData>
  <mergeCells count="270">
    <mergeCell ref="B49:AI49"/>
    <mergeCell ref="B38:E38"/>
    <mergeCell ref="F38:AI38"/>
    <mergeCell ref="A45:AI45"/>
    <mergeCell ref="B47:E47"/>
    <mergeCell ref="F47:AI47"/>
    <mergeCell ref="F43:AI43"/>
    <mergeCell ref="N44:Q44"/>
    <mergeCell ref="S44:T44"/>
    <mergeCell ref="V44:W44"/>
    <mergeCell ref="Y44:Z44"/>
    <mergeCell ref="AA44:AB44"/>
    <mergeCell ref="AD44:AE44"/>
    <mergeCell ref="B46:AI46"/>
    <mergeCell ref="B48:AI48"/>
    <mergeCell ref="F40:AI40"/>
    <mergeCell ref="B41:AI41"/>
    <mergeCell ref="A14:AI14"/>
    <mergeCell ref="B32:E32"/>
    <mergeCell ref="F32:AI32"/>
    <mergeCell ref="B33:E33"/>
    <mergeCell ref="F33:AI33"/>
    <mergeCell ref="B39:AI39"/>
    <mergeCell ref="A40:E40"/>
    <mergeCell ref="B42:AI42"/>
    <mergeCell ref="A43:E43"/>
    <mergeCell ref="B16:AI16"/>
    <mergeCell ref="B18:AI18"/>
    <mergeCell ref="B21:AI21"/>
    <mergeCell ref="B29:AI29"/>
    <mergeCell ref="F30:AI30"/>
    <mergeCell ref="B37:E37"/>
    <mergeCell ref="F37:AI37"/>
    <mergeCell ref="F28:AI28"/>
    <mergeCell ref="B28:E28"/>
    <mergeCell ref="B31:E31"/>
    <mergeCell ref="B22:E22"/>
    <mergeCell ref="F22:AI22"/>
    <mergeCell ref="B23:E23"/>
    <mergeCell ref="F23:AI23"/>
    <mergeCell ref="B24:E24"/>
    <mergeCell ref="F24:AI24"/>
    <mergeCell ref="B19:E19"/>
    <mergeCell ref="F19:AI19"/>
    <mergeCell ref="B20:E20"/>
    <mergeCell ref="F20:AI20"/>
    <mergeCell ref="B17:E17"/>
    <mergeCell ref="F17:AI17"/>
    <mergeCell ref="B123:E123"/>
    <mergeCell ref="F123:AI123"/>
    <mergeCell ref="B117:E117"/>
    <mergeCell ref="F117:AI117"/>
    <mergeCell ref="B118:E118"/>
    <mergeCell ref="F118:AI118"/>
    <mergeCell ref="B119:E119"/>
    <mergeCell ref="F119:AI119"/>
    <mergeCell ref="B114:E114"/>
    <mergeCell ref="F114:AI114"/>
    <mergeCell ref="B115:E115"/>
    <mergeCell ref="F115:AI115"/>
    <mergeCell ref="B116:E116"/>
    <mergeCell ref="F116:AI116"/>
    <mergeCell ref="B113:AI113"/>
    <mergeCell ref="B105:E105"/>
    <mergeCell ref="F105:AI105"/>
    <mergeCell ref="B124:E124"/>
    <mergeCell ref="F124:AI124"/>
    <mergeCell ref="B125:E125"/>
    <mergeCell ref="F125:AI125"/>
    <mergeCell ref="B120:E120"/>
    <mergeCell ref="F120:AI120"/>
    <mergeCell ref="B121:E121"/>
    <mergeCell ref="F121:AI121"/>
    <mergeCell ref="B122:E122"/>
    <mergeCell ref="F122:AI122"/>
    <mergeCell ref="B106:E106"/>
    <mergeCell ref="F106:AI106"/>
    <mergeCell ref="B107:E107"/>
    <mergeCell ref="F107:AI107"/>
    <mergeCell ref="B102:E102"/>
    <mergeCell ref="F102:AI102"/>
    <mergeCell ref="B103:E103"/>
    <mergeCell ref="F103:AI103"/>
    <mergeCell ref="B104:E104"/>
    <mergeCell ref="F104:AI104"/>
    <mergeCell ref="B111:E111"/>
    <mergeCell ref="F111:AI111"/>
    <mergeCell ref="B112:E112"/>
    <mergeCell ref="F112:AI112"/>
    <mergeCell ref="B108:E108"/>
    <mergeCell ref="F108:AI108"/>
    <mergeCell ref="B109:E109"/>
    <mergeCell ref="F109:AI109"/>
    <mergeCell ref="B110:E110"/>
    <mergeCell ref="F110:AI110"/>
    <mergeCell ref="B99:E99"/>
    <mergeCell ref="F99:AI99"/>
    <mergeCell ref="B100:E100"/>
    <mergeCell ref="F100:AI100"/>
    <mergeCell ref="B101:E101"/>
    <mergeCell ref="F101:AI101"/>
    <mergeCell ref="B96:E96"/>
    <mergeCell ref="F96:AI96"/>
    <mergeCell ref="B97:E97"/>
    <mergeCell ref="F97:AI97"/>
    <mergeCell ref="B98:E98"/>
    <mergeCell ref="F98:AI98"/>
    <mergeCell ref="B93:E93"/>
    <mergeCell ref="F93:AI93"/>
    <mergeCell ref="B94:E94"/>
    <mergeCell ref="F94:AI94"/>
    <mergeCell ref="B95:E95"/>
    <mergeCell ref="F95:AI95"/>
    <mergeCell ref="B90:E90"/>
    <mergeCell ref="F90:AI90"/>
    <mergeCell ref="B91:E91"/>
    <mergeCell ref="F91:AI91"/>
    <mergeCell ref="B92:E92"/>
    <mergeCell ref="F92:AI92"/>
    <mergeCell ref="B88:E88"/>
    <mergeCell ref="F88:AI88"/>
    <mergeCell ref="B89:E89"/>
    <mergeCell ref="F89:AI89"/>
    <mergeCell ref="A86:AI86"/>
    <mergeCell ref="N85:Q85"/>
    <mergeCell ref="S85:T85"/>
    <mergeCell ref="V85:W85"/>
    <mergeCell ref="Y85:Z85"/>
    <mergeCell ref="AA85:AB85"/>
    <mergeCell ref="AD85:AE85"/>
    <mergeCell ref="B87:AI87"/>
    <mergeCell ref="B82:E82"/>
    <mergeCell ref="F82:AI82"/>
    <mergeCell ref="B83:E83"/>
    <mergeCell ref="F83:AI83"/>
    <mergeCell ref="B84:E84"/>
    <mergeCell ref="F84:AI84"/>
    <mergeCell ref="B80:E80"/>
    <mergeCell ref="F80:AI80"/>
    <mergeCell ref="B81:E81"/>
    <mergeCell ref="F81:AI81"/>
    <mergeCell ref="B79:AI79"/>
    <mergeCell ref="B77:E77"/>
    <mergeCell ref="F77:AI77"/>
    <mergeCell ref="B78:E78"/>
    <mergeCell ref="F78:AI78"/>
    <mergeCell ref="B73:E73"/>
    <mergeCell ref="F73:AI73"/>
    <mergeCell ref="B74:E74"/>
    <mergeCell ref="F74:AI74"/>
    <mergeCell ref="B75:E75"/>
    <mergeCell ref="F75:AI75"/>
    <mergeCell ref="B76:AI76"/>
    <mergeCell ref="B72:AI72"/>
    <mergeCell ref="B65:E65"/>
    <mergeCell ref="F65:AI65"/>
    <mergeCell ref="B66:E66"/>
    <mergeCell ref="F66:AI66"/>
    <mergeCell ref="B62:E62"/>
    <mergeCell ref="F62:AI62"/>
    <mergeCell ref="B63:E63"/>
    <mergeCell ref="F63:AI63"/>
    <mergeCell ref="B70:E70"/>
    <mergeCell ref="F70:AI70"/>
    <mergeCell ref="B71:E71"/>
    <mergeCell ref="F71:AI71"/>
    <mergeCell ref="B67:E67"/>
    <mergeCell ref="F67:AI67"/>
    <mergeCell ref="B68:E68"/>
    <mergeCell ref="F68:AI68"/>
    <mergeCell ref="B69:E69"/>
    <mergeCell ref="F69:AI69"/>
    <mergeCell ref="B61:AI61"/>
    <mergeCell ref="B64:AI64"/>
    <mergeCell ref="B58:E58"/>
    <mergeCell ref="F58:AI58"/>
    <mergeCell ref="B59:E59"/>
    <mergeCell ref="F59:AI59"/>
    <mergeCell ref="B60:E60"/>
    <mergeCell ref="F60:AI60"/>
    <mergeCell ref="B55:E55"/>
    <mergeCell ref="F55:AI55"/>
    <mergeCell ref="B57:E57"/>
    <mergeCell ref="F57:AI57"/>
    <mergeCell ref="B56:AI56"/>
    <mergeCell ref="B53:E53"/>
    <mergeCell ref="F53:AI53"/>
    <mergeCell ref="B54:E54"/>
    <mergeCell ref="F54:AI54"/>
    <mergeCell ref="B50:E50"/>
    <mergeCell ref="F50:AI50"/>
    <mergeCell ref="B51:E51"/>
    <mergeCell ref="F51:AI51"/>
    <mergeCell ref="B52:AI52"/>
    <mergeCell ref="B34:E34"/>
    <mergeCell ref="F34:AI34"/>
    <mergeCell ref="B35:E35"/>
    <mergeCell ref="F35:AI35"/>
    <mergeCell ref="B36:E36"/>
    <mergeCell ref="F36:AI36"/>
    <mergeCell ref="B30:E30"/>
    <mergeCell ref="B25:E25"/>
    <mergeCell ref="F25:AI25"/>
    <mergeCell ref="B26:E26"/>
    <mergeCell ref="F26:AI26"/>
    <mergeCell ref="B27:E27"/>
    <mergeCell ref="F27:AI27"/>
    <mergeCell ref="F31:AI31"/>
    <mergeCell ref="B15:I15"/>
    <mergeCell ref="J15:L15"/>
    <mergeCell ref="M15:N15"/>
    <mergeCell ref="O15:V15"/>
    <mergeCell ref="W15:Y15"/>
    <mergeCell ref="Z15:AA15"/>
    <mergeCell ref="AB15:AD15"/>
    <mergeCell ref="AE15:AG15"/>
    <mergeCell ref="AH15:AI15"/>
    <mergeCell ref="Y12:AF12"/>
    <mergeCell ref="AG12:AH12"/>
    <mergeCell ref="A13:H13"/>
    <mergeCell ref="I13:J13"/>
    <mergeCell ref="K13:L13"/>
    <mergeCell ref="M13:T13"/>
    <mergeCell ref="U13:V13"/>
    <mergeCell ref="W13:X13"/>
    <mergeCell ref="Y13:AF13"/>
    <mergeCell ref="AG13:AH13"/>
    <mergeCell ref="A12:H12"/>
    <mergeCell ref="I12:J12"/>
    <mergeCell ref="K12:L12"/>
    <mergeCell ref="M12:T12"/>
    <mergeCell ref="U12:V12"/>
    <mergeCell ref="W12:X12"/>
    <mergeCell ref="Y10:AF10"/>
    <mergeCell ref="AG10:AH10"/>
    <mergeCell ref="A11:H11"/>
    <mergeCell ref="I11:J11"/>
    <mergeCell ref="K11:L11"/>
    <mergeCell ref="M11:T11"/>
    <mergeCell ref="U11:V11"/>
    <mergeCell ref="W11:X11"/>
    <mergeCell ref="Y11:AF11"/>
    <mergeCell ref="AG11:AH11"/>
    <mergeCell ref="A10:H10"/>
    <mergeCell ref="I10:J10"/>
    <mergeCell ref="K10:L10"/>
    <mergeCell ref="M10:T10"/>
    <mergeCell ref="U10:V10"/>
    <mergeCell ref="W10:X10"/>
    <mergeCell ref="O7:P8"/>
    <mergeCell ref="Q7:R8"/>
    <mergeCell ref="Y7:AA8"/>
    <mergeCell ref="AB7:AI8"/>
    <mergeCell ref="A9:AI9"/>
    <mergeCell ref="A1:S3"/>
    <mergeCell ref="AD1:AI1"/>
    <mergeCell ref="AD2:AF4"/>
    <mergeCell ref="AG2:AI4"/>
    <mergeCell ref="A4:S5"/>
    <mergeCell ref="A7:E8"/>
    <mergeCell ref="F7:F8"/>
    <mergeCell ref="G7:H8"/>
    <mergeCell ref="I7:I8"/>
    <mergeCell ref="J7:K8"/>
    <mergeCell ref="L7:L8"/>
    <mergeCell ref="M7:N8"/>
    <mergeCell ref="S7:S8"/>
    <mergeCell ref="T7:U8"/>
    <mergeCell ref="V7:V8"/>
    <mergeCell ref="W7:X8"/>
  </mergeCells>
  <phoneticPr fontId="2"/>
  <conditionalFormatting sqref="AB7:AI8">
    <cfRule type="containsBlanks" dxfId="395" priority="8">
      <formula>LEN(TRIM(AB7))=0</formula>
    </cfRule>
  </conditionalFormatting>
  <conditionalFormatting sqref="J7">
    <cfRule type="containsBlanks" dxfId="394" priority="6">
      <formula>LEN(TRIM(J7))=0</formula>
    </cfRule>
  </conditionalFormatting>
  <conditionalFormatting sqref="A7:E8 G7">
    <cfRule type="containsBlanks" dxfId="393" priority="5">
      <formula>LEN(TRIM(A7))=0</formula>
    </cfRule>
  </conditionalFormatting>
  <conditionalFormatting sqref="M7:N8">
    <cfRule type="containsBlanks" dxfId="392" priority="4">
      <formula>LEN(TRIM(M7))=0</formula>
    </cfRule>
  </conditionalFormatting>
  <conditionalFormatting sqref="T7">
    <cfRule type="containsBlanks" dxfId="391" priority="3">
      <formula>LEN(TRIM(T7))=0</formula>
    </cfRule>
  </conditionalFormatting>
  <conditionalFormatting sqref="Q7">
    <cfRule type="containsBlanks" dxfId="390" priority="2">
      <formula>LEN(TRIM(Q7))=0</formula>
    </cfRule>
  </conditionalFormatting>
  <conditionalFormatting sqref="W7:X8">
    <cfRule type="containsBlanks" dxfId="389" priority="1">
      <formula>LEN(TRIM(W7))=0</formula>
    </cfRule>
  </conditionalFormatting>
  <printOptions horizontalCentered="1"/>
  <pageMargins left="0.70866141732283472" right="0.70866141732283472" top="0.74803149606299213" bottom="0.74803149606299213" header="0.31496062992125984" footer="0.31496062992125984"/>
  <pageSetup paperSize="9" scale="99" orientation="portrait" horizontalDpi="300" verticalDpi="300"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92FE7BA-E318-4BA5-A3BB-C0D3AA665838}">
  <sheetPr codeName="Sheet40"/>
  <dimension ref="A1:AN272"/>
  <sheetViews>
    <sheetView view="pageBreakPreview" topLeftCell="A144" zoomScaleNormal="100" zoomScaleSheetLayoutView="100" workbookViewId="0">
      <selection activeCell="F172" sqref="F172"/>
    </sheetView>
  </sheetViews>
  <sheetFormatPr defaultColWidth="8.875" defaultRowHeight="13.5"/>
  <cols>
    <col min="1" max="1" width="2.25" style="178" customWidth="1"/>
    <col min="2" max="2" width="15" style="178" customWidth="1"/>
    <col min="3" max="5" width="2.25" style="178" customWidth="1"/>
    <col min="6" max="6" width="86.625" style="178" customWidth="1"/>
    <col min="7" max="36" width="2.25" style="178" customWidth="1"/>
    <col min="37" max="39" width="8.875" style="178" bestFit="1"/>
    <col min="40" max="40" width="53.5" style="178" customWidth="1"/>
    <col min="41" max="16384" width="8.875" style="178"/>
  </cols>
  <sheetData>
    <row r="1" spans="1:40" ht="14.1" customHeight="1">
      <c r="A1" s="339" t="s">
        <v>166</v>
      </c>
      <c r="B1" s="339"/>
      <c r="C1" s="339"/>
      <c r="D1" s="339"/>
      <c r="E1" s="339"/>
      <c r="F1" s="339"/>
      <c r="G1" s="339"/>
      <c r="H1" s="339"/>
      <c r="I1" s="339"/>
      <c r="J1" s="339"/>
      <c r="K1" s="339"/>
      <c r="L1" s="339"/>
      <c r="M1" s="339"/>
      <c r="N1" s="339"/>
      <c r="O1" s="339"/>
      <c r="P1" s="339"/>
      <c r="Q1" s="339"/>
      <c r="R1" s="339"/>
      <c r="S1" s="339"/>
      <c r="Z1" s="179"/>
      <c r="AA1" s="179"/>
      <c r="AB1" s="180"/>
      <c r="AD1" s="340" t="s">
        <v>167</v>
      </c>
      <c r="AE1" s="340"/>
      <c r="AF1" s="340"/>
      <c r="AG1" s="340"/>
      <c r="AH1" s="340"/>
      <c r="AI1" s="340"/>
      <c r="AM1" s="178">
        <v>1</v>
      </c>
    </row>
    <row r="2" spans="1:40" ht="14.1" customHeight="1">
      <c r="A2" s="339"/>
      <c r="B2" s="339"/>
      <c r="C2" s="339"/>
      <c r="D2" s="339"/>
      <c r="E2" s="339"/>
      <c r="F2" s="339"/>
      <c r="G2" s="339"/>
      <c r="H2" s="339"/>
      <c r="I2" s="339"/>
      <c r="J2" s="339"/>
      <c r="K2" s="339"/>
      <c r="L2" s="339"/>
      <c r="M2" s="339"/>
      <c r="N2" s="339"/>
      <c r="O2" s="339"/>
      <c r="P2" s="339"/>
      <c r="Q2" s="339"/>
      <c r="R2" s="339"/>
      <c r="S2" s="339"/>
      <c r="Z2" s="181"/>
      <c r="AA2" s="181"/>
      <c r="AB2" s="182"/>
      <c r="AD2" s="341"/>
      <c r="AE2" s="341"/>
      <c r="AF2" s="341"/>
      <c r="AG2" s="341"/>
      <c r="AH2" s="341"/>
      <c r="AI2" s="341"/>
    </row>
    <row r="3" spans="1:40" ht="14.1" customHeight="1">
      <c r="A3" s="339"/>
      <c r="B3" s="339"/>
      <c r="C3" s="339"/>
      <c r="D3" s="339"/>
      <c r="E3" s="339"/>
      <c r="F3" s="339"/>
      <c r="G3" s="339"/>
      <c r="H3" s="339"/>
      <c r="I3" s="339"/>
      <c r="J3" s="339"/>
      <c r="K3" s="339"/>
      <c r="L3" s="339"/>
      <c r="M3" s="339"/>
      <c r="N3" s="339"/>
      <c r="O3" s="339"/>
      <c r="P3" s="339"/>
      <c r="Q3" s="339"/>
      <c r="R3" s="339"/>
      <c r="S3" s="339"/>
      <c r="Z3" s="181"/>
      <c r="AA3" s="181"/>
      <c r="AB3" s="182"/>
      <c r="AD3" s="341"/>
      <c r="AE3" s="341"/>
      <c r="AF3" s="341"/>
      <c r="AG3" s="341"/>
      <c r="AH3" s="341"/>
      <c r="AI3" s="341"/>
    </row>
    <row r="4" spans="1:40" ht="14.1" customHeight="1">
      <c r="A4" s="342" t="s">
        <v>168</v>
      </c>
      <c r="B4" s="342"/>
      <c r="C4" s="342"/>
      <c r="D4" s="342"/>
      <c r="E4" s="342"/>
      <c r="F4" s="342"/>
      <c r="G4" s="342"/>
      <c r="H4" s="342"/>
      <c r="I4" s="342"/>
      <c r="J4" s="342"/>
      <c r="K4" s="342"/>
      <c r="L4" s="342"/>
      <c r="M4" s="342"/>
      <c r="N4" s="342"/>
      <c r="O4" s="342"/>
      <c r="P4" s="342"/>
      <c r="Q4" s="342"/>
      <c r="R4" s="342"/>
      <c r="S4" s="342"/>
      <c r="Z4" s="183"/>
      <c r="AA4" s="183"/>
      <c r="AB4" s="182"/>
      <c r="AD4" s="341"/>
      <c r="AE4" s="341"/>
      <c r="AF4" s="341"/>
      <c r="AG4" s="341"/>
      <c r="AH4" s="341"/>
      <c r="AI4" s="341"/>
    </row>
    <row r="5" spans="1:40" ht="14.1" customHeight="1">
      <c r="A5" s="342"/>
      <c r="B5" s="342"/>
      <c r="C5" s="342"/>
      <c r="D5" s="342"/>
      <c r="E5" s="342"/>
      <c r="F5" s="342"/>
      <c r="G5" s="342"/>
      <c r="H5" s="342"/>
      <c r="I5" s="342"/>
      <c r="J5" s="342"/>
      <c r="K5" s="342"/>
      <c r="L5" s="342"/>
      <c r="M5" s="342"/>
      <c r="N5" s="342"/>
      <c r="O5" s="342"/>
      <c r="P5" s="342"/>
      <c r="Q5" s="342"/>
      <c r="R5" s="342"/>
      <c r="S5" s="342"/>
      <c r="U5" s="179"/>
      <c r="V5" s="183"/>
      <c r="W5" s="183"/>
      <c r="X5" s="183"/>
      <c r="Y5" s="183"/>
      <c r="Z5" s="183"/>
      <c r="AA5" s="183"/>
      <c r="AB5" s="182"/>
      <c r="AC5" s="182"/>
      <c r="AD5" s="182"/>
      <c r="AE5" s="182"/>
      <c r="AF5" s="182"/>
      <c r="AG5" s="182"/>
      <c r="AH5" s="182"/>
      <c r="AI5" s="182"/>
    </row>
    <row r="6" spans="1:40" ht="14.1" customHeight="1" thickBot="1">
      <c r="A6" s="184"/>
      <c r="B6" s="184"/>
      <c r="C6" s="184"/>
      <c r="D6" s="184"/>
      <c r="E6" s="184"/>
      <c r="F6" s="184"/>
      <c r="G6" s="184"/>
      <c r="H6" s="184"/>
      <c r="I6" s="184"/>
    </row>
    <row r="7" spans="1:40" ht="12" customHeight="1">
      <c r="A7" s="343">
        <f xml:space="preserve"> DATE([1]初期値!A2, [1]初期値!A3,AM1)</f>
        <v>46023</v>
      </c>
      <c r="B7" s="344"/>
      <c r="C7" s="344"/>
      <c r="D7" s="344"/>
      <c r="E7" s="344"/>
      <c r="F7" s="347" t="s">
        <v>169</v>
      </c>
      <c r="G7" s="349">
        <v>6</v>
      </c>
      <c r="H7" s="349"/>
      <c r="I7" s="349"/>
      <c r="J7" s="324" t="s">
        <v>170</v>
      </c>
      <c r="K7" s="351">
        <v>1</v>
      </c>
      <c r="L7" s="351"/>
      <c r="M7" s="351"/>
      <c r="N7" s="324" t="s">
        <v>3</v>
      </c>
      <c r="O7" s="326" t="s">
        <v>90</v>
      </c>
      <c r="P7" s="326"/>
      <c r="Q7" s="324" t="s">
        <v>292</v>
      </c>
      <c r="R7" s="328"/>
      <c r="S7" s="185" t="s">
        <v>293</v>
      </c>
      <c r="T7" s="186"/>
      <c r="U7" s="186"/>
      <c r="V7" s="186"/>
      <c r="W7" s="186">
        <v>6</v>
      </c>
      <c r="X7" s="187"/>
      <c r="Y7" s="330" t="s">
        <v>172</v>
      </c>
      <c r="Z7" s="324"/>
      <c r="AA7" s="328"/>
      <c r="AB7" s="332" t="s">
        <v>20</v>
      </c>
      <c r="AC7" s="332"/>
      <c r="AD7" s="332"/>
      <c r="AE7" s="332"/>
      <c r="AF7" s="332"/>
      <c r="AG7" s="332"/>
      <c r="AH7" s="332"/>
      <c r="AI7" s="333"/>
    </row>
    <row r="8" spans="1:40" ht="12" customHeight="1" thickBot="1">
      <c r="A8" s="345"/>
      <c r="B8" s="346"/>
      <c r="C8" s="346"/>
      <c r="D8" s="346"/>
      <c r="E8" s="346"/>
      <c r="F8" s="348"/>
      <c r="G8" s="350"/>
      <c r="H8" s="350"/>
      <c r="I8" s="350"/>
      <c r="J8" s="325"/>
      <c r="K8" s="352"/>
      <c r="L8" s="352"/>
      <c r="M8" s="352"/>
      <c r="N8" s="325"/>
      <c r="O8" s="327"/>
      <c r="P8" s="327"/>
      <c r="Q8" s="325"/>
      <c r="R8" s="329"/>
      <c r="S8" s="188"/>
      <c r="T8" s="189"/>
      <c r="U8" s="189"/>
      <c r="V8" s="189"/>
      <c r="W8" s="189"/>
      <c r="X8" s="190"/>
      <c r="Y8" s="331"/>
      <c r="Z8" s="325"/>
      <c r="AA8" s="329"/>
      <c r="AB8" s="334"/>
      <c r="AC8" s="334"/>
      <c r="AD8" s="334"/>
      <c r="AE8" s="334"/>
      <c r="AF8" s="334"/>
      <c r="AG8" s="334"/>
      <c r="AH8" s="334"/>
      <c r="AI8" s="335"/>
    </row>
    <row r="9" spans="1:40" ht="18" customHeight="1">
      <c r="A9" s="336" t="s">
        <v>174</v>
      </c>
      <c r="B9" s="337"/>
      <c r="C9" s="337"/>
      <c r="D9" s="337"/>
      <c r="E9" s="337"/>
      <c r="F9" s="337"/>
      <c r="G9" s="337"/>
      <c r="H9" s="337"/>
      <c r="I9" s="337"/>
      <c r="J9" s="337"/>
      <c r="K9" s="337"/>
      <c r="L9" s="337"/>
      <c r="M9" s="337"/>
      <c r="N9" s="337"/>
      <c r="O9" s="337"/>
      <c r="P9" s="337"/>
      <c r="Q9" s="337"/>
      <c r="R9" s="337"/>
      <c r="S9" s="337"/>
      <c r="T9" s="337"/>
      <c r="U9" s="337"/>
      <c r="V9" s="337"/>
      <c r="W9" s="337"/>
      <c r="X9" s="337"/>
      <c r="Y9" s="337"/>
      <c r="Z9" s="337"/>
      <c r="AA9" s="337"/>
      <c r="AB9" s="337"/>
      <c r="AC9" s="337"/>
      <c r="AD9" s="337"/>
      <c r="AE9" s="337"/>
      <c r="AF9" s="337"/>
      <c r="AG9" s="337"/>
      <c r="AH9" s="337"/>
      <c r="AI9" s="338"/>
    </row>
    <row r="10" spans="1:40" ht="18" customHeight="1">
      <c r="A10" s="360" t="s">
        <v>175</v>
      </c>
      <c r="B10" s="354"/>
      <c r="C10" s="354"/>
      <c r="D10" s="354"/>
      <c r="E10" s="354"/>
      <c r="F10" s="354"/>
      <c r="G10" s="354"/>
      <c r="H10" s="354"/>
      <c r="I10" s="354">
        <f ca="1">SUM(カウント!E2:E31)</f>
        <v>54</v>
      </c>
      <c r="J10" s="354"/>
      <c r="K10" s="357" t="s">
        <v>176</v>
      </c>
      <c r="L10" s="358"/>
      <c r="M10" s="353" t="s">
        <v>177</v>
      </c>
      <c r="N10" s="354"/>
      <c r="O10" s="354"/>
      <c r="P10" s="354"/>
      <c r="Q10" s="354"/>
      <c r="R10" s="354"/>
      <c r="S10" s="354"/>
      <c r="T10" s="354"/>
      <c r="U10" s="354">
        <f ca="1">SUM(カウント!F2:F31)</f>
        <v>0</v>
      </c>
      <c r="V10" s="354"/>
      <c r="W10" s="357" t="s">
        <v>176</v>
      </c>
      <c r="X10" s="358"/>
      <c r="Y10" s="353" t="s">
        <v>178</v>
      </c>
      <c r="Z10" s="354"/>
      <c r="AA10" s="354"/>
      <c r="AB10" s="354"/>
      <c r="AC10" s="354"/>
      <c r="AD10" s="354"/>
      <c r="AE10" s="354"/>
      <c r="AF10" s="354"/>
      <c r="AG10" s="354">
        <f ca="1">SUM(カウント!G2:G31)</f>
        <v>1</v>
      </c>
      <c r="AH10" s="354"/>
      <c r="AI10" s="191" t="s">
        <v>176</v>
      </c>
      <c r="AL10" s="127"/>
    </row>
    <row r="11" spans="1:40" ht="18" customHeight="1">
      <c r="A11" s="355" t="s">
        <v>179</v>
      </c>
      <c r="B11" s="356"/>
      <c r="C11" s="356"/>
      <c r="D11" s="356"/>
      <c r="E11" s="356"/>
      <c r="F11" s="356"/>
      <c r="G11" s="356"/>
      <c r="H11" s="356"/>
      <c r="I11" s="354">
        <f ca="1">SUM(カウント!H2:H31)</f>
        <v>1</v>
      </c>
      <c r="J11" s="354"/>
      <c r="K11" s="357" t="s">
        <v>176</v>
      </c>
      <c r="L11" s="358"/>
      <c r="M11" s="359" t="s">
        <v>180</v>
      </c>
      <c r="N11" s="356"/>
      <c r="O11" s="356"/>
      <c r="P11" s="356"/>
      <c r="Q11" s="356"/>
      <c r="R11" s="356"/>
      <c r="S11" s="356"/>
      <c r="T11" s="356"/>
      <c r="U11" s="354">
        <f ca="1">SUM(カウント!I2:I31)</f>
        <v>1</v>
      </c>
      <c r="V11" s="354"/>
      <c r="W11" s="357" t="s">
        <v>176</v>
      </c>
      <c r="X11" s="358"/>
      <c r="Y11" s="359" t="s">
        <v>181</v>
      </c>
      <c r="Z11" s="356"/>
      <c r="AA11" s="356"/>
      <c r="AB11" s="356"/>
      <c r="AC11" s="356"/>
      <c r="AD11" s="356"/>
      <c r="AE11" s="356"/>
      <c r="AF11" s="356"/>
      <c r="AG11" s="354">
        <f ca="1">SUM(カウント!J2:J31)</f>
        <v>0</v>
      </c>
      <c r="AH11" s="354"/>
      <c r="AI11" s="191" t="s">
        <v>176</v>
      </c>
      <c r="AL11" s="128"/>
      <c r="AM11" s="128"/>
      <c r="AN11" s="128"/>
    </row>
    <row r="12" spans="1:40" ht="18" customHeight="1">
      <c r="A12" s="360" t="s">
        <v>182</v>
      </c>
      <c r="B12" s="354"/>
      <c r="C12" s="354"/>
      <c r="D12" s="354"/>
      <c r="E12" s="354"/>
      <c r="F12" s="354"/>
      <c r="G12" s="354"/>
      <c r="H12" s="354"/>
      <c r="I12" s="354">
        <f ca="1">SUM(カウント!K2:K31)</f>
        <v>4</v>
      </c>
      <c r="J12" s="354"/>
      <c r="K12" s="357" t="s">
        <v>176</v>
      </c>
      <c r="L12" s="358"/>
      <c r="M12" s="353" t="s">
        <v>183</v>
      </c>
      <c r="N12" s="354"/>
      <c r="O12" s="354"/>
      <c r="P12" s="354"/>
      <c r="Q12" s="354"/>
      <c r="R12" s="354"/>
      <c r="S12" s="354"/>
      <c r="T12" s="354"/>
      <c r="U12" s="354">
        <f ca="1">SUM(カウント!L2:L31)</f>
        <v>2</v>
      </c>
      <c r="V12" s="354"/>
      <c r="W12" s="357" t="s">
        <v>176</v>
      </c>
      <c r="X12" s="358"/>
      <c r="Y12" s="353" t="s">
        <v>184</v>
      </c>
      <c r="Z12" s="354"/>
      <c r="AA12" s="354"/>
      <c r="AB12" s="354"/>
      <c r="AC12" s="354"/>
      <c r="AD12" s="354"/>
      <c r="AE12" s="354"/>
      <c r="AF12" s="354"/>
      <c r="AG12" s="354">
        <f ca="1">SUM(カウント!M2:M31)</f>
        <v>6</v>
      </c>
      <c r="AH12" s="354"/>
      <c r="AI12" s="191" t="s">
        <v>176</v>
      </c>
      <c r="AL12" s="129"/>
      <c r="AM12" s="130"/>
      <c r="AN12" s="131"/>
    </row>
    <row r="13" spans="1:40" ht="18" customHeight="1" thickBot="1">
      <c r="A13" s="361" t="s">
        <v>185</v>
      </c>
      <c r="B13" s="362"/>
      <c r="C13" s="362"/>
      <c r="D13" s="362"/>
      <c r="E13" s="362"/>
      <c r="F13" s="362"/>
      <c r="G13" s="362"/>
      <c r="H13" s="362"/>
      <c r="I13" s="362">
        <f ca="1">SUM(カウント!N2:N31)</f>
        <v>3</v>
      </c>
      <c r="J13" s="362"/>
      <c r="K13" s="363" t="s">
        <v>176</v>
      </c>
      <c r="L13" s="364"/>
      <c r="M13" s="365" t="s">
        <v>186</v>
      </c>
      <c r="N13" s="362"/>
      <c r="O13" s="362"/>
      <c r="P13" s="362"/>
      <c r="Q13" s="362"/>
      <c r="R13" s="362"/>
      <c r="S13" s="362"/>
      <c r="T13" s="362"/>
      <c r="U13" s="362">
        <f ca="1">SUM(カウント!O2:O31)</f>
        <v>1</v>
      </c>
      <c r="V13" s="362"/>
      <c r="W13" s="363" t="s">
        <v>176</v>
      </c>
      <c r="X13" s="364"/>
      <c r="Y13" s="366" t="s">
        <v>187</v>
      </c>
      <c r="Z13" s="367"/>
      <c r="AA13" s="367"/>
      <c r="AB13" s="367"/>
      <c r="AC13" s="367"/>
      <c r="AD13" s="367"/>
      <c r="AE13" s="367"/>
      <c r="AF13" s="367"/>
      <c r="AG13" s="362">
        <f ca="1">SUM(カウント!P2:P31)</f>
        <v>20</v>
      </c>
      <c r="AH13" s="362"/>
      <c r="AI13" s="192" t="s">
        <v>176</v>
      </c>
      <c r="AL13" s="129"/>
      <c r="AM13" s="130"/>
      <c r="AN13" s="131"/>
    </row>
    <row r="14" spans="1:40" ht="18" customHeight="1">
      <c r="A14" s="336" t="s">
        <v>188</v>
      </c>
      <c r="B14" s="337"/>
      <c r="C14" s="337"/>
      <c r="D14" s="337"/>
      <c r="E14" s="337"/>
      <c r="F14" s="337"/>
      <c r="G14" s="337"/>
      <c r="H14" s="337"/>
      <c r="I14" s="337"/>
      <c r="J14" s="337"/>
      <c r="K14" s="337"/>
      <c r="L14" s="337"/>
      <c r="M14" s="337"/>
      <c r="N14" s="337"/>
      <c r="O14" s="337"/>
      <c r="P14" s="337"/>
      <c r="Q14" s="337"/>
      <c r="R14" s="337"/>
      <c r="S14" s="337"/>
      <c r="T14" s="337"/>
      <c r="U14" s="337"/>
      <c r="V14" s="337"/>
      <c r="W14" s="337"/>
      <c r="X14" s="337"/>
      <c r="Y14" s="337"/>
      <c r="Z14" s="337"/>
      <c r="AA14" s="337"/>
      <c r="AB14" s="337"/>
      <c r="AC14" s="337"/>
      <c r="AD14" s="337"/>
      <c r="AE14" s="337"/>
      <c r="AF14" s="337"/>
      <c r="AG14" s="337"/>
      <c r="AH14" s="337"/>
      <c r="AI14" s="338"/>
      <c r="AL14" s="129"/>
      <c r="AM14" s="130"/>
      <c r="AN14" s="131"/>
    </row>
    <row r="15" spans="1:40" ht="18" customHeight="1">
      <c r="A15" s="193" t="s">
        <v>189</v>
      </c>
      <c r="B15" s="354" t="s">
        <v>190</v>
      </c>
      <c r="C15" s="354"/>
      <c r="D15" s="354"/>
      <c r="E15" s="354"/>
      <c r="F15" s="354"/>
      <c r="G15" s="354"/>
      <c r="H15" s="354"/>
      <c r="I15" s="354"/>
      <c r="J15" s="368">
        <f ca="1">SUM(カウント!C2:C31)</f>
        <v>1394</v>
      </c>
      <c r="K15" s="368"/>
      <c r="L15" s="368"/>
      <c r="M15" s="354" t="s">
        <v>176</v>
      </c>
      <c r="N15" s="354"/>
      <c r="O15" s="354" t="s">
        <v>191</v>
      </c>
      <c r="P15" s="354"/>
      <c r="Q15" s="354"/>
      <c r="R15" s="354"/>
      <c r="S15" s="354"/>
      <c r="T15" s="354"/>
      <c r="U15" s="354"/>
      <c r="V15" s="354"/>
      <c r="W15" s="368">
        <f ca="1">SUM(カウント!D2:D31)</f>
        <v>1137</v>
      </c>
      <c r="X15" s="368"/>
      <c r="Y15" s="368"/>
      <c r="Z15" s="354" t="s">
        <v>176</v>
      </c>
      <c r="AA15" s="354"/>
      <c r="AB15" s="279" t="s">
        <v>192</v>
      </c>
      <c r="AC15" s="279"/>
      <c r="AD15" s="279"/>
      <c r="AE15" s="280"/>
      <c r="AF15" s="280"/>
      <c r="AG15" s="280"/>
      <c r="AH15" s="281"/>
      <c r="AI15" s="282"/>
      <c r="AL15" s="129"/>
      <c r="AM15" s="130"/>
      <c r="AN15" s="131"/>
    </row>
    <row r="16" spans="1:40" ht="18" customHeight="1">
      <c r="A16" s="194"/>
      <c r="B16" s="369" t="s">
        <v>294</v>
      </c>
      <c r="C16" s="370"/>
      <c r="D16" s="370"/>
      <c r="E16" s="370"/>
      <c r="F16" s="370" t="s">
        <v>295</v>
      </c>
      <c r="G16" s="370"/>
      <c r="H16" s="370"/>
      <c r="I16" s="370"/>
      <c r="J16" s="370"/>
      <c r="K16" s="370"/>
      <c r="L16" s="370"/>
      <c r="M16" s="370"/>
      <c r="N16" s="370"/>
      <c r="O16" s="370"/>
      <c r="P16" s="370"/>
      <c r="Q16" s="370"/>
      <c r="R16" s="370"/>
      <c r="S16" s="370"/>
      <c r="T16" s="370"/>
      <c r="U16" s="370"/>
      <c r="V16" s="370"/>
      <c r="W16" s="370"/>
      <c r="X16" s="370"/>
      <c r="Y16" s="370"/>
      <c r="Z16" s="370"/>
      <c r="AA16" s="370"/>
      <c r="AB16" s="370"/>
      <c r="AC16" s="370"/>
      <c r="AD16" s="370"/>
      <c r="AE16" s="370"/>
      <c r="AF16" s="370"/>
      <c r="AG16" s="370"/>
      <c r="AH16" s="370"/>
      <c r="AI16" s="371"/>
      <c r="AL16" s="129"/>
      <c r="AM16" s="130"/>
      <c r="AN16" s="131"/>
    </row>
    <row r="17" spans="1:40" ht="18" customHeight="1">
      <c r="A17" s="195"/>
      <c r="B17" s="283" t="s">
        <v>294</v>
      </c>
      <c r="C17" s="284"/>
      <c r="D17" s="284"/>
      <c r="E17" s="284"/>
      <c r="F17" s="286"/>
      <c r="G17" s="286"/>
      <c r="H17" s="286"/>
      <c r="I17" s="286"/>
      <c r="J17" s="286"/>
      <c r="K17" s="286"/>
      <c r="L17" s="286"/>
      <c r="M17" s="286"/>
      <c r="N17" s="286"/>
      <c r="O17" s="286"/>
      <c r="P17" s="286"/>
      <c r="Q17" s="286"/>
      <c r="R17" s="286"/>
      <c r="S17" s="286"/>
      <c r="T17" s="286"/>
      <c r="U17" s="286"/>
      <c r="V17" s="286"/>
      <c r="W17" s="286"/>
      <c r="X17" s="286"/>
      <c r="Y17" s="286"/>
      <c r="Z17" s="286"/>
      <c r="AA17" s="286"/>
      <c r="AB17" s="286"/>
      <c r="AC17" s="286"/>
      <c r="AD17" s="286"/>
      <c r="AE17" s="286"/>
      <c r="AF17" s="286"/>
      <c r="AG17" s="286"/>
      <c r="AH17" s="286"/>
      <c r="AI17" s="287"/>
      <c r="AL17" s="129"/>
      <c r="AM17" s="130"/>
      <c r="AN17" s="131"/>
    </row>
    <row r="18" spans="1:40" ht="18" customHeight="1">
      <c r="A18" s="195"/>
      <c r="B18" s="283" t="s">
        <v>294</v>
      </c>
      <c r="C18" s="284"/>
      <c r="D18" s="284"/>
      <c r="E18" s="284"/>
      <c r="F18" s="286" t="s">
        <v>296</v>
      </c>
      <c r="G18" s="286"/>
      <c r="H18" s="286"/>
      <c r="I18" s="286"/>
      <c r="J18" s="286"/>
      <c r="K18" s="286"/>
      <c r="L18" s="286"/>
      <c r="M18" s="286"/>
      <c r="N18" s="286"/>
      <c r="O18" s="286"/>
      <c r="P18" s="286"/>
      <c r="Q18" s="286"/>
      <c r="R18" s="286"/>
      <c r="S18" s="286"/>
      <c r="T18" s="286"/>
      <c r="U18" s="286"/>
      <c r="V18" s="286"/>
      <c r="W18" s="286"/>
      <c r="X18" s="286"/>
      <c r="Y18" s="286"/>
      <c r="Z18" s="286"/>
      <c r="AA18" s="286"/>
      <c r="AB18" s="286"/>
      <c r="AC18" s="286"/>
      <c r="AD18" s="286"/>
      <c r="AE18" s="286"/>
      <c r="AF18" s="286"/>
      <c r="AG18" s="286"/>
      <c r="AH18" s="286"/>
      <c r="AI18" s="287"/>
      <c r="AL18" s="129"/>
      <c r="AM18" s="130"/>
      <c r="AN18" s="131"/>
    </row>
    <row r="19" spans="1:40" ht="18" customHeight="1">
      <c r="A19" s="195"/>
      <c r="B19" s="283" t="s">
        <v>297</v>
      </c>
      <c r="C19" s="284"/>
      <c r="D19" s="284"/>
      <c r="E19" s="284"/>
      <c r="F19" s="286" t="s">
        <v>195</v>
      </c>
      <c r="G19" s="286"/>
      <c r="H19" s="286"/>
      <c r="I19" s="286"/>
      <c r="J19" s="286"/>
      <c r="K19" s="286"/>
      <c r="L19" s="286"/>
      <c r="M19" s="286"/>
      <c r="N19" s="286"/>
      <c r="O19" s="286"/>
      <c r="P19" s="286"/>
      <c r="Q19" s="286"/>
      <c r="R19" s="286"/>
      <c r="S19" s="286"/>
      <c r="T19" s="286"/>
      <c r="U19" s="286"/>
      <c r="V19" s="286"/>
      <c r="W19" s="286"/>
      <c r="X19" s="286"/>
      <c r="Y19" s="286"/>
      <c r="Z19" s="286"/>
      <c r="AA19" s="286"/>
      <c r="AB19" s="286"/>
      <c r="AC19" s="286"/>
      <c r="AD19" s="286"/>
      <c r="AE19" s="286"/>
      <c r="AF19" s="286"/>
      <c r="AG19" s="286"/>
      <c r="AH19" s="286"/>
      <c r="AI19" s="287"/>
      <c r="AL19" s="129"/>
      <c r="AM19" s="132"/>
      <c r="AN19" s="131"/>
    </row>
    <row r="20" spans="1:40" ht="18" customHeight="1">
      <c r="A20" s="195"/>
      <c r="B20" s="283" t="s">
        <v>294</v>
      </c>
      <c r="C20" s="284"/>
      <c r="D20" s="284"/>
      <c r="E20" s="284"/>
      <c r="F20" s="286"/>
      <c r="G20" s="286"/>
      <c r="H20" s="286"/>
      <c r="I20" s="286"/>
      <c r="J20" s="286"/>
      <c r="K20" s="286"/>
      <c r="L20" s="286"/>
      <c r="M20" s="286"/>
      <c r="N20" s="286"/>
      <c r="O20" s="286"/>
      <c r="P20" s="286"/>
      <c r="Q20" s="286"/>
      <c r="R20" s="286"/>
      <c r="S20" s="286"/>
      <c r="T20" s="286"/>
      <c r="U20" s="286"/>
      <c r="V20" s="286"/>
      <c r="W20" s="286"/>
      <c r="X20" s="286"/>
      <c r="Y20" s="286"/>
      <c r="Z20" s="286"/>
      <c r="AA20" s="286"/>
      <c r="AB20" s="286"/>
      <c r="AC20" s="286"/>
      <c r="AD20" s="286"/>
      <c r="AE20" s="286"/>
      <c r="AF20" s="286"/>
      <c r="AG20" s="286"/>
      <c r="AH20" s="286"/>
      <c r="AI20" s="287"/>
      <c r="AN20" s="196"/>
    </row>
    <row r="21" spans="1:40" ht="18" customHeight="1">
      <c r="A21" s="195"/>
      <c r="B21" s="283" t="s">
        <v>294</v>
      </c>
      <c r="C21" s="284"/>
      <c r="D21" s="284"/>
      <c r="E21" s="284"/>
      <c r="F21" s="286" t="s">
        <v>298</v>
      </c>
      <c r="G21" s="286"/>
      <c r="H21" s="286"/>
      <c r="I21" s="286"/>
      <c r="J21" s="286"/>
      <c r="K21" s="286"/>
      <c r="L21" s="286"/>
      <c r="M21" s="286"/>
      <c r="N21" s="286"/>
      <c r="O21" s="286"/>
      <c r="P21" s="286"/>
      <c r="Q21" s="286"/>
      <c r="R21" s="286"/>
      <c r="S21" s="286"/>
      <c r="T21" s="286"/>
      <c r="U21" s="286"/>
      <c r="V21" s="286"/>
      <c r="W21" s="286"/>
      <c r="X21" s="286"/>
      <c r="Y21" s="286"/>
      <c r="Z21" s="286"/>
      <c r="AA21" s="286"/>
      <c r="AB21" s="286"/>
      <c r="AC21" s="286"/>
      <c r="AD21" s="286"/>
      <c r="AE21" s="286"/>
      <c r="AF21" s="286"/>
      <c r="AG21" s="286"/>
      <c r="AH21" s="286"/>
      <c r="AI21" s="287"/>
      <c r="AL21" s="133"/>
      <c r="AM21"/>
      <c r="AN21" s="126"/>
    </row>
    <row r="22" spans="1:40" ht="18" customHeight="1">
      <c r="A22" s="195"/>
      <c r="B22" s="283" t="s">
        <v>197</v>
      </c>
      <c r="C22" s="284"/>
      <c r="D22" s="284"/>
      <c r="E22" s="284"/>
      <c r="F22" s="286" t="s">
        <v>198</v>
      </c>
      <c r="G22" s="286"/>
      <c r="H22" s="286"/>
      <c r="I22" s="286"/>
      <c r="J22" s="286"/>
      <c r="K22" s="286"/>
      <c r="L22" s="286"/>
      <c r="M22" s="286"/>
      <c r="N22" s="286"/>
      <c r="O22" s="286"/>
      <c r="P22" s="286"/>
      <c r="Q22" s="286"/>
      <c r="R22" s="286"/>
      <c r="S22" s="286"/>
      <c r="T22" s="286"/>
      <c r="U22" s="286"/>
      <c r="V22" s="286"/>
      <c r="W22" s="286"/>
      <c r="X22" s="286"/>
      <c r="Y22" s="286"/>
      <c r="Z22" s="286"/>
      <c r="AA22" s="286"/>
      <c r="AB22" s="286"/>
      <c r="AC22" s="286"/>
      <c r="AD22" s="286"/>
      <c r="AE22" s="286"/>
      <c r="AF22" s="286"/>
      <c r="AG22" s="286"/>
      <c r="AH22" s="286"/>
      <c r="AI22" s="287"/>
      <c r="AL22" s="127"/>
      <c r="AM22"/>
      <c r="AN22" s="126"/>
    </row>
    <row r="23" spans="1:40" ht="18" customHeight="1">
      <c r="A23" s="195"/>
      <c r="B23" s="283" t="s">
        <v>199</v>
      </c>
      <c r="C23" s="284"/>
      <c r="D23" s="284"/>
      <c r="E23" s="284"/>
      <c r="F23" s="286" t="s">
        <v>200</v>
      </c>
      <c r="G23" s="286"/>
      <c r="H23" s="286"/>
      <c r="I23" s="286"/>
      <c r="J23" s="286"/>
      <c r="K23" s="286"/>
      <c r="L23" s="286"/>
      <c r="M23" s="286"/>
      <c r="N23" s="286"/>
      <c r="O23" s="286"/>
      <c r="P23" s="286"/>
      <c r="Q23" s="286"/>
      <c r="R23" s="286"/>
      <c r="S23" s="286"/>
      <c r="T23" s="286"/>
      <c r="U23" s="286"/>
      <c r="V23" s="286"/>
      <c r="W23" s="286"/>
      <c r="X23" s="286"/>
      <c r="Y23" s="286"/>
      <c r="Z23" s="286"/>
      <c r="AA23" s="286"/>
      <c r="AB23" s="286"/>
      <c r="AC23" s="286"/>
      <c r="AD23" s="286"/>
      <c r="AE23" s="286"/>
      <c r="AF23" s="286"/>
      <c r="AG23" s="286"/>
      <c r="AH23" s="286"/>
      <c r="AI23" s="287"/>
      <c r="AL23" s="128"/>
      <c r="AM23" s="128"/>
      <c r="AN23" s="134"/>
    </row>
    <row r="24" spans="1:40" ht="18" customHeight="1">
      <c r="A24" s="195"/>
      <c r="B24" s="283" t="s">
        <v>201</v>
      </c>
      <c r="C24" s="284"/>
      <c r="D24" s="284"/>
      <c r="E24" s="284"/>
      <c r="F24" s="286" t="s">
        <v>202</v>
      </c>
      <c r="G24" s="286"/>
      <c r="H24" s="286"/>
      <c r="I24" s="286"/>
      <c r="J24" s="286"/>
      <c r="K24" s="286"/>
      <c r="L24" s="286"/>
      <c r="M24" s="286"/>
      <c r="N24" s="286"/>
      <c r="O24" s="286"/>
      <c r="P24" s="286"/>
      <c r="Q24" s="286"/>
      <c r="R24" s="286"/>
      <c r="S24" s="286"/>
      <c r="T24" s="286"/>
      <c r="U24" s="286"/>
      <c r="V24" s="286"/>
      <c r="W24" s="286"/>
      <c r="X24" s="286"/>
      <c r="Y24" s="286"/>
      <c r="Z24" s="286"/>
      <c r="AA24" s="286"/>
      <c r="AB24" s="286"/>
      <c r="AC24" s="286"/>
      <c r="AD24" s="286"/>
      <c r="AE24" s="286"/>
      <c r="AF24" s="286"/>
      <c r="AG24" s="286"/>
      <c r="AH24" s="286"/>
      <c r="AI24" s="287"/>
      <c r="AL24" s="129"/>
      <c r="AM24" s="130"/>
      <c r="AN24" s="131"/>
    </row>
    <row r="25" spans="1:40" ht="18" customHeight="1">
      <c r="A25" s="195"/>
      <c r="B25" s="283" t="s">
        <v>203</v>
      </c>
      <c r="C25" s="284"/>
      <c r="D25" s="284"/>
      <c r="E25" s="284"/>
      <c r="F25" s="286" t="s">
        <v>299</v>
      </c>
      <c r="G25" s="286"/>
      <c r="H25" s="286"/>
      <c r="I25" s="286"/>
      <c r="J25" s="286"/>
      <c r="K25" s="286"/>
      <c r="L25" s="286"/>
      <c r="M25" s="286"/>
      <c r="N25" s="286"/>
      <c r="O25" s="286"/>
      <c r="P25" s="286"/>
      <c r="Q25" s="286"/>
      <c r="R25" s="286"/>
      <c r="S25" s="286"/>
      <c r="T25" s="286"/>
      <c r="U25" s="286"/>
      <c r="V25" s="286"/>
      <c r="W25" s="286"/>
      <c r="X25" s="286"/>
      <c r="Y25" s="286"/>
      <c r="Z25" s="286"/>
      <c r="AA25" s="286"/>
      <c r="AB25" s="286"/>
      <c r="AC25" s="286"/>
      <c r="AD25" s="286"/>
      <c r="AE25" s="286"/>
      <c r="AF25" s="286"/>
      <c r="AG25" s="286"/>
      <c r="AH25" s="286"/>
      <c r="AI25" s="287"/>
      <c r="AN25" s="196"/>
    </row>
    <row r="26" spans="1:40" ht="18" customHeight="1">
      <c r="A26" s="195"/>
      <c r="B26" s="283" t="s">
        <v>205</v>
      </c>
      <c r="C26" s="284"/>
      <c r="D26" s="284"/>
      <c r="E26" s="284"/>
      <c r="F26" s="286" t="s">
        <v>206</v>
      </c>
      <c r="G26" s="286"/>
      <c r="H26" s="286"/>
      <c r="I26" s="286"/>
      <c r="J26" s="286"/>
      <c r="K26" s="286"/>
      <c r="L26" s="286"/>
      <c r="M26" s="286"/>
      <c r="N26" s="286"/>
      <c r="O26" s="286"/>
      <c r="P26" s="286"/>
      <c r="Q26" s="286"/>
      <c r="R26" s="286"/>
      <c r="S26" s="286"/>
      <c r="T26" s="286"/>
      <c r="U26" s="286"/>
      <c r="V26" s="286"/>
      <c r="W26" s="286"/>
      <c r="X26" s="286"/>
      <c r="Y26" s="286"/>
      <c r="Z26" s="286"/>
      <c r="AA26" s="286"/>
      <c r="AB26" s="286"/>
      <c r="AC26" s="286"/>
      <c r="AD26" s="286"/>
      <c r="AE26" s="286"/>
      <c r="AF26" s="286"/>
      <c r="AG26" s="286"/>
      <c r="AH26" s="286"/>
      <c r="AI26" s="287"/>
      <c r="AL26" s="127"/>
      <c r="AN26" s="196"/>
    </row>
    <row r="27" spans="1:40" ht="18" customHeight="1">
      <c r="A27" s="195"/>
      <c r="B27" s="283" t="s">
        <v>207</v>
      </c>
      <c r="C27" s="284"/>
      <c r="D27" s="284"/>
      <c r="E27" s="284"/>
      <c r="F27" s="286" t="s">
        <v>300</v>
      </c>
      <c r="G27" s="286"/>
      <c r="H27" s="286"/>
      <c r="I27" s="286"/>
      <c r="J27" s="286"/>
      <c r="K27" s="286"/>
      <c r="L27" s="286"/>
      <c r="M27" s="286"/>
      <c r="N27" s="286"/>
      <c r="O27" s="286"/>
      <c r="P27" s="286"/>
      <c r="Q27" s="286"/>
      <c r="R27" s="286"/>
      <c r="S27" s="286"/>
      <c r="T27" s="286"/>
      <c r="U27" s="286"/>
      <c r="V27" s="286"/>
      <c r="W27" s="286"/>
      <c r="X27" s="286"/>
      <c r="Y27" s="286"/>
      <c r="Z27" s="286"/>
      <c r="AA27" s="286"/>
      <c r="AB27" s="286"/>
      <c r="AC27" s="286"/>
      <c r="AD27" s="286"/>
      <c r="AE27" s="286"/>
      <c r="AF27" s="286"/>
      <c r="AG27" s="286"/>
      <c r="AH27" s="286"/>
      <c r="AI27" s="287"/>
      <c r="AL27" s="128"/>
      <c r="AM27" s="128"/>
      <c r="AN27" s="134"/>
    </row>
    <row r="28" spans="1:40" ht="16.5">
      <c r="A28" s="195"/>
      <c r="B28" s="283"/>
      <c r="C28" s="284"/>
      <c r="D28" s="284"/>
      <c r="E28" s="284"/>
      <c r="F28" s="286" t="s">
        <v>209</v>
      </c>
      <c r="G28" s="286"/>
      <c r="H28" s="286"/>
      <c r="I28" s="286"/>
      <c r="J28" s="286"/>
      <c r="K28" s="286"/>
      <c r="L28" s="286"/>
      <c r="M28" s="286"/>
      <c r="N28" s="286"/>
      <c r="O28" s="286"/>
      <c r="P28" s="286"/>
      <c r="Q28" s="286"/>
      <c r="R28" s="286"/>
      <c r="S28" s="286"/>
      <c r="T28" s="286"/>
      <c r="U28" s="286"/>
      <c r="V28" s="286"/>
      <c r="W28" s="286"/>
      <c r="X28" s="286"/>
      <c r="Y28" s="286"/>
      <c r="Z28" s="286"/>
      <c r="AA28" s="286"/>
      <c r="AB28" s="286"/>
      <c r="AC28" s="286"/>
      <c r="AD28" s="286"/>
      <c r="AE28" s="286"/>
      <c r="AF28" s="286"/>
      <c r="AG28" s="286"/>
      <c r="AH28" s="286"/>
      <c r="AI28" s="287"/>
      <c r="AL28" s="129"/>
      <c r="AM28" s="130"/>
      <c r="AN28" s="131"/>
    </row>
    <row r="29" spans="1:40">
      <c r="A29" s="195"/>
      <c r="B29" s="283" t="s">
        <v>210</v>
      </c>
      <c r="C29" s="284"/>
      <c r="D29" s="284"/>
      <c r="E29" s="284"/>
      <c r="F29" s="285" t="s">
        <v>301</v>
      </c>
      <c r="G29" s="286"/>
      <c r="H29" s="286"/>
      <c r="I29" s="286"/>
      <c r="J29" s="286"/>
      <c r="K29" s="286"/>
      <c r="L29" s="286"/>
      <c r="M29" s="286"/>
      <c r="N29" s="286"/>
      <c r="O29" s="286"/>
      <c r="P29" s="286"/>
      <c r="Q29" s="286"/>
      <c r="R29" s="286"/>
      <c r="S29" s="286"/>
      <c r="T29" s="286"/>
      <c r="U29" s="286"/>
      <c r="V29" s="286"/>
      <c r="W29" s="286"/>
      <c r="X29" s="286"/>
      <c r="Y29" s="286"/>
      <c r="Z29" s="286"/>
      <c r="AA29" s="286"/>
      <c r="AB29" s="286"/>
      <c r="AC29" s="286"/>
      <c r="AD29" s="286"/>
      <c r="AE29" s="286"/>
      <c r="AF29" s="286"/>
      <c r="AG29" s="286"/>
      <c r="AH29" s="286"/>
      <c r="AI29" s="287"/>
      <c r="AN29" s="196"/>
    </row>
    <row r="30" spans="1:40" ht="16.5">
      <c r="A30" s="195"/>
      <c r="B30" s="283" t="s">
        <v>210</v>
      </c>
      <c r="C30" s="284"/>
      <c r="D30" s="284"/>
      <c r="E30" s="284"/>
      <c r="F30" s="285" t="s">
        <v>302</v>
      </c>
      <c r="G30" s="286"/>
      <c r="H30" s="286"/>
      <c r="I30" s="286"/>
      <c r="J30" s="286"/>
      <c r="K30" s="286"/>
      <c r="L30" s="286"/>
      <c r="M30" s="286"/>
      <c r="N30" s="286"/>
      <c r="O30" s="286"/>
      <c r="P30" s="286"/>
      <c r="Q30" s="286"/>
      <c r="R30" s="286"/>
      <c r="S30" s="286"/>
      <c r="T30" s="286"/>
      <c r="U30" s="286"/>
      <c r="V30" s="286"/>
      <c r="W30" s="286"/>
      <c r="X30" s="286"/>
      <c r="Y30" s="286"/>
      <c r="Z30" s="286"/>
      <c r="AA30" s="286"/>
      <c r="AB30" s="286"/>
      <c r="AC30" s="286"/>
      <c r="AD30" s="286"/>
      <c r="AE30" s="286"/>
      <c r="AF30" s="286"/>
      <c r="AG30" s="286"/>
      <c r="AH30" s="286"/>
      <c r="AI30" s="287"/>
      <c r="AL30" s="127"/>
      <c r="AN30" s="196"/>
    </row>
    <row r="31" spans="1:40" ht="16.5">
      <c r="A31" s="195"/>
      <c r="B31" s="283" t="s">
        <v>215</v>
      </c>
      <c r="C31" s="284"/>
      <c r="D31" s="284"/>
      <c r="E31" s="284"/>
      <c r="F31" s="285" t="s">
        <v>303</v>
      </c>
      <c r="G31" s="286"/>
      <c r="H31" s="286"/>
      <c r="I31" s="286"/>
      <c r="J31" s="286"/>
      <c r="K31" s="286"/>
      <c r="L31" s="286"/>
      <c r="M31" s="286"/>
      <c r="N31" s="286"/>
      <c r="O31" s="286"/>
      <c r="P31" s="286"/>
      <c r="Q31" s="286"/>
      <c r="R31" s="286"/>
      <c r="S31" s="286"/>
      <c r="T31" s="286"/>
      <c r="U31" s="286"/>
      <c r="V31" s="286"/>
      <c r="W31" s="286"/>
      <c r="X31" s="286"/>
      <c r="Y31" s="286"/>
      <c r="Z31" s="286"/>
      <c r="AA31" s="286"/>
      <c r="AB31" s="286"/>
      <c r="AC31" s="286"/>
      <c r="AD31" s="286"/>
      <c r="AE31" s="286"/>
      <c r="AF31" s="286"/>
      <c r="AG31" s="286"/>
      <c r="AH31" s="286"/>
      <c r="AI31" s="287"/>
      <c r="AL31" s="128"/>
      <c r="AM31" s="128"/>
      <c r="AN31" s="134"/>
    </row>
    <row r="32" spans="1:40" ht="16.5">
      <c r="A32" s="195"/>
      <c r="B32" s="283" t="s">
        <v>218</v>
      </c>
      <c r="C32" s="284"/>
      <c r="D32" s="284"/>
      <c r="E32" s="284"/>
      <c r="F32" s="285" t="s">
        <v>304</v>
      </c>
      <c r="G32" s="286"/>
      <c r="H32" s="286"/>
      <c r="I32" s="286"/>
      <c r="J32" s="286"/>
      <c r="K32" s="286"/>
      <c r="L32" s="286"/>
      <c r="M32" s="286"/>
      <c r="N32" s="286"/>
      <c r="O32" s="286"/>
      <c r="P32" s="286"/>
      <c r="Q32" s="286"/>
      <c r="R32" s="286"/>
      <c r="S32" s="286"/>
      <c r="T32" s="286"/>
      <c r="U32" s="286"/>
      <c r="V32" s="286"/>
      <c r="W32" s="286"/>
      <c r="X32" s="286"/>
      <c r="Y32" s="286"/>
      <c r="Z32" s="286"/>
      <c r="AA32" s="286"/>
      <c r="AB32" s="286"/>
      <c r="AC32" s="286"/>
      <c r="AD32" s="286"/>
      <c r="AE32" s="286"/>
      <c r="AF32" s="286"/>
      <c r="AG32" s="286"/>
      <c r="AH32" s="286"/>
      <c r="AI32" s="287"/>
      <c r="AL32" s="129"/>
      <c r="AM32" s="130"/>
      <c r="AN32" s="135"/>
    </row>
    <row r="33" spans="1:40">
      <c r="A33" s="195"/>
      <c r="B33" s="283"/>
      <c r="C33" s="284"/>
      <c r="D33" s="284"/>
      <c r="E33" s="284"/>
      <c r="F33" s="286"/>
      <c r="G33" s="286"/>
      <c r="H33" s="286"/>
      <c r="I33" s="286"/>
      <c r="J33" s="286"/>
      <c r="K33" s="286"/>
      <c r="L33" s="286"/>
      <c r="M33" s="286"/>
      <c r="N33" s="286"/>
      <c r="O33" s="286"/>
      <c r="P33" s="286"/>
      <c r="Q33" s="286"/>
      <c r="R33" s="286"/>
      <c r="S33" s="286"/>
      <c r="T33" s="286"/>
      <c r="U33" s="286"/>
      <c r="V33" s="286"/>
      <c r="W33" s="286"/>
      <c r="X33" s="286"/>
      <c r="Y33" s="286"/>
      <c r="Z33" s="286"/>
      <c r="AA33" s="286"/>
      <c r="AB33" s="286"/>
      <c r="AC33" s="286"/>
      <c r="AD33" s="286"/>
      <c r="AE33" s="286"/>
      <c r="AF33" s="286"/>
      <c r="AG33" s="286"/>
      <c r="AH33" s="286"/>
      <c r="AI33" s="287"/>
      <c r="AN33" s="196"/>
    </row>
    <row r="34" spans="1:40" ht="18" customHeight="1">
      <c r="A34" s="195"/>
      <c r="B34" s="283" t="s">
        <v>294</v>
      </c>
      <c r="C34" s="284"/>
      <c r="D34" s="284"/>
      <c r="E34" s="284"/>
      <c r="F34" s="286"/>
      <c r="G34" s="286"/>
      <c r="H34" s="286"/>
      <c r="I34" s="286"/>
      <c r="J34" s="286"/>
      <c r="K34" s="286"/>
      <c r="L34" s="286"/>
      <c r="M34" s="286"/>
      <c r="N34" s="286"/>
      <c r="O34" s="286"/>
      <c r="P34" s="286"/>
      <c r="Q34" s="286"/>
      <c r="R34" s="286"/>
      <c r="S34" s="286"/>
      <c r="T34" s="286"/>
      <c r="U34" s="286"/>
      <c r="V34" s="286"/>
      <c r="W34" s="286"/>
      <c r="X34" s="286"/>
      <c r="Y34" s="286"/>
      <c r="Z34" s="286"/>
      <c r="AA34" s="286"/>
      <c r="AB34" s="286"/>
      <c r="AC34" s="286"/>
      <c r="AD34" s="286"/>
      <c r="AE34" s="286"/>
      <c r="AF34" s="286"/>
      <c r="AG34" s="286"/>
      <c r="AH34" s="286"/>
      <c r="AI34" s="287"/>
      <c r="AL34" s="129"/>
      <c r="AM34" s="130"/>
      <c r="AN34" s="131"/>
    </row>
    <row r="35" spans="1:40" ht="18" customHeight="1">
      <c r="A35" s="195"/>
      <c r="B35" s="283" t="s">
        <v>222</v>
      </c>
      <c r="C35" s="284"/>
      <c r="D35" s="284"/>
      <c r="E35" s="284"/>
      <c r="F35" s="286" t="s">
        <v>223</v>
      </c>
      <c r="G35" s="286"/>
      <c r="H35" s="286"/>
      <c r="I35" s="286"/>
      <c r="J35" s="286"/>
      <c r="K35" s="286"/>
      <c r="L35" s="286"/>
      <c r="M35" s="286"/>
      <c r="N35" s="286"/>
      <c r="O35" s="286"/>
      <c r="P35" s="286"/>
      <c r="Q35" s="286"/>
      <c r="R35" s="286"/>
      <c r="S35" s="286"/>
      <c r="T35" s="286"/>
      <c r="U35" s="286"/>
      <c r="V35" s="286"/>
      <c r="W35" s="286"/>
      <c r="X35" s="286"/>
      <c r="Y35" s="286"/>
      <c r="Z35" s="286"/>
      <c r="AA35" s="286"/>
      <c r="AB35" s="286"/>
      <c r="AC35" s="286"/>
      <c r="AD35" s="286"/>
      <c r="AE35" s="286"/>
      <c r="AF35" s="286"/>
      <c r="AG35" s="286"/>
      <c r="AH35" s="286"/>
      <c r="AI35" s="287"/>
      <c r="AN35" s="196"/>
    </row>
    <row r="36" spans="1:40" ht="18" customHeight="1">
      <c r="A36" s="195"/>
      <c r="B36" s="283" t="s">
        <v>222</v>
      </c>
      <c r="C36" s="284"/>
      <c r="D36" s="284"/>
      <c r="E36" s="284"/>
      <c r="F36" s="286" t="s">
        <v>305</v>
      </c>
      <c r="G36" s="286"/>
      <c r="H36" s="286"/>
      <c r="I36" s="286"/>
      <c r="J36" s="286"/>
      <c r="K36" s="286"/>
      <c r="L36" s="286"/>
      <c r="M36" s="286"/>
      <c r="N36" s="286"/>
      <c r="O36" s="286"/>
      <c r="P36" s="286"/>
      <c r="Q36" s="286"/>
      <c r="R36" s="286"/>
      <c r="S36" s="286"/>
      <c r="T36" s="286"/>
      <c r="U36" s="286"/>
      <c r="V36" s="286"/>
      <c r="W36" s="286"/>
      <c r="X36" s="286"/>
      <c r="Y36" s="286"/>
      <c r="Z36" s="286"/>
      <c r="AA36" s="286"/>
      <c r="AB36" s="286"/>
      <c r="AC36" s="286"/>
      <c r="AD36" s="286"/>
      <c r="AE36" s="286"/>
      <c r="AF36" s="286"/>
      <c r="AG36" s="286"/>
      <c r="AH36" s="286"/>
      <c r="AI36" s="287"/>
      <c r="AL36" s="127"/>
      <c r="AN36" s="196"/>
    </row>
    <row r="37" spans="1:40" ht="18" customHeight="1">
      <c r="A37" s="195"/>
      <c r="B37" s="283" t="s">
        <v>294</v>
      </c>
      <c r="C37" s="284"/>
      <c r="D37" s="284"/>
      <c r="E37" s="284"/>
      <c r="F37" s="286" t="s">
        <v>306</v>
      </c>
      <c r="G37" s="286"/>
      <c r="H37" s="286"/>
      <c r="I37" s="286"/>
      <c r="J37" s="286"/>
      <c r="K37" s="286"/>
      <c r="L37" s="286"/>
      <c r="M37" s="286"/>
      <c r="N37" s="286"/>
      <c r="O37" s="286"/>
      <c r="P37" s="286"/>
      <c r="Q37" s="286"/>
      <c r="R37" s="286"/>
      <c r="S37" s="286"/>
      <c r="T37" s="286"/>
      <c r="U37" s="286"/>
      <c r="V37" s="286"/>
      <c r="W37" s="286"/>
      <c r="X37" s="286"/>
      <c r="Y37" s="286"/>
      <c r="Z37" s="286"/>
      <c r="AA37" s="286"/>
      <c r="AB37" s="286"/>
      <c r="AC37" s="286"/>
      <c r="AD37" s="286"/>
      <c r="AE37" s="286"/>
      <c r="AF37" s="286"/>
      <c r="AG37" s="286"/>
      <c r="AH37" s="286"/>
      <c r="AI37" s="287"/>
      <c r="AL37" s="128"/>
      <c r="AM37" s="128"/>
      <c r="AN37" s="134"/>
    </row>
    <row r="38" spans="1:40" ht="18" customHeight="1">
      <c r="A38" s="195"/>
      <c r="B38" s="283" t="s">
        <v>294</v>
      </c>
      <c r="C38" s="284"/>
      <c r="D38" s="284"/>
      <c r="E38" s="284"/>
      <c r="F38" s="286"/>
      <c r="G38" s="286"/>
      <c r="H38" s="286"/>
      <c r="I38" s="286"/>
      <c r="J38" s="286"/>
      <c r="K38" s="286"/>
      <c r="L38" s="286"/>
      <c r="M38" s="286"/>
      <c r="N38" s="286"/>
      <c r="O38" s="286"/>
      <c r="P38" s="286"/>
      <c r="Q38" s="286"/>
      <c r="R38" s="286"/>
      <c r="S38" s="286"/>
      <c r="T38" s="286"/>
      <c r="U38" s="286"/>
      <c r="V38" s="286"/>
      <c r="W38" s="286"/>
      <c r="X38" s="286"/>
      <c r="Y38" s="286"/>
      <c r="Z38" s="286"/>
      <c r="AA38" s="286"/>
      <c r="AB38" s="286"/>
      <c r="AC38" s="286"/>
      <c r="AD38" s="286"/>
      <c r="AE38" s="286"/>
      <c r="AF38" s="286"/>
      <c r="AG38" s="286"/>
      <c r="AH38" s="286"/>
      <c r="AI38" s="287"/>
      <c r="AL38" s="129"/>
      <c r="AM38" s="130"/>
      <c r="AN38" s="135"/>
    </row>
    <row r="39" spans="1:40" ht="18" customHeight="1">
      <c r="A39" s="195"/>
      <c r="B39" s="283" t="s">
        <v>201</v>
      </c>
      <c r="C39" s="284"/>
      <c r="D39" s="284"/>
      <c r="E39" s="284"/>
      <c r="F39" s="286" t="s">
        <v>307</v>
      </c>
      <c r="G39" s="286"/>
      <c r="H39" s="286"/>
      <c r="I39" s="286"/>
      <c r="J39" s="286"/>
      <c r="K39" s="286"/>
      <c r="L39" s="286"/>
      <c r="M39" s="286"/>
      <c r="N39" s="286"/>
      <c r="O39" s="286"/>
      <c r="P39" s="286"/>
      <c r="Q39" s="286"/>
      <c r="R39" s="286"/>
      <c r="S39" s="286"/>
      <c r="T39" s="286"/>
      <c r="U39" s="286"/>
      <c r="V39" s="286"/>
      <c r="W39" s="286"/>
      <c r="X39" s="286"/>
      <c r="Y39" s="286"/>
      <c r="Z39" s="286"/>
      <c r="AA39" s="286"/>
      <c r="AB39" s="286"/>
      <c r="AC39" s="286"/>
      <c r="AD39" s="286"/>
      <c r="AE39" s="286"/>
      <c r="AF39" s="286"/>
      <c r="AG39" s="286"/>
      <c r="AH39" s="286"/>
      <c r="AI39" s="287"/>
      <c r="AN39" s="196"/>
    </row>
    <row r="40" spans="1:40" ht="18" customHeight="1">
      <c r="A40" s="195"/>
      <c r="B40" s="283" t="s">
        <v>294</v>
      </c>
      <c r="C40" s="284"/>
      <c r="D40" s="284"/>
      <c r="E40" s="284"/>
      <c r="F40" s="286" t="s">
        <v>308</v>
      </c>
      <c r="G40" s="286"/>
      <c r="H40" s="286"/>
      <c r="I40" s="286"/>
      <c r="J40" s="286"/>
      <c r="K40" s="286"/>
      <c r="L40" s="286"/>
      <c r="M40" s="286"/>
      <c r="N40" s="286"/>
      <c r="O40" s="286"/>
      <c r="P40" s="286"/>
      <c r="Q40" s="286"/>
      <c r="R40" s="286"/>
      <c r="S40" s="286"/>
      <c r="T40" s="286"/>
      <c r="U40" s="286"/>
      <c r="V40" s="286"/>
      <c r="W40" s="286"/>
      <c r="X40" s="286"/>
      <c r="Y40" s="286"/>
      <c r="Z40" s="286"/>
      <c r="AA40" s="286"/>
      <c r="AB40" s="286"/>
      <c r="AC40" s="286"/>
      <c r="AD40" s="286"/>
      <c r="AE40" s="286"/>
      <c r="AF40" s="286"/>
      <c r="AG40" s="286"/>
      <c r="AH40" s="286"/>
      <c r="AI40" s="287"/>
      <c r="AN40" s="196"/>
    </row>
    <row r="41" spans="1:40" ht="18" customHeight="1">
      <c r="A41" s="195"/>
      <c r="B41" s="283" t="s">
        <v>294</v>
      </c>
      <c r="C41" s="284"/>
      <c r="D41" s="284"/>
      <c r="E41" s="284"/>
      <c r="F41" s="286"/>
      <c r="G41" s="286"/>
      <c r="H41" s="286"/>
      <c r="I41" s="286"/>
      <c r="J41" s="286"/>
      <c r="K41" s="286"/>
      <c r="L41" s="286"/>
      <c r="M41" s="286"/>
      <c r="N41" s="286"/>
      <c r="O41" s="286"/>
      <c r="P41" s="286"/>
      <c r="Q41" s="286"/>
      <c r="R41" s="286"/>
      <c r="S41" s="286"/>
      <c r="T41" s="286"/>
      <c r="U41" s="286"/>
      <c r="V41" s="286"/>
      <c r="W41" s="286"/>
      <c r="X41" s="286"/>
      <c r="Y41" s="286"/>
      <c r="Z41" s="286"/>
      <c r="AA41" s="286"/>
      <c r="AB41" s="286"/>
      <c r="AC41" s="286"/>
      <c r="AD41" s="286"/>
      <c r="AE41" s="286"/>
      <c r="AF41" s="286"/>
      <c r="AG41" s="286"/>
      <c r="AH41" s="286"/>
      <c r="AI41" s="287"/>
      <c r="AN41" s="196"/>
    </row>
    <row r="42" spans="1:40" ht="18" customHeight="1">
      <c r="A42" s="195"/>
      <c r="B42" s="283" t="s">
        <v>231</v>
      </c>
      <c r="C42" s="284"/>
      <c r="D42" s="284"/>
      <c r="E42" s="284"/>
      <c r="F42" s="286" t="s">
        <v>309</v>
      </c>
      <c r="G42" s="286"/>
      <c r="H42" s="286"/>
      <c r="I42" s="286"/>
      <c r="J42" s="286"/>
      <c r="K42" s="286"/>
      <c r="L42" s="286"/>
      <c r="M42" s="286"/>
      <c r="N42" s="286"/>
      <c r="O42" s="286"/>
      <c r="P42" s="286"/>
      <c r="Q42" s="286"/>
      <c r="R42" s="286"/>
      <c r="S42" s="286"/>
      <c r="T42" s="286"/>
      <c r="U42" s="286"/>
      <c r="V42" s="286"/>
      <c r="W42" s="286"/>
      <c r="X42" s="286"/>
      <c r="Y42" s="286"/>
      <c r="Z42" s="286"/>
      <c r="AA42" s="286"/>
      <c r="AB42" s="286"/>
      <c r="AC42" s="286"/>
      <c r="AD42" s="286"/>
      <c r="AE42" s="286"/>
      <c r="AF42" s="286"/>
      <c r="AG42" s="286"/>
      <c r="AH42" s="286"/>
      <c r="AI42" s="287"/>
      <c r="AN42" s="196"/>
    </row>
    <row r="43" spans="1:40" ht="18" customHeight="1">
      <c r="A43" s="195"/>
      <c r="B43" s="283" t="s">
        <v>294</v>
      </c>
      <c r="C43" s="284"/>
      <c r="D43" s="284"/>
      <c r="E43" s="284"/>
      <c r="F43" s="286" t="s">
        <v>233</v>
      </c>
      <c r="G43" s="286"/>
      <c r="H43" s="286"/>
      <c r="I43" s="286"/>
      <c r="J43" s="286"/>
      <c r="K43" s="286"/>
      <c r="L43" s="286"/>
      <c r="M43" s="286"/>
      <c r="N43" s="286"/>
      <c r="O43" s="286"/>
      <c r="P43" s="286"/>
      <c r="Q43" s="286"/>
      <c r="R43" s="286"/>
      <c r="S43" s="286"/>
      <c r="T43" s="286"/>
      <c r="U43" s="286"/>
      <c r="V43" s="286"/>
      <c r="W43" s="286"/>
      <c r="X43" s="286"/>
      <c r="Y43" s="286"/>
      <c r="Z43" s="286"/>
      <c r="AA43" s="286"/>
      <c r="AB43" s="286"/>
      <c r="AC43" s="286"/>
      <c r="AD43" s="286"/>
      <c r="AE43" s="286"/>
      <c r="AF43" s="286"/>
      <c r="AG43" s="286"/>
      <c r="AH43" s="286"/>
      <c r="AI43" s="287"/>
      <c r="AN43" s="196"/>
    </row>
    <row r="44" spans="1:40" ht="18" customHeight="1">
      <c r="A44" s="195"/>
      <c r="B44" s="283" t="s">
        <v>294</v>
      </c>
      <c r="C44" s="284"/>
      <c r="D44" s="284"/>
      <c r="E44" s="284"/>
      <c r="F44" s="286"/>
      <c r="G44" s="286"/>
      <c r="H44" s="286"/>
      <c r="I44" s="286"/>
      <c r="J44" s="286"/>
      <c r="K44" s="286"/>
      <c r="L44" s="286"/>
      <c r="M44" s="286"/>
      <c r="N44" s="286"/>
      <c r="O44" s="286"/>
      <c r="P44" s="286"/>
      <c r="Q44" s="286"/>
      <c r="R44" s="286"/>
      <c r="S44" s="286"/>
      <c r="T44" s="286"/>
      <c r="U44" s="286"/>
      <c r="V44" s="286"/>
      <c r="W44" s="286"/>
      <c r="X44" s="286"/>
      <c r="Y44" s="286"/>
      <c r="Z44" s="286"/>
      <c r="AA44" s="286"/>
      <c r="AB44" s="286"/>
      <c r="AC44" s="286"/>
      <c r="AD44" s="286"/>
      <c r="AE44" s="286"/>
      <c r="AF44" s="286"/>
      <c r="AG44" s="286"/>
      <c r="AH44" s="286"/>
      <c r="AI44" s="287"/>
      <c r="AN44" s="196"/>
    </row>
    <row r="45" spans="1:40" ht="18" customHeight="1">
      <c r="A45" s="195"/>
      <c r="B45" s="283" t="s">
        <v>197</v>
      </c>
      <c r="C45" s="284"/>
      <c r="D45" s="284"/>
      <c r="E45" s="284"/>
      <c r="F45" s="286" t="s">
        <v>234</v>
      </c>
      <c r="G45" s="286"/>
      <c r="H45" s="286"/>
      <c r="I45" s="286"/>
      <c r="J45" s="286"/>
      <c r="K45" s="286"/>
      <c r="L45" s="286"/>
      <c r="M45" s="286"/>
      <c r="N45" s="286"/>
      <c r="O45" s="286"/>
      <c r="P45" s="286"/>
      <c r="Q45" s="286"/>
      <c r="R45" s="286"/>
      <c r="S45" s="286"/>
      <c r="T45" s="286"/>
      <c r="U45" s="286"/>
      <c r="V45" s="286"/>
      <c r="W45" s="286"/>
      <c r="X45" s="286"/>
      <c r="Y45" s="286"/>
      <c r="Z45" s="286"/>
      <c r="AA45" s="286"/>
      <c r="AB45" s="286"/>
      <c r="AC45" s="286"/>
      <c r="AD45" s="286"/>
      <c r="AE45" s="286"/>
      <c r="AF45" s="286"/>
      <c r="AG45" s="286"/>
      <c r="AH45" s="286"/>
      <c r="AI45" s="287"/>
      <c r="AN45" s="196"/>
    </row>
    <row r="46" spans="1:40" ht="18" customHeight="1">
      <c r="A46" s="195"/>
      <c r="B46" s="283" t="s">
        <v>199</v>
      </c>
      <c r="C46" s="284"/>
      <c r="D46" s="284"/>
      <c r="E46" s="284"/>
      <c r="F46" s="286" t="s">
        <v>235</v>
      </c>
      <c r="G46" s="286"/>
      <c r="H46" s="286"/>
      <c r="I46" s="286"/>
      <c r="J46" s="286"/>
      <c r="K46" s="286"/>
      <c r="L46" s="286"/>
      <c r="M46" s="286"/>
      <c r="N46" s="286"/>
      <c r="O46" s="286"/>
      <c r="P46" s="286"/>
      <c r="Q46" s="286"/>
      <c r="R46" s="286"/>
      <c r="S46" s="286"/>
      <c r="T46" s="286"/>
      <c r="U46" s="286"/>
      <c r="V46" s="286"/>
      <c r="W46" s="286"/>
      <c r="X46" s="286"/>
      <c r="Y46" s="286"/>
      <c r="Z46" s="286"/>
      <c r="AA46" s="286"/>
      <c r="AB46" s="286"/>
      <c r="AC46" s="286"/>
      <c r="AD46" s="286"/>
      <c r="AE46" s="286"/>
      <c r="AF46" s="286"/>
      <c r="AG46" s="286"/>
      <c r="AH46" s="286"/>
      <c r="AI46" s="287"/>
      <c r="AN46" s="196"/>
    </row>
    <row r="47" spans="1:40" ht="18" customHeight="1">
      <c r="A47" s="195"/>
      <c r="B47" s="283" t="s">
        <v>294</v>
      </c>
      <c r="C47" s="284"/>
      <c r="D47" s="284"/>
      <c r="E47" s="284"/>
      <c r="F47" s="286" t="s">
        <v>310</v>
      </c>
      <c r="G47" s="286"/>
      <c r="H47" s="286"/>
      <c r="I47" s="286"/>
      <c r="J47" s="286"/>
      <c r="K47" s="286"/>
      <c r="L47" s="286"/>
      <c r="M47" s="286"/>
      <c r="N47" s="286"/>
      <c r="O47" s="286"/>
      <c r="P47" s="286"/>
      <c r="Q47" s="286"/>
      <c r="R47" s="286"/>
      <c r="S47" s="286"/>
      <c r="T47" s="286"/>
      <c r="U47" s="286"/>
      <c r="V47" s="286"/>
      <c r="W47" s="286"/>
      <c r="X47" s="286"/>
      <c r="Y47" s="286"/>
      <c r="Z47" s="286"/>
      <c r="AA47" s="286"/>
      <c r="AB47" s="286"/>
      <c r="AC47" s="286"/>
      <c r="AD47" s="286"/>
      <c r="AE47" s="286"/>
      <c r="AF47" s="286"/>
      <c r="AG47" s="286"/>
      <c r="AH47" s="286"/>
      <c r="AI47" s="287"/>
      <c r="AN47" s="196"/>
    </row>
    <row r="48" spans="1:40" ht="18" customHeight="1">
      <c r="A48" s="197"/>
      <c r="B48" s="381" t="s">
        <v>294</v>
      </c>
      <c r="C48" s="382"/>
      <c r="D48" s="382"/>
      <c r="E48" s="382"/>
      <c r="F48" s="383"/>
      <c r="G48" s="383"/>
      <c r="H48" s="383"/>
      <c r="I48" s="383"/>
      <c r="J48" s="383"/>
      <c r="K48" s="383"/>
      <c r="L48" s="383"/>
      <c r="M48" s="383"/>
      <c r="N48" s="383"/>
      <c r="O48" s="383"/>
      <c r="P48" s="383"/>
      <c r="Q48" s="383"/>
      <c r="R48" s="383"/>
      <c r="S48" s="383"/>
      <c r="T48" s="383"/>
      <c r="U48" s="383"/>
      <c r="V48" s="383"/>
      <c r="W48" s="383"/>
      <c r="X48" s="383"/>
      <c r="Y48" s="383"/>
      <c r="Z48" s="383"/>
      <c r="AA48" s="383"/>
      <c r="AB48" s="383"/>
      <c r="AC48" s="383"/>
      <c r="AD48" s="383"/>
      <c r="AE48" s="383"/>
      <c r="AF48" s="383"/>
      <c r="AG48" s="383"/>
      <c r="AH48" s="383"/>
      <c r="AI48" s="384"/>
      <c r="AN48" s="196"/>
    </row>
    <row r="49" spans="1:40" ht="18" customHeight="1" thickBot="1">
      <c r="A49" s="198"/>
      <c r="B49" s="372" t="s">
        <v>260</v>
      </c>
      <c r="C49" s="373"/>
      <c r="D49" s="373"/>
      <c r="E49" s="373"/>
      <c r="F49" s="374" t="s">
        <v>311</v>
      </c>
      <c r="G49" s="374"/>
      <c r="H49" s="374"/>
      <c r="I49" s="374"/>
      <c r="J49" s="374"/>
      <c r="K49" s="374"/>
      <c r="L49" s="374"/>
      <c r="M49" s="374"/>
      <c r="N49" s="374"/>
      <c r="O49" s="374"/>
      <c r="P49" s="374"/>
      <c r="Q49" s="374"/>
      <c r="R49" s="374"/>
      <c r="S49" s="374"/>
      <c r="T49" s="374"/>
      <c r="U49" s="374"/>
      <c r="V49" s="374"/>
      <c r="W49" s="374"/>
      <c r="X49" s="374"/>
      <c r="Y49" s="374"/>
      <c r="Z49" s="374"/>
      <c r="AA49" s="374"/>
      <c r="AB49" s="374"/>
      <c r="AC49" s="374"/>
      <c r="AD49" s="374"/>
      <c r="AE49" s="374"/>
      <c r="AF49" s="374"/>
      <c r="AG49" s="374"/>
      <c r="AH49" s="374"/>
      <c r="AI49" s="375"/>
      <c r="AN49" s="196"/>
    </row>
    <row r="50" spans="1:40" ht="18" customHeight="1" thickBot="1">
      <c r="A50" s="184"/>
      <c r="B50" s="200" t="s">
        <v>294</v>
      </c>
      <c r="C50" s="184"/>
      <c r="D50" s="184"/>
      <c r="E50" s="184"/>
      <c r="F50" s="184"/>
      <c r="G50" s="184"/>
      <c r="H50" s="184"/>
      <c r="I50" s="184"/>
      <c r="R50" s="376">
        <f>A7</f>
        <v>46023</v>
      </c>
      <c r="S50" s="377"/>
      <c r="T50" s="377"/>
      <c r="U50" s="377"/>
      <c r="V50" s="178" t="s">
        <v>169</v>
      </c>
      <c r="W50" s="378">
        <f>G7</f>
        <v>6</v>
      </c>
      <c r="X50" s="377"/>
      <c r="Y50" s="178" t="s">
        <v>170</v>
      </c>
      <c r="Z50" s="379">
        <f>K7</f>
        <v>1</v>
      </c>
      <c r="AA50" s="377"/>
      <c r="AB50" s="178" t="s">
        <v>3</v>
      </c>
      <c r="AC50" s="380" t="str">
        <f>O7</f>
        <v>月</v>
      </c>
      <c r="AD50" s="377"/>
      <c r="AE50" s="377" t="s">
        <v>292</v>
      </c>
      <c r="AF50" s="377"/>
      <c r="AN50" s="196"/>
    </row>
    <row r="51" spans="1:40" ht="18" customHeight="1">
      <c r="A51" s="336" t="s">
        <v>188</v>
      </c>
      <c r="B51" s="385"/>
      <c r="C51" s="337"/>
      <c r="D51" s="337"/>
      <c r="E51" s="337"/>
      <c r="F51" s="337"/>
      <c r="G51" s="337"/>
      <c r="H51" s="337"/>
      <c r="I51" s="337"/>
      <c r="J51" s="337"/>
      <c r="K51" s="337"/>
      <c r="L51" s="337"/>
      <c r="M51" s="337"/>
      <c r="N51" s="337"/>
      <c r="O51" s="337"/>
      <c r="P51" s="337"/>
      <c r="Q51" s="337"/>
      <c r="R51" s="337"/>
      <c r="S51" s="337"/>
      <c r="T51" s="337"/>
      <c r="U51" s="337"/>
      <c r="V51" s="337"/>
      <c r="W51" s="337"/>
      <c r="X51" s="337"/>
      <c r="Y51" s="337"/>
      <c r="Z51" s="337"/>
      <c r="AA51" s="337"/>
      <c r="AB51" s="337"/>
      <c r="AC51" s="337"/>
      <c r="AD51" s="337"/>
      <c r="AE51" s="337"/>
      <c r="AF51" s="337"/>
      <c r="AG51" s="337"/>
      <c r="AH51" s="337"/>
      <c r="AI51" s="338"/>
      <c r="AJ51"/>
      <c r="AK51"/>
      <c r="AL51"/>
      <c r="AM51"/>
      <c r="AN51" s="126"/>
    </row>
    <row r="52" spans="1:40" ht="18" customHeight="1">
      <c r="A52" s="195"/>
      <c r="B52" s="283" t="s">
        <v>199</v>
      </c>
      <c r="C52" s="284"/>
      <c r="D52" s="284"/>
      <c r="E52" s="284"/>
      <c r="F52" s="286" t="s">
        <v>237</v>
      </c>
      <c r="G52" s="286"/>
      <c r="H52" s="286"/>
      <c r="I52" s="286"/>
      <c r="J52" s="286"/>
      <c r="K52" s="286"/>
      <c r="L52" s="286"/>
      <c r="M52" s="286"/>
      <c r="N52" s="286"/>
      <c r="O52" s="286"/>
      <c r="P52" s="286"/>
      <c r="Q52" s="286"/>
      <c r="R52" s="286"/>
      <c r="S52" s="286"/>
      <c r="T52" s="286"/>
      <c r="U52" s="286"/>
      <c r="V52" s="286"/>
      <c r="W52" s="286"/>
      <c r="X52" s="286"/>
      <c r="Y52" s="286"/>
      <c r="Z52" s="286"/>
      <c r="AA52" s="286"/>
      <c r="AB52" s="286"/>
      <c r="AC52" s="286"/>
      <c r="AD52" s="286"/>
      <c r="AE52" s="286"/>
      <c r="AF52" s="286"/>
      <c r="AG52" s="286"/>
      <c r="AH52" s="286"/>
      <c r="AI52" s="287"/>
      <c r="AN52" s="196"/>
    </row>
    <row r="53" spans="1:40" ht="18" customHeight="1">
      <c r="A53" s="195"/>
      <c r="B53" s="283" t="s">
        <v>199</v>
      </c>
      <c r="C53" s="284"/>
      <c r="D53" s="284"/>
      <c r="E53" s="284"/>
      <c r="F53" s="286" t="s">
        <v>239</v>
      </c>
      <c r="G53" s="286"/>
      <c r="H53" s="286"/>
      <c r="I53" s="286"/>
      <c r="J53" s="286"/>
      <c r="K53" s="286"/>
      <c r="L53" s="286"/>
      <c r="M53" s="286"/>
      <c r="N53" s="286"/>
      <c r="O53" s="286"/>
      <c r="P53" s="286"/>
      <c r="Q53" s="286"/>
      <c r="R53" s="286"/>
      <c r="S53" s="286"/>
      <c r="T53" s="286"/>
      <c r="U53" s="286"/>
      <c r="V53" s="286"/>
      <c r="W53" s="286"/>
      <c r="X53" s="286"/>
      <c r="Y53" s="286"/>
      <c r="Z53" s="286"/>
      <c r="AA53" s="286"/>
      <c r="AB53" s="286"/>
      <c r="AC53" s="286"/>
      <c r="AD53" s="286"/>
      <c r="AE53" s="286"/>
      <c r="AF53" s="286"/>
      <c r="AG53" s="286"/>
      <c r="AH53" s="286"/>
      <c r="AI53" s="287"/>
      <c r="AN53" s="196"/>
    </row>
    <row r="54" spans="1:40" ht="18" customHeight="1">
      <c r="A54" s="195"/>
      <c r="B54" s="283" t="s">
        <v>294</v>
      </c>
      <c r="C54" s="284"/>
      <c r="D54" s="284"/>
      <c r="E54" s="284"/>
      <c r="F54" s="286" t="s">
        <v>312</v>
      </c>
      <c r="G54" s="286"/>
      <c r="H54" s="286"/>
      <c r="I54" s="286"/>
      <c r="J54" s="286"/>
      <c r="K54" s="286"/>
      <c r="L54" s="286"/>
      <c r="M54" s="286"/>
      <c r="N54" s="286"/>
      <c r="O54" s="286"/>
      <c r="P54" s="286"/>
      <c r="Q54" s="286"/>
      <c r="R54" s="286"/>
      <c r="S54" s="286"/>
      <c r="T54" s="286"/>
      <c r="U54" s="286"/>
      <c r="V54" s="286"/>
      <c r="W54" s="286"/>
      <c r="X54" s="286"/>
      <c r="Y54" s="286"/>
      <c r="Z54" s="286"/>
      <c r="AA54" s="286"/>
      <c r="AB54" s="286"/>
      <c r="AC54" s="286"/>
      <c r="AD54" s="286"/>
      <c r="AE54" s="286"/>
      <c r="AF54" s="286"/>
      <c r="AG54" s="286"/>
      <c r="AH54" s="286"/>
      <c r="AI54" s="287"/>
      <c r="AN54" s="196"/>
    </row>
    <row r="55" spans="1:40" ht="18" customHeight="1">
      <c r="A55" s="195"/>
      <c r="B55" s="283" t="s">
        <v>294</v>
      </c>
      <c r="C55" s="284"/>
      <c r="D55" s="284"/>
      <c r="E55" s="284"/>
      <c r="F55" s="286"/>
      <c r="G55" s="286"/>
      <c r="H55" s="286"/>
      <c r="I55" s="286"/>
      <c r="J55" s="286"/>
      <c r="K55" s="286"/>
      <c r="L55" s="286"/>
      <c r="M55" s="286"/>
      <c r="N55" s="286"/>
      <c r="O55" s="286"/>
      <c r="P55" s="286"/>
      <c r="Q55" s="286"/>
      <c r="R55" s="286"/>
      <c r="S55" s="286"/>
      <c r="T55" s="286"/>
      <c r="U55" s="286"/>
      <c r="V55" s="286"/>
      <c r="W55" s="286"/>
      <c r="X55" s="286"/>
      <c r="Y55" s="286"/>
      <c r="Z55" s="286"/>
      <c r="AA55" s="286"/>
      <c r="AB55" s="286"/>
      <c r="AC55" s="286"/>
      <c r="AD55" s="286"/>
      <c r="AE55" s="286"/>
      <c r="AF55" s="286"/>
      <c r="AG55" s="286"/>
      <c r="AH55" s="286"/>
      <c r="AI55" s="287"/>
      <c r="AN55" s="196"/>
    </row>
    <row r="56" spans="1:40" ht="18" customHeight="1">
      <c r="A56" s="195"/>
      <c r="B56" s="283" t="s">
        <v>294</v>
      </c>
      <c r="C56" s="284"/>
      <c r="D56" s="284"/>
      <c r="E56" s="284"/>
      <c r="F56" s="286" t="s">
        <v>241</v>
      </c>
      <c r="G56" s="286"/>
      <c r="H56" s="286"/>
      <c r="I56" s="286"/>
      <c r="J56" s="286"/>
      <c r="K56" s="286"/>
      <c r="L56" s="286"/>
      <c r="M56" s="286"/>
      <c r="N56" s="286"/>
      <c r="O56" s="286"/>
      <c r="P56" s="286"/>
      <c r="Q56" s="286"/>
      <c r="R56" s="286"/>
      <c r="S56" s="286"/>
      <c r="T56" s="286"/>
      <c r="U56" s="286"/>
      <c r="V56" s="286"/>
      <c r="W56" s="286"/>
      <c r="X56" s="286"/>
      <c r="Y56" s="286"/>
      <c r="Z56" s="286"/>
      <c r="AA56" s="286"/>
      <c r="AB56" s="286"/>
      <c r="AC56" s="286"/>
      <c r="AD56" s="286"/>
      <c r="AE56" s="286"/>
      <c r="AF56" s="286"/>
      <c r="AG56" s="286"/>
      <c r="AH56" s="286"/>
      <c r="AI56" s="287"/>
      <c r="AN56" s="196"/>
    </row>
    <row r="57" spans="1:40" ht="18" customHeight="1">
      <c r="A57" s="195"/>
      <c r="B57" s="283" t="s">
        <v>294</v>
      </c>
      <c r="C57" s="284"/>
      <c r="D57" s="284"/>
      <c r="E57" s="284"/>
      <c r="F57" s="286" t="s">
        <v>242</v>
      </c>
      <c r="G57" s="286"/>
      <c r="H57" s="286"/>
      <c r="I57" s="286"/>
      <c r="J57" s="286"/>
      <c r="K57" s="286"/>
      <c r="L57" s="286"/>
      <c r="M57" s="286"/>
      <c r="N57" s="286"/>
      <c r="O57" s="286"/>
      <c r="P57" s="286"/>
      <c r="Q57" s="286"/>
      <c r="R57" s="286"/>
      <c r="S57" s="286"/>
      <c r="T57" s="286"/>
      <c r="U57" s="286"/>
      <c r="V57" s="286"/>
      <c r="W57" s="286"/>
      <c r="X57" s="286"/>
      <c r="Y57" s="286"/>
      <c r="Z57" s="286"/>
      <c r="AA57" s="286"/>
      <c r="AB57" s="286"/>
      <c r="AC57" s="286"/>
      <c r="AD57" s="286"/>
      <c r="AE57" s="286"/>
      <c r="AF57" s="286"/>
      <c r="AG57" s="286"/>
      <c r="AH57" s="286"/>
      <c r="AI57" s="287"/>
    </row>
    <row r="58" spans="1:40" ht="18" customHeight="1">
      <c r="A58" s="195"/>
      <c r="B58" s="283" t="s">
        <v>294</v>
      </c>
      <c r="C58" s="284"/>
      <c r="D58" s="284"/>
      <c r="E58" s="284"/>
      <c r="F58" s="286"/>
      <c r="G58" s="286"/>
      <c r="H58" s="286"/>
      <c r="I58" s="286"/>
      <c r="J58" s="286"/>
      <c r="K58" s="286"/>
      <c r="L58" s="286"/>
      <c r="M58" s="286"/>
      <c r="N58" s="286"/>
      <c r="O58" s="286"/>
      <c r="P58" s="286"/>
      <c r="Q58" s="286"/>
      <c r="R58" s="286"/>
      <c r="S58" s="286"/>
      <c r="T58" s="286"/>
      <c r="U58" s="286"/>
      <c r="V58" s="286"/>
      <c r="W58" s="286"/>
      <c r="X58" s="286"/>
      <c r="Y58" s="286"/>
      <c r="Z58" s="286"/>
      <c r="AA58" s="286"/>
      <c r="AB58" s="286"/>
      <c r="AC58" s="286"/>
      <c r="AD58" s="286"/>
      <c r="AE58" s="286"/>
      <c r="AF58" s="286"/>
      <c r="AG58" s="286"/>
      <c r="AH58" s="286"/>
      <c r="AI58" s="287"/>
    </row>
    <row r="59" spans="1:40" ht="18" customHeight="1">
      <c r="A59" s="195"/>
      <c r="B59" s="283" t="s">
        <v>243</v>
      </c>
      <c r="C59" s="284"/>
      <c r="D59" s="284"/>
      <c r="E59" s="284"/>
      <c r="F59" s="286" t="s">
        <v>313</v>
      </c>
      <c r="G59" s="286"/>
      <c r="H59" s="286"/>
      <c r="I59" s="286"/>
      <c r="J59" s="286"/>
      <c r="K59" s="286"/>
      <c r="L59" s="286"/>
      <c r="M59" s="286"/>
      <c r="N59" s="286"/>
      <c r="O59" s="286"/>
      <c r="P59" s="286"/>
      <c r="Q59" s="286"/>
      <c r="R59" s="286"/>
      <c r="S59" s="286"/>
      <c r="T59" s="286"/>
      <c r="U59" s="286"/>
      <c r="V59" s="286"/>
      <c r="W59" s="286"/>
      <c r="X59" s="286"/>
      <c r="Y59" s="286"/>
      <c r="Z59" s="286"/>
      <c r="AA59" s="286"/>
      <c r="AB59" s="286"/>
      <c r="AC59" s="286"/>
      <c r="AD59" s="286"/>
      <c r="AE59" s="286"/>
      <c r="AF59" s="286"/>
      <c r="AG59" s="286"/>
      <c r="AH59" s="286"/>
      <c r="AI59" s="287"/>
    </row>
    <row r="60" spans="1:40" ht="18" customHeight="1">
      <c r="A60" s="195"/>
      <c r="B60" s="283" t="s">
        <v>207</v>
      </c>
      <c r="C60" s="284"/>
      <c r="D60" s="284"/>
      <c r="E60" s="284"/>
      <c r="F60" s="286" t="s">
        <v>314</v>
      </c>
      <c r="G60" s="286"/>
      <c r="H60" s="286"/>
      <c r="I60" s="286"/>
      <c r="J60" s="286"/>
      <c r="K60" s="286"/>
      <c r="L60" s="286"/>
      <c r="M60" s="286"/>
      <c r="N60" s="286"/>
      <c r="O60" s="286"/>
      <c r="P60" s="286"/>
      <c r="Q60" s="286"/>
      <c r="R60" s="286"/>
      <c r="S60" s="286"/>
      <c r="T60" s="286"/>
      <c r="U60" s="286"/>
      <c r="V60" s="286"/>
      <c r="W60" s="286"/>
      <c r="X60" s="286"/>
      <c r="Y60" s="286"/>
      <c r="Z60" s="286"/>
      <c r="AA60" s="286"/>
      <c r="AB60" s="286"/>
      <c r="AC60" s="286"/>
      <c r="AD60" s="286"/>
      <c r="AE60" s="286"/>
      <c r="AF60" s="286"/>
      <c r="AG60" s="286"/>
      <c r="AH60" s="286"/>
      <c r="AI60" s="287"/>
    </row>
    <row r="61" spans="1:40" ht="18" customHeight="1">
      <c r="A61" s="195"/>
      <c r="B61" s="283" t="s">
        <v>246</v>
      </c>
      <c r="C61" s="284"/>
      <c r="D61" s="284"/>
      <c r="E61" s="284"/>
      <c r="F61" s="286" t="s">
        <v>315</v>
      </c>
      <c r="G61" s="286"/>
      <c r="H61" s="286"/>
      <c r="I61" s="286"/>
      <c r="J61" s="286"/>
      <c r="K61" s="286"/>
      <c r="L61" s="286"/>
      <c r="M61" s="286"/>
      <c r="N61" s="286"/>
      <c r="O61" s="286"/>
      <c r="P61" s="286"/>
      <c r="Q61" s="286"/>
      <c r="R61" s="286"/>
      <c r="S61" s="286"/>
      <c r="T61" s="286"/>
      <c r="U61" s="286"/>
      <c r="V61" s="286"/>
      <c r="W61" s="286"/>
      <c r="X61" s="286"/>
      <c r="Y61" s="286"/>
      <c r="Z61" s="286"/>
      <c r="AA61" s="286"/>
      <c r="AB61" s="286"/>
      <c r="AC61" s="286"/>
      <c r="AD61" s="286"/>
      <c r="AE61" s="286"/>
      <c r="AF61" s="286"/>
      <c r="AG61" s="286"/>
      <c r="AH61" s="286"/>
      <c r="AI61" s="287"/>
    </row>
    <row r="62" spans="1:40" ht="18" customHeight="1">
      <c r="A62" s="195"/>
      <c r="B62" s="283" t="s">
        <v>246</v>
      </c>
      <c r="C62" s="284"/>
      <c r="D62" s="284"/>
      <c r="E62" s="284"/>
      <c r="F62" s="286" t="s">
        <v>316</v>
      </c>
      <c r="G62" s="286"/>
      <c r="H62" s="286"/>
      <c r="I62" s="286"/>
      <c r="J62" s="286"/>
      <c r="K62" s="286"/>
      <c r="L62" s="286"/>
      <c r="M62" s="286"/>
      <c r="N62" s="286"/>
      <c r="O62" s="286"/>
      <c r="P62" s="286"/>
      <c r="Q62" s="286"/>
      <c r="R62" s="286"/>
      <c r="S62" s="286"/>
      <c r="T62" s="286"/>
      <c r="U62" s="286"/>
      <c r="V62" s="286"/>
      <c r="W62" s="286"/>
      <c r="X62" s="286"/>
      <c r="Y62" s="286"/>
      <c r="Z62" s="286"/>
      <c r="AA62" s="286"/>
      <c r="AB62" s="286"/>
      <c r="AC62" s="286"/>
      <c r="AD62" s="286"/>
      <c r="AE62" s="286"/>
      <c r="AF62" s="286"/>
      <c r="AG62" s="286"/>
      <c r="AH62" s="286"/>
      <c r="AI62" s="287"/>
    </row>
    <row r="63" spans="1:40" ht="18" customHeight="1">
      <c r="A63" s="195"/>
      <c r="B63" s="283" t="s">
        <v>250</v>
      </c>
      <c r="C63" s="284"/>
      <c r="D63" s="284"/>
      <c r="E63" s="284"/>
      <c r="F63" s="286" t="s">
        <v>317</v>
      </c>
      <c r="G63" s="286"/>
      <c r="H63" s="286"/>
      <c r="I63" s="286"/>
      <c r="J63" s="286"/>
      <c r="K63" s="286"/>
      <c r="L63" s="286"/>
      <c r="M63" s="286"/>
      <c r="N63" s="286"/>
      <c r="O63" s="286"/>
      <c r="P63" s="286"/>
      <c r="Q63" s="286"/>
      <c r="R63" s="286"/>
      <c r="S63" s="286"/>
      <c r="T63" s="286"/>
      <c r="U63" s="286"/>
      <c r="V63" s="286"/>
      <c r="W63" s="286"/>
      <c r="X63" s="286"/>
      <c r="Y63" s="286"/>
      <c r="Z63" s="286"/>
      <c r="AA63" s="286"/>
      <c r="AB63" s="286"/>
      <c r="AC63" s="286"/>
      <c r="AD63" s="286"/>
      <c r="AE63" s="286"/>
      <c r="AF63" s="286"/>
      <c r="AG63" s="286"/>
      <c r="AH63" s="286"/>
      <c r="AI63" s="287"/>
    </row>
    <row r="64" spans="1:40" ht="18" customHeight="1">
      <c r="A64" s="195"/>
      <c r="B64" s="283" t="s">
        <v>294</v>
      </c>
      <c r="C64" s="284"/>
      <c r="D64" s="284"/>
      <c r="E64" s="284"/>
      <c r="F64" s="286" t="s">
        <v>252</v>
      </c>
      <c r="G64" s="286"/>
      <c r="H64" s="286"/>
      <c r="I64" s="286"/>
      <c r="J64" s="286"/>
      <c r="K64" s="286"/>
      <c r="L64" s="286"/>
      <c r="M64" s="286"/>
      <c r="N64" s="286"/>
      <c r="O64" s="286"/>
      <c r="P64" s="286"/>
      <c r="Q64" s="286"/>
      <c r="R64" s="286"/>
      <c r="S64" s="286"/>
      <c r="T64" s="286"/>
      <c r="U64" s="286"/>
      <c r="V64" s="286"/>
      <c r="W64" s="286"/>
      <c r="X64" s="286"/>
      <c r="Y64" s="286"/>
      <c r="Z64" s="286"/>
      <c r="AA64" s="286"/>
      <c r="AB64" s="286"/>
      <c r="AC64" s="286"/>
      <c r="AD64" s="286"/>
      <c r="AE64" s="286"/>
      <c r="AF64" s="286"/>
      <c r="AG64" s="286"/>
      <c r="AH64" s="286"/>
      <c r="AI64" s="287"/>
    </row>
    <row r="65" spans="1:35" ht="18" customHeight="1">
      <c r="A65" s="195"/>
      <c r="B65" s="283" t="s">
        <v>294</v>
      </c>
      <c r="C65" s="284"/>
      <c r="D65" s="284"/>
      <c r="E65" s="284"/>
      <c r="F65" s="286"/>
      <c r="G65" s="286"/>
      <c r="H65" s="286"/>
      <c r="I65" s="286"/>
      <c r="J65" s="286"/>
      <c r="K65" s="286"/>
      <c r="L65" s="286"/>
      <c r="M65" s="286"/>
      <c r="N65" s="286"/>
      <c r="O65" s="286"/>
      <c r="P65" s="286"/>
      <c r="Q65" s="286"/>
      <c r="R65" s="286"/>
      <c r="S65" s="286"/>
      <c r="T65" s="286"/>
      <c r="U65" s="286"/>
      <c r="V65" s="286"/>
      <c r="W65" s="286"/>
      <c r="X65" s="286"/>
      <c r="Y65" s="286"/>
      <c r="Z65" s="286"/>
      <c r="AA65" s="286"/>
      <c r="AB65" s="286"/>
      <c r="AC65" s="286"/>
      <c r="AD65" s="286"/>
      <c r="AE65" s="286"/>
      <c r="AF65" s="286"/>
      <c r="AG65" s="286"/>
      <c r="AH65" s="286"/>
      <c r="AI65" s="287"/>
    </row>
    <row r="66" spans="1:35" ht="18" customHeight="1">
      <c r="A66" s="195"/>
      <c r="B66" s="283" t="s">
        <v>197</v>
      </c>
      <c r="C66" s="284"/>
      <c r="D66" s="284"/>
      <c r="E66" s="284"/>
      <c r="F66" s="286" t="s">
        <v>318</v>
      </c>
      <c r="G66" s="286"/>
      <c r="H66" s="286"/>
      <c r="I66" s="286"/>
      <c r="J66" s="286"/>
      <c r="K66" s="286"/>
      <c r="L66" s="286"/>
      <c r="M66" s="286"/>
      <c r="N66" s="286"/>
      <c r="O66" s="286"/>
      <c r="P66" s="286"/>
      <c r="Q66" s="286"/>
      <c r="R66" s="286"/>
      <c r="S66" s="286"/>
      <c r="T66" s="286"/>
      <c r="U66" s="286"/>
      <c r="V66" s="286"/>
      <c r="W66" s="286"/>
      <c r="X66" s="286"/>
      <c r="Y66" s="286"/>
      <c r="Z66" s="286"/>
      <c r="AA66" s="286"/>
      <c r="AB66" s="286"/>
      <c r="AC66" s="286"/>
      <c r="AD66" s="286"/>
      <c r="AE66" s="286"/>
      <c r="AF66" s="286"/>
      <c r="AG66" s="286"/>
      <c r="AH66" s="286"/>
      <c r="AI66" s="287"/>
    </row>
    <row r="67" spans="1:35" ht="18" customHeight="1">
      <c r="A67" s="195"/>
      <c r="B67" s="283" t="s">
        <v>205</v>
      </c>
      <c r="C67" s="284"/>
      <c r="D67" s="284"/>
      <c r="E67" s="284"/>
      <c r="F67" s="286" t="s">
        <v>319</v>
      </c>
      <c r="G67" s="286"/>
      <c r="H67" s="286"/>
      <c r="I67" s="286"/>
      <c r="J67" s="286"/>
      <c r="K67" s="286"/>
      <c r="L67" s="286"/>
      <c r="M67" s="286"/>
      <c r="N67" s="286"/>
      <c r="O67" s="286"/>
      <c r="P67" s="286"/>
      <c r="Q67" s="286"/>
      <c r="R67" s="286"/>
      <c r="S67" s="286"/>
      <c r="T67" s="286"/>
      <c r="U67" s="286"/>
      <c r="V67" s="286"/>
      <c r="W67" s="286"/>
      <c r="X67" s="286"/>
      <c r="Y67" s="286"/>
      <c r="Z67" s="286"/>
      <c r="AA67" s="286"/>
      <c r="AB67" s="286"/>
      <c r="AC67" s="286"/>
      <c r="AD67" s="286"/>
      <c r="AE67" s="286"/>
      <c r="AF67" s="286"/>
      <c r="AG67" s="286"/>
      <c r="AH67" s="286"/>
      <c r="AI67" s="287"/>
    </row>
    <row r="68" spans="1:35" ht="18" customHeight="1">
      <c r="A68" s="195"/>
      <c r="B68" s="283" t="s">
        <v>320</v>
      </c>
      <c r="C68" s="284"/>
      <c r="D68" s="284"/>
      <c r="E68" s="284"/>
      <c r="F68" s="286" t="s">
        <v>321</v>
      </c>
      <c r="G68" s="286"/>
      <c r="H68" s="286"/>
      <c r="I68" s="286"/>
      <c r="J68" s="286"/>
      <c r="K68" s="286"/>
      <c r="L68" s="286"/>
      <c r="M68" s="286"/>
      <c r="N68" s="286"/>
      <c r="O68" s="286"/>
      <c r="P68" s="286"/>
      <c r="Q68" s="286"/>
      <c r="R68" s="286"/>
      <c r="S68" s="286"/>
      <c r="T68" s="286"/>
      <c r="U68" s="286"/>
      <c r="V68" s="286"/>
      <c r="W68" s="286"/>
      <c r="X68" s="286"/>
      <c r="Y68" s="286"/>
      <c r="Z68" s="286"/>
      <c r="AA68" s="286"/>
      <c r="AB68" s="286"/>
      <c r="AC68" s="286"/>
      <c r="AD68" s="286"/>
      <c r="AE68" s="286"/>
      <c r="AF68" s="286"/>
      <c r="AG68" s="286"/>
      <c r="AH68" s="286"/>
      <c r="AI68" s="287"/>
    </row>
    <row r="69" spans="1:35" ht="18" customHeight="1">
      <c r="A69" s="195"/>
      <c r="B69" s="283" t="s">
        <v>231</v>
      </c>
      <c r="C69" s="284"/>
      <c r="D69" s="284"/>
      <c r="E69" s="284"/>
      <c r="F69" s="286" t="s">
        <v>322</v>
      </c>
      <c r="G69" s="286"/>
      <c r="H69" s="286"/>
      <c r="I69" s="286"/>
      <c r="J69" s="286"/>
      <c r="K69" s="286"/>
      <c r="L69" s="286"/>
      <c r="M69" s="286"/>
      <c r="N69" s="286"/>
      <c r="O69" s="286"/>
      <c r="P69" s="286"/>
      <c r="Q69" s="286"/>
      <c r="R69" s="286"/>
      <c r="S69" s="286"/>
      <c r="T69" s="286"/>
      <c r="U69" s="286"/>
      <c r="V69" s="286"/>
      <c r="W69" s="286"/>
      <c r="X69" s="286"/>
      <c r="Y69" s="286"/>
      <c r="Z69" s="286"/>
      <c r="AA69" s="286"/>
      <c r="AB69" s="286"/>
      <c r="AC69" s="286"/>
      <c r="AD69" s="286"/>
      <c r="AE69" s="286"/>
      <c r="AF69" s="286"/>
      <c r="AG69" s="286"/>
      <c r="AH69" s="286"/>
      <c r="AI69" s="287"/>
    </row>
    <row r="70" spans="1:35" ht="18" customHeight="1">
      <c r="A70" s="195"/>
      <c r="B70" s="283" t="s">
        <v>294</v>
      </c>
      <c r="C70" s="284"/>
      <c r="D70" s="284"/>
      <c r="E70" s="284"/>
      <c r="F70" s="286" t="s">
        <v>255</v>
      </c>
      <c r="G70" s="286"/>
      <c r="H70" s="286"/>
      <c r="I70" s="286"/>
      <c r="J70" s="286"/>
      <c r="K70" s="286"/>
      <c r="L70" s="286"/>
      <c r="M70" s="286"/>
      <c r="N70" s="286"/>
      <c r="O70" s="286"/>
      <c r="P70" s="286"/>
      <c r="Q70" s="286"/>
      <c r="R70" s="286"/>
      <c r="S70" s="286"/>
      <c r="T70" s="286"/>
      <c r="U70" s="286"/>
      <c r="V70" s="286"/>
      <c r="W70" s="286"/>
      <c r="X70" s="286"/>
      <c r="Y70" s="286"/>
      <c r="Z70" s="286"/>
      <c r="AA70" s="286"/>
      <c r="AB70" s="286"/>
      <c r="AC70" s="286"/>
      <c r="AD70" s="286"/>
      <c r="AE70" s="286"/>
      <c r="AF70" s="286"/>
      <c r="AG70" s="286"/>
      <c r="AH70" s="286"/>
      <c r="AI70" s="287"/>
    </row>
    <row r="71" spans="1:35" ht="18" customHeight="1">
      <c r="A71" s="195"/>
      <c r="B71" s="283" t="s">
        <v>294</v>
      </c>
      <c r="C71" s="284"/>
      <c r="D71" s="284"/>
      <c r="E71" s="284"/>
      <c r="F71" s="286"/>
      <c r="G71" s="286"/>
      <c r="H71" s="286"/>
      <c r="I71" s="286"/>
      <c r="J71" s="286"/>
      <c r="K71" s="286"/>
      <c r="L71" s="286"/>
      <c r="M71" s="286"/>
      <c r="N71" s="286"/>
      <c r="O71" s="286"/>
      <c r="P71" s="286"/>
      <c r="Q71" s="286"/>
      <c r="R71" s="286"/>
      <c r="S71" s="286"/>
      <c r="T71" s="286"/>
      <c r="U71" s="286"/>
      <c r="V71" s="286"/>
      <c r="W71" s="286"/>
      <c r="X71" s="286"/>
      <c r="Y71" s="286"/>
      <c r="Z71" s="286"/>
      <c r="AA71" s="286"/>
      <c r="AB71" s="286"/>
      <c r="AC71" s="286"/>
      <c r="AD71" s="286"/>
      <c r="AE71" s="286"/>
      <c r="AF71" s="286"/>
      <c r="AG71" s="286"/>
      <c r="AH71" s="286"/>
      <c r="AI71" s="287"/>
    </row>
    <row r="72" spans="1:35" ht="18" customHeight="1">
      <c r="A72" s="195"/>
      <c r="B72" s="283" t="s">
        <v>294</v>
      </c>
      <c r="C72" s="284"/>
      <c r="D72" s="284"/>
      <c r="E72" s="284"/>
      <c r="F72" s="286" t="s">
        <v>241</v>
      </c>
      <c r="G72" s="286"/>
      <c r="H72" s="286"/>
      <c r="I72" s="286"/>
      <c r="J72" s="286"/>
      <c r="K72" s="286"/>
      <c r="L72" s="286"/>
      <c r="M72" s="286"/>
      <c r="N72" s="286"/>
      <c r="O72" s="286"/>
      <c r="P72" s="286"/>
      <c r="Q72" s="286"/>
      <c r="R72" s="286"/>
      <c r="S72" s="286"/>
      <c r="T72" s="286"/>
      <c r="U72" s="286"/>
      <c r="V72" s="286"/>
      <c r="W72" s="286"/>
      <c r="X72" s="286"/>
      <c r="Y72" s="286"/>
      <c r="Z72" s="286"/>
      <c r="AA72" s="286"/>
      <c r="AB72" s="286"/>
      <c r="AC72" s="286"/>
      <c r="AD72" s="286"/>
      <c r="AE72" s="286"/>
      <c r="AF72" s="286"/>
      <c r="AG72" s="286"/>
      <c r="AH72" s="286"/>
      <c r="AI72" s="287"/>
    </row>
    <row r="73" spans="1:35" ht="18" customHeight="1">
      <c r="A73" s="195"/>
      <c r="B73" s="283" t="s">
        <v>294</v>
      </c>
      <c r="C73" s="284"/>
      <c r="D73" s="284"/>
      <c r="E73" s="284"/>
      <c r="F73" s="286" t="s">
        <v>323</v>
      </c>
      <c r="G73" s="286"/>
      <c r="H73" s="286"/>
      <c r="I73" s="286"/>
      <c r="J73" s="286"/>
      <c r="K73" s="286"/>
      <c r="L73" s="286"/>
      <c r="M73" s="286"/>
      <c r="N73" s="286"/>
      <c r="O73" s="286"/>
      <c r="P73" s="286"/>
      <c r="Q73" s="286"/>
      <c r="R73" s="286"/>
      <c r="S73" s="286"/>
      <c r="T73" s="286"/>
      <c r="U73" s="286"/>
      <c r="V73" s="286"/>
      <c r="W73" s="286"/>
      <c r="X73" s="286"/>
      <c r="Y73" s="286"/>
      <c r="Z73" s="286"/>
      <c r="AA73" s="286"/>
      <c r="AB73" s="286"/>
      <c r="AC73" s="286"/>
      <c r="AD73" s="286"/>
      <c r="AE73" s="286"/>
      <c r="AF73" s="286"/>
      <c r="AG73" s="286"/>
      <c r="AH73" s="286"/>
      <c r="AI73" s="287"/>
    </row>
    <row r="74" spans="1:35" ht="18" customHeight="1">
      <c r="A74" s="195"/>
      <c r="B74" s="283" t="s">
        <v>294</v>
      </c>
      <c r="C74" s="284"/>
      <c r="D74" s="284"/>
      <c r="E74" s="284"/>
      <c r="F74" s="286"/>
      <c r="G74" s="286"/>
      <c r="H74" s="286"/>
      <c r="I74" s="286"/>
      <c r="J74" s="286"/>
      <c r="K74" s="286"/>
      <c r="L74" s="286"/>
      <c r="M74" s="286"/>
      <c r="N74" s="286"/>
      <c r="O74" s="286"/>
      <c r="P74" s="286"/>
      <c r="Q74" s="286"/>
      <c r="R74" s="286"/>
      <c r="S74" s="286"/>
      <c r="T74" s="286"/>
      <c r="U74" s="286"/>
      <c r="V74" s="286"/>
      <c r="W74" s="286"/>
      <c r="X74" s="286"/>
      <c r="Y74" s="286"/>
      <c r="Z74" s="286"/>
      <c r="AA74" s="286"/>
      <c r="AB74" s="286"/>
      <c r="AC74" s="286"/>
      <c r="AD74" s="286"/>
      <c r="AE74" s="286"/>
      <c r="AF74" s="286"/>
      <c r="AG74" s="286"/>
      <c r="AH74" s="286"/>
      <c r="AI74" s="287"/>
    </row>
    <row r="75" spans="1:35" ht="18" customHeight="1">
      <c r="A75" s="195"/>
      <c r="B75" s="283" t="s">
        <v>260</v>
      </c>
      <c r="C75" s="284"/>
      <c r="D75" s="284"/>
      <c r="E75" s="284"/>
      <c r="F75" s="286" t="s">
        <v>324</v>
      </c>
      <c r="G75" s="286"/>
      <c r="H75" s="286"/>
      <c r="I75" s="286"/>
      <c r="J75" s="286"/>
      <c r="K75" s="286"/>
      <c r="L75" s="286"/>
      <c r="M75" s="286"/>
      <c r="N75" s="286"/>
      <c r="O75" s="286"/>
      <c r="P75" s="286"/>
      <c r="Q75" s="286"/>
      <c r="R75" s="286"/>
      <c r="S75" s="286"/>
      <c r="T75" s="286"/>
      <c r="U75" s="286"/>
      <c r="V75" s="286"/>
      <c r="W75" s="286"/>
      <c r="X75" s="286"/>
      <c r="Y75" s="286"/>
      <c r="Z75" s="286"/>
      <c r="AA75" s="286"/>
      <c r="AB75" s="286"/>
      <c r="AC75" s="286"/>
      <c r="AD75" s="286"/>
      <c r="AE75" s="286"/>
      <c r="AF75" s="286"/>
      <c r="AG75" s="286"/>
      <c r="AH75" s="286"/>
      <c r="AI75" s="287"/>
    </row>
    <row r="76" spans="1:35" ht="18" customHeight="1">
      <c r="A76" s="195"/>
      <c r="B76" s="283" t="s">
        <v>199</v>
      </c>
      <c r="C76" s="284"/>
      <c r="D76" s="284"/>
      <c r="E76" s="284"/>
      <c r="F76" s="286" t="s">
        <v>325</v>
      </c>
      <c r="G76" s="286"/>
      <c r="H76" s="286"/>
      <c r="I76" s="286"/>
      <c r="J76" s="286"/>
      <c r="K76" s="286"/>
      <c r="L76" s="286"/>
      <c r="M76" s="286"/>
      <c r="N76" s="286"/>
      <c r="O76" s="286"/>
      <c r="P76" s="286"/>
      <c r="Q76" s="286"/>
      <c r="R76" s="286"/>
      <c r="S76" s="286"/>
      <c r="T76" s="286"/>
      <c r="U76" s="286"/>
      <c r="V76" s="286"/>
      <c r="W76" s="286"/>
      <c r="X76" s="286"/>
      <c r="Y76" s="286"/>
      <c r="Z76" s="286"/>
      <c r="AA76" s="286"/>
      <c r="AB76" s="286"/>
      <c r="AC76" s="286"/>
      <c r="AD76" s="286"/>
      <c r="AE76" s="286"/>
      <c r="AF76" s="286"/>
      <c r="AG76" s="286"/>
      <c r="AH76" s="286"/>
      <c r="AI76" s="287"/>
    </row>
    <row r="77" spans="1:35" ht="18" customHeight="1">
      <c r="A77" s="195"/>
      <c r="B77" s="283" t="s">
        <v>199</v>
      </c>
      <c r="C77" s="284"/>
      <c r="D77" s="284"/>
      <c r="E77" s="284"/>
      <c r="F77" s="286" t="s">
        <v>326</v>
      </c>
      <c r="G77" s="286"/>
      <c r="H77" s="286"/>
      <c r="I77" s="286"/>
      <c r="J77" s="286"/>
      <c r="K77" s="286"/>
      <c r="L77" s="286"/>
      <c r="M77" s="286"/>
      <c r="N77" s="286"/>
      <c r="O77" s="286"/>
      <c r="P77" s="286"/>
      <c r="Q77" s="286"/>
      <c r="R77" s="286"/>
      <c r="S77" s="286"/>
      <c r="T77" s="286"/>
      <c r="U77" s="286"/>
      <c r="V77" s="286"/>
      <c r="W77" s="286"/>
      <c r="X77" s="286"/>
      <c r="Y77" s="286"/>
      <c r="Z77" s="286"/>
      <c r="AA77" s="286"/>
      <c r="AB77" s="286"/>
      <c r="AC77" s="286"/>
      <c r="AD77" s="286"/>
      <c r="AE77" s="286"/>
      <c r="AF77" s="286"/>
      <c r="AG77" s="286"/>
      <c r="AH77" s="286"/>
      <c r="AI77" s="287"/>
    </row>
    <row r="78" spans="1:35" ht="18" customHeight="1">
      <c r="A78" s="195"/>
      <c r="B78" s="283" t="s">
        <v>270</v>
      </c>
      <c r="C78" s="284"/>
      <c r="D78" s="284"/>
      <c r="E78" s="284"/>
      <c r="F78" s="286" t="s">
        <v>327</v>
      </c>
      <c r="G78" s="286"/>
      <c r="H78" s="286"/>
      <c r="I78" s="286"/>
      <c r="J78" s="286"/>
      <c r="K78" s="286"/>
      <c r="L78" s="286"/>
      <c r="M78" s="286"/>
      <c r="N78" s="286"/>
      <c r="O78" s="286"/>
      <c r="P78" s="286"/>
      <c r="Q78" s="286"/>
      <c r="R78" s="286"/>
      <c r="S78" s="286"/>
      <c r="T78" s="286"/>
      <c r="U78" s="286"/>
      <c r="V78" s="286"/>
      <c r="W78" s="286"/>
      <c r="X78" s="286"/>
      <c r="Y78" s="286"/>
      <c r="Z78" s="286"/>
      <c r="AA78" s="286"/>
      <c r="AB78" s="286"/>
      <c r="AC78" s="286"/>
      <c r="AD78" s="286"/>
      <c r="AE78" s="286"/>
      <c r="AF78" s="286"/>
      <c r="AG78" s="286"/>
      <c r="AH78" s="286"/>
      <c r="AI78" s="287"/>
    </row>
    <row r="79" spans="1:35" ht="18" customHeight="1">
      <c r="A79" s="195"/>
      <c r="B79" s="283" t="s">
        <v>205</v>
      </c>
      <c r="C79" s="284"/>
      <c r="D79" s="284"/>
      <c r="E79" s="284"/>
      <c r="F79" s="286" t="s">
        <v>328</v>
      </c>
      <c r="G79" s="286"/>
      <c r="H79" s="286"/>
      <c r="I79" s="286"/>
      <c r="J79" s="286"/>
      <c r="K79" s="286"/>
      <c r="L79" s="286"/>
      <c r="M79" s="286"/>
      <c r="N79" s="286"/>
      <c r="O79" s="286"/>
      <c r="P79" s="286"/>
      <c r="Q79" s="286"/>
      <c r="R79" s="286"/>
      <c r="S79" s="286"/>
      <c r="T79" s="286"/>
      <c r="U79" s="286"/>
      <c r="V79" s="286"/>
      <c r="W79" s="286"/>
      <c r="X79" s="286"/>
      <c r="Y79" s="286"/>
      <c r="Z79" s="286"/>
      <c r="AA79" s="286"/>
      <c r="AB79" s="286"/>
      <c r="AC79" s="286"/>
      <c r="AD79" s="286"/>
      <c r="AE79" s="286"/>
      <c r="AF79" s="286"/>
      <c r="AG79" s="286"/>
      <c r="AH79" s="286"/>
      <c r="AI79" s="287"/>
    </row>
    <row r="80" spans="1:35" ht="18" customHeight="1">
      <c r="A80" s="195"/>
      <c r="B80" s="283" t="s">
        <v>205</v>
      </c>
      <c r="C80" s="284"/>
      <c r="D80" s="284"/>
      <c r="E80" s="284"/>
      <c r="F80" s="286" t="s">
        <v>329</v>
      </c>
      <c r="G80" s="286"/>
      <c r="H80" s="286"/>
      <c r="I80" s="286"/>
      <c r="J80" s="286"/>
      <c r="K80" s="286"/>
      <c r="L80" s="286"/>
      <c r="M80" s="286"/>
      <c r="N80" s="286"/>
      <c r="O80" s="286"/>
      <c r="P80" s="286"/>
      <c r="Q80" s="286"/>
      <c r="R80" s="286"/>
      <c r="S80" s="286"/>
      <c r="T80" s="286"/>
      <c r="U80" s="286"/>
      <c r="V80" s="286"/>
      <c r="W80" s="286"/>
      <c r="X80" s="286"/>
      <c r="Y80" s="286"/>
      <c r="Z80" s="286"/>
      <c r="AA80" s="286"/>
      <c r="AB80" s="286"/>
      <c r="AC80" s="286"/>
      <c r="AD80" s="286"/>
      <c r="AE80" s="286"/>
      <c r="AF80" s="286"/>
      <c r="AG80" s="286"/>
      <c r="AH80" s="286"/>
      <c r="AI80" s="287"/>
    </row>
    <row r="81" spans="1:35" ht="18" customHeight="1">
      <c r="A81" s="195"/>
      <c r="B81" s="283" t="s">
        <v>205</v>
      </c>
      <c r="C81" s="284"/>
      <c r="D81" s="284"/>
      <c r="E81" s="284"/>
      <c r="F81" s="286" t="s">
        <v>330</v>
      </c>
      <c r="G81" s="286"/>
      <c r="H81" s="286"/>
      <c r="I81" s="286"/>
      <c r="J81" s="286"/>
      <c r="K81" s="286"/>
      <c r="L81" s="286"/>
      <c r="M81" s="286"/>
      <c r="N81" s="286"/>
      <c r="O81" s="286"/>
      <c r="P81" s="286"/>
      <c r="Q81" s="286"/>
      <c r="R81" s="286"/>
      <c r="S81" s="286"/>
      <c r="T81" s="286"/>
      <c r="U81" s="286"/>
      <c r="V81" s="286"/>
      <c r="W81" s="286"/>
      <c r="X81" s="286"/>
      <c r="Y81" s="286"/>
      <c r="Z81" s="286"/>
      <c r="AA81" s="286"/>
      <c r="AB81" s="286"/>
      <c r="AC81" s="286"/>
      <c r="AD81" s="286"/>
      <c r="AE81" s="286"/>
      <c r="AF81" s="286"/>
      <c r="AG81" s="286"/>
      <c r="AH81" s="286"/>
      <c r="AI81" s="287"/>
    </row>
    <row r="82" spans="1:35" ht="18" customHeight="1">
      <c r="A82" s="195"/>
      <c r="B82" s="283" t="s">
        <v>207</v>
      </c>
      <c r="C82" s="284"/>
      <c r="D82" s="284"/>
      <c r="E82" s="284"/>
      <c r="F82" s="286" t="s">
        <v>331</v>
      </c>
      <c r="G82" s="286"/>
      <c r="H82" s="286"/>
      <c r="I82" s="286"/>
      <c r="J82" s="286"/>
      <c r="K82" s="286"/>
      <c r="L82" s="286"/>
      <c r="M82" s="286"/>
      <c r="N82" s="286"/>
      <c r="O82" s="286"/>
      <c r="P82" s="286"/>
      <c r="Q82" s="286"/>
      <c r="R82" s="286"/>
      <c r="S82" s="286"/>
      <c r="T82" s="286"/>
      <c r="U82" s="286"/>
      <c r="V82" s="286"/>
      <c r="W82" s="286"/>
      <c r="X82" s="286"/>
      <c r="Y82" s="286"/>
      <c r="Z82" s="286"/>
      <c r="AA82" s="286"/>
      <c r="AB82" s="286"/>
      <c r="AC82" s="286"/>
      <c r="AD82" s="286"/>
      <c r="AE82" s="286"/>
      <c r="AF82" s="286"/>
      <c r="AG82" s="286"/>
      <c r="AH82" s="286"/>
      <c r="AI82" s="287"/>
    </row>
    <row r="83" spans="1:35" ht="18" customHeight="1">
      <c r="A83" s="195"/>
      <c r="B83" s="283" t="s">
        <v>246</v>
      </c>
      <c r="C83" s="284"/>
      <c r="D83" s="284"/>
      <c r="E83" s="284"/>
      <c r="F83" s="286" t="s">
        <v>332</v>
      </c>
      <c r="G83" s="286"/>
      <c r="H83" s="286"/>
      <c r="I83" s="286"/>
      <c r="J83" s="286"/>
      <c r="K83" s="286"/>
      <c r="L83" s="286"/>
      <c r="M83" s="286"/>
      <c r="N83" s="286"/>
      <c r="O83" s="286"/>
      <c r="P83" s="286"/>
      <c r="Q83" s="286"/>
      <c r="R83" s="286"/>
      <c r="S83" s="286"/>
      <c r="T83" s="286"/>
      <c r="U83" s="286"/>
      <c r="V83" s="286"/>
      <c r="W83" s="286"/>
      <c r="X83" s="286"/>
      <c r="Y83" s="286"/>
      <c r="Z83" s="286"/>
      <c r="AA83" s="286"/>
      <c r="AB83" s="286"/>
      <c r="AC83" s="286"/>
      <c r="AD83" s="286"/>
      <c r="AE83" s="286"/>
      <c r="AF83" s="286"/>
      <c r="AG83" s="286"/>
      <c r="AH83" s="286"/>
      <c r="AI83" s="287"/>
    </row>
    <row r="84" spans="1:35" ht="18" customHeight="1">
      <c r="A84" s="195"/>
      <c r="B84" s="283" t="s">
        <v>320</v>
      </c>
      <c r="C84" s="284"/>
      <c r="D84" s="284"/>
      <c r="E84" s="284"/>
      <c r="F84" s="286" t="s">
        <v>333</v>
      </c>
      <c r="G84" s="286"/>
      <c r="H84" s="286"/>
      <c r="I84" s="286"/>
      <c r="J84" s="286"/>
      <c r="K84" s="286"/>
      <c r="L84" s="286"/>
      <c r="M84" s="286"/>
      <c r="N84" s="286"/>
      <c r="O84" s="286"/>
      <c r="P84" s="286"/>
      <c r="Q84" s="286"/>
      <c r="R84" s="286"/>
      <c r="S84" s="286"/>
      <c r="T84" s="286"/>
      <c r="U84" s="286"/>
      <c r="V84" s="286"/>
      <c r="W84" s="286"/>
      <c r="X84" s="286"/>
      <c r="Y84" s="286"/>
      <c r="Z84" s="286"/>
      <c r="AA84" s="286"/>
      <c r="AB84" s="286"/>
      <c r="AC84" s="286"/>
      <c r="AD84" s="286"/>
      <c r="AE84" s="286"/>
      <c r="AF84" s="286"/>
      <c r="AG84" s="286"/>
      <c r="AH84" s="286"/>
      <c r="AI84" s="287"/>
    </row>
    <row r="85" spans="1:35" ht="18" customHeight="1">
      <c r="A85" s="195"/>
      <c r="B85" s="283" t="s">
        <v>294</v>
      </c>
      <c r="C85" s="284"/>
      <c r="D85" s="284"/>
      <c r="E85" s="284"/>
      <c r="F85" s="286" t="s">
        <v>334</v>
      </c>
      <c r="G85" s="286"/>
      <c r="H85" s="286"/>
      <c r="I85" s="286"/>
      <c r="J85" s="286"/>
      <c r="K85" s="286"/>
      <c r="L85" s="286"/>
      <c r="M85" s="286"/>
      <c r="N85" s="286"/>
      <c r="O85" s="286"/>
      <c r="P85" s="286"/>
      <c r="Q85" s="286"/>
      <c r="R85" s="286"/>
      <c r="S85" s="286"/>
      <c r="T85" s="286"/>
      <c r="U85" s="286"/>
      <c r="V85" s="286"/>
      <c r="W85" s="286"/>
      <c r="X85" s="286"/>
      <c r="Y85" s="286"/>
      <c r="Z85" s="286"/>
      <c r="AA85" s="286"/>
      <c r="AB85" s="286"/>
      <c r="AC85" s="286"/>
      <c r="AD85" s="286"/>
      <c r="AE85" s="286"/>
      <c r="AF85" s="286"/>
      <c r="AG85" s="286"/>
      <c r="AH85" s="286"/>
      <c r="AI85" s="287"/>
    </row>
    <row r="86" spans="1:35" ht="18" customHeight="1">
      <c r="A86" s="195"/>
      <c r="B86" s="283" t="s">
        <v>294</v>
      </c>
      <c r="C86" s="284"/>
      <c r="D86" s="284"/>
      <c r="E86" s="284"/>
      <c r="F86" s="286"/>
      <c r="G86" s="286"/>
      <c r="H86" s="286"/>
      <c r="I86" s="286"/>
      <c r="J86" s="286"/>
      <c r="K86" s="286"/>
      <c r="L86" s="286"/>
      <c r="M86" s="286"/>
      <c r="N86" s="286"/>
      <c r="O86" s="286"/>
      <c r="P86" s="286"/>
      <c r="Q86" s="286"/>
      <c r="R86" s="286"/>
      <c r="S86" s="286"/>
      <c r="T86" s="286"/>
      <c r="U86" s="286"/>
      <c r="V86" s="286"/>
      <c r="W86" s="286"/>
      <c r="X86" s="286"/>
      <c r="Y86" s="286"/>
      <c r="Z86" s="286"/>
      <c r="AA86" s="286"/>
      <c r="AB86" s="286"/>
      <c r="AC86" s="286"/>
      <c r="AD86" s="286"/>
      <c r="AE86" s="286"/>
      <c r="AF86" s="286"/>
      <c r="AG86" s="286"/>
      <c r="AH86" s="286"/>
      <c r="AI86" s="287"/>
    </row>
    <row r="87" spans="1:35" ht="18" customHeight="1">
      <c r="A87" s="195"/>
      <c r="B87" s="283" t="s">
        <v>260</v>
      </c>
      <c r="C87" s="284"/>
      <c r="D87" s="284"/>
      <c r="E87" s="284"/>
      <c r="F87" s="286" t="s">
        <v>335</v>
      </c>
      <c r="G87" s="286"/>
      <c r="H87" s="286"/>
      <c r="I87" s="286"/>
      <c r="J87" s="286"/>
      <c r="K87" s="286"/>
      <c r="L87" s="286"/>
      <c r="M87" s="286"/>
      <c r="N87" s="286"/>
      <c r="O87" s="286"/>
      <c r="P87" s="286"/>
      <c r="Q87" s="286"/>
      <c r="R87" s="286"/>
      <c r="S87" s="286"/>
      <c r="T87" s="286"/>
      <c r="U87" s="286"/>
      <c r="V87" s="286"/>
      <c r="W87" s="286"/>
      <c r="X87" s="286"/>
      <c r="Y87" s="286"/>
      <c r="Z87" s="286"/>
      <c r="AA87" s="286"/>
      <c r="AB87" s="286"/>
      <c r="AC87" s="286"/>
      <c r="AD87" s="286"/>
      <c r="AE87" s="286"/>
      <c r="AF87" s="286"/>
      <c r="AG87" s="286"/>
      <c r="AH87" s="286"/>
      <c r="AI87" s="287"/>
    </row>
    <row r="88" spans="1:35" ht="18" customHeight="1">
      <c r="A88" s="195"/>
      <c r="B88" s="283" t="s">
        <v>197</v>
      </c>
      <c r="C88" s="284"/>
      <c r="D88" s="284"/>
      <c r="E88" s="284"/>
      <c r="F88" s="286" t="s">
        <v>264</v>
      </c>
      <c r="G88" s="286"/>
      <c r="H88" s="286"/>
      <c r="I88" s="286"/>
      <c r="J88" s="286"/>
      <c r="K88" s="286"/>
      <c r="L88" s="286"/>
      <c r="M88" s="286"/>
      <c r="N88" s="286"/>
      <c r="O88" s="286"/>
      <c r="P88" s="286"/>
      <c r="Q88" s="286"/>
      <c r="R88" s="286"/>
      <c r="S88" s="286"/>
      <c r="T88" s="286"/>
      <c r="U88" s="286"/>
      <c r="V88" s="286"/>
      <c r="W88" s="286"/>
      <c r="X88" s="286"/>
      <c r="Y88" s="286"/>
      <c r="Z88" s="286"/>
      <c r="AA88" s="286"/>
      <c r="AB88" s="286"/>
      <c r="AC88" s="286"/>
      <c r="AD88" s="286"/>
      <c r="AE88" s="286"/>
      <c r="AF88" s="286"/>
      <c r="AG88" s="286"/>
      <c r="AH88" s="286"/>
      <c r="AI88" s="287"/>
    </row>
    <row r="89" spans="1:35" ht="18" customHeight="1">
      <c r="A89" s="195"/>
      <c r="B89" s="283" t="s">
        <v>265</v>
      </c>
      <c r="C89" s="284"/>
      <c r="D89" s="284"/>
      <c r="E89" s="284"/>
      <c r="F89" s="286" t="s">
        <v>266</v>
      </c>
      <c r="G89" s="286"/>
      <c r="H89" s="286"/>
      <c r="I89" s="286"/>
      <c r="J89" s="286"/>
      <c r="K89" s="286"/>
      <c r="L89" s="286"/>
      <c r="M89" s="286"/>
      <c r="N89" s="286"/>
      <c r="O89" s="286"/>
      <c r="P89" s="286"/>
      <c r="Q89" s="286"/>
      <c r="R89" s="286"/>
      <c r="S89" s="286"/>
      <c r="T89" s="286"/>
      <c r="U89" s="286"/>
      <c r="V89" s="286"/>
      <c r="W89" s="286"/>
      <c r="X89" s="286"/>
      <c r="Y89" s="286"/>
      <c r="Z89" s="286"/>
      <c r="AA89" s="286"/>
      <c r="AB89" s="286"/>
      <c r="AC89" s="286"/>
      <c r="AD89" s="286"/>
      <c r="AE89" s="286"/>
      <c r="AF89" s="286"/>
      <c r="AG89" s="286"/>
      <c r="AH89" s="286"/>
      <c r="AI89" s="287"/>
    </row>
    <row r="90" spans="1:35" ht="18" customHeight="1" thickBot="1">
      <c r="A90" s="199"/>
      <c r="B90" s="317" t="s">
        <v>267</v>
      </c>
      <c r="C90" s="387"/>
      <c r="D90" s="387"/>
      <c r="E90" s="387"/>
      <c r="F90" s="322" t="s">
        <v>336</v>
      </c>
      <c r="G90" s="322"/>
      <c r="H90" s="322"/>
      <c r="I90" s="322"/>
      <c r="J90" s="322"/>
      <c r="K90" s="322"/>
      <c r="L90" s="322"/>
      <c r="M90" s="322"/>
      <c r="N90" s="322"/>
      <c r="O90" s="322"/>
      <c r="P90" s="322"/>
      <c r="Q90" s="322"/>
      <c r="R90" s="322"/>
      <c r="S90" s="322"/>
      <c r="T90" s="322"/>
      <c r="U90" s="322"/>
      <c r="V90" s="322"/>
      <c r="W90" s="322"/>
      <c r="X90" s="322"/>
      <c r="Y90" s="322"/>
      <c r="Z90" s="322"/>
      <c r="AA90" s="322"/>
      <c r="AB90" s="322"/>
      <c r="AC90" s="322"/>
      <c r="AD90" s="322"/>
      <c r="AE90" s="322"/>
      <c r="AF90" s="322"/>
      <c r="AG90" s="322"/>
      <c r="AH90" s="322"/>
      <c r="AI90" s="323"/>
    </row>
    <row r="91" spans="1:35" ht="18" customHeight="1" thickBot="1">
      <c r="A91" s="184"/>
      <c r="B91" s="200" t="s">
        <v>294</v>
      </c>
      <c r="C91" s="184"/>
      <c r="D91" s="184"/>
      <c r="E91" s="184"/>
      <c r="F91" s="184"/>
      <c r="G91" s="184"/>
      <c r="H91" s="184"/>
      <c r="I91" s="184"/>
      <c r="R91" s="376">
        <f>R50</f>
        <v>46023</v>
      </c>
      <c r="S91" s="377"/>
      <c r="T91" s="377"/>
      <c r="U91" s="377"/>
      <c r="V91" s="178" t="s">
        <v>169</v>
      </c>
      <c r="W91" s="378">
        <f>W50</f>
        <v>6</v>
      </c>
      <c r="X91" s="377"/>
      <c r="Y91" s="178" t="s">
        <v>170</v>
      </c>
      <c r="Z91" s="379">
        <f>Z50</f>
        <v>1</v>
      </c>
      <c r="AA91" s="377"/>
      <c r="AB91" s="178" t="s">
        <v>3</v>
      </c>
      <c r="AC91" s="386" t="str">
        <f>AC50</f>
        <v>月</v>
      </c>
      <c r="AD91" s="377"/>
      <c r="AE91" s="377" t="s">
        <v>292</v>
      </c>
      <c r="AF91" s="377"/>
    </row>
    <row r="92" spans="1:35" ht="18" customHeight="1">
      <c r="A92" s="336" t="s">
        <v>188</v>
      </c>
      <c r="B92" s="385"/>
      <c r="C92" s="337"/>
      <c r="D92" s="337"/>
      <c r="E92" s="337"/>
      <c r="F92" s="337"/>
      <c r="G92" s="337"/>
      <c r="H92" s="337"/>
      <c r="I92" s="337"/>
      <c r="J92" s="337"/>
      <c r="K92" s="337"/>
      <c r="L92" s="337"/>
      <c r="M92" s="337"/>
      <c r="N92" s="337"/>
      <c r="O92" s="337"/>
      <c r="P92" s="337"/>
      <c r="Q92" s="337"/>
      <c r="R92" s="337"/>
      <c r="S92" s="337"/>
      <c r="T92" s="337"/>
      <c r="U92" s="337"/>
      <c r="V92" s="337"/>
      <c r="W92" s="337"/>
      <c r="X92" s="337"/>
      <c r="Y92" s="337"/>
      <c r="Z92" s="337"/>
      <c r="AA92" s="337"/>
      <c r="AB92" s="337"/>
      <c r="AC92" s="337"/>
      <c r="AD92" s="337"/>
      <c r="AE92" s="337"/>
      <c r="AF92" s="337"/>
      <c r="AG92" s="337"/>
      <c r="AH92" s="337"/>
      <c r="AI92" s="338"/>
    </row>
    <row r="93" spans="1:35" ht="18" customHeight="1">
      <c r="A93" s="195"/>
      <c r="B93" s="283" t="s">
        <v>267</v>
      </c>
      <c r="C93" s="284"/>
      <c r="D93" s="284"/>
      <c r="E93" s="284"/>
      <c r="F93" s="286" t="s">
        <v>337</v>
      </c>
      <c r="G93" s="286"/>
      <c r="H93" s="286"/>
      <c r="I93" s="286"/>
      <c r="J93" s="286"/>
      <c r="K93" s="286"/>
      <c r="L93" s="286"/>
      <c r="M93" s="286"/>
      <c r="N93" s="286"/>
      <c r="O93" s="286"/>
      <c r="P93" s="286"/>
      <c r="Q93" s="286"/>
      <c r="R93" s="286"/>
      <c r="S93" s="286"/>
      <c r="T93" s="286"/>
      <c r="U93" s="286"/>
      <c r="V93" s="286"/>
      <c r="W93" s="286"/>
      <c r="X93" s="286"/>
      <c r="Y93" s="286"/>
      <c r="Z93" s="286"/>
      <c r="AA93" s="286"/>
      <c r="AB93" s="286"/>
      <c r="AC93" s="286"/>
      <c r="AD93" s="286"/>
      <c r="AE93" s="286"/>
      <c r="AF93" s="286"/>
      <c r="AG93" s="286"/>
      <c r="AH93" s="286"/>
      <c r="AI93" s="287"/>
    </row>
    <row r="94" spans="1:35" ht="18" customHeight="1">
      <c r="A94" s="195"/>
      <c r="B94" s="283" t="s">
        <v>201</v>
      </c>
      <c r="C94" s="284"/>
      <c r="D94" s="284"/>
      <c r="E94" s="284"/>
      <c r="F94" s="286" t="s">
        <v>338</v>
      </c>
      <c r="G94" s="286"/>
      <c r="H94" s="286"/>
      <c r="I94" s="286"/>
      <c r="J94" s="286"/>
      <c r="K94" s="286"/>
      <c r="L94" s="286"/>
      <c r="M94" s="286"/>
      <c r="N94" s="286"/>
      <c r="O94" s="286"/>
      <c r="P94" s="286"/>
      <c r="Q94" s="286"/>
      <c r="R94" s="286"/>
      <c r="S94" s="286"/>
      <c r="T94" s="286"/>
      <c r="U94" s="286"/>
      <c r="V94" s="286"/>
      <c r="W94" s="286"/>
      <c r="X94" s="286"/>
      <c r="Y94" s="286"/>
      <c r="Z94" s="286"/>
      <c r="AA94" s="286"/>
      <c r="AB94" s="286"/>
      <c r="AC94" s="286"/>
      <c r="AD94" s="286"/>
      <c r="AE94" s="286"/>
      <c r="AF94" s="286"/>
      <c r="AG94" s="286"/>
      <c r="AH94" s="286"/>
      <c r="AI94" s="287"/>
    </row>
    <row r="95" spans="1:35" ht="18" customHeight="1">
      <c r="A95" s="195"/>
      <c r="B95" s="283" t="s">
        <v>201</v>
      </c>
      <c r="C95" s="284"/>
      <c r="D95" s="284"/>
      <c r="E95" s="284"/>
      <c r="F95" s="286" t="s">
        <v>339</v>
      </c>
      <c r="G95" s="286"/>
      <c r="H95" s="286"/>
      <c r="I95" s="286"/>
      <c r="J95" s="286"/>
      <c r="K95" s="286"/>
      <c r="L95" s="286"/>
      <c r="M95" s="286"/>
      <c r="N95" s="286"/>
      <c r="O95" s="286"/>
      <c r="P95" s="286"/>
      <c r="Q95" s="286"/>
      <c r="R95" s="286"/>
      <c r="S95" s="286"/>
      <c r="T95" s="286"/>
      <c r="U95" s="286"/>
      <c r="V95" s="286"/>
      <c r="W95" s="286"/>
      <c r="X95" s="286"/>
      <c r="Y95" s="286"/>
      <c r="Z95" s="286"/>
      <c r="AA95" s="286"/>
      <c r="AB95" s="286"/>
      <c r="AC95" s="286"/>
      <c r="AD95" s="286"/>
      <c r="AE95" s="286"/>
      <c r="AF95" s="286"/>
      <c r="AG95" s="286"/>
      <c r="AH95" s="286"/>
      <c r="AI95" s="287"/>
    </row>
    <row r="96" spans="1:35" ht="18" customHeight="1">
      <c r="A96" s="195"/>
      <c r="B96" s="283" t="s">
        <v>201</v>
      </c>
      <c r="C96" s="284"/>
      <c r="D96" s="284"/>
      <c r="E96" s="284"/>
      <c r="F96" s="286" t="s">
        <v>340</v>
      </c>
      <c r="G96" s="286"/>
      <c r="H96" s="286"/>
      <c r="I96" s="286"/>
      <c r="J96" s="286"/>
      <c r="K96" s="286"/>
      <c r="L96" s="286"/>
      <c r="M96" s="286"/>
      <c r="N96" s="286"/>
      <c r="O96" s="286"/>
      <c r="P96" s="286"/>
      <c r="Q96" s="286"/>
      <c r="R96" s="286"/>
      <c r="S96" s="286"/>
      <c r="T96" s="286"/>
      <c r="U96" s="286"/>
      <c r="V96" s="286"/>
      <c r="W96" s="286"/>
      <c r="X96" s="286"/>
      <c r="Y96" s="286"/>
      <c r="Z96" s="286"/>
      <c r="AA96" s="286"/>
      <c r="AB96" s="286"/>
      <c r="AC96" s="286"/>
      <c r="AD96" s="286"/>
      <c r="AE96" s="286"/>
      <c r="AF96" s="286"/>
      <c r="AG96" s="286"/>
      <c r="AH96" s="286"/>
      <c r="AI96" s="287"/>
    </row>
    <row r="97" spans="1:35" ht="18" customHeight="1">
      <c r="A97" s="195"/>
      <c r="B97" s="283" t="s">
        <v>201</v>
      </c>
      <c r="C97" s="284"/>
      <c r="D97" s="284"/>
      <c r="E97" s="284"/>
      <c r="F97" s="286" t="s">
        <v>338</v>
      </c>
      <c r="G97" s="286"/>
      <c r="H97" s="286"/>
      <c r="I97" s="286"/>
      <c r="J97" s="286"/>
      <c r="K97" s="286"/>
      <c r="L97" s="286"/>
      <c r="M97" s="286"/>
      <c r="N97" s="286"/>
      <c r="O97" s="286"/>
      <c r="P97" s="286"/>
      <c r="Q97" s="286"/>
      <c r="R97" s="286"/>
      <c r="S97" s="286"/>
      <c r="T97" s="286"/>
      <c r="U97" s="286"/>
      <c r="V97" s="286"/>
      <c r="W97" s="286"/>
      <c r="X97" s="286"/>
      <c r="Y97" s="286"/>
      <c r="Z97" s="286"/>
      <c r="AA97" s="286"/>
      <c r="AB97" s="286"/>
      <c r="AC97" s="286"/>
      <c r="AD97" s="286"/>
      <c r="AE97" s="286"/>
      <c r="AF97" s="286"/>
      <c r="AG97" s="286"/>
      <c r="AH97" s="286"/>
      <c r="AI97" s="287"/>
    </row>
    <row r="98" spans="1:35" ht="18" customHeight="1">
      <c r="A98" s="195"/>
      <c r="B98" s="283" t="s">
        <v>341</v>
      </c>
      <c r="C98" s="284"/>
      <c r="D98" s="284"/>
      <c r="E98" s="284"/>
      <c r="F98" s="286" t="s">
        <v>339</v>
      </c>
      <c r="G98" s="286"/>
      <c r="H98" s="286"/>
      <c r="I98" s="286"/>
      <c r="J98" s="286"/>
      <c r="K98" s="286"/>
      <c r="L98" s="286"/>
      <c r="M98" s="286"/>
      <c r="N98" s="286"/>
      <c r="O98" s="286"/>
      <c r="P98" s="286"/>
      <c r="Q98" s="286"/>
      <c r="R98" s="286"/>
      <c r="S98" s="286"/>
      <c r="T98" s="286"/>
      <c r="U98" s="286"/>
      <c r="V98" s="286"/>
      <c r="W98" s="286"/>
      <c r="X98" s="286"/>
      <c r="Y98" s="286"/>
      <c r="Z98" s="286"/>
      <c r="AA98" s="286"/>
      <c r="AB98" s="286"/>
      <c r="AC98" s="286"/>
      <c r="AD98" s="286"/>
      <c r="AE98" s="286"/>
      <c r="AF98" s="286"/>
      <c r="AG98" s="286"/>
      <c r="AH98" s="286"/>
      <c r="AI98" s="287"/>
    </row>
    <row r="99" spans="1:35" ht="18" customHeight="1">
      <c r="A99" s="195"/>
      <c r="B99" s="283" t="s">
        <v>342</v>
      </c>
      <c r="C99" s="284"/>
      <c r="D99" s="284"/>
      <c r="E99" s="284"/>
      <c r="F99" s="286" t="s">
        <v>343</v>
      </c>
      <c r="G99" s="286"/>
      <c r="H99" s="286"/>
      <c r="I99" s="286"/>
      <c r="J99" s="286"/>
      <c r="K99" s="286"/>
      <c r="L99" s="286"/>
      <c r="M99" s="286"/>
      <c r="N99" s="286"/>
      <c r="O99" s="286"/>
      <c r="P99" s="286"/>
      <c r="Q99" s="286"/>
      <c r="R99" s="286"/>
      <c r="S99" s="286"/>
      <c r="T99" s="286"/>
      <c r="U99" s="286"/>
      <c r="V99" s="286"/>
      <c r="W99" s="286"/>
      <c r="X99" s="286"/>
      <c r="Y99" s="286"/>
      <c r="Z99" s="286"/>
      <c r="AA99" s="286"/>
      <c r="AB99" s="286"/>
      <c r="AC99" s="286"/>
      <c r="AD99" s="286"/>
      <c r="AE99" s="286"/>
      <c r="AF99" s="286"/>
      <c r="AG99" s="286"/>
      <c r="AH99" s="286"/>
      <c r="AI99" s="287"/>
    </row>
    <row r="100" spans="1:35" ht="18" customHeight="1">
      <c r="A100" s="195"/>
      <c r="B100" s="283" t="s">
        <v>342</v>
      </c>
      <c r="C100" s="284"/>
      <c r="D100" s="284"/>
      <c r="E100" s="284"/>
      <c r="F100" s="286" t="s">
        <v>344</v>
      </c>
      <c r="G100" s="286"/>
      <c r="H100" s="286"/>
      <c r="I100" s="286"/>
      <c r="J100" s="286"/>
      <c r="K100" s="286"/>
      <c r="L100" s="286"/>
      <c r="M100" s="286"/>
      <c r="N100" s="286"/>
      <c r="O100" s="286"/>
      <c r="P100" s="286"/>
      <c r="Q100" s="286"/>
      <c r="R100" s="286"/>
      <c r="S100" s="286"/>
      <c r="T100" s="286"/>
      <c r="U100" s="286"/>
      <c r="V100" s="286"/>
      <c r="W100" s="286"/>
      <c r="X100" s="286"/>
      <c r="Y100" s="286"/>
      <c r="Z100" s="286"/>
      <c r="AA100" s="286"/>
      <c r="AB100" s="286"/>
      <c r="AC100" s="286"/>
      <c r="AD100" s="286"/>
      <c r="AE100" s="286"/>
      <c r="AF100" s="286"/>
      <c r="AG100" s="286"/>
      <c r="AH100" s="286"/>
      <c r="AI100" s="287"/>
    </row>
    <row r="101" spans="1:35" ht="18" customHeight="1">
      <c r="A101" s="195"/>
      <c r="B101" s="283" t="s">
        <v>277</v>
      </c>
      <c r="C101" s="284"/>
      <c r="D101" s="284"/>
      <c r="E101" s="284"/>
      <c r="F101" s="286" t="s">
        <v>345</v>
      </c>
      <c r="G101" s="286"/>
      <c r="H101" s="286"/>
      <c r="I101" s="286"/>
      <c r="J101" s="286"/>
      <c r="K101" s="286"/>
      <c r="L101" s="286"/>
      <c r="M101" s="286"/>
      <c r="N101" s="286"/>
      <c r="O101" s="286"/>
      <c r="P101" s="286"/>
      <c r="Q101" s="286"/>
      <c r="R101" s="286"/>
      <c r="S101" s="286"/>
      <c r="T101" s="286"/>
      <c r="U101" s="286"/>
      <c r="V101" s="286"/>
      <c r="W101" s="286"/>
      <c r="X101" s="286"/>
      <c r="Y101" s="286"/>
      <c r="Z101" s="286"/>
      <c r="AA101" s="286"/>
      <c r="AB101" s="286"/>
      <c r="AC101" s="286"/>
      <c r="AD101" s="286"/>
      <c r="AE101" s="286"/>
      <c r="AF101" s="286"/>
      <c r="AG101" s="286"/>
      <c r="AH101" s="286"/>
      <c r="AI101" s="287"/>
    </row>
    <row r="102" spans="1:35" ht="18" customHeight="1">
      <c r="A102" s="195"/>
      <c r="B102" s="283" t="s">
        <v>346</v>
      </c>
      <c r="C102" s="284"/>
      <c r="D102" s="284"/>
      <c r="E102" s="284"/>
      <c r="F102" s="286" t="s">
        <v>347</v>
      </c>
      <c r="G102" s="286"/>
      <c r="H102" s="286"/>
      <c r="I102" s="286"/>
      <c r="J102" s="286"/>
      <c r="K102" s="286"/>
      <c r="L102" s="286"/>
      <c r="M102" s="286"/>
      <c r="N102" s="286"/>
      <c r="O102" s="286"/>
      <c r="P102" s="286"/>
      <c r="Q102" s="286"/>
      <c r="R102" s="286"/>
      <c r="S102" s="286"/>
      <c r="T102" s="286"/>
      <c r="U102" s="286"/>
      <c r="V102" s="286"/>
      <c r="W102" s="286"/>
      <c r="X102" s="286"/>
      <c r="Y102" s="286"/>
      <c r="Z102" s="286"/>
      <c r="AA102" s="286"/>
      <c r="AB102" s="286"/>
      <c r="AC102" s="286"/>
      <c r="AD102" s="286"/>
      <c r="AE102" s="286"/>
      <c r="AF102" s="286"/>
      <c r="AG102" s="286"/>
      <c r="AH102" s="286"/>
      <c r="AI102" s="287"/>
    </row>
    <row r="103" spans="1:35" ht="18" customHeight="1">
      <c r="A103" s="195"/>
      <c r="B103" s="283" t="s">
        <v>205</v>
      </c>
      <c r="C103" s="284"/>
      <c r="D103" s="284"/>
      <c r="E103" s="284"/>
      <c r="F103" s="286" t="s">
        <v>348</v>
      </c>
      <c r="G103" s="286"/>
      <c r="H103" s="286"/>
      <c r="I103" s="286"/>
      <c r="J103" s="286"/>
      <c r="K103" s="286"/>
      <c r="L103" s="286"/>
      <c r="M103" s="286"/>
      <c r="N103" s="286"/>
      <c r="O103" s="286"/>
      <c r="P103" s="286"/>
      <c r="Q103" s="286"/>
      <c r="R103" s="286"/>
      <c r="S103" s="286"/>
      <c r="T103" s="286"/>
      <c r="U103" s="286"/>
      <c r="V103" s="286"/>
      <c r="W103" s="286"/>
      <c r="X103" s="286"/>
      <c r="Y103" s="286"/>
      <c r="Z103" s="286"/>
      <c r="AA103" s="286"/>
      <c r="AB103" s="286"/>
      <c r="AC103" s="286"/>
      <c r="AD103" s="286"/>
      <c r="AE103" s="286"/>
      <c r="AF103" s="286"/>
      <c r="AG103" s="286"/>
      <c r="AH103" s="286"/>
      <c r="AI103" s="287"/>
    </row>
    <row r="104" spans="1:35" ht="18" customHeight="1">
      <c r="A104" s="195"/>
      <c r="B104" s="283" t="s">
        <v>250</v>
      </c>
      <c r="C104" s="284"/>
      <c r="D104" s="284"/>
      <c r="E104" s="284"/>
      <c r="F104" s="286" t="s">
        <v>349</v>
      </c>
      <c r="G104" s="286"/>
      <c r="H104" s="286"/>
      <c r="I104" s="286"/>
      <c r="J104" s="286"/>
      <c r="K104" s="286"/>
      <c r="L104" s="286"/>
      <c r="M104" s="286"/>
      <c r="N104" s="286"/>
      <c r="O104" s="286"/>
      <c r="P104" s="286"/>
      <c r="Q104" s="286"/>
      <c r="R104" s="286"/>
      <c r="S104" s="286"/>
      <c r="T104" s="286"/>
      <c r="U104" s="286"/>
      <c r="V104" s="286"/>
      <c r="W104" s="286"/>
      <c r="X104" s="286"/>
      <c r="Y104" s="286"/>
      <c r="Z104" s="286"/>
      <c r="AA104" s="286"/>
      <c r="AB104" s="286"/>
      <c r="AC104" s="286"/>
      <c r="AD104" s="286"/>
      <c r="AE104" s="286"/>
      <c r="AF104" s="286"/>
      <c r="AG104" s="286"/>
      <c r="AH104" s="286"/>
      <c r="AI104" s="287"/>
    </row>
    <row r="105" spans="1:35" ht="18" customHeight="1">
      <c r="A105" s="195"/>
      <c r="B105" s="283" t="s">
        <v>320</v>
      </c>
      <c r="C105" s="284"/>
      <c r="D105" s="284"/>
      <c r="E105" s="284"/>
      <c r="F105" s="286" t="s">
        <v>350</v>
      </c>
      <c r="G105" s="286"/>
      <c r="H105" s="286"/>
      <c r="I105" s="286"/>
      <c r="J105" s="286"/>
      <c r="K105" s="286"/>
      <c r="L105" s="286"/>
      <c r="M105" s="286"/>
      <c r="N105" s="286"/>
      <c r="O105" s="286"/>
      <c r="P105" s="286"/>
      <c r="Q105" s="286"/>
      <c r="R105" s="286"/>
      <c r="S105" s="286"/>
      <c r="T105" s="286"/>
      <c r="U105" s="286"/>
      <c r="V105" s="286"/>
      <c r="W105" s="286"/>
      <c r="X105" s="286"/>
      <c r="Y105" s="286"/>
      <c r="Z105" s="286"/>
      <c r="AA105" s="286"/>
      <c r="AB105" s="286"/>
      <c r="AC105" s="286"/>
      <c r="AD105" s="286"/>
      <c r="AE105" s="286"/>
      <c r="AF105" s="286"/>
      <c r="AG105" s="286"/>
      <c r="AH105" s="286"/>
      <c r="AI105" s="287"/>
    </row>
    <row r="106" spans="1:35" ht="18" customHeight="1">
      <c r="A106" s="195"/>
      <c r="B106" s="283" t="s">
        <v>231</v>
      </c>
      <c r="C106" s="284"/>
      <c r="D106" s="284"/>
      <c r="E106" s="284"/>
      <c r="F106" s="286" t="s">
        <v>351</v>
      </c>
      <c r="G106" s="286"/>
      <c r="H106" s="286"/>
      <c r="I106" s="286"/>
      <c r="J106" s="286"/>
      <c r="K106" s="286"/>
      <c r="L106" s="286"/>
      <c r="M106" s="286"/>
      <c r="N106" s="286"/>
      <c r="O106" s="286"/>
      <c r="P106" s="286"/>
      <c r="Q106" s="286"/>
      <c r="R106" s="286"/>
      <c r="S106" s="286"/>
      <c r="T106" s="286"/>
      <c r="U106" s="286"/>
      <c r="V106" s="286"/>
      <c r="W106" s="286"/>
      <c r="X106" s="286"/>
      <c r="Y106" s="286"/>
      <c r="Z106" s="286"/>
      <c r="AA106" s="286"/>
      <c r="AB106" s="286"/>
      <c r="AC106" s="286"/>
      <c r="AD106" s="286"/>
      <c r="AE106" s="286"/>
      <c r="AF106" s="286"/>
      <c r="AG106" s="286"/>
      <c r="AH106" s="286"/>
      <c r="AI106" s="287"/>
    </row>
    <row r="107" spans="1:35" ht="18" customHeight="1">
      <c r="A107" s="195"/>
      <c r="B107" s="283" t="s">
        <v>260</v>
      </c>
      <c r="C107" s="284"/>
      <c r="D107" s="284"/>
      <c r="E107" s="284"/>
      <c r="F107" s="286" t="s">
        <v>352</v>
      </c>
      <c r="G107" s="286"/>
      <c r="H107" s="286"/>
      <c r="I107" s="286"/>
      <c r="J107" s="286"/>
      <c r="K107" s="286"/>
      <c r="L107" s="286"/>
      <c r="M107" s="286"/>
      <c r="N107" s="286"/>
      <c r="O107" s="286"/>
      <c r="P107" s="286"/>
      <c r="Q107" s="286"/>
      <c r="R107" s="286"/>
      <c r="S107" s="286"/>
      <c r="T107" s="286"/>
      <c r="U107" s="286"/>
      <c r="V107" s="286"/>
      <c r="W107" s="286"/>
      <c r="X107" s="286"/>
      <c r="Y107" s="286"/>
      <c r="Z107" s="286"/>
      <c r="AA107" s="286"/>
      <c r="AB107" s="286"/>
      <c r="AC107" s="286"/>
      <c r="AD107" s="286"/>
      <c r="AE107" s="286"/>
      <c r="AF107" s="286"/>
      <c r="AG107" s="286"/>
      <c r="AH107" s="286"/>
      <c r="AI107" s="287"/>
    </row>
    <row r="108" spans="1:35" ht="18" customHeight="1">
      <c r="A108" s="195"/>
      <c r="B108" s="283" t="s">
        <v>260</v>
      </c>
      <c r="C108" s="284"/>
      <c r="D108" s="284"/>
      <c r="E108" s="284"/>
      <c r="F108" s="286" t="s">
        <v>353</v>
      </c>
      <c r="G108" s="286"/>
      <c r="H108" s="286"/>
      <c r="I108" s="286"/>
      <c r="J108" s="286"/>
      <c r="K108" s="286"/>
      <c r="L108" s="286"/>
      <c r="M108" s="286"/>
      <c r="N108" s="286"/>
      <c r="O108" s="286"/>
      <c r="P108" s="286"/>
      <c r="Q108" s="286"/>
      <c r="R108" s="286"/>
      <c r="S108" s="286"/>
      <c r="T108" s="286"/>
      <c r="U108" s="286"/>
      <c r="V108" s="286"/>
      <c r="W108" s="286"/>
      <c r="X108" s="286"/>
      <c r="Y108" s="286"/>
      <c r="Z108" s="286"/>
      <c r="AA108" s="286"/>
      <c r="AB108" s="286"/>
      <c r="AC108" s="286"/>
      <c r="AD108" s="286"/>
      <c r="AE108" s="286"/>
      <c r="AF108" s="286"/>
      <c r="AG108" s="286"/>
      <c r="AH108" s="286"/>
      <c r="AI108" s="287"/>
    </row>
    <row r="109" spans="1:35" ht="18" customHeight="1">
      <c r="A109" s="195"/>
      <c r="B109" s="283" t="s">
        <v>260</v>
      </c>
      <c r="C109" s="284"/>
      <c r="D109" s="284"/>
      <c r="E109" s="284"/>
      <c r="F109" s="286" t="s">
        <v>354</v>
      </c>
      <c r="G109" s="286"/>
      <c r="H109" s="286"/>
      <c r="I109" s="286"/>
      <c r="J109" s="286"/>
      <c r="K109" s="286"/>
      <c r="L109" s="286"/>
      <c r="M109" s="286"/>
      <c r="N109" s="286"/>
      <c r="O109" s="286"/>
      <c r="P109" s="286"/>
      <c r="Q109" s="286"/>
      <c r="R109" s="286"/>
      <c r="S109" s="286"/>
      <c r="T109" s="286"/>
      <c r="U109" s="286"/>
      <c r="V109" s="286"/>
      <c r="W109" s="286"/>
      <c r="X109" s="286"/>
      <c r="Y109" s="286"/>
      <c r="Z109" s="286"/>
      <c r="AA109" s="286"/>
      <c r="AB109" s="286"/>
      <c r="AC109" s="286"/>
      <c r="AD109" s="286"/>
      <c r="AE109" s="286"/>
      <c r="AF109" s="286"/>
      <c r="AG109" s="286"/>
      <c r="AH109" s="286"/>
      <c r="AI109" s="287"/>
    </row>
    <row r="110" spans="1:35" ht="18" customHeight="1">
      <c r="A110" s="195"/>
      <c r="B110" s="283" t="s">
        <v>260</v>
      </c>
      <c r="C110" s="284"/>
      <c r="D110" s="284"/>
      <c r="E110" s="284"/>
      <c r="F110" s="286" t="s">
        <v>355</v>
      </c>
      <c r="G110" s="286"/>
      <c r="H110" s="286"/>
      <c r="I110" s="286"/>
      <c r="J110" s="286"/>
      <c r="K110" s="286"/>
      <c r="L110" s="286"/>
      <c r="M110" s="286"/>
      <c r="N110" s="286"/>
      <c r="O110" s="286"/>
      <c r="P110" s="286"/>
      <c r="Q110" s="286"/>
      <c r="R110" s="286"/>
      <c r="S110" s="286"/>
      <c r="T110" s="286"/>
      <c r="U110" s="286"/>
      <c r="V110" s="286"/>
      <c r="W110" s="286"/>
      <c r="X110" s="286"/>
      <c r="Y110" s="286"/>
      <c r="Z110" s="286"/>
      <c r="AA110" s="286"/>
      <c r="AB110" s="286"/>
      <c r="AC110" s="286"/>
      <c r="AD110" s="286"/>
      <c r="AE110" s="286"/>
      <c r="AF110" s="286"/>
      <c r="AG110" s="286"/>
      <c r="AH110" s="286"/>
      <c r="AI110" s="287"/>
    </row>
    <row r="111" spans="1:35" ht="18" customHeight="1">
      <c r="A111" s="195"/>
      <c r="B111" s="283" t="s">
        <v>260</v>
      </c>
      <c r="C111" s="284"/>
      <c r="D111" s="284"/>
      <c r="E111" s="284"/>
      <c r="F111" s="286" t="s">
        <v>356</v>
      </c>
      <c r="G111" s="286"/>
      <c r="H111" s="286"/>
      <c r="I111" s="286"/>
      <c r="J111" s="286"/>
      <c r="K111" s="286"/>
      <c r="L111" s="286"/>
      <c r="M111" s="286"/>
      <c r="N111" s="286"/>
      <c r="O111" s="286"/>
      <c r="P111" s="286"/>
      <c r="Q111" s="286"/>
      <c r="R111" s="286"/>
      <c r="S111" s="286"/>
      <c r="T111" s="286"/>
      <c r="U111" s="286"/>
      <c r="V111" s="286"/>
      <c r="W111" s="286"/>
      <c r="X111" s="286"/>
      <c r="Y111" s="286"/>
      <c r="Z111" s="286"/>
      <c r="AA111" s="286"/>
      <c r="AB111" s="286"/>
      <c r="AC111" s="286"/>
      <c r="AD111" s="286"/>
      <c r="AE111" s="286"/>
      <c r="AF111" s="286"/>
      <c r="AG111" s="286"/>
      <c r="AH111" s="286"/>
      <c r="AI111" s="287"/>
    </row>
    <row r="112" spans="1:35" ht="18" customHeight="1">
      <c r="A112" s="195"/>
      <c r="B112" s="283" t="s">
        <v>357</v>
      </c>
      <c r="C112" s="284"/>
      <c r="D112" s="284"/>
      <c r="E112" s="284"/>
      <c r="F112" s="286" t="s">
        <v>358</v>
      </c>
      <c r="G112" s="286"/>
      <c r="H112" s="286"/>
      <c r="I112" s="286"/>
      <c r="J112" s="286"/>
      <c r="K112" s="286"/>
      <c r="L112" s="286"/>
      <c r="M112" s="286"/>
      <c r="N112" s="286"/>
      <c r="O112" s="286"/>
      <c r="P112" s="286"/>
      <c r="Q112" s="286"/>
      <c r="R112" s="286"/>
      <c r="S112" s="286"/>
      <c r="T112" s="286"/>
      <c r="U112" s="286"/>
      <c r="V112" s="286"/>
      <c r="W112" s="286"/>
      <c r="X112" s="286"/>
      <c r="Y112" s="286"/>
      <c r="Z112" s="286"/>
      <c r="AA112" s="286"/>
      <c r="AB112" s="286"/>
      <c r="AC112" s="286"/>
      <c r="AD112" s="286"/>
      <c r="AE112" s="286"/>
      <c r="AF112" s="286"/>
      <c r="AG112" s="286"/>
      <c r="AH112" s="286"/>
      <c r="AI112" s="287"/>
    </row>
    <row r="113" spans="1:35" ht="18" customHeight="1">
      <c r="A113" s="195"/>
      <c r="B113" s="283" t="s">
        <v>197</v>
      </c>
      <c r="C113" s="284"/>
      <c r="D113" s="284"/>
      <c r="E113" s="284"/>
      <c r="F113" s="286" t="s">
        <v>359</v>
      </c>
      <c r="G113" s="286"/>
      <c r="H113" s="286"/>
      <c r="I113" s="286"/>
      <c r="J113" s="286"/>
      <c r="K113" s="286"/>
      <c r="L113" s="286"/>
      <c r="M113" s="286"/>
      <c r="N113" s="286"/>
      <c r="O113" s="286"/>
      <c r="P113" s="286"/>
      <c r="Q113" s="286"/>
      <c r="R113" s="286"/>
      <c r="S113" s="286"/>
      <c r="T113" s="286"/>
      <c r="U113" s="286"/>
      <c r="V113" s="286"/>
      <c r="W113" s="286"/>
      <c r="X113" s="286"/>
      <c r="Y113" s="286"/>
      <c r="Z113" s="286"/>
      <c r="AA113" s="286"/>
      <c r="AB113" s="286"/>
      <c r="AC113" s="286"/>
      <c r="AD113" s="286"/>
      <c r="AE113" s="286"/>
      <c r="AF113" s="286"/>
      <c r="AG113" s="286"/>
      <c r="AH113" s="286"/>
      <c r="AI113" s="287"/>
    </row>
    <row r="114" spans="1:35" ht="18" customHeight="1">
      <c r="A114" s="195"/>
      <c r="B114" s="283" t="s">
        <v>360</v>
      </c>
      <c r="C114" s="284"/>
      <c r="D114" s="284"/>
      <c r="E114" s="284"/>
      <c r="F114" s="286" t="s">
        <v>361</v>
      </c>
      <c r="G114" s="286"/>
      <c r="H114" s="286"/>
      <c r="I114" s="286"/>
      <c r="J114" s="286"/>
      <c r="K114" s="286"/>
      <c r="L114" s="286"/>
      <c r="M114" s="286"/>
      <c r="N114" s="286"/>
      <c r="O114" s="286"/>
      <c r="P114" s="286"/>
      <c r="Q114" s="286"/>
      <c r="R114" s="286"/>
      <c r="S114" s="286"/>
      <c r="T114" s="286"/>
      <c r="U114" s="286"/>
      <c r="V114" s="286"/>
      <c r="W114" s="286"/>
      <c r="X114" s="286"/>
      <c r="Y114" s="286"/>
      <c r="Z114" s="286"/>
      <c r="AA114" s="286"/>
      <c r="AB114" s="286"/>
      <c r="AC114" s="286"/>
      <c r="AD114" s="286"/>
      <c r="AE114" s="286"/>
      <c r="AF114" s="286"/>
      <c r="AG114" s="286"/>
      <c r="AH114" s="286"/>
      <c r="AI114" s="287"/>
    </row>
    <row r="115" spans="1:35" ht="18" customHeight="1">
      <c r="A115" s="195"/>
      <c r="B115" s="283" t="s">
        <v>265</v>
      </c>
      <c r="C115" s="284"/>
      <c r="D115" s="284"/>
      <c r="E115" s="284"/>
      <c r="F115" s="286" t="s">
        <v>353</v>
      </c>
      <c r="G115" s="286"/>
      <c r="H115" s="286"/>
      <c r="I115" s="286"/>
      <c r="J115" s="286"/>
      <c r="K115" s="286"/>
      <c r="L115" s="286"/>
      <c r="M115" s="286"/>
      <c r="N115" s="286"/>
      <c r="O115" s="286"/>
      <c r="P115" s="286"/>
      <c r="Q115" s="286"/>
      <c r="R115" s="286"/>
      <c r="S115" s="286"/>
      <c r="T115" s="286"/>
      <c r="U115" s="286"/>
      <c r="V115" s="286"/>
      <c r="W115" s="286"/>
      <c r="X115" s="286"/>
      <c r="Y115" s="286"/>
      <c r="Z115" s="286"/>
      <c r="AA115" s="286"/>
      <c r="AB115" s="286"/>
      <c r="AC115" s="286"/>
      <c r="AD115" s="286"/>
      <c r="AE115" s="286"/>
      <c r="AF115" s="286"/>
      <c r="AG115" s="286"/>
      <c r="AH115" s="286"/>
      <c r="AI115" s="287"/>
    </row>
    <row r="116" spans="1:35" ht="18" customHeight="1">
      <c r="A116" s="195"/>
      <c r="B116" s="283" t="s">
        <v>265</v>
      </c>
      <c r="C116" s="284"/>
      <c r="D116" s="284"/>
      <c r="E116" s="284"/>
      <c r="F116" s="286" t="s">
        <v>362</v>
      </c>
      <c r="G116" s="286"/>
      <c r="H116" s="286"/>
      <c r="I116" s="286"/>
      <c r="J116" s="286"/>
      <c r="K116" s="286"/>
      <c r="L116" s="286"/>
      <c r="M116" s="286"/>
      <c r="N116" s="286"/>
      <c r="O116" s="286"/>
      <c r="P116" s="286"/>
      <c r="Q116" s="286"/>
      <c r="R116" s="286"/>
      <c r="S116" s="286"/>
      <c r="T116" s="286"/>
      <c r="U116" s="286"/>
      <c r="V116" s="286"/>
      <c r="W116" s="286"/>
      <c r="X116" s="286"/>
      <c r="Y116" s="286"/>
      <c r="Z116" s="286"/>
      <c r="AA116" s="286"/>
      <c r="AB116" s="286"/>
      <c r="AC116" s="286"/>
      <c r="AD116" s="286"/>
      <c r="AE116" s="286"/>
      <c r="AF116" s="286"/>
      <c r="AG116" s="286"/>
      <c r="AH116" s="286"/>
      <c r="AI116" s="287"/>
    </row>
    <row r="117" spans="1:35" ht="18" customHeight="1">
      <c r="A117" s="195"/>
      <c r="B117" s="283" t="s">
        <v>265</v>
      </c>
      <c r="C117" s="284"/>
      <c r="D117" s="284"/>
      <c r="E117" s="284"/>
      <c r="F117" s="286" t="s">
        <v>355</v>
      </c>
      <c r="G117" s="286"/>
      <c r="H117" s="286"/>
      <c r="I117" s="286"/>
      <c r="J117" s="286"/>
      <c r="K117" s="286"/>
      <c r="L117" s="286"/>
      <c r="M117" s="286"/>
      <c r="N117" s="286"/>
      <c r="O117" s="286"/>
      <c r="P117" s="286"/>
      <c r="Q117" s="286"/>
      <c r="R117" s="286"/>
      <c r="S117" s="286"/>
      <c r="T117" s="286"/>
      <c r="U117" s="286"/>
      <c r="V117" s="286"/>
      <c r="W117" s="286"/>
      <c r="X117" s="286"/>
      <c r="Y117" s="286"/>
      <c r="Z117" s="286"/>
      <c r="AA117" s="286"/>
      <c r="AB117" s="286"/>
      <c r="AC117" s="286"/>
      <c r="AD117" s="286"/>
      <c r="AE117" s="286"/>
      <c r="AF117" s="286"/>
      <c r="AG117" s="286"/>
      <c r="AH117" s="286"/>
      <c r="AI117" s="287"/>
    </row>
    <row r="118" spans="1:35" ht="18" customHeight="1">
      <c r="A118" s="195"/>
      <c r="B118" s="283" t="s">
        <v>267</v>
      </c>
      <c r="C118" s="284"/>
      <c r="D118" s="284"/>
      <c r="E118" s="284"/>
      <c r="F118" s="286" t="s">
        <v>268</v>
      </c>
      <c r="G118" s="286"/>
      <c r="H118" s="286"/>
      <c r="I118" s="286"/>
      <c r="J118" s="286"/>
      <c r="K118" s="286"/>
      <c r="L118" s="286"/>
      <c r="M118" s="286"/>
      <c r="N118" s="286"/>
      <c r="O118" s="286"/>
      <c r="P118" s="286"/>
      <c r="Q118" s="286"/>
      <c r="R118" s="286"/>
      <c r="S118" s="286"/>
      <c r="T118" s="286"/>
      <c r="U118" s="286"/>
      <c r="V118" s="286"/>
      <c r="W118" s="286"/>
      <c r="X118" s="286"/>
      <c r="Y118" s="286"/>
      <c r="Z118" s="286"/>
      <c r="AA118" s="286"/>
      <c r="AB118" s="286"/>
      <c r="AC118" s="286"/>
      <c r="AD118" s="286"/>
      <c r="AE118" s="286"/>
      <c r="AF118" s="286"/>
      <c r="AG118" s="286"/>
      <c r="AH118" s="286"/>
      <c r="AI118" s="287"/>
    </row>
    <row r="119" spans="1:35" ht="18" customHeight="1">
      <c r="A119" s="195"/>
      <c r="B119" s="283" t="s">
        <v>267</v>
      </c>
      <c r="C119" s="284"/>
      <c r="D119" s="284"/>
      <c r="E119" s="284"/>
      <c r="F119" s="286" t="s">
        <v>363</v>
      </c>
      <c r="G119" s="286"/>
      <c r="H119" s="286"/>
      <c r="I119" s="286"/>
      <c r="J119" s="286"/>
      <c r="K119" s="286"/>
      <c r="L119" s="286"/>
      <c r="M119" s="286"/>
      <c r="N119" s="286"/>
      <c r="O119" s="286"/>
      <c r="P119" s="286"/>
      <c r="Q119" s="286"/>
      <c r="R119" s="286"/>
      <c r="S119" s="286"/>
      <c r="T119" s="286"/>
      <c r="U119" s="286"/>
      <c r="V119" s="286"/>
      <c r="W119" s="286"/>
      <c r="X119" s="286"/>
      <c r="Y119" s="286"/>
      <c r="Z119" s="286"/>
      <c r="AA119" s="286"/>
      <c r="AB119" s="286"/>
      <c r="AC119" s="286"/>
      <c r="AD119" s="286"/>
      <c r="AE119" s="286"/>
      <c r="AF119" s="286"/>
      <c r="AG119" s="286"/>
      <c r="AH119" s="286"/>
      <c r="AI119" s="287"/>
    </row>
    <row r="120" spans="1:35" ht="18" customHeight="1">
      <c r="A120" s="195"/>
      <c r="B120" s="283" t="s">
        <v>267</v>
      </c>
      <c r="C120" s="284"/>
      <c r="D120" s="284"/>
      <c r="E120" s="284"/>
      <c r="F120" s="286" t="s">
        <v>364</v>
      </c>
      <c r="G120" s="286"/>
      <c r="H120" s="286"/>
      <c r="I120" s="286"/>
      <c r="J120" s="286"/>
      <c r="K120" s="286"/>
      <c r="L120" s="286"/>
      <c r="M120" s="286"/>
      <c r="N120" s="286"/>
      <c r="O120" s="286"/>
      <c r="P120" s="286"/>
      <c r="Q120" s="286"/>
      <c r="R120" s="286"/>
      <c r="S120" s="286"/>
      <c r="T120" s="286"/>
      <c r="U120" s="286"/>
      <c r="V120" s="286"/>
      <c r="W120" s="286"/>
      <c r="X120" s="286"/>
      <c r="Y120" s="286"/>
      <c r="Z120" s="286"/>
      <c r="AA120" s="286"/>
      <c r="AB120" s="286"/>
      <c r="AC120" s="286"/>
      <c r="AD120" s="286"/>
      <c r="AE120" s="286"/>
      <c r="AF120" s="286"/>
      <c r="AG120" s="286"/>
      <c r="AH120" s="286"/>
      <c r="AI120" s="287"/>
    </row>
    <row r="121" spans="1:35" ht="18" customHeight="1">
      <c r="A121" s="195"/>
      <c r="B121" s="283" t="s">
        <v>201</v>
      </c>
      <c r="C121" s="284"/>
      <c r="D121" s="284"/>
      <c r="E121" s="284"/>
      <c r="F121" s="286" t="s">
        <v>269</v>
      </c>
      <c r="G121" s="286"/>
      <c r="H121" s="286"/>
      <c r="I121" s="286"/>
      <c r="J121" s="286"/>
      <c r="K121" s="286"/>
      <c r="L121" s="286"/>
      <c r="M121" s="286"/>
      <c r="N121" s="286"/>
      <c r="O121" s="286"/>
      <c r="P121" s="286"/>
      <c r="Q121" s="286"/>
      <c r="R121" s="286"/>
      <c r="S121" s="286"/>
      <c r="T121" s="286"/>
      <c r="U121" s="286"/>
      <c r="V121" s="286"/>
      <c r="W121" s="286"/>
      <c r="X121" s="286"/>
      <c r="Y121" s="286"/>
      <c r="Z121" s="286"/>
      <c r="AA121" s="286"/>
      <c r="AB121" s="286"/>
      <c r="AC121" s="286"/>
      <c r="AD121" s="286"/>
      <c r="AE121" s="286"/>
      <c r="AF121" s="286"/>
      <c r="AG121" s="286"/>
      <c r="AH121" s="286"/>
      <c r="AI121" s="287"/>
    </row>
    <row r="122" spans="1:35" ht="18" customHeight="1">
      <c r="A122" s="195"/>
      <c r="B122" s="283" t="s">
        <v>201</v>
      </c>
      <c r="C122" s="284"/>
      <c r="D122" s="284"/>
      <c r="E122" s="284"/>
      <c r="F122" s="286" t="s">
        <v>365</v>
      </c>
      <c r="G122" s="286"/>
      <c r="H122" s="286"/>
      <c r="I122" s="286"/>
      <c r="J122" s="286"/>
      <c r="K122" s="286"/>
      <c r="L122" s="286"/>
      <c r="M122" s="286"/>
      <c r="N122" s="286"/>
      <c r="O122" s="286"/>
      <c r="P122" s="286"/>
      <c r="Q122" s="286"/>
      <c r="R122" s="286"/>
      <c r="S122" s="286"/>
      <c r="T122" s="286"/>
      <c r="U122" s="286"/>
      <c r="V122" s="286"/>
      <c r="W122" s="286"/>
      <c r="X122" s="286"/>
      <c r="Y122" s="286"/>
      <c r="Z122" s="286"/>
      <c r="AA122" s="286"/>
      <c r="AB122" s="286"/>
      <c r="AC122" s="286"/>
      <c r="AD122" s="286"/>
      <c r="AE122" s="286"/>
      <c r="AF122" s="286"/>
      <c r="AG122" s="286"/>
      <c r="AH122" s="286"/>
      <c r="AI122" s="287"/>
    </row>
    <row r="123" spans="1:35" ht="18" customHeight="1">
      <c r="A123" s="195"/>
      <c r="B123" s="283" t="s">
        <v>341</v>
      </c>
      <c r="C123" s="284"/>
      <c r="D123" s="284"/>
      <c r="E123" s="284"/>
      <c r="F123" s="286" t="s">
        <v>366</v>
      </c>
      <c r="G123" s="286"/>
      <c r="H123" s="286"/>
      <c r="I123" s="286"/>
      <c r="J123" s="286"/>
      <c r="K123" s="286"/>
      <c r="L123" s="286"/>
      <c r="M123" s="286"/>
      <c r="N123" s="286"/>
      <c r="O123" s="286"/>
      <c r="P123" s="286"/>
      <c r="Q123" s="286"/>
      <c r="R123" s="286"/>
      <c r="S123" s="286"/>
      <c r="T123" s="286"/>
      <c r="U123" s="286"/>
      <c r="V123" s="286"/>
      <c r="W123" s="286"/>
      <c r="X123" s="286"/>
      <c r="Y123" s="286"/>
      <c r="Z123" s="286"/>
      <c r="AA123" s="286"/>
      <c r="AB123" s="286"/>
      <c r="AC123" s="286"/>
      <c r="AD123" s="286"/>
      <c r="AE123" s="286"/>
      <c r="AF123" s="286"/>
      <c r="AG123" s="286"/>
      <c r="AH123" s="286"/>
      <c r="AI123" s="287"/>
    </row>
    <row r="124" spans="1:35" ht="18" customHeight="1">
      <c r="A124" s="195"/>
      <c r="B124" s="283" t="s">
        <v>203</v>
      </c>
      <c r="C124" s="284"/>
      <c r="D124" s="284"/>
      <c r="E124" s="284"/>
      <c r="F124" s="286" t="s">
        <v>367</v>
      </c>
      <c r="G124" s="286"/>
      <c r="H124" s="286"/>
      <c r="I124" s="286"/>
      <c r="J124" s="286"/>
      <c r="K124" s="286"/>
      <c r="L124" s="286"/>
      <c r="M124" s="286"/>
      <c r="N124" s="286"/>
      <c r="O124" s="286"/>
      <c r="P124" s="286"/>
      <c r="Q124" s="286"/>
      <c r="R124" s="286"/>
      <c r="S124" s="286"/>
      <c r="T124" s="286"/>
      <c r="U124" s="286"/>
      <c r="V124" s="286"/>
      <c r="W124" s="286"/>
      <c r="X124" s="286"/>
      <c r="Y124" s="286"/>
      <c r="Z124" s="286"/>
      <c r="AA124" s="286"/>
      <c r="AB124" s="286"/>
      <c r="AC124" s="286"/>
      <c r="AD124" s="286"/>
      <c r="AE124" s="286"/>
      <c r="AF124" s="286"/>
      <c r="AG124" s="286"/>
      <c r="AH124" s="286"/>
      <c r="AI124" s="287"/>
    </row>
    <row r="125" spans="1:35" ht="18" customHeight="1">
      <c r="A125" s="195"/>
      <c r="B125" s="283" t="s">
        <v>368</v>
      </c>
      <c r="C125" s="284"/>
      <c r="D125" s="284"/>
      <c r="E125" s="284"/>
      <c r="F125" s="286" t="s">
        <v>369</v>
      </c>
      <c r="G125" s="286"/>
      <c r="H125" s="286"/>
      <c r="I125" s="286"/>
      <c r="J125" s="286"/>
      <c r="K125" s="286"/>
      <c r="L125" s="286"/>
      <c r="M125" s="286"/>
      <c r="N125" s="286"/>
      <c r="O125" s="286"/>
      <c r="P125" s="286"/>
      <c r="Q125" s="286"/>
      <c r="R125" s="286"/>
      <c r="S125" s="286"/>
      <c r="T125" s="286"/>
      <c r="U125" s="286"/>
      <c r="V125" s="286"/>
      <c r="W125" s="286"/>
      <c r="X125" s="286"/>
      <c r="Y125" s="286"/>
      <c r="Z125" s="286"/>
      <c r="AA125" s="286"/>
      <c r="AB125" s="286"/>
      <c r="AC125" s="286"/>
      <c r="AD125" s="286"/>
      <c r="AE125" s="286"/>
      <c r="AF125" s="286"/>
      <c r="AG125" s="286"/>
      <c r="AH125" s="286"/>
      <c r="AI125" s="287"/>
    </row>
    <row r="126" spans="1:35" ht="18" customHeight="1">
      <c r="A126" s="195"/>
      <c r="B126" s="283" t="s">
        <v>368</v>
      </c>
      <c r="C126" s="284"/>
      <c r="D126" s="284"/>
      <c r="E126" s="284"/>
      <c r="F126" s="286" t="s">
        <v>370</v>
      </c>
      <c r="G126" s="286"/>
      <c r="H126" s="286"/>
      <c r="I126" s="286"/>
      <c r="J126" s="286"/>
      <c r="K126" s="286"/>
      <c r="L126" s="286"/>
      <c r="M126" s="286"/>
      <c r="N126" s="286"/>
      <c r="O126" s="286"/>
      <c r="P126" s="286"/>
      <c r="Q126" s="286"/>
      <c r="R126" s="286"/>
      <c r="S126" s="286"/>
      <c r="T126" s="286"/>
      <c r="U126" s="286"/>
      <c r="V126" s="286"/>
      <c r="W126" s="286"/>
      <c r="X126" s="286"/>
      <c r="Y126" s="286"/>
      <c r="Z126" s="286"/>
      <c r="AA126" s="286"/>
      <c r="AB126" s="286"/>
      <c r="AC126" s="286"/>
      <c r="AD126" s="286"/>
      <c r="AE126" s="286"/>
      <c r="AF126" s="286"/>
      <c r="AG126" s="286"/>
      <c r="AH126" s="286"/>
      <c r="AI126" s="287"/>
    </row>
    <row r="127" spans="1:35" ht="18" customHeight="1" thickBot="1">
      <c r="A127" s="199"/>
      <c r="B127" s="317" t="s">
        <v>270</v>
      </c>
      <c r="C127" s="387"/>
      <c r="D127" s="387"/>
      <c r="E127" s="387"/>
      <c r="F127" s="322" t="s">
        <v>371</v>
      </c>
      <c r="G127" s="322"/>
      <c r="H127" s="322"/>
      <c r="I127" s="322"/>
      <c r="J127" s="322"/>
      <c r="K127" s="322"/>
      <c r="L127" s="322"/>
      <c r="M127" s="322"/>
      <c r="N127" s="322"/>
      <c r="O127" s="322"/>
      <c r="P127" s="322"/>
      <c r="Q127" s="322"/>
      <c r="R127" s="322"/>
      <c r="S127" s="322"/>
      <c r="T127" s="322"/>
      <c r="U127" s="322"/>
      <c r="V127" s="322"/>
      <c r="W127" s="322"/>
      <c r="X127" s="322"/>
      <c r="Y127" s="322"/>
      <c r="Z127" s="322"/>
      <c r="AA127" s="322"/>
      <c r="AB127" s="322"/>
      <c r="AC127" s="322"/>
      <c r="AD127" s="322"/>
      <c r="AE127" s="322"/>
      <c r="AF127" s="322"/>
      <c r="AG127" s="322"/>
      <c r="AH127" s="322"/>
      <c r="AI127" s="323"/>
    </row>
    <row r="128" spans="1:35" ht="14.1" customHeight="1"/>
    <row r="129" spans="1:35" ht="14.1" customHeight="1">
      <c r="A129" s="201" t="s">
        <v>372</v>
      </c>
      <c r="B129" s="201"/>
      <c r="C129" s="201"/>
      <c r="D129" s="201"/>
      <c r="E129" s="201"/>
      <c r="F129" s="201"/>
      <c r="G129" s="201"/>
      <c r="H129" s="201"/>
      <c r="I129" s="201"/>
      <c r="J129" s="201"/>
      <c r="K129" s="201"/>
      <c r="L129" s="201"/>
      <c r="M129" s="201"/>
      <c r="N129" s="201"/>
      <c r="O129" s="201"/>
      <c r="P129" s="201"/>
      <c r="Q129" s="201"/>
      <c r="R129" s="201"/>
      <c r="S129" s="201"/>
      <c r="T129" s="201"/>
      <c r="U129" s="201"/>
      <c r="V129" s="201"/>
      <c r="W129" s="201"/>
      <c r="X129" s="201"/>
      <c r="Y129" s="201"/>
      <c r="Z129" s="201"/>
      <c r="AA129" s="201"/>
      <c r="AB129" s="201"/>
      <c r="AC129" s="201"/>
      <c r="AD129" s="201"/>
      <c r="AE129" s="201"/>
      <c r="AF129" s="201"/>
      <c r="AG129" s="201"/>
      <c r="AH129" s="201"/>
      <c r="AI129" s="201"/>
    </row>
    <row r="130" spans="1:35" ht="14.1" customHeight="1">
      <c r="A130" s="201"/>
      <c r="B130" s="201" t="s">
        <v>373</v>
      </c>
      <c r="C130" s="201"/>
      <c r="D130" s="201"/>
      <c r="E130" s="201"/>
      <c r="F130" s="201" t="s">
        <v>374</v>
      </c>
      <c r="G130" s="201"/>
      <c r="H130" s="201"/>
      <c r="I130" s="201"/>
      <c r="J130" s="201"/>
      <c r="K130" s="201"/>
      <c r="L130" s="201"/>
      <c r="M130" s="201"/>
      <c r="N130" s="201"/>
      <c r="O130" s="201"/>
      <c r="P130" s="201"/>
      <c r="Q130" s="201"/>
      <c r="R130" s="201"/>
      <c r="S130" s="201"/>
      <c r="T130" s="201"/>
      <c r="U130" s="201"/>
      <c r="V130" s="201"/>
      <c r="W130" s="201"/>
      <c r="X130" s="201"/>
      <c r="Y130" s="201"/>
      <c r="Z130" s="201"/>
      <c r="AA130" s="201"/>
      <c r="AB130" s="201"/>
      <c r="AC130" s="201"/>
      <c r="AD130" s="201"/>
      <c r="AE130" s="201"/>
      <c r="AF130" s="201"/>
      <c r="AG130" s="201"/>
      <c r="AH130" s="201"/>
      <c r="AI130" s="201"/>
    </row>
    <row r="131" spans="1:35">
      <c r="B131" s="203" t="s">
        <v>270</v>
      </c>
      <c r="C131" s="204"/>
      <c r="D131" s="204"/>
      <c r="E131" s="204"/>
      <c r="F131" s="204" t="s">
        <v>271</v>
      </c>
    </row>
    <row r="132" spans="1:35">
      <c r="B132" s="203" t="s">
        <v>375</v>
      </c>
      <c r="C132" s="204"/>
      <c r="D132" s="204"/>
      <c r="E132" s="204"/>
      <c r="F132" s="204" t="s">
        <v>259</v>
      </c>
    </row>
    <row r="133" spans="1:35">
      <c r="B133" s="203" t="s">
        <v>375</v>
      </c>
      <c r="C133" s="204"/>
      <c r="D133" s="204"/>
      <c r="E133" s="204"/>
      <c r="F133" s="204" t="s">
        <v>376</v>
      </c>
    </row>
    <row r="134" spans="1:35">
      <c r="B134" s="203" t="s">
        <v>375</v>
      </c>
      <c r="C134" s="204"/>
      <c r="D134" s="204"/>
      <c r="E134" s="204"/>
      <c r="F134" s="204" t="s">
        <v>377</v>
      </c>
    </row>
    <row r="135" spans="1:35">
      <c r="B135" s="203" t="s">
        <v>375</v>
      </c>
      <c r="C135" s="204"/>
      <c r="D135" s="204"/>
      <c r="E135" s="204"/>
      <c r="F135" s="204" t="s">
        <v>378</v>
      </c>
    </row>
    <row r="136" spans="1:35">
      <c r="B136" s="203" t="s">
        <v>375</v>
      </c>
      <c r="C136" s="204"/>
      <c r="D136" s="204"/>
      <c r="E136" s="204"/>
      <c r="F136" s="204" t="s">
        <v>379</v>
      </c>
    </row>
    <row r="137" spans="1:35">
      <c r="B137" s="203" t="s">
        <v>375</v>
      </c>
      <c r="C137" s="204"/>
      <c r="D137" s="204"/>
      <c r="E137" s="204"/>
      <c r="F137" s="204" t="s">
        <v>273</v>
      </c>
    </row>
    <row r="138" spans="1:35">
      <c r="B138" s="203" t="s">
        <v>274</v>
      </c>
      <c r="C138" s="204"/>
      <c r="D138" s="204"/>
      <c r="E138" s="204"/>
      <c r="F138" s="204" t="s">
        <v>380</v>
      </c>
    </row>
    <row r="139" spans="1:35">
      <c r="B139" s="203" t="s">
        <v>274</v>
      </c>
      <c r="C139" s="204"/>
      <c r="D139" s="204"/>
      <c r="E139" s="204"/>
      <c r="F139" s="204" t="s">
        <v>381</v>
      </c>
    </row>
    <row r="140" spans="1:35">
      <c r="B140" s="203" t="s">
        <v>277</v>
      </c>
      <c r="C140" s="204"/>
      <c r="D140" s="204"/>
      <c r="E140" s="204"/>
      <c r="F140" s="204" t="s">
        <v>382</v>
      </c>
    </row>
    <row r="141" spans="1:35">
      <c r="B141" s="203" t="s">
        <v>205</v>
      </c>
      <c r="C141" s="204"/>
      <c r="D141" s="204"/>
      <c r="E141" s="204"/>
      <c r="F141" s="204" t="s">
        <v>383</v>
      </c>
    </row>
    <row r="142" spans="1:35">
      <c r="B142" s="203" t="s">
        <v>384</v>
      </c>
      <c r="C142" s="204"/>
      <c r="D142" s="204"/>
      <c r="E142" s="204"/>
      <c r="F142" s="204" t="s">
        <v>355</v>
      </c>
    </row>
    <row r="143" spans="1:35">
      <c r="B143" s="203" t="s">
        <v>207</v>
      </c>
      <c r="C143" s="204"/>
      <c r="D143" s="204"/>
      <c r="E143" s="204"/>
      <c r="F143" s="204" t="s">
        <v>280</v>
      </c>
    </row>
    <row r="144" spans="1:35">
      <c r="B144" s="203" t="s">
        <v>250</v>
      </c>
      <c r="C144" s="204"/>
      <c r="D144" s="204"/>
      <c r="E144" s="204"/>
      <c r="F144" s="204" t="s">
        <v>385</v>
      </c>
    </row>
    <row r="145" spans="2:6">
      <c r="B145" s="203" t="s">
        <v>320</v>
      </c>
      <c r="C145" s="204"/>
      <c r="D145" s="204"/>
      <c r="E145" s="204"/>
      <c r="F145" s="204" t="s">
        <v>386</v>
      </c>
    </row>
    <row r="146" spans="2:6">
      <c r="B146" s="203" t="s">
        <v>320</v>
      </c>
      <c r="C146" s="204"/>
      <c r="D146" s="204"/>
      <c r="E146" s="204"/>
      <c r="F146" s="204" t="s">
        <v>387</v>
      </c>
    </row>
    <row r="147" spans="2:6">
      <c r="B147" s="203" t="s">
        <v>260</v>
      </c>
      <c r="C147" s="204"/>
      <c r="D147" s="204"/>
      <c r="E147" s="204"/>
      <c r="F147" s="204" t="s">
        <v>388</v>
      </c>
    </row>
    <row r="148" spans="2:6">
      <c r="B148" s="203" t="s">
        <v>297</v>
      </c>
      <c r="C148" s="204"/>
      <c r="D148" s="204"/>
      <c r="E148" s="204"/>
      <c r="F148" s="204" t="s">
        <v>389</v>
      </c>
    </row>
    <row r="149" spans="2:6">
      <c r="B149" s="203" t="s">
        <v>297</v>
      </c>
      <c r="C149" s="204"/>
      <c r="D149" s="204"/>
      <c r="E149" s="204"/>
      <c r="F149" s="204" t="s">
        <v>390</v>
      </c>
    </row>
    <row r="150" spans="2:6">
      <c r="B150" s="203" t="s">
        <v>197</v>
      </c>
      <c r="C150" s="204"/>
      <c r="D150" s="204"/>
      <c r="E150" s="204"/>
      <c r="F150" s="204" t="s">
        <v>391</v>
      </c>
    </row>
    <row r="151" spans="2:6">
      <c r="B151" s="203" t="s">
        <v>360</v>
      </c>
      <c r="C151" s="204"/>
      <c r="D151" s="204"/>
      <c r="E151" s="204"/>
      <c r="F151" s="204" t="s">
        <v>392</v>
      </c>
    </row>
    <row r="152" spans="2:6">
      <c r="B152" s="203" t="s">
        <v>360</v>
      </c>
      <c r="C152" s="204"/>
      <c r="D152" s="204"/>
      <c r="E152" s="204"/>
      <c r="F152" s="204" t="s">
        <v>393</v>
      </c>
    </row>
    <row r="153" spans="2:6">
      <c r="B153" s="203" t="s">
        <v>360</v>
      </c>
      <c r="C153" s="204"/>
      <c r="D153" s="204"/>
      <c r="E153" s="204"/>
      <c r="F153" s="204" t="s">
        <v>394</v>
      </c>
    </row>
    <row r="154" spans="2:6">
      <c r="B154" s="203" t="s">
        <v>360</v>
      </c>
      <c r="C154" s="204"/>
      <c r="D154" s="204"/>
      <c r="E154" s="204"/>
      <c r="F154" s="204" t="s">
        <v>395</v>
      </c>
    </row>
    <row r="155" spans="2:6">
      <c r="B155" s="203" t="s">
        <v>396</v>
      </c>
      <c r="C155" s="204"/>
      <c r="D155" s="204"/>
      <c r="E155" s="204"/>
      <c r="F155" s="204" t="s">
        <v>397</v>
      </c>
    </row>
    <row r="156" spans="2:6">
      <c r="B156" s="203" t="s">
        <v>396</v>
      </c>
      <c r="C156" s="204"/>
      <c r="D156" s="204"/>
      <c r="E156" s="204"/>
      <c r="F156" s="204" t="s">
        <v>398</v>
      </c>
    </row>
    <row r="157" spans="2:6">
      <c r="B157" s="203" t="s">
        <v>265</v>
      </c>
      <c r="C157" s="204"/>
      <c r="D157" s="204"/>
      <c r="E157" s="204"/>
      <c r="F157" s="204" t="s">
        <v>399</v>
      </c>
    </row>
    <row r="158" spans="2:6">
      <c r="B158" s="203" t="s">
        <v>201</v>
      </c>
      <c r="C158" s="204"/>
      <c r="D158" s="204"/>
      <c r="E158" s="204"/>
      <c r="F158" s="204" t="s">
        <v>400</v>
      </c>
    </row>
    <row r="159" spans="2:6">
      <c r="B159" s="203" t="s">
        <v>201</v>
      </c>
      <c r="C159" s="204"/>
      <c r="D159" s="204"/>
      <c r="E159" s="204"/>
      <c r="F159" s="204" t="s">
        <v>401</v>
      </c>
    </row>
    <row r="160" spans="2:6">
      <c r="B160" s="203" t="s">
        <v>341</v>
      </c>
      <c r="C160" s="204"/>
      <c r="D160" s="204"/>
      <c r="E160" s="204"/>
      <c r="F160" s="204" t="s">
        <v>402</v>
      </c>
    </row>
    <row r="161" spans="2:6">
      <c r="B161" s="203" t="s">
        <v>341</v>
      </c>
      <c r="C161" s="204"/>
      <c r="D161" s="204"/>
      <c r="E161" s="204"/>
      <c r="F161" s="204" t="s">
        <v>403</v>
      </c>
    </row>
    <row r="162" spans="2:6">
      <c r="B162" s="203" t="s">
        <v>270</v>
      </c>
      <c r="C162" s="204"/>
      <c r="D162" s="204"/>
      <c r="E162" s="204"/>
      <c r="F162" s="204" t="s">
        <v>404</v>
      </c>
    </row>
    <row r="163" spans="2:6">
      <c r="B163" s="203" t="s">
        <v>243</v>
      </c>
      <c r="C163" s="204"/>
      <c r="D163" s="204"/>
      <c r="E163" s="204"/>
      <c r="F163" s="204" t="s">
        <v>405</v>
      </c>
    </row>
    <row r="164" spans="2:6">
      <c r="B164" s="203" t="s">
        <v>274</v>
      </c>
      <c r="C164" s="204"/>
      <c r="D164" s="204"/>
      <c r="E164" s="204"/>
      <c r="F164" s="204" t="s">
        <v>406</v>
      </c>
    </row>
    <row r="165" spans="2:6">
      <c r="B165" s="203" t="s">
        <v>274</v>
      </c>
      <c r="C165" s="204"/>
      <c r="D165" s="204"/>
      <c r="E165" s="204"/>
      <c r="F165" s="204" t="s">
        <v>406</v>
      </c>
    </row>
    <row r="166" spans="2:6">
      <c r="B166" s="203" t="s">
        <v>274</v>
      </c>
      <c r="C166" s="204"/>
      <c r="D166" s="204"/>
      <c r="E166" s="204"/>
      <c r="F166" s="204" t="s">
        <v>407</v>
      </c>
    </row>
    <row r="167" spans="2:6">
      <c r="B167" s="203" t="s">
        <v>342</v>
      </c>
      <c r="C167" s="204"/>
      <c r="D167" s="204"/>
      <c r="E167" s="204"/>
      <c r="F167" s="204" t="s">
        <v>408</v>
      </c>
    </row>
    <row r="168" spans="2:6">
      <c r="B168" s="203" t="s">
        <v>342</v>
      </c>
      <c r="C168" s="204"/>
      <c r="D168" s="204"/>
      <c r="E168" s="204"/>
      <c r="F168" s="204" t="s">
        <v>409</v>
      </c>
    </row>
    <row r="169" spans="2:6">
      <c r="B169" s="203" t="s">
        <v>342</v>
      </c>
      <c r="C169" s="204"/>
      <c r="D169" s="204"/>
      <c r="E169" s="204"/>
      <c r="F169" s="204" t="s">
        <v>410</v>
      </c>
    </row>
    <row r="170" spans="2:6">
      <c r="B170" s="203" t="s">
        <v>342</v>
      </c>
      <c r="C170" s="204"/>
      <c r="D170" s="204"/>
      <c r="E170" s="204"/>
      <c r="F170" s="204" t="s">
        <v>411</v>
      </c>
    </row>
    <row r="171" spans="2:6">
      <c r="B171" s="203" t="s">
        <v>346</v>
      </c>
      <c r="C171" s="204"/>
      <c r="D171" s="204"/>
      <c r="E171" s="204"/>
      <c r="F171" s="204" t="s">
        <v>412</v>
      </c>
    </row>
    <row r="172" spans="2:6">
      <c r="B172" s="203" t="s">
        <v>281</v>
      </c>
      <c r="C172" s="204"/>
      <c r="D172" s="204"/>
      <c r="E172" s="204"/>
      <c r="F172" s="204" t="s">
        <v>413</v>
      </c>
    </row>
    <row r="173" spans="2:6">
      <c r="B173" s="203" t="s">
        <v>414</v>
      </c>
      <c r="C173" s="204"/>
      <c r="D173" s="204"/>
      <c r="E173" s="204"/>
      <c r="F173" s="204" t="s">
        <v>415</v>
      </c>
    </row>
    <row r="174" spans="2:6">
      <c r="B174" s="203" t="s">
        <v>285</v>
      </c>
      <c r="C174" s="204"/>
      <c r="D174" s="204"/>
      <c r="E174" s="204"/>
      <c r="F174" s="204" t="s">
        <v>416</v>
      </c>
    </row>
    <row r="175" spans="2:6">
      <c r="B175" s="203" t="s">
        <v>287</v>
      </c>
      <c r="C175" s="204"/>
      <c r="D175" s="204"/>
      <c r="E175" s="204"/>
      <c r="F175" s="204" t="s">
        <v>417</v>
      </c>
    </row>
    <row r="176" spans="2:6" ht="27">
      <c r="B176" s="203" t="s">
        <v>287</v>
      </c>
      <c r="C176" s="204"/>
      <c r="D176" s="204"/>
      <c r="E176" s="204"/>
      <c r="F176" s="204" t="s">
        <v>418</v>
      </c>
    </row>
    <row r="177" spans="2:2" ht="14.1" customHeight="1">
      <c r="B177" s="202" t="s">
        <v>294</v>
      </c>
    </row>
    <row r="178" spans="2:2" ht="14.1" customHeight="1">
      <c r="B178" s="202" t="s">
        <v>294</v>
      </c>
    </row>
    <row r="179" spans="2:2" ht="14.1" customHeight="1">
      <c r="B179" s="202" t="s">
        <v>294</v>
      </c>
    </row>
    <row r="180" spans="2:2" ht="14.1" customHeight="1">
      <c r="B180" s="202" t="s">
        <v>294</v>
      </c>
    </row>
    <row r="181" spans="2:2" ht="14.1" customHeight="1">
      <c r="B181" s="202" t="s">
        <v>294</v>
      </c>
    </row>
    <row r="182" spans="2:2" ht="14.1" customHeight="1">
      <c r="B182" s="202" t="s">
        <v>294</v>
      </c>
    </row>
    <row r="183" spans="2:2" ht="14.1" customHeight="1">
      <c r="B183" s="202" t="s">
        <v>294</v>
      </c>
    </row>
    <row r="184" spans="2:2" ht="14.1" customHeight="1">
      <c r="B184" s="202" t="s">
        <v>294</v>
      </c>
    </row>
    <row r="185" spans="2:2" ht="14.1" customHeight="1">
      <c r="B185" s="202" t="s">
        <v>294</v>
      </c>
    </row>
    <row r="186" spans="2:2" ht="14.1" customHeight="1">
      <c r="B186" s="202" t="s">
        <v>294</v>
      </c>
    </row>
    <row r="187" spans="2:2" ht="14.1" customHeight="1">
      <c r="B187" s="202" t="s">
        <v>294</v>
      </c>
    </row>
    <row r="188" spans="2:2" ht="14.1" customHeight="1">
      <c r="B188" s="202" t="s">
        <v>294</v>
      </c>
    </row>
    <row r="189" spans="2:2" ht="14.1" customHeight="1">
      <c r="B189" s="202" t="s">
        <v>294</v>
      </c>
    </row>
    <row r="190" spans="2:2" ht="14.1" customHeight="1">
      <c r="B190" s="202" t="s">
        <v>294</v>
      </c>
    </row>
    <row r="191" spans="2:2" ht="14.1" customHeight="1">
      <c r="B191" s="202" t="s">
        <v>294</v>
      </c>
    </row>
    <row r="192" spans="2:2" ht="14.1" customHeight="1">
      <c r="B192" s="202" t="s">
        <v>294</v>
      </c>
    </row>
    <row r="193" spans="2:2" ht="14.1" customHeight="1">
      <c r="B193" s="202" t="s">
        <v>294</v>
      </c>
    </row>
    <row r="194" spans="2:2" ht="14.1" customHeight="1">
      <c r="B194" s="202" t="s">
        <v>294</v>
      </c>
    </row>
    <row r="195" spans="2:2" ht="14.1" customHeight="1">
      <c r="B195" s="202" t="s">
        <v>294</v>
      </c>
    </row>
    <row r="196" spans="2:2" ht="14.1" customHeight="1">
      <c r="B196" s="202" t="s">
        <v>294</v>
      </c>
    </row>
    <row r="197" spans="2:2" ht="14.1" customHeight="1">
      <c r="B197" s="202" t="s">
        <v>294</v>
      </c>
    </row>
    <row r="198" spans="2:2" ht="14.1" customHeight="1">
      <c r="B198" s="202" t="s">
        <v>294</v>
      </c>
    </row>
    <row r="199" spans="2:2" ht="14.1" customHeight="1">
      <c r="B199" s="202" t="s">
        <v>294</v>
      </c>
    </row>
    <row r="200" spans="2:2" ht="14.1" customHeight="1">
      <c r="B200" s="202" t="s">
        <v>294</v>
      </c>
    </row>
    <row r="201" spans="2:2" ht="14.1" customHeight="1">
      <c r="B201" s="202" t="s">
        <v>294</v>
      </c>
    </row>
    <row r="202" spans="2:2" ht="14.1" customHeight="1">
      <c r="B202" s="202" t="s">
        <v>294</v>
      </c>
    </row>
    <row r="203" spans="2:2" ht="14.1" customHeight="1">
      <c r="B203" s="202" t="s">
        <v>294</v>
      </c>
    </row>
    <row r="204" spans="2:2" ht="14.1" customHeight="1">
      <c r="B204" s="202" t="s">
        <v>294</v>
      </c>
    </row>
    <row r="205" spans="2:2" ht="14.1" customHeight="1">
      <c r="B205" s="202" t="s">
        <v>294</v>
      </c>
    </row>
    <row r="206" spans="2:2" ht="14.1" customHeight="1">
      <c r="B206" s="202" t="s">
        <v>294</v>
      </c>
    </row>
    <row r="207" spans="2:2" ht="14.1" customHeight="1">
      <c r="B207" s="202" t="s">
        <v>294</v>
      </c>
    </row>
    <row r="208" spans="2:2" ht="14.1" customHeight="1">
      <c r="B208" s="202" t="s">
        <v>294</v>
      </c>
    </row>
    <row r="209" spans="2:2" ht="14.1" customHeight="1">
      <c r="B209" s="202" t="s">
        <v>294</v>
      </c>
    </row>
    <row r="210" spans="2:2" ht="14.1" customHeight="1">
      <c r="B210" s="202" t="s">
        <v>294</v>
      </c>
    </row>
    <row r="211" spans="2:2" ht="14.1" customHeight="1">
      <c r="B211" s="202" t="s">
        <v>294</v>
      </c>
    </row>
    <row r="212" spans="2:2" ht="14.1" customHeight="1">
      <c r="B212" s="202" t="s">
        <v>294</v>
      </c>
    </row>
    <row r="213" spans="2:2" ht="14.1" customHeight="1">
      <c r="B213" s="202" t="s">
        <v>294</v>
      </c>
    </row>
    <row r="214" spans="2:2" ht="14.1" customHeight="1">
      <c r="B214" s="202" t="s">
        <v>294</v>
      </c>
    </row>
    <row r="215" spans="2:2" ht="14.1" customHeight="1">
      <c r="B215" s="202" t="s">
        <v>294</v>
      </c>
    </row>
    <row r="216" spans="2:2" ht="14.1" customHeight="1">
      <c r="B216" s="202" t="s">
        <v>294</v>
      </c>
    </row>
    <row r="217" spans="2:2" ht="14.1" customHeight="1">
      <c r="B217" s="202" t="s">
        <v>294</v>
      </c>
    </row>
    <row r="218" spans="2:2" ht="14.1" customHeight="1">
      <c r="B218" s="202" t="s">
        <v>294</v>
      </c>
    </row>
    <row r="219" spans="2:2" ht="14.1" customHeight="1">
      <c r="B219" s="202" t="s">
        <v>294</v>
      </c>
    </row>
    <row r="220" spans="2:2" ht="14.1" customHeight="1">
      <c r="B220" s="202" t="s">
        <v>294</v>
      </c>
    </row>
    <row r="221" spans="2:2" ht="14.1" customHeight="1">
      <c r="B221" s="202" t="s">
        <v>294</v>
      </c>
    </row>
    <row r="222" spans="2:2" ht="14.1" customHeight="1">
      <c r="B222" s="202" t="s">
        <v>294</v>
      </c>
    </row>
    <row r="223" spans="2:2" ht="14.1" customHeight="1"/>
    <row r="224" spans="2:2" ht="14.1" customHeight="1"/>
    <row r="225" ht="14.1" customHeight="1"/>
    <row r="226" ht="14.1" customHeight="1"/>
    <row r="227" ht="14.1" customHeight="1"/>
    <row r="228" ht="14.1" customHeight="1"/>
    <row r="229" ht="14.1" customHeight="1"/>
    <row r="230" ht="14.1" customHeight="1"/>
    <row r="231" ht="14.1" customHeight="1"/>
    <row r="232" ht="14.1" customHeight="1"/>
    <row r="233" ht="14.1" customHeight="1"/>
    <row r="234" ht="14.1" customHeight="1"/>
    <row r="235" ht="14.1" customHeight="1"/>
    <row r="236" ht="14.1" customHeight="1"/>
    <row r="237" ht="14.1" customHeight="1"/>
    <row r="238" ht="14.1" customHeight="1"/>
    <row r="239" ht="14.1" customHeight="1"/>
    <row r="240" ht="14.1" customHeight="1"/>
    <row r="241" ht="14.1" customHeight="1"/>
    <row r="242" ht="14.1" customHeight="1"/>
    <row r="243" ht="14.1" customHeight="1"/>
    <row r="244" ht="14.1" customHeight="1"/>
    <row r="245" ht="14.1" customHeight="1"/>
    <row r="246" ht="14.1" customHeight="1"/>
    <row r="247" ht="14.1" customHeight="1"/>
    <row r="248" ht="14.1" customHeight="1"/>
    <row r="249" ht="14.1" customHeight="1"/>
    <row r="250" ht="14.1" customHeight="1"/>
    <row r="251" ht="14.1" customHeight="1"/>
    <row r="252" ht="14.1" customHeight="1"/>
    <row r="253" ht="14.1" customHeight="1"/>
    <row r="254" ht="14.1" customHeight="1"/>
    <row r="255" ht="14.1" customHeight="1"/>
    <row r="256" ht="14.1" customHeight="1"/>
    <row r="257" ht="14.1" customHeight="1"/>
    <row r="258" ht="14.1" customHeight="1"/>
    <row r="259" ht="14.1" customHeight="1"/>
    <row r="260" ht="14.1" customHeight="1"/>
    <row r="261" ht="14.1" customHeight="1"/>
    <row r="262" ht="14.1" customHeight="1"/>
    <row r="263" ht="14.1" customHeight="1"/>
    <row r="264" ht="14.1" customHeight="1"/>
    <row r="265" ht="14.1" customHeight="1"/>
    <row r="266" ht="14.1" customHeight="1"/>
    <row r="267" ht="14.1" customHeight="1"/>
    <row r="268" ht="14.1" customHeight="1"/>
    <row r="269" ht="14.1" customHeight="1"/>
    <row r="270" ht="14.1" customHeight="1"/>
    <row r="271" ht="14.1" customHeight="1"/>
    <row r="272" ht="14.1" customHeight="1"/>
  </sheetData>
  <mergeCells count="286">
    <mergeCell ref="B31:E31"/>
    <mergeCell ref="F31:AI31"/>
    <mergeCell ref="B32:E32"/>
    <mergeCell ref="F32:AI32"/>
    <mergeCell ref="B33:E33"/>
    <mergeCell ref="F33:AI33"/>
    <mergeCell ref="B28:E28"/>
    <mergeCell ref="F28:AI28"/>
    <mergeCell ref="B29:E29"/>
    <mergeCell ref="F29:AI29"/>
    <mergeCell ref="B30:E30"/>
    <mergeCell ref="F30:AI30"/>
    <mergeCell ref="B125:E125"/>
    <mergeCell ref="F125:AI125"/>
    <mergeCell ref="B126:E126"/>
    <mergeCell ref="F126:AI126"/>
    <mergeCell ref="B127:E127"/>
    <mergeCell ref="F127:AI127"/>
    <mergeCell ref="B122:E122"/>
    <mergeCell ref="F122:AI122"/>
    <mergeCell ref="B123:E123"/>
    <mergeCell ref="F123:AI123"/>
    <mergeCell ref="B124:E124"/>
    <mergeCell ref="F124:AI124"/>
    <mergeCell ref="B119:E119"/>
    <mergeCell ref="F119:AI119"/>
    <mergeCell ref="B120:E120"/>
    <mergeCell ref="F120:AI120"/>
    <mergeCell ref="B121:E121"/>
    <mergeCell ref="F121:AI121"/>
    <mergeCell ref="B116:E116"/>
    <mergeCell ref="F116:AI116"/>
    <mergeCell ref="B117:E117"/>
    <mergeCell ref="F117:AI117"/>
    <mergeCell ref="B118:E118"/>
    <mergeCell ref="F118:AI118"/>
    <mergeCell ref="B113:E113"/>
    <mergeCell ref="F113:AI113"/>
    <mergeCell ref="B114:E114"/>
    <mergeCell ref="F114:AI114"/>
    <mergeCell ref="B115:E115"/>
    <mergeCell ref="F115:AI115"/>
    <mergeCell ref="B110:E110"/>
    <mergeCell ref="F110:AI110"/>
    <mergeCell ref="B111:E111"/>
    <mergeCell ref="F111:AI111"/>
    <mergeCell ref="B112:E112"/>
    <mergeCell ref="F112:AI112"/>
    <mergeCell ref="B107:E107"/>
    <mergeCell ref="F107:AI107"/>
    <mergeCell ref="B108:E108"/>
    <mergeCell ref="F108:AI108"/>
    <mergeCell ref="B109:E109"/>
    <mergeCell ref="F109:AI109"/>
    <mergeCell ref="B104:E104"/>
    <mergeCell ref="F104:AI104"/>
    <mergeCell ref="B105:E105"/>
    <mergeCell ref="F105:AI105"/>
    <mergeCell ref="B106:E106"/>
    <mergeCell ref="F106:AI106"/>
    <mergeCell ref="B102:E102"/>
    <mergeCell ref="F102:AI102"/>
    <mergeCell ref="B103:E103"/>
    <mergeCell ref="F103:AI103"/>
    <mergeCell ref="B100:E100"/>
    <mergeCell ref="F100:AI100"/>
    <mergeCell ref="B101:E101"/>
    <mergeCell ref="F101:AI101"/>
    <mergeCell ref="B99:E99"/>
    <mergeCell ref="F99:AI99"/>
    <mergeCell ref="B96:E96"/>
    <mergeCell ref="F96:AI96"/>
    <mergeCell ref="B97:E97"/>
    <mergeCell ref="F97:AI97"/>
    <mergeCell ref="B98:E98"/>
    <mergeCell ref="F98:AI98"/>
    <mergeCell ref="B93:E93"/>
    <mergeCell ref="F93:AI93"/>
    <mergeCell ref="B94:E94"/>
    <mergeCell ref="F94:AI94"/>
    <mergeCell ref="B95:E95"/>
    <mergeCell ref="F95:AI95"/>
    <mergeCell ref="R91:U91"/>
    <mergeCell ref="W91:X91"/>
    <mergeCell ref="Z91:AA91"/>
    <mergeCell ref="AC91:AD91"/>
    <mergeCell ref="AE91:AF91"/>
    <mergeCell ref="A92:AI92"/>
    <mergeCell ref="B88:E88"/>
    <mergeCell ref="F88:AI88"/>
    <mergeCell ref="B89:E89"/>
    <mergeCell ref="F89:AI89"/>
    <mergeCell ref="B90:E90"/>
    <mergeCell ref="F90:AI90"/>
    <mergeCell ref="B85:E85"/>
    <mergeCell ref="F85:AI85"/>
    <mergeCell ref="B86:E86"/>
    <mergeCell ref="F86:AI86"/>
    <mergeCell ref="B87:E87"/>
    <mergeCell ref="F87:AI87"/>
    <mergeCell ref="B82:E82"/>
    <mergeCell ref="F82:AI82"/>
    <mergeCell ref="B83:E83"/>
    <mergeCell ref="F83:AI83"/>
    <mergeCell ref="B84:E84"/>
    <mergeCell ref="F84:AI84"/>
    <mergeCell ref="B79:E79"/>
    <mergeCell ref="F79:AI79"/>
    <mergeCell ref="B80:E80"/>
    <mergeCell ref="F80:AI80"/>
    <mergeCell ref="B81:E81"/>
    <mergeCell ref="F81:AI81"/>
    <mergeCell ref="B76:E76"/>
    <mergeCell ref="F76:AI76"/>
    <mergeCell ref="B77:E77"/>
    <mergeCell ref="F77:AI77"/>
    <mergeCell ref="B78:E78"/>
    <mergeCell ref="F78:AI78"/>
    <mergeCell ref="B73:E73"/>
    <mergeCell ref="F73:AI73"/>
    <mergeCell ref="B74:E74"/>
    <mergeCell ref="F74:AI74"/>
    <mergeCell ref="B75:E75"/>
    <mergeCell ref="F75:AI75"/>
    <mergeCell ref="B70:E70"/>
    <mergeCell ref="F70:AI70"/>
    <mergeCell ref="B71:E71"/>
    <mergeCell ref="F71:AI71"/>
    <mergeCell ref="B72:E72"/>
    <mergeCell ref="F72:AI72"/>
    <mergeCell ref="B67:E67"/>
    <mergeCell ref="F67:AI67"/>
    <mergeCell ref="B68:E68"/>
    <mergeCell ref="F68:AI68"/>
    <mergeCell ref="B69:E69"/>
    <mergeCell ref="F69:AI69"/>
    <mergeCell ref="B64:E64"/>
    <mergeCell ref="F64:AI64"/>
    <mergeCell ref="B65:E65"/>
    <mergeCell ref="F65:AI65"/>
    <mergeCell ref="B66:E66"/>
    <mergeCell ref="F66:AI66"/>
    <mergeCell ref="B61:E61"/>
    <mergeCell ref="F61:AI61"/>
    <mergeCell ref="B62:E62"/>
    <mergeCell ref="F62:AI62"/>
    <mergeCell ref="B63:E63"/>
    <mergeCell ref="F63:AI63"/>
    <mergeCell ref="B58:E58"/>
    <mergeCell ref="F58:AI58"/>
    <mergeCell ref="B59:E59"/>
    <mergeCell ref="F59:AI59"/>
    <mergeCell ref="B60:E60"/>
    <mergeCell ref="F60:AI60"/>
    <mergeCell ref="B55:E55"/>
    <mergeCell ref="F55:AI55"/>
    <mergeCell ref="B56:E56"/>
    <mergeCell ref="F56:AI56"/>
    <mergeCell ref="B57:E57"/>
    <mergeCell ref="F57:AI57"/>
    <mergeCell ref="A51:AI51"/>
    <mergeCell ref="B52:E52"/>
    <mergeCell ref="F52:AI52"/>
    <mergeCell ref="B53:E53"/>
    <mergeCell ref="F53:AI53"/>
    <mergeCell ref="B54:E54"/>
    <mergeCell ref="F54:AI54"/>
    <mergeCell ref="B49:E49"/>
    <mergeCell ref="F49:AI49"/>
    <mergeCell ref="R50:U50"/>
    <mergeCell ref="W50:X50"/>
    <mergeCell ref="Z50:AA50"/>
    <mergeCell ref="AC50:AD50"/>
    <mergeCell ref="AE50:AF50"/>
    <mergeCell ref="B46:E46"/>
    <mergeCell ref="F46:AI46"/>
    <mergeCell ref="B47:E47"/>
    <mergeCell ref="F47:AI47"/>
    <mergeCell ref="B48:E48"/>
    <mergeCell ref="F48:AI48"/>
    <mergeCell ref="B43:E43"/>
    <mergeCell ref="F43:AI43"/>
    <mergeCell ref="B44:E44"/>
    <mergeCell ref="F44:AI44"/>
    <mergeCell ref="B45:E45"/>
    <mergeCell ref="F45:AI45"/>
    <mergeCell ref="B40:E40"/>
    <mergeCell ref="F40:AI40"/>
    <mergeCell ref="B41:E41"/>
    <mergeCell ref="F41:AI41"/>
    <mergeCell ref="B42:E42"/>
    <mergeCell ref="F42:AI42"/>
    <mergeCell ref="B37:E37"/>
    <mergeCell ref="F37:AI37"/>
    <mergeCell ref="B38:E38"/>
    <mergeCell ref="F38:AI38"/>
    <mergeCell ref="B39:E39"/>
    <mergeCell ref="F39:AI39"/>
    <mergeCell ref="B34:E34"/>
    <mergeCell ref="F34:AI34"/>
    <mergeCell ref="B35:E35"/>
    <mergeCell ref="F35:AI35"/>
    <mergeCell ref="B36:E36"/>
    <mergeCell ref="F36:AI36"/>
    <mergeCell ref="B25:E25"/>
    <mergeCell ref="F25:AI25"/>
    <mergeCell ref="B26:E26"/>
    <mergeCell ref="F26:AI26"/>
    <mergeCell ref="B27:E27"/>
    <mergeCell ref="F27:AI27"/>
    <mergeCell ref="B22:E22"/>
    <mergeCell ref="F22:AI22"/>
    <mergeCell ref="B23:E23"/>
    <mergeCell ref="F23:AI23"/>
    <mergeCell ref="B24:E24"/>
    <mergeCell ref="F24:AI24"/>
    <mergeCell ref="B19:E19"/>
    <mergeCell ref="F19:AI19"/>
    <mergeCell ref="B20:E20"/>
    <mergeCell ref="F20:AI20"/>
    <mergeCell ref="B21:E21"/>
    <mergeCell ref="F21:AI21"/>
    <mergeCell ref="B16:E16"/>
    <mergeCell ref="F16:AI16"/>
    <mergeCell ref="B17:E17"/>
    <mergeCell ref="F17:AI17"/>
    <mergeCell ref="B18:E18"/>
    <mergeCell ref="F18:AI18"/>
    <mergeCell ref="A14:AI14"/>
    <mergeCell ref="B15:I15"/>
    <mergeCell ref="J15:L15"/>
    <mergeCell ref="M15:N15"/>
    <mergeCell ref="O15:V15"/>
    <mergeCell ref="W15:Y15"/>
    <mergeCell ref="Z15:AA15"/>
    <mergeCell ref="AB15:AD15"/>
    <mergeCell ref="AE15:AG15"/>
    <mergeCell ref="AH15:AI15"/>
    <mergeCell ref="Y12:AF12"/>
    <mergeCell ref="AG12:AH12"/>
    <mergeCell ref="A13:H13"/>
    <mergeCell ref="I13:J13"/>
    <mergeCell ref="K13:L13"/>
    <mergeCell ref="M13:T13"/>
    <mergeCell ref="U13:V13"/>
    <mergeCell ref="W13:X13"/>
    <mergeCell ref="Y13:AF13"/>
    <mergeCell ref="AG13:AH13"/>
    <mergeCell ref="A12:H12"/>
    <mergeCell ref="I12:J12"/>
    <mergeCell ref="K12:L12"/>
    <mergeCell ref="M12:T12"/>
    <mergeCell ref="U12:V12"/>
    <mergeCell ref="W12:X12"/>
    <mergeCell ref="Y10:AF10"/>
    <mergeCell ref="AG10:AH10"/>
    <mergeCell ref="A11:H11"/>
    <mergeCell ref="I11:J11"/>
    <mergeCell ref="K11:L11"/>
    <mergeCell ref="M11:T11"/>
    <mergeCell ref="U11:V11"/>
    <mergeCell ref="W11:X11"/>
    <mergeCell ref="Y11:AF11"/>
    <mergeCell ref="AG11:AH11"/>
    <mergeCell ref="A10:H10"/>
    <mergeCell ref="I10:J10"/>
    <mergeCell ref="K10:L10"/>
    <mergeCell ref="M10:T10"/>
    <mergeCell ref="U10:V10"/>
    <mergeCell ref="W10:X10"/>
    <mergeCell ref="N7:N8"/>
    <mergeCell ref="O7:P8"/>
    <mergeCell ref="Q7:R8"/>
    <mergeCell ref="Y7:AA8"/>
    <mergeCell ref="AB7:AI8"/>
    <mergeCell ref="A9:AI9"/>
    <mergeCell ref="A1:S3"/>
    <mergeCell ref="AD1:AI1"/>
    <mergeCell ref="AD2:AF4"/>
    <mergeCell ref="AG2:AI4"/>
    <mergeCell ref="A4:S5"/>
    <mergeCell ref="A7:E8"/>
    <mergeCell ref="F7:F8"/>
    <mergeCell ref="G7:I8"/>
    <mergeCell ref="J7:J8"/>
    <mergeCell ref="K7:M8"/>
  </mergeCells>
  <phoneticPr fontId="2"/>
  <conditionalFormatting sqref="AB7:AI8">
    <cfRule type="containsBlanks" dxfId="388" priority="2">
      <formula>LEN(TRIM(AB7))=0</formula>
    </cfRule>
  </conditionalFormatting>
  <conditionalFormatting sqref="A7:E8 G7:I8 K7:M8 O7:P8">
    <cfRule type="containsBlanks" dxfId="387" priority="1">
      <formula>LEN(TRIM(A7))=0</formula>
    </cfRule>
  </conditionalFormatting>
  <pageMargins left="0.7" right="0.7" top="0.75" bottom="0.75" header="0.3" footer="0.3"/>
  <pageSetup paperSize="9" scale="99" orientation="portrait" horizontalDpi="300" verticalDpi="300" r:id="rId1"/>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22A65DD-C6E8-4248-B0D7-B98EB62AABBA}">
  <dimension ref="A1:F148"/>
  <sheetViews>
    <sheetView topLeftCell="A117" workbookViewId="0">
      <selection activeCell="B140" sqref="B140"/>
    </sheetView>
  </sheetViews>
  <sheetFormatPr defaultRowHeight="18.75"/>
  <cols>
    <col min="1" max="1" width="25" customWidth="1"/>
    <col min="2" max="2" width="15" customWidth="1"/>
    <col min="3" max="3" width="86.625" customWidth="1"/>
    <col min="5" max="5" width="26.625" customWidth="1"/>
    <col min="6" max="6" width="11.625" customWidth="1"/>
  </cols>
  <sheetData>
    <row r="1" spans="1:6" ht="30">
      <c r="A1" s="568" t="s">
        <v>419</v>
      </c>
      <c r="B1" s="569"/>
      <c r="C1" s="569"/>
      <c r="D1" s="569"/>
      <c r="E1" s="569"/>
      <c r="F1" s="569"/>
    </row>
    <row r="2" spans="1:6">
      <c r="A2" s="169" t="s">
        <v>168</v>
      </c>
      <c r="B2" s="169"/>
      <c r="C2" s="169"/>
      <c r="D2" s="169"/>
      <c r="E2" s="169"/>
      <c r="F2" s="169"/>
    </row>
    <row r="3" spans="1:6">
      <c r="A3" s="169" t="s">
        <v>420</v>
      </c>
      <c r="B3" s="169" t="s">
        <v>421</v>
      </c>
      <c r="C3" s="169"/>
      <c r="D3" s="169" t="s">
        <v>422</v>
      </c>
      <c r="E3" s="169" t="s">
        <v>20</v>
      </c>
      <c r="F3" s="169"/>
    </row>
    <row r="4" spans="1:6">
      <c r="A4" s="168"/>
      <c r="B4" s="168"/>
      <c r="C4" s="168"/>
      <c r="D4" s="168"/>
      <c r="E4" s="168"/>
      <c r="F4" s="168"/>
    </row>
    <row r="5" spans="1:6">
      <c r="A5" s="173" t="s">
        <v>423</v>
      </c>
      <c r="B5" s="173" t="s">
        <v>424</v>
      </c>
      <c r="C5" s="173" t="s">
        <v>425</v>
      </c>
      <c r="D5" s="168"/>
      <c r="E5" s="170" t="s">
        <v>426</v>
      </c>
      <c r="F5" s="170" t="s">
        <v>427</v>
      </c>
    </row>
    <row r="6" spans="1:6">
      <c r="A6" s="174" t="s">
        <v>428</v>
      </c>
      <c r="B6" s="172">
        <f ca="1">SUM(カウント!E2:E31)</f>
        <v>54</v>
      </c>
      <c r="C6" s="174" t="s">
        <v>429</v>
      </c>
      <c r="D6" s="168"/>
      <c r="E6" s="168" t="s">
        <v>430</v>
      </c>
      <c r="F6" s="171">
        <v>1</v>
      </c>
    </row>
    <row r="7" spans="1:6">
      <c r="A7" s="174" t="s">
        <v>312</v>
      </c>
      <c r="B7" s="172">
        <f ca="1">SUM(カウント!F2:F31)</f>
        <v>0</v>
      </c>
      <c r="C7" s="174" t="s">
        <v>429</v>
      </c>
      <c r="D7" s="168"/>
      <c r="E7" s="168" t="s">
        <v>431</v>
      </c>
      <c r="F7" s="171">
        <v>6</v>
      </c>
    </row>
    <row r="8" spans="1:6">
      <c r="A8" s="174" t="s">
        <v>430</v>
      </c>
      <c r="B8" s="172">
        <f ca="1">SUM(カウント!G2:G31)</f>
        <v>1</v>
      </c>
      <c r="C8" s="174" t="s">
        <v>429</v>
      </c>
      <c r="D8" s="168"/>
      <c r="E8" s="168" t="s">
        <v>432</v>
      </c>
      <c r="F8" s="171">
        <v>1</v>
      </c>
    </row>
    <row r="9" spans="1:6">
      <c r="A9" s="174" t="s">
        <v>433</v>
      </c>
      <c r="B9" s="172">
        <f ca="1">SUM(カウント!H2:H31)</f>
        <v>1</v>
      </c>
      <c r="C9" s="174" t="s">
        <v>429</v>
      </c>
      <c r="D9" s="168"/>
      <c r="E9" s="168" t="s">
        <v>434</v>
      </c>
      <c r="F9" s="171">
        <v>2</v>
      </c>
    </row>
    <row r="10" spans="1:6">
      <c r="A10" s="174" t="s">
        <v>435</v>
      </c>
      <c r="B10" s="172">
        <f ca="1">SUM(カウント!I2:I31)</f>
        <v>1</v>
      </c>
      <c r="C10" s="174" t="s">
        <v>429</v>
      </c>
      <c r="D10" s="168"/>
      <c r="E10" s="168" t="s">
        <v>436</v>
      </c>
      <c r="F10" s="171">
        <v>3</v>
      </c>
    </row>
    <row r="11" spans="1:6">
      <c r="A11" s="174" t="s">
        <v>437</v>
      </c>
      <c r="B11" s="172">
        <f ca="1">SUM(カウント!J2:J31)</f>
        <v>0</v>
      </c>
      <c r="C11" s="174" t="s">
        <v>429</v>
      </c>
      <c r="D11" s="168"/>
      <c r="E11" s="168" t="s">
        <v>438</v>
      </c>
      <c r="F11" s="171">
        <v>1</v>
      </c>
    </row>
    <row r="12" spans="1:6">
      <c r="A12" s="174" t="s">
        <v>439</v>
      </c>
      <c r="B12" s="172">
        <f ca="1">SUM(カウント!K2:K31)</f>
        <v>4</v>
      </c>
      <c r="C12" s="174" t="s">
        <v>429</v>
      </c>
      <c r="D12" s="168"/>
      <c r="E12" s="168" t="s">
        <v>440</v>
      </c>
      <c r="F12" s="171">
        <v>5</v>
      </c>
    </row>
    <row r="13" spans="1:6">
      <c r="A13" s="174" t="s">
        <v>434</v>
      </c>
      <c r="B13" s="172">
        <f ca="1">SUM(カウント!L2:L31)</f>
        <v>2</v>
      </c>
      <c r="C13" s="174" t="s">
        <v>429</v>
      </c>
      <c r="D13" s="168"/>
      <c r="E13" s="168" t="s">
        <v>441</v>
      </c>
      <c r="F13" s="171">
        <v>4</v>
      </c>
    </row>
    <row r="14" spans="1:6">
      <c r="A14" s="174" t="s">
        <v>431</v>
      </c>
      <c r="B14" s="172">
        <f ca="1">SUM(カウント!M2:M31)</f>
        <v>6</v>
      </c>
      <c r="C14" s="174" t="s">
        <v>429</v>
      </c>
      <c r="D14" s="168"/>
      <c r="E14" s="168" t="s">
        <v>442</v>
      </c>
      <c r="F14" s="171">
        <v>10</v>
      </c>
    </row>
    <row r="15" spans="1:6">
      <c r="A15" s="174" t="s">
        <v>443</v>
      </c>
      <c r="B15" s="172">
        <v>0</v>
      </c>
      <c r="C15" s="174" t="s">
        <v>429</v>
      </c>
      <c r="D15" s="168"/>
      <c r="E15" s="168" t="s">
        <v>444</v>
      </c>
      <c r="F15" s="171">
        <v>22</v>
      </c>
    </row>
    <row r="16" spans="1:6">
      <c r="A16" s="174" t="s">
        <v>445</v>
      </c>
      <c r="B16" s="172">
        <f ca="1">SUM(カウント!O2:O31)</f>
        <v>1</v>
      </c>
      <c r="C16" s="174" t="s">
        <v>429</v>
      </c>
      <c r="D16" s="168"/>
      <c r="E16" s="168" t="s">
        <v>446</v>
      </c>
      <c r="F16" s="171">
        <v>37</v>
      </c>
    </row>
    <row r="17" spans="1:6">
      <c r="A17" s="174" t="s">
        <v>447</v>
      </c>
      <c r="B17" s="172">
        <f ca="1">SUM(カウント!P2:P31)</f>
        <v>20</v>
      </c>
      <c r="C17" s="174" t="s">
        <v>429</v>
      </c>
      <c r="D17" s="168"/>
      <c r="E17" s="168" t="s">
        <v>448</v>
      </c>
      <c r="F17" s="171">
        <v>27</v>
      </c>
    </row>
    <row r="18" spans="1:6">
      <c r="A18" s="174" t="s">
        <v>449</v>
      </c>
      <c r="B18" s="172">
        <f ca="1">SUM(カウント!C2:C31)</f>
        <v>1394</v>
      </c>
      <c r="C18" s="174" t="s">
        <v>429</v>
      </c>
      <c r="D18" s="168"/>
      <c r="E18" s="168"/>
      <c r="F18" s="171"/>
    </row>
    <row r="19" spans="1:6">
      <c r="A19" s="174" t="s">
        <v>450</v>
      </c>
      <c r="B19" s="172">
        <f ca="1">SUM(カウント!D2:D31)</f>
        <v>1137</v>
      </c>
      <c r="C19" s="174" t="s">
        <v>429</v>
      </c>
      <c r="D19" s="168"/>
      <c r="E19" s="168"/>
      <c r="F19" s="171"/>
    </row>
    <row r="20" spans="1:6">
      <c r="A20" s="168"/>
      <c r="B20" s="168"/>
      <c r="C20" s="168"/>
      <c r="D20" s="168"/>
      <c r="E20" s="168"/>
      <c r="F20" s="171"/>
    </row>
    <row r="21" spans="1:6">
      <c r="A21" s="168"/>
      <c r="B21" s="168"/>
      <c r="C21" s="168"/>
      <c r="D21" s="168"/>
      <c r="E21" s="168"/>
      <c r="F21" s="171"/>
    </row>
    <row r="22" spans="1:6">
      <c r="A22" s="173" t="s">
        <v>451</v>
      </c>
      <c r="B22" s="173" t="s">
        <v>373</v>
      </c>
      <c r="C22" s="173" t="s">
        <v>374</v>
      </c>
      <c r="D22" s="168"/>
      <c r="E22" s="168"/>
      <c r="F22" s="171"/>
    </row>
    <row r="23" spans="1:6">
      <c r="A23" s="176" t="s">
        <v>430</v>
      </c>
      <c r="B23" s="175">
        <v>46176</v>
      </c>
      <c r="C23" s="176" t="s">
        <v>452</v>
      </c>
      <c r="D23" s="168"/>
      <c r="E23" s="168"/>
      <c r="F23" s="171"/>
    </row>
    <row r="24" spans="1:6">
      <c r="A24" s="176" t="s">
        <v>431</v>
      </c>
      <c r="B24" s="175">
        <v>46177</v>
      </c>
      <c r="C24" s="176" t="s">
        <v>198</v>
      </c>
      <c r="D24" s="168"/>
      <c r="E24" s="168"/>
      <c r="F24" s="171"/>
    </row>
    <row r="25" spans="1:6">
      <c r="A25" s="176" t="s">
        <v>431</v>
      </c>
      <c r="B25" s="175">
        <v>46178</v>
      </c>
      <c r="C25" s="176" t="s">
        <v>200</v>
      </c>
      <c r="D25" s="168"/>
      <c r="E25" s="168"/>
      <c r="F25" s="171"/>
    </row>
    <row r="26" spans="1:6">
      <c r="A26" s="176" t="s">
        <v>431</v>
      </c>
      <c r="B26" s="175">
        <v>46183</v>
      </c>
      <c r="C26" s="176" t="s">
        <v>202</v>
      </c>
      <c r="D26" s="168"/>
      <c r="E26" s="168"/>
      <c r="F26" s="171"/>
    </row>
    <row r="27" spans="1:6">
      <c r="A27" s="176" t="s">
        <v>431</v>
      </c>
      <c r="B27" s="175">
        <v>46185</v>
      </c>
      <c r="C27" s="176" t="s">
        <v>299</v>
      </c>
      <c r="D27" s="168"/>
      <c r="E27" s="168"/>
      <c r="F27" s="171"/>
    </row>
    <row r="28" spans="1:6">
      <c r="A28" s="176" t="s">
        <v>431</v>
      </c>
      <c r="B28" s="175">
        <v>46195</v>
      </c>
      <c r="C28" s="176" t="s">
        <v>206</v>
      </c>
      <c r="D28" s="168"/>
      <c r="E28" s="168"/>
      <c r="F28" s="171"/>
    </row>
    <row r="29" spans="1:6">
      <c r="A29" s="176" t="s">
        <v>431</v>
      </c>
      <c r="B29" s="175">
        <v>46197</v>
      </c>
      <c r="C29" s="176" t="s">
        <v>300</v>
      </c>
      <c r="D29" s="168"/>
      <c r="E29" s="168"/>
      <c r="F29" s="171"/>
    </row>
    <row r="30" spans="1:6">
      <c r="A30" s="176" t="s">
        <v>432</v>
      </c>
      <c r="B30" s="175">
        <v>46203</v>
      </c>
      <c r="C30" s="176" t="s">
        <v>309</v>
      </c>
      <c r="D30" s="168"/>
      <c r="E30" s="168"/>
      <c r="F30" s="171"/>
    </row>
    <row r="31" spans="1:6">
      <c r="A31" s="176" t="s">
        <v>434</v>
      </c>
      <c r="B31" s="175">
        <v>46177</v>
      </c>
      <c r="C31" s="176" t="s">
        <v>234</v>
      </c>
      <c r="D31" s="168"/>
      <c r="E31" s="168"/>
      <c r="F31" s="168"/>
    </row>
    <row r="32" spans="1:6">
      <c r="A32" s="176" t="s">
        <v>434</v>
      </c>
      <c r="B32" s="175">
        <v>46178</v>
      </c>
      <c r="C32" s="176" t="s">
        <v>235</v>
      </c>
      <c r="D32" s="168"/>
      <c r="E32" s="168"/>
      <c r="F32" s="168"/>
    </row>
    <row r="33" spans="1:6">
      <c r="A33" s="176" t="s">
        <v>436</v>
      </c>
      <c r="B33" s="175">
        <v>46174</v>
      </c>
      <c r="C33" s="176" t="s">
        <v>311</v>
      </c>
      <c r="D33" s="168"/>
      <c r="E33" s="168"/>
      <c r="F33" s="168"/>
    </row>
    <row r="34" spans="1:6">
      <c r="A34" s="176" t="s">
        <v>436</v>
      </c>
      <c r="B34" s="175">
        <v>46178</v>
      </c>
      <c r="C34" s="176" t="s">
        <v>237</v>
      </c>
      <c r="D34" s="168"/>
      <c r="E34" s="168"/>
      <c r="F34" s="168"/>
    </row>
    <row r="35" spans="1:6">
      <c r="A35" s="176" t="s">
        <v>436</v>
      </c>
      <c r="B35" s="175">
        <v>46178</v>
      </c>
      <c r="C35" s="176" t="s">
        <v>239</v>
      </c>
      <c r="D35" s="168"/>
      <c r="E35" s="168"/>
      <c r="F35" s="168"/>
    </row>
    <row r="36" spans="1:6">
      <c r="A36" s="176" t="s">
        <v>438</v>
      </c>
      <c r="B36" s="175">
        <v>46183</v>
      </c>
      <c r="C36" s="176" t="s">
        <v>453</v>
      </c>
      <c r="D36" s="168"/>
      <c r="E36" s="168"/>
      <c r="F36" s="168"/>
    </row>
    <row r="37" spans="1:6">
      <c r="A37" s="176" t="s">
        <v>440</v>
      </c>
      <c r="B37" s="175">
        <v>46189</v>
      </c>
      <c r="C37" s="176" t="s">
        <v>313</v>
      </c>
      <c r="D37" s="168"/>
      <c r="E37" s="168"/>
      <c r="F37" s="168"/>
    </row>
    <row r="38" spans="1:6">
      <c r="A38" s="176" t="s">
        <v>440</v>
      </c>
      <c r="B38" s="175">
        <v>46197</v>
      </c>
      <c r="C38" s="176" t="s">
        <v>314</v>
      </c>
      <c r="D38" s="168"/>
      <c r="E38" s="168"/>
      <c r="F38" s="168"/>
    </row>
    <row r="39" spans="1:6">
      <c r="A39" s="176" t="s">
        <v>440</v>
      </c>
      <c r="B39" s="175">
        <v>46199</v>
      </c>
      <c r="C39" s="176" t="s">
        <v>315</v>
      </c>
      <c r="D39" s="168"/>
      <c r="E39" s="168"/>
      <c r="F39" s="168"/>
    </row>
    <row r="40" spans="1:6">
      <c r="A40" s="176" t="s">
        <v>440</v>
      </c>
      <c r="B40" s="175">
        <v>46199</v>
      </c>
      <c r="C40" s="176" t="s">
        <v>316</v>
      </c>
      <c r="D40" s="168"/>
      <c r="E40" s="168"/>
      <c r="F40" s="168"/>
    </row>
    <row r="41" spans="1:6">
      <c r="A41" s="176" t="s">
        <v>440</v>
      </c>
      <c r="B41" s="175">
        <v>46200</v>
      </c>
      <c r="C41" s="176" t="s">
        <v>317</v>
      </c>
      <c r="D41" s="168"/>
      <c r="E41" s="168"/>
      <c r="F41" s="168"/>
    </row>
    <row r="42" spans="1:6">
      <c r="A42" s="176" t="s">
        <v>441</v>
      </c>
      <c r="B42" s="175">
        <v>46177</v>
      </c>
      <c r="C42" s="176" t="s">
        <v>318</v>
      </c>
      <c r="D42" s="168"/>
      <c r="E42" s="168"/>
      <c r="F42" s="168"/>
    </row>
    <row r="43" spans="1:6">
      <c r="A43" s="176" t="s">
        <v>441</v>
      </c>
      <c r="B43" s="175">
        <v>46195</v>
      </c>
      <c r="C43" s="176" t="s">
        <v>319</v>
      </c>
      <c r="D43" s="168"/>
      <c r="E43" s="168"/>
      <c r="F43" s="168"/>
    </row>
    <row r="44" spans="1:6">
      <c r="A44" s="176" t="s">
        <v>441</v>
      </c>
      <c r="B44" s="175">
        <v>46202</v>
      </c>
      <c r="C44" s="176" t="s">
        <v>321</v>
      </c>
      <c r="D44" s="168"/>
      <c r="E44" s="168"/>
      <c r="F44" s="168"/>
    </row>
    <row r="45" spans="1:6">
      <c r="A45" s="176" t="s">
        <v>441</v>
      </c>
      <c r="B45" s="175">
        <v>46203</v>
      </c>
      <c r="C45" s="176" t="s">
        <v>322</v>
      </c>
      <c r="D45" s="168"/>
      <c r="E45" s="168"/>
      <c r="F45" s="168"/>
    </row>
    <row r="46" spans="1:6">
      <c r="A46" s="176" t="s">
        <v>442</v>
      </c>
      <c r="B46" s="175">
        <v>46174</v>
      </c>
      <c r="C46" s="176" t="s">
        <v>324</v>
      </c>
      <c r="D46" s="168"/>
      <c r="E46" s="168"/>
      <c r="F46" s="168"/>
    </row>
    <row r="47" spans="1:6">
      <c r="A47" s="176" t="s">
        <v>442</v>
      </c>
      <c r="B47" s="175">
        <v>46178</v>
      </c>
      <c r="C47" s="176" t="s">
        <v>325</v>
      </c>
      <c r="D47" s="168"/>
      <c r="E47" s="168"/>
      <c r="F47" s="168"/>
    </row>
    <row r="48" spans="1:6">
      <c r="A48" s="176" t="s">
        <v>442</v>
      </c>
      <c r="B48" s="175">
        <v>46178</v>
      </c>
      <c r="C48" s="176" t="s">
        <v>326</v>
      </c>
      <c r="D48" s="168"/>
      <c r="E48" s="168"/>
      <c r="F48" s="168"/>
    </row>
    <row r="49" spans="1:6">
      <c r="A49" s="176" t="s">
        <v>442</v>
      </c>
      <c r="B49" s="175">
        <v>46188</v>
      </c>
      <c r="C49" s="176" t="s">
        <v>327</v>
      </c>
      <c r="D49" s="168"/>
      <c r="E49" s="168"/>
      <c r="F49" s="168"/>
    </row>
    <row r="50" spans="1:6">
      <c r="A50" s="176" t="s">
        <v>442</v>
      </c>
      <c r="B50" s="175">
        <v>46195</v>
      </c>
      <c r="C50" s="176" t="s">
        <v>328</v>
      </c>
      <c r="D50" s="168"/>
      <c r="E50" s="168"/>
      <c r="F50" s="168"/>
    </row>
    <row r="51" spans="1:6">
      <c r="A51" s="176" t="s">
        <v>442</v>
      </c>
      <c r="B51" s="175">
        <v>46195</v>
      </c>
      <c r="C51" s="176" t="s">
        <v>329</v>
      </c>
      <c r="D51" s="168"/>
      <c r="E51" s="168"/>
      <c r="F51" s="168"/>
    </row>
    <row r="52" spans="1:6">
      <c r="A52" s="176" t="s">
        <v>442</v>
      </c>
      <c r="B52" s="175">
        <v>46195</v>
      </c>
      <c r="C52" s="176" t="s">
        <v>330</v>
      </c>
      <c r="D52" s="168"/>
      <c r="E52" s="168"/>
      <c r="F52" s="168"/>
    </row>
    <row r="53" spans="1:6">
      <c r="A53" s="176" t="s">
        <v>442</v>
      </c>
      <c r="B53" s="175">
        <v>46197</v>
      </c>
      <c r="C53" s="176" t="s">
        <v>331</v>
      </c>
      <c r="D53" s="168"/>
      <c r="E53" s="168"/>
      <c r="F53" s="168"/>
    </row>
    <row r="54" spans="1:6">
      <c r="A54" s="176" t="s">
        <v>442</v>
      </c>
      <c r="B54" s="175">
        <v>46199</v>
      </c>
      <c r="C54" s="176" t="s">
        <v>332</v>
      </c>
      <c r="D54" s="168"/>
      <c r="E54" s="168"/>
      <c r="F54" s="168"/>
    </row>
    <row r="55" spans="1:6">
      <c r="A55" s="176" t="s">
        <v>442</v>
      </c>
      <c r="B55" s="175">
        <v>46202</v>
      </c>
      <c r="C55" s="176" t="s">
        <v>333</v>
      </c>
      <c r="D55" s="168"/>
      <c r="E55" s="168"/>
      <c r="F55" s="168"/>
    </row>
    <row r="56" spans="1:6">
      <c r="A56" s="176" t="s">
        <v>444</v>
      </c>
      <c r="B56" s="175">
        <v>46174</v>
      </c>
      <c r="C56" s="176" t="s">
        <v>454</v>
      </c>
      <c r="D56" s="168"/>
      <c r="E56" s="168"/>
      <c r="F56" s="168"/>
    </row>
    <row r="57" spans="1:6">
      <c r="A57" s="176" t="s">
        <v>444</v>
      </c>
      <c r="B57" s="175">
        <v>46177</v>
      </c>
      <c r="C57" s="176" t="s">
        <v>455</v>
      </c>
      <c r="D57" s="168"/>
      <c r="E57" s="168"/>
      <c r="F57" s="168"/>
    </row>
    <row r="58" spans="1:6">
      <c r="A58" s="176" t="s">
        <v>444</v>
      </c>
      <c r="B58" s="175">
        <v>46181</v>
      </c>
      <c r="C58" s="176" t="s">
        <v>266</v>
      </c>
      <c r="D58" s="168"/>
      <c r="E58" s="168"/>
      <c r="F58" s="168"/>
    </row>
    <row r="59" spans="1:6">
      <c r="A59" s="176" t="s">
        <v>444</v>
      </c>
      <c r="B59" s="175">
        <v>46182</v>
      </c>
      <c r="C59" s="176" t="s">
        <v>336</v>
      </c>
      <c r="D59" s="168"/>
      <c r="E59" s="168"/>
      <c r="F59" s="168"/>
    </row>
    <row r="60" spans="1:6">
      <c r="A60" s="176" t="s">
        <v>444</v>
      </c>
      <c r="B60" s="175">
        <v>46182</v>
      </c>
      <c r="C60" s="176" t="s">
        <v>337</v>
      </c>
      <c r="D60" s="168"/>
      <c r="E60" s="168"/>
      <c r="F60" s="168"/>
    </row>
    <row r="61" spans="1:6">
      <c r="A61" s="176" t="s">
        <v>444</v>
      </c>
      <c r="B61" s="175">
        <v>46183</v>
      </c>
      <c r="C61" s="176" t="s">
        <v>338</v>
      </c>
      <c r="D61" s="168"/>
      <c r="E61" s="168"/>
      <c r="F61" s="168"/>
    </row>
    <row r="62" spans="1:6">
      <c r="A62" s="176" t="s">
        <v>444</v>
      </c>
      <c r="B62" s="175">
        <v>46183</v>
      </c>
      <c r="C62" s="176" t="s">
        <v>339</v>
      </c>
      <c r="D62" s="168"/>
      <c r="E62" s="168"/>
      <c r="F62" s="168"/>
    </row>
    <row r="63" spans="1:6">
      <c r="A63" s="176" t="s">
        <v>444</v>
      </c>
      <c r="B63" s="175">
        <v>46183</v>
      </c>
      <c r="C63" s="176" t="s">
        <v>340</v>
      </c>
      <c r="D63" s="168"/>
      <c r="E63" s="168"/>
      <c r="F63" s="168"/>
    </row>
    <row r="64" spans="1:6">
      <c r="A64" s="176" t="s">
        <v>444</v>
      </c>
      <c r="B64" s="175">
        <v>46183</v>
      </c>
      <c r="C64" s="176" t="s">
        <v>338</v>
      </c>
      <c r="D64" s="168"/>
      <c r="E64" s="168"/>
      <c r="F64" s="168"/>
    </row>
    <row r="65" spans="1:6">
      <c r="A65" s="176" t="s">
        <v>444</v>
      </c>
      <c r="B65" s="175">
        <v>46184</v>
      </c>
      <c r="C65" s="176" t="s">
        <v>339</v>
      </c>
      <c r="D65" s="168"/>
      <c r="E65" s="168"/>
      <c r="F65" s="168"/>
    </row>
    <row r="66" spans="1:6">
      <c r="A66" s="176" t="s">
        <v>444</v>
      </c>
      <c r="B66" s="175">
        <v>46192</v>
      </c>
      <c r="C66" s="176" t="s">
        <v>301</v>
      </c>
      <c r="D66" s="168"/>
      <c r="E66" s="168"/>
      <c r="F66" s="168"/>
    </row>
    <row r="67" spans="1:6">
      <c r="A67" s="176" t="s">
        <v>444</v>
      </c>
      <c r="B67" s="175">
        <v>46192</v>
      </c>
      <c r="C67" s="176" t="s">
        <v>343</v>
      </c>
      <c r="D67" s="168"/>
      <c r="E67" s="168"/>
      <c r="F67" s="168"/>
    </row>
    <row r="68" spans="1:6">
      <c r="A68" s="176" t="s">
        <v>444</v>
      </c>
      <c r="B68" s="175">
        <v>46192</v>
      </c>
      <c r="C68" s="176" t="s">
        <v>302</v>
      </c>
      <c r="D68" s="168"/>
      <c r="E68" s="168"/>
      <c r="F68" s="168"/>
    </row>
    <row r="69" spans="1:6">
      <c r="A69" s="176" t="s">
        <v>444</v>
      </c>
      <c r="B69" s="175">
        <v>46192</v>
      </c>
      <c r="C69" s="176" t="s">
        <v>344</v>
      </c>
      <c r="D69" s="168"/>
      <c r="E69" s="168"/>
      <c r="F69" s="168"/>
    </row>
    <row r="70" spans="1:6">
      <c r="A70" s="176" t="s">
        <v>444</v>
      </c>
      <c r="B70" s="175">
        <v>46193</v>
      </c>
      <c r="C70" s="176" t="s">
        <v>345</v>
      </c>
      <c r="D70" s="168"/>
      <c r="E70" s="168"/>
      <c r="F70" s="168"/>
    </row>
    <row r="71" spans="1:6">
      <c r="A71" s="176" t="s">
        <v>444</v>
      </c>
      <c r="B71" s="175">
        <v>46193</v>
      </c>
      <c r="C71" s="176" t="s">
        <v>456</v>
      </c>
      <c r="D71" s="168"/>
      <c r="E71" s="168"/>
      <c r="F71" s="168"/>
    </row>
    <row r="72" spans="1:6">
      <c r="A72" s="176" t="s">
        <v>444</v>
      </c>
      <c r="B72" s="175">
        <v>46194</v>
      </c>
      <c r="C72" s="176" t="s">
        <v>347</v>
      </c>
      <c r="D72" s="168"/>
      <c r="E72" s="168"/>
      <c r="F72" s="168"/>
    </row>
    <row r="73" spans="1:6">
      <c r="A73" s="176" t="s">
        <v>444</v>
      </c>
      <c r="B73" s="175">
        <v>46195</v>
      </c>
      <c r="C73" s="176" t="s">
        <v>304</v>
      </c>
      <c r="D73" s="168"/>
      <c r="E73" s="168"/>
      <c r="F73" s="168"/>
    </row>
    <row r="74" spans="1:6">
      <c r="A74" s="176" t="s">
        <v>444</v>
      </c>
      <c r="B74" s="175">
        <v>46195</v>
      </c>
      <c r="C74" s="176" t="s">
        <v>348</v>
      </c>
      <c r="D74" s="168"/>
      <c r="E74" s="168"/>
      <c r="F74" s="168"/>
    </row>
    <row r="75" spans="1:6">
      <c r="A75" s="176" t="s">
        <v>444</v>
      </c>
      <c r="B75" s="175">
        <v>46200</v>
      </c>
      <c r="C75" s="176" t="s">
        <v>349</v>
      </c>
      <c r="D75" s="168"/>
      <c r="E75" s="168"/>
      <c r="F75" s="168"/>
    </row>
    <row r="76" spans="1:6">
      <c r="A76" s="176" t="s">
        <v>444</v>
      </c>
      <c r="B76" s="175">
        <v>46202</v>
      </c>
      <c r="C76" s="176" t="s">
        <v>350</v>
      </c>
      <c r="D76" s="168"/>
      <c r="E76" s="168"/>
      <c r="F76" s="168"/>
    </row>
    <row r="77" spans="1:6">
      <c r="A77" s="176" t="s">
        <v>444</v>
      </c>
      <c r="B77" s="175">
        <v>46203</v>
      </c>
      <c r="C77" s="176" t="s">
        <v>351</v>
      </c>
      <c r="D77" s="168"/>
      <c r="E77" s="168"/>
      <c r="F77" s="168"/>
    </row>
    <row r="78" spans="1:6">
      <c r="A78" s="176" t="s">
        <v>446</v>
      </c>
      <c r="B78" s="175">
        <v>46174</v>
      </c>
      <c r="C78" s="176" t="s">
        <v>457</v>
      </c>
      <c r="D78" s="168"/>
      <c r="E78" s="168"/>
      <c r="F78" s="168"/>
    </row>
    <row r="79" spans="1:6">
      <c r="A79" s="176" t="s">
        <v>446</v>
      </c>
      <c r="B79" s="175">
        <v>46174</v>
      </c>
      <c r="C79" s="176" t="s">
        <v>353</v>
      </c>
      <c r="D79" s="168"/>
      <c r="E79" s="168"/>
      <c r="F79" s="168"/>
    </row>
    <row r="80" spans="1:6">
      <c r="A80" s="176" t="s">
        <v>446</v>
      </c>
      <c r="B80" s="175">
        <v>46174</v>
      </c>
      <c r="C80" s="176" t="s">
        <v>354</v>
      </c>
      <c r="D80" s="168"/>
      <c r="E80" s="168"/>
      <c r="F80" s="168"/>
    </row>
    <row r="81" spans="1:6">
      <c r="A81" s="176" t="s">
        <v>446</v>
      </c>
      <c r="B81" s="175">
        <v>46174</v>
      </c>
      <c r="C81" s="176" t="s">
        <v>355</v>
      </c>
      <c r="D81" s="168"/>
      <c r="E81" s="168"/>
      <c r="F81" s="168"/>
    </row>
    <row r="82" spans="1:6">
      <c r="A82" s="176" t="s">
        <v>446</v>
      </c>
      <c r="B82" s="175">
        <v>46174</v>
      </c>
      <c r="C82" s="176" t="s">
        <v>356</v>
      </c>
      <c r="D82" s="168"/>
      <c r="E82" s="168"/>
      <c r="F82" s="168"/>
    </row>
    <row r="83" spans="1:6">
      <c r="A83" s="176" t="s">
        <v>446</v>
      </c>
      <c r="B83" s="175">
        <v>46175</v>
      </c>
      <c r="C83" s="176" t="s">
        <v>358</v>
      </c>
      <c r="D83" s="168"/>
      <c r="E83" s="168"/>
      <c r="F83" s="168"/>
    </row>
    <row r="84" spans="1:6">
      <c r="A84" s="176" t="s">
        <v>446</v>
      </c>
      <c r="B84" s="175">
        <v>46177</v>
      </c>
      <c r="C84" s="176" t="s">
        <v>359</v>
      </c>
      <c r="D84" s="168"/>
      <c r="E84" s="168"/>
      <c r="F84" s="168"/>
    </row>
    <row r="85" spans="1:6">
      <c r="A85" s="176" t="s">
        <v>446</v>
      </c>
      <c r="B85" s="175">
        <v>46179</v>
      </c>
      <c r="C85" s="176" t="s">
        <v>361</v>
      </c>
      <c r="D85" s="168"/>
      <c r="E85" s="168"/>
      <c r="F85" s="168"/>
    </row>
    <row r="86" spans="1:6">
      <c r="A86" s="176" t="s">
        <v>446</v>
      </c>
      <c r="B86" s="175">
        <v>46181</v>
      </c>
      <c r="C86" s="176" t="s">
        <v>353</v>
      </c>
      <c r="D86" s="168"/>
      <c r="E86" s="168"/>
      <c r="F86" s="168"/>
    </row>
    <row r="87" spans="1:6">
      <c r="A87" s="176" t="s">
        <v>446</v>
      </c>
      <c r="B87" s="175">
        <v>46181</v>
      </c>
      <c r="C87" s="176" t="s">
        <v>362</v>
      </c>
      <c r="D87" s="168"/>
      <c r="E87" s="168"/>
      <c r="F87" s="168"/>
    </row>
    <row r="88" spans="1:6">
      <c r="A88" s="176" t="s">
        <v>446</v>
      </c>
      <c r="B88" s="175">
        <v>46181</v>
      </c>
      <c r="C88" s="176" t="s">
        <v>355</v>
      </c>
      <c r="D88" s="168"/>
      <c r="E88" s="168"/>
      <c r="F88" s="168"/>
    </row>
    <row r="89" spans="1:6">
      <c r="A89" s="176" t="s">
        <v>446</v>
      </c>
      <c r="B89" s="175">
        <v>46182</v>
      </c>
      <c r="C89" s="176" t="s">
        <v>268</v>
      </c>
      <c r="D89" s="168"/>
      <c r="E89" s="168"/>
      <c r="F89" s="168"/>
    </row>
    <row r="90" spans="1:6">
      <c r="A90" s="176" t="s">
        <v>446</v>
      </c>
      <c r="B90" s="175">
        <v>46182</v>
      </c>
      <c r="C90" s="176" t="s">
        <v>363</v>
      </c>
      <c r="D90" s="168"/>
      <c r="E90" s="168"/>
      <c r="F90" s="168"/>
    </row>
    <row r="91" spans="1:6">
      <c r="A91" s="176" t="s">
        <v>446</v>
      </c>
      <c r="B91" s="175">
        <v>46182</v>
      </c>
      <c r="C91" s="176" t="s">
        <v>364</v>
      </c>
      <c r="D91" s="168"/>
      <c r="E91" s="168"/>
      <c r="F91" s="168"/>
    </row>
    <row r="92" spans="1:6">
      <c r="A92" s="176" t="s">
        <v>446</v>
      </c>
      <c r="B92" s="175">
        <v>46183</v>
      </c>
      <c r="C92" s="176" t="s">
        <v>269</v>
      </c>
      <c r="D92" s="168"/>
      <c r="E92" s="168"/>
      <c r="F92" s="168"/>
    </row>
    <row r="93" spans="1:6">
      <c r="A93" s="176" t="s">
        <v>446</v>
      </c>
      <c r="B93" s="175">
        <v>46183</v>
      </c>
      <c r="C93" s="176" t="s">
        <v>365</v>
      </c>
      <c r="D93" s="168"/>
      <c r="E93" s="168"/>
      <c r="F93" s="168"/>
    </row>
    <row r="94" spans="1:6">
      <c r="A94" s="176" t="s">
        <v>446</v>
      </c>
      <c r="B94" s="175">
        <v>46184</v>
      </c>
      <c r="C94" s="176" t="s">
        <v>366</v>
      </c>
      <c r="D94" s="168"/>
      <c r="E94" s="168"/>
      <c r="F94" s="168"/>
    </row>
    <row r="95" spans="1:6">
      <c r="A95" s="176" t="s">
        <v>446</v>
      </c>
      <c r="B95" s="175">
        <v>46185</v>
      </c>
      <c r="C95" s="176" t="s">
        <v>367</v>
      </c>
      <c r="D95" s="168"/>
      <c r="E95" s="168"/>
      <c r="F95" s="168"/>
    </row>
    <row r="96" spans="1:6">
      <c r="A96" s="176" t="s">
        <v>446</v>
      </c>
      <c r="B96" s="175">
        <v>46186</v>
      </c>
      <c r="C96" s="176" t="s">
        <v>369</v>
      </c>
      <c r="D96" s="168"/>
      <c r="E96" s="168"/>
      <c r="F96" s="168"/>
    </row>
    <row r="97" spans="1:6">
      <c r="A97" s="176" t="s">
        <v>446</v>
      </c>
      <c r="B97" s="175">
        <v>46186</v>
      </c>
      <c r="C97" s="176" t="s">
        <v>370</v>
      </c>
      <c r="D97" s="168"/>
      <c r="E97" s="168"/>
      <c r="F97" s="168"/>
    </row>
    <row r="98" spans="1:6">
      <c r="A98" s="176" t="s">
        <v>446</v>
      </c>
      <c r="B98" s="175">
        <v>46188</v>
      </c>
      <c r="C98" s="176" t="s">
        <v>371</v>
      </c>
      <c r="D98" s="168"/>
      <c r="E98" s="168"/>
      <c r="F98" s="168"/>
    </row>
    <row r="99" spans="1:6">
      <c r="A99" s="176" t="s">
        <v>446</v>
      </c>
      <c r="B99" s="175">
        <v>46188</v>
      </c>
      <c r="C99" s="176" t="s">
        <v>458</v>
      </c>
      <c r="D99" s="168"/>
      <c r="E99" s="168"/>
      <c r="F99" s="168"/>
    </row>
    <row r="100" spans="1:6">
      <c r="A100" s="176" t="s">
        <v>446</v>
      </c>
      <c r="B100" s="175">
        <v>46190</v>
      </c>
      <c r="C100" s="176" t="s">
        <v>459</v>
      </c>
      <c r="D100" s="168"/>
      <c r="E100" s="168"/>
      <c r="F100" s="168"/>
    </row>
    <row r="101" spans="1:6">
      <c r="A101" s="176" t="s">
        <v>446</v>
      </c>
      <c r="B101" s="175">
        <v>46190</v>
      </c>
      <c r="C101" s="176" t="s">
        <v>376</v>
      </c>
      <c r="D101" s="168"/>
      <c r="E101" s="168"/>
      <c r="F101" s="168"/>
    </row>
    <row r="102" spans="1:6">
      <c r="A102" s="176" t="s">
        <v>446</v>
      </c>
      <c r="B102" s="175">
        <v>46190</v>
      </c>
      <c r="C102" s="176" t="s">
        <v>377</v>
      </c>
      <c r="D102" s="168"/>
      <c r="E102" s="168"/>
      <c r="F102" s="168"/>
    </row>
    <row r="103" spans="1:6">
      <c r="A103" s="176" t="s">
        <v>446</v>
      </c>
      <c r="B103" s="175">
        <v>46190</v>
      </c>
      <c r="C103" s="176" t="s">
        <v>378</v>
      </c>
      <c r="D103" s="168"/>
      <c r="E103" s="168"/>
      <c r="F103" s="168"/>
    </row>
    <row r="104" spans="1:6">
      <c r="A104" s="176" t="s">
        <v>446</v>
      </c>
      <c r="B104" s="175">
        <v>46190</v>
      </c>
      <c r="C104" s="176" t="s">
        <v>379</v>
      </c>
      <c r="D104" s="168"/>
      <c r="E104" s="168"/>
      <c r="F104" s="168"/>
    </row>
    <row r="105" spans="1:6">
      <c r="A105" s="176" t="s">
        <v>446</v>
      </c>
      <c r="B105" s="175">
        <v>46190</v>
      </c>
      <c r="C105" s="176" t="s">
        <v>460</v>
      </c>
      <c r="D105" s="168"/>
      <c r="E105" s="168"/>
      <c r="F105" s="168"/>
    </row>
    <row r="106" spans="1:6">
      <c r="A106" s="176" t="s">
        <v>446</v>
      </c>
      <c r="B106" s="175">
        <v>46191</v>
      </c>
      <c r="C106" s="176" t="s">
        <v>461</v>
      </c>
      <c r="D106" s="168"/>
      <c r="E106" s="168"/>
      <c r="F106" s="168"/>
    </row>
    <row r="107" spans="1:6">
      <c r="A107" s="176" t="s">
        <v>446</v>
      </c>
      <c r="B107" s="175">
        <v>46191</v>
      </c>
      <c r="C107" s="176" t="s">
        <v>381</v>
      </c>
      <c r="D107" s="168"/>
      <c r="E107" s="168"/>
      <c r="F107" s="168"/>
    </row>
    <row r="108" spans="1:6">
      <c r="A108" s="176" t="s">
        <v>446</v>
      </c>
      <c r="B108" s="175">
        <v>46193</v>
      </c>
      <c r="C108" s="176" t="s">
        <v>462</v>
      </c>
      <c r="D108" s="168"/>
      <c r="E108" s="168"/>
      <c r="F108" s="168"/>
    </row>
    <row r="109" spans="1:6">
      <c r="A109" s="176" t="s">
        <v>446</v>
      </c>
      <c r="B109" s="175">
        <v>46195</v>
      </c>
      <c r="C109" s="176" t="s">
        <v>383</v>
      </c>
      <c r="D109" s="168"/>
      <c r="E109" s="168"/>
      <c r="F109" s="168"/>
    </row>
    <row r="110" spans="1:6">
      <c r="A110" s="176" t="s">
        <v>446</v>
      </c>
      <c r="B110" s="175">
        <v>46196</v>
      </c>
      <c r="C110" s="176" t="s">
        <v>355</v>
      </c>
      <c r="D110" s="168"/>
      <c r="E110" s="168"/>
      <c r="F110" s="168"/>
    </row>
    <row r="111" spans="1:6">
      <c r="A111" s="176" t="s">
        <v>446</v>
      </c>
      <c r="B111" s="175">
        <v>46197</v>
      </c>
      <c r="C111" s="176" t="s">
        <v>280</v>
      </c>
      <c r="D111" s="168"/>
      <c r="E111" s="168"/>
      <c r="F111" s="168"/>
    </row>
    <row r="112" spans="1:6">
      <c r="A112" s="176" t="s">
        <v>446</v>
      </c>
      <c r="B112" s="175">
        <v>46200</v>
      </c>
      <c r="C112" s="176" t="s">
        <v>385</v>
      </c>
      <c r="D112" s="168"/>
      <c r="E112" s="168"/>
      <c r="F112" s="168"/>
    </row>
    <row r="113" spans="1:6">
      <c r="A113" s="176" t="s">
        <v>446</v>
      </c>
      <c r="B113" s="175">
        <v>46202</v>
      </c>
      <c r="C113" s="176" t="s">
        <v>386</v>
      </c>
      <c r="D113" s="168"/>
      <c r="E113" s="168"/>
      <c r="F113" s="168"/>
    </row>
    <row r="114" spans="1:6">
      <c r="A114" s="176" t="s">
        <v>446</v>
      </c>
      <c r="B114" s="175">
        <v>46202</v>
      </c>
      <c r="C114" s="176" t="s">
        <v>387</v>
      </c>
      <c r="D114" s="168"/>
      <c r="E114" s="168"/>
      <c r="F114" s="168"/>
    </row>
    <row r="115" spans="1:6">
      <c r="A115" s="176" t="s">
        <v>448</v>
      </c>
      <c r="B115" s="175">
        <v>46174</v>
      </c>
      <c r="C115" s="176" t="s">
        <v>388</v>
      </c>
      <c r="D115" s="168"/>
      <c r="E115" s="168"/>
      <c r="F115" s="168"/>
    </row>
    <row r="116" spans="1:6">
      <c r="A116" s="176" t="s">
        <v>448</v>
      </c>
      <c r="B116" s="175">
        <v>46176</v>
      </c>
      <c r="C116" s="176" t="s">
        <v>389</v>
      </c>
      <c r="D116" s="168"/>
      <c r="E116" s="168"/>
      <c r="F116" s="168"/>
    </row>
    <row r="117" spans="1:6">
      <c r="A117" s="176" t="s">
        <v>448</v>
      </c>
      <c r="B117" s="175">
        <v>46176</v>
      </c>
      <c r="C117" s="176" t="s">
        <v>390</v>
      </c>
      <c r="D117" s="168"/>
      <c r="E117" s="168"/>
      <c r="F117" s="168"/>
    </row>
    <row r="118" spans="1:6">
      <c r="A118" s="176" t="s">
        <v>448</v>
      </c>
      <c r="B118" s="175">
        <v>46177</v>
      </c>
      <c r="C118" s="176" t="s">
        <v>391</v>
      </c>
      <c r="D118" s="168"/>
      <c r="E118" s="168"/>
      <c r="F118" s="168"/>
    </row>
    <row r="119" spans="1:6">
      <c r="A119" s="176" t="s">
        <v>448</v>
      </c>
      <c r="B119" s="175">
        <v>46179</v>
      </c>
      <c r="C119" s="176" t="s">
        <v>392</v>
      </c>
      <c r="D119" s="168"/>
      <c r="E119" s="168"/>
      <c r="F119" s="168"/>
    </row>
    <row r="120" spans="1:6">
      <c r="A120" s="176" t="s">
        <v>448</v>
      </c>
      <c r="B120" s="175">
        <v>46179</v>
      </c>
      <c r="C120" s="176" t="s">
        <v>393</v>
      </c>
      <c r="D120" s="168"/>
      <c r="E120" s="168"/>
      <c r="F120" s="168"/>
    </row>
    <row r="121" spans="1:6">
      <c r="A121" s="176" t="s">
        <v>448</v>
      </c>
      <c r="B121" s="175">
        <v>46179</v>
      </c>
      <c r="C121" s="176" t="s">
        <v>394</v>
      </c>
      <c r="D121" s="168"/>
      <c r="E121" s="168"/>
      <c r="F121" s="168"/>
    </row>
    <row r="122" spans="1:6">
      <c r="A122" s="176" t="s">
        <v>448</v>
      </c>
      <c r="B122" s="175">
        <v>46179</v>
      </c>
      <c r="C122" s="176" t="s">
        <v>395</v>
      </c>
      <c r="D122" s="168"/>
      <c r="E122" s="168"/>
      <c r="F122" s="168"/>
    </row>
    <row r="123" spans="1:6">
      <c r="A123" s="176" t="s">
        <v>448</v>
      </c>
      <c r="B123" s="175">
        <v>46180</v>
      </c>
      <c r="C123" s="176" t="s">
        <v>397</v>
      </c>
      <c r="D123" s="168"/>
      <c r="E123" s="168"/>
      <c r="F123" s="168"/>
    </row>
    <row r="124" spans="1:6">
      <c r="A124" s="176" t="s">
        <v>448</v>
      </c>
      <c r="B124" s="175">
        <v>46180</v>
      </c>
      <c r="C124" s="176" t="s">
        <v>398</v>
      </c>
      <c r="D124" s="168"/>
      <c r="E124" s="168"/>
      <c r="F124" s="168"/>
    </row>
    <row r="125" spans="1:6">
      <c r="A125" s="176" t="s">
        <v>448</v>
      </c>
      <c r="B125" s="175">
        <v>46181</v>
      </c>
      <c r="C125" s="176" t="s">
        <v>399</v>
      </c>
      <c r="D125" s="168"/>
      <c r="E125" s="168"/>
      <c r="F125" s="168"/>
    </row>
    <row r="126" spans="1:6">
      <c r="A126" s="176" t="s">
        <v>448</v>
      </c>
      <c r="B126" s="175">
        <v>46183</v>
      </c>
      <c r="C126" s="176" t="s">
        <v>400</v>
      </c>
      <c r="D126" s="168"/>
      <c r="E126" s="168"/>
      <c r="F126" s="168"/>
    </row>
    <row r="127" spans="1:6">
      <c r="A127" s="176" t="s">
        <v>448</v>
      </c>
      <c r="B127" s="175">
        <v>46183</v>
      </c>
      <c r="C127" s="176" t="s">
        <v>401</v>
      </c>
      <c r="D127" s="168"/>
      <c r="E127" s="168"/>
      <c r="F127" s="168"/>
    </row>
    <row r="128" spans="1:6">
      <c r="A128" s="176" t="s">
        <v>448</v>
      </c>
      <c r="B128" s="175">
        <v>46184</v>
      </c>
      <c r="C128" s="176" t="s">
        <v>402</v>
      </c>
      <c r="D128" s="168"/>
      <c r="E128" s="168"/>
      <c r="F128" s="168"/>
    </row>
    <row r="129" spans="1:6">
      <c r="A129" s="176" t="s">
        <v>448</v>
      </c>
      <c r="B129" s="175">
        <v>46184</v>
      </c>
      <c r="C129" s="176" t="s">
        <v>403</v>
      </c>
      <c r="D129" s="168"/>
      <c r="E129" s="168"/>
      <c r="F129" s="168"/>
    </row>
    <row r="130" spans="1:6">
      <c r="A130" s="176" t="s">
        <v>448</v>
      </c>
      <c r="B130" s="175">
        <v>46188</v>
      </c>
      <c r="C130" s="176" t="s">
        <v>404</v>
      </c>
      <c r="D130" s="168"/>
      <c r="E130" s="168"/>
      <c r="F130" s="168"/>
    </row>
    <row r="131" spans="1:6">
      <c r="A131" s="176" t="s">
        <v>448</v>
      </c>
      <c r="B131" s="175">
        <v>46189</v>
      </c>
      <c r="C131" s="176" t="s">
        <v>405</v>
      </c>
      <c r="D131" s="168"/>
      <c r="E131" s="168"/>
      <c r="F131" s="168"/>
    </row>
    <row r="132" spans="1:6">
      <c r="A132" s="176" t="s">
        <v>448</v>
      </c>
      <c r="B132" s="175">
        <v>46191</v>
      </c>
      <c r="C132" s="176" t="s">
        <v>406</v>
      </c>
      <c r="D132" s="168"/>
      <c r="E132" s="168"/>
      <c r="F132" s="168"/>
    </row>
    <row r="133" spans="1:6">
      <c r="A133" s="176" t="s">
        <v>448</v>
      </c>
      <c r="B133" s="175">
        <v>46191</v>
      </c>
      <c r="C133" s="176" t="s">
        <v>406</v>
      </c>
      <c r="D133" s="168"/>
      <c r="E133" s="168"/>
      <c r="F133" s="168"/>
    </row>
    <row r="134" spans="1:6">
      <c r="A134" s="176" t="s">
        <v>448</v>
      </c>
      <c r="B134" s="175">
        <v>46191</v>
      </c>
      <c r="C134" s="176" t="s">
        <v>407</v>
      </c>
      <c r="D134" s="168"/>
      <c r="E134" s="168"/>
      <c r="F134" s="168"/>
    </row>
    <row r="135" spans="1:6">
      <c r="A135" s="176" t="s">
        <v>448</v>
      </c>
      <c r="B135" s="175">
        <v>46192</v>
      </c>
      <c r="C135" s="176" t="s">
        <v>408</v>
      </c>
      <c r="D135" s="168"/>
      <c r="E135" s="168"/>
      <c r="F135" s="168"/>
    </row>
    <row r="136" spans="1:6">
      <c r="A136" s="176" t="s">
        <v>448</v>
      </c>
      <c r="B136" s="175">
        <v>46192</v>
      </c>
      <c r="C136" s="176" t="s">
        <v>409</v>
      </c>
      <c r="D136" s="168"/>
      <c r="E136" s="168"/>
      <c r="F136" s="168"/>
    </row>
    <row r="137" spans="1:6">
      <c r="A137" s="176" t="s">
        <v>448</v>
      </c>
      <c r="B137" s="175">
        <v>46192</v>
      </c>
      <c r="C137" s="176" t="s">
        <v>410</v>
      </c>
      <c r="D137" s="168"/>
      <c r="E137" s="168"/>
      <c r="F137" s="168"/>
    </row>
    <row r="138" spans="1:6">
      <c r="A138" s="176" t="s">
        <v>448</v>
      </c>
      <c r="B138" s="175">
        <v>46192</v>
      </c>
      <c r="C138" s="176" t="s">
        <v>411</v>
      </c>
      <c r="D138" s="168"/>
      <c r="E138" s="168"/>
      <c r="F138" s="168"/>
    </row>
    <row r="139" spans="1:6">
      <c r="A139" s="176" t="s">
        <v>448</v>
      </c>
      <c r="B139" s="175">
        <v>46194</v>
      </c>
      <c r="C139" s="176" t="s">
        <v>412</v>
      </c>
      <c r="D139" s="168"/>
      <c r="E139" s="168"/>
      <c r="F139" s="168"/>
    </row>
    <row r="140" spans="1:6">
      <c r="A140" s="176" t="s">
        <v>448</v>
      </c>
      <c r="B140" s="175">
        <v>46198</v>
      </c>
      <c r="C140" s="176" t="s">
        <v>413</v>
      </c>
      <c r="D140" s="168"/>
      <c r="E140" s="168"/>
      <c r="F140" s="168"/>
    </row>
    <row r="141" spans="1:6">
      <c r="A141" s="176" t="s">
        <v>448</v>
      </c>
      <c r="B141" s="175">
        <v>46201</v>
      </c>
      <c r="C141" s="176" t="s">
        <v>415</v>
      </c>
      <c r="D141" s="168"/>
      <c r="E141" s="168"/>
      <c r="F141" s="168"/>
    </row>
    <row r="142" spans="1:6">
      <c r="A142" s="168"/>
      <c r="B142" s="168"/>
      <c r="C142" s="168"/>
      <c r="D142" s="168"/>
      <c r="E142" s="168"/>
      <c r="F142" s="168"/>
    </row>
    <row r="143" spans="1:6">
      <c r="A143" s="168"/>
      <c r="B143" s="168"/>
      <c r="C143" s="168"/>
      <c r="D143" s="168"/>
      <c r="E143" s="168"/>
      <c r="F143" s="168"/>
    </row>
    <row r="144" spans="1:6">
      <c r="A144" s="177" t="s">
        <v>451</v>
      </c>
      <c r="B144" s="177" t="s">
        <v>373</v>
      </c>
      <c r="C144" s="177" t="s">
        <v>374</v>
      </c>
      <c r="D144" s="168"/>
      <c r="E144" s="168"/>
      <c r="F144" s="168"/>
    </row>
    <row r="145" spans="1:6">
      <c r="A145" s="176" t="s">
        <v>463</v>
      </c>
      <c r="B145" s="176" t="s">
        <v>222</v>
      </c>
      <c r="C145" s="176" t="s">
        <v>464</v>
      </c>
      <c r="D145" s="168"/>
      <c r="E145" s="168"/>
      <c r="F145" s="168"/>
    </row>
    <row r="146" spans="1:6">
      <c r="A146" s="176" t="s">
        <v>465</v>
      </c>
      <c r="B146" s="176" t="s">
        <v>222</v>
      </c>
      <c r="C146" s="176" t="s">
        <v>466</v>
      </c>
      <c r="D146" s="168"/>
      <c r="E146" s="168"/>
      <c r="F146" s="168"/>
    </row>
    <row r="147" spans="1:6">
      <c r="A147" s="176" t="s">
        <v>467</v>
      </c>
      <c r="B147" s="176" t="s">
        <v>222</v>
      </c>
      <c r="C147" s="176" t="s">
        <v>468</v>
      </c>
      <c r="D147" s="168"/>
      <c r="E147" s="168"/>
      <c r="F147" s="168"/>
    </row>
    <row r="148" spans="1:6" ht="33">
      <c r="A148" s="176" t="s">
        <v>469</v>
      </c>
      <c r="B148" s="176" t="s">
        <v>287</v>
      </c>
      <c r="C148" s="176" t="s">
        <v>470</v>
      </c>
      <c r="D148" s="168"/>
      <c r="E148" s="168"/>
      <c r="F148" s="168"/>
    </row>
  </sheetData>
  <mergeCells count="1">
    <mergeCell ref="A1:F1"/>
  </mergeCells>
  <phoneticPr fontId="2"/>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B021B21-15AD-45AE-9E6F-E4538BEAB3F4}">
  <sheetPr codeName="Sheet4">
    <tabColor rgb="FFFFFF00"/>
  </sheetPr>
  <dimension ref="A1:A121"/>
  <sheetViews>
    <sheetView topLeftCell="A56" workbookViewId="0">
      <selection activeCell="A87" sqref="A87"/>
    </sheetView>
  </sheetViews>
  <sheetFormatPr defaultRowHeight="18.75"/>
  <cols>
    <col min="1" max="1" width="112.75" customWidth="1"/>
  </cols>
  <sheetData>
    <row r="1" spans="1:1" ht="30">
      <c r="A1" s="157" t="s">
        <v>471</v>
      </c>
    </row>
    <row r="2" spans="1:1" ht="30">
      <c r="A2" s="157" t="s">
        <v>168</v>
      </c>
    </row>
    <row r="4" spans="1:1" ht="24">
      <c r="A4" s="156" t="s">
        <v>472</v>
      </c>
    </row>
    <row r="5" spans="1:1" ht="24">
      <c r="A5" s="156" t="s">
        <v>473</v>
      </c>
    </row>
    <row r="7" spans="1:1" ht="24">
      <c r="A7" s="156" t="s">
        <v>474</v>
      </c>
    </row>
    <row r="8" spans="1:1" ht="24">
      <c r="A8" s="156" t="s">
        <v>475</v>
      </c>
    </row>
    <row r="9" spans="1:1" ht="24">
      <c r="A9" s="156" t="s">
        <v>476</v>
      </c>
    </row>
    <row r="10" spans="1:1" ht="24">
      <c r="A10" s="156" t="s">
        <v>477</v>
      </c>
    </row>
    <row r="11" spans="1:1" ht="24">
      <c r="A11" s="156" t="s">
        <v>478</v>
      </c>
    </row>
    <row r="13" spans="1:1">
      <c r="A13" t="s">
        <v>479</v>
      </c>
    </row>
    <row r="15" spans="1:1">
      <c r="A15" t="s">
        <v>480</v>
      </c>
    </row>
    <row r="17" spans="1:1">
      <c r="A17" t="s">
        <v>481</v>
      </c>
    </row>
    <row r="19" spans="1:1">
      <c r="A19" t="s">
        <v>482</v>
      </c>
    </row>
    <row r="21" spans="1:1">
      <c r="A21" t="s">
        <v>483</v>
      </c>
    </row>
    <row r="23" spans="1:1">
      <c r="A23" t="s">
        <v>479</v>
      </c>
    </row>
    <row r="25" spans="1:1">
      <c r="A25" t="s">
        <v>484</v>
      </c>
    </row>
    <row r="27" spans="1:1">
      <c r="A27" t="s">
        <v>485</v>
      </c>
    </row>
    <row r="29" spans="1:1">
      <c r="A29" t="s">
        <v>486</v>
      </c>
    </row>
    <row r="31" spans="1:1">
      <c r="A31" t="s">
        <v>479</v>
      </c>
    </row>
    <row r="33" spans="1:1">
      <c r="A33" t="s">
        <v>487</v>
      </c>
    </row>
    <row r="35" spans="1:1">
      <c r="A35" t="s">
        <v>488</v>
      </c>
    </row>
    <row r="37" spans="1:1">
      <c r="A37" t="s">
        <v>489</v>
      </c>
    </row>
    <row r="39" spans="1:1">
      <c r="A39" t="s">
        <v>490</v>
      </c>
    </row>
    <row r="41" spans="1:1">
      <c r="A41" t="s">
        <v>479</v>
      </c>
    </row>
    <row r="43" spans="1:1">
      <c r="A43" t="s">
        <v>491</v>
      </c>
    </row>
    <row r="45" spans="1:1">
      <c r="A45" t="s">
        <v>492</v>
      </c>
    </row>
    <row r="47" spans="1:1">
      <c r="A47" t="s">
        <v>479</v>
      </c>
    </row>
    <row r="49" spans="1:1">
      <c r="A49" t="s">
        <v>493</v>
      </c>
    </row>
    <row r="51" spans="1:1">
      <c r="A51" t="s">
        <v>494</v>
      </c>
    </row>
    <row r="53" spans="1:1">
      <c r="A53" t="s">
        <v>495</v>
      </c>
    </row>
    <row r="55" spans="1:1">
      <c r="A55" t="s">
        <v>479</v>
      </c>
    </row>
    <row r="57" spans="1:1">
      <c r="A57" t="s">
        <v>496</v>
      </c>
    </row>
    <row r="59" spans="1:1">
      <c r="A59" t="s">
        <v>497</v>
      </c>
    </row>
    <row r="61" spans="1:1">
      <c r="A61" t="s">
        <v>479</v>
      </c>
    </row>
    <row r="63" spans="1:1">
      <c r="A63" t="s">
        <v>498</v>
      </c>
    </row>
    <row r="65" spans="1:1">
      <c r="A65" t="s">
        <v>499</v>
      </c>
    </row>
    <row r="67" spans="1:1">
      <c r="A67" t="s">
        <v>500</v>
      </c>
    </row>
    <row r="69" spans="1:1">
      <c r="A69" t="s">
        <v>479</v>
      </c>
    </row>
    <row r="71" spans="1:1">
      <c r="A71" t="s">
        <v>501</v>
      </c>
    </row>
    <row r="73" spans="1:1">
      <c r="A73" t="s">
        <v>502</v>
      </c>
    </row>
    <row r="75" spans="1:1">
      <c r="A75" t="s">
        <v>479</v>
      </c>
    </row>
    <row r="77" spans="1:1">
      <c r="A77" t="s">
        <v>503</v>
      </c>
    </row>
    <row r="79" spans="1:1">
      <c r="A79" t="s">
        <v>504</v>
      </c>
    </row>
    <row r="81" spans="1:1">
      <c r="A81" t="s">
        <v>479</v>
      </c>
    </row>
    <row r="83" spans="1:1">
      <c r="A83" t="s">
        <v>505</v>
      </c>
    </row>
    <row r="85" spans="1:1">
      <c r="A85" t="s">
        <v>506</v>
      </c>
    </row>
    <row r="87" spans="1:1">
      <c r="A87" t="s">
        <v>507</v>
      </c>
    </row>
    <row r="89" spans="1:1">
      <c r="A89" t="s">
        <v>479</v>
      </c>
    </row>
    <row r="91" spans="1:1">
      <c r="A91" t="s">
        <v>508</v>
      </c>
    </row>
    <row r="93" spans="1:1">
      <c r="A93" t="s">
        <v>509</v>
      </c>
    </row>
    <row r="95" spans="1:1">
      <c r="A95" t="s">
        <v>510</v>
      </c>
    </row>
    <row r="97" spans="1:1">
      <c r="A97" t="s">
        <v>479</v>
      </c>
    </row>
    <row r="99" spans="1:1">
      <c r="A99" t="s">
        <v>511</v>
      </c>
    </row>
    <row r="101" spans="1:1">
      <c r="A101" t="s">
        <v>512</v>
      </c>
    </row>
    <row r="103" spans="1:1">
      <c r="A103" t="s">
        <v>479</v>
      </c>
    </row>
    <row r="105" spans="1:1">
      <c r="A105" t="s">
        <v>513</v>
      </c>
    </row>
    <row r="107" spans="1:1">
      <c r="A107" t="s">
        <v>514</v>
      </c>
    </row>
    <row r="109" spans="1:1">
      <c r="A109" t="s">
        <v>479</v>
      </c>
    </row>
    <row r="111" spans="1:1">
      <c r="A111" t="s">
        <v>515</v>
      </c>
    </row>
    <row r="113" spans="1:1">
      <c r="A113" t="s">
        <v>516</v>
      </c>
    </row>
    <row r="115" spans="1:1">
      <c r="A115" t="s">
        <v>517</v>
      </c>
    </row>
    <row r="117" spans="1:1">
      <c r="A117" t="s">
        <v>479</v>
      </c>
    </row>
    <row r="119" spans="1:1">
      <c r="A119" t="s">
        <v>518</v>
      </c>
    </row>
    <row r="121" spans="1:1">
      <c r="A121" t="s">
        <v>519</v>
      </c>
    </row>
  </sheetData>
  <phoneticPr fontId="2"/>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45CB9F1-B4E6-48A0-9681-54C45F59BF71}">
  <sheetPr codeName="Sheet3"/>
  <dimension ref="A1:AH37"/>
  <sheetViews>
    <sheetView topLeftCell="A11" workbookViewId="0">
      <selection activeCell="N14" sqref="N14"/>
    </sheetView>
  </sheetViews>
  <sheetFormatPr defaultRowHeight="18.75"/>
  <cols>
    <col min="1" max="1" width="8.25" style="94" customWidth="1"/>
    <col min="2" max="16" width="9.625" customWidth="1"/>
    <col min="18" max="19" width="5.125" customWidth="1"/>
    <col min="21" max="22" width="6.625" customWidth="1"/>
    <col min="23" max="23" width="8.625" style="150" customWidth="1"/>
    <col min="25" max="25" width="20.625" customWidth="1"/>
  </cols>
  <sheetData>
    <row r="1" spans="1:27" s="108" customFormat="1" ht="38.25">
      <c r="A1" s="109"/>
      <c r="B1" s="109" t="s">
        <v>520</v>
      </c>
      <c r="C1" s="110" t="s">
        <v>521</v>
      </c>
      <c r="D1" s="110" t="s">
        <v>522</v>
      </c>
      <c r="E1" s="110" t="s">
        <v>428</v>
      </c>
      <c r="F1" s="110" t="s">
        <v>312</v>
      </c>
      <c r="G1" s="110" t="s">
        <v>430</v>
      </c>
      <c r="H1" s="110" t="s">
        <v>433</v>
      </c>
      <c r="I1" s="110" t="s">
        <v>435</v>
      </c>
      <c r="J1" s="110" t="s">
        <v>437</v>
      </c>
      <c r="K1" s="110" t="s">
        <v>439</v>
      </c>
      <c r="L1" s="110" t="s">
        <v>434</v>
      </c>
      <c r="M1" s="110" t="s">
        <v>431</v>
      </c>
      <c r="N1" s="110" t="s">
        <v>443</v>
      </c>
      <c r="O1" s="110" t="s">
        <v>523</v>
      </c>
      <c r="P1" s="110" t="s">
        <v>447</v>
      </c>
      <c r="R1" s="111" t="s">
        <v>524</v>
      </c>
      <c r="S1" s="111" t="s">
        <v>525</v>
      </c>
      <c r="U1" s="109" t="s">
        <v>526</v>
      </c>
      <c r="V1" s="109" t="s">
        <v>527</v>
      </c>
      <c r="W1" s="151" t="s">
        <v>528</v>
      </c>
      <c r="Y1" s="109" t="s">
        <v>10</v>
      </c>
      <c r="Z1" s="109" t="s">
        <v>529</v>
      </c>
      <c r="AA1" s="154" t="s">
        <v>74</v>
      </c>
    </row>
    <row r="2" spans="1:27">
      <c r="A2" s="96">
        <v>1</v>
      </c>
      <c r="B2" s="112">
        <f ca="1">SUM(C2:D2)</f>
        <v>116</v>
      </c>
      <c r="C2" s="1" cm="1">
        <f t="array" aca="1" ref="C2" ca="1">INDIRECT(A2&amp;"!J15")</f>
        <v>79</v>
      </c>
      <c r="D2" s="1" cm="1">
        <f t="array" aca="1" ref="D2" ca="1">INDIRECT(A2&amp;"!W15")</f>
        <v>37</v>
      </c>
      <c r="E2" s="1" cm="1">
        <f t="array" aca="1" ref="E2" ca="1">INDIRECT(A2&amp;"!I10")</f>
        <v>3</v>
      </c>
      <c r="F2" s="1" cm="1">
        <f t="array" aca="1" ref="F2" ca="1">INDIRECT(A2&amp;"!U10")</f>
        <v>0</v>
      </c>
      <c r="G2" s="1" cm="1">
        <f t="array" aca="1" ref="G2" ca="1">INDIRECT(A2&amp;"!AG10")</f>
        <v>0</v>
      </c>
      <c r="H2" s="1" cm="1">
        <f t="array" aca="1" ref="H2" ca="1">INDIRECT(A2&amp;"!I11")</f>
        <v>0</v>
      </c>
      <c r="I2" s="1" cm="1">
        <f t="array" aca="1" ref="I2" ca="1">INDIRECT(A2&amp;"!U11")</f>
        <v>0</v>
      </c>
      <c r="J2" s="1" cm="1">
        <f t="array" aca="1" ref="J2" ca="1">INDIRECT(A2&amp;"!AG11")</f>
        <v>0</v>
      </c>
      <c r="K2" s="1" cm="1">
        <f t="array" aca="1" ref="K2" ca="1">INDIRECT(A2&amp;"!I12")</f>
        <v>0</v>
      </c>
      <c r="L2" s="1" cm="1">
        <f t="array" aca="1" ref="L2" ca="1">INDIRECT(A2&amp;"!U12")</f>
        <v>0</v>
      </c>
      <c r="M2" s="1" cm="1">
        <f t="array" aca="1" ref="M2" ca="1">INDIRECT(A2&amp;"!AG12")</f>
        <v>0</v>
      </c>
      <c r="N2" s="1" cm="1">
        <f t="array" aca="1" ref="N2" ca="1">INDIRECT(A2&amp;"!I13")</f>
        <v>0</v>
      </c>
      <c r="O2" s="1" cm="1">
        <f t="array" aca="1" ref="O2" ca="1">INDIRECT(A2&amp;"!U13")</f>
        <v>0</v>
      </c>
      <c r="P2" s="1" cm="1">
        <f t="array" aca="1" ref="P2" ca="1">INDIRECT(A2&amp;"!AG13")</f>
        <v>1</v>
      </c>
      <c r="R2" s="96" t="str" cm="1">
        <f t="array" aca="1" ref="R2" ca="1">INDIRECT(A2&amp;"!V7")</f>
        <v>晴</v>
      </c>
      <c r="S2" s="96" t="str" cm="1">
        <f t="array" aca="1" ref="S2" ca="1">INDIRECT(A2&amp;"!V8")</f>
        <v>薄曇</v>
      </c>
      <c r="T2" s="94">
        <v>1</v>
      </c>
      <c r="U2" s="96" cm="1">
        <f t="array" aca="1" ref="U2" ca="1">INDIRECT($A2&amp;"!AU39")</f>
        <v>32</v>
      </c>
      <c r="V2" s="96" cm="1">
        <f t="array" aca="1" ref="V2" ca="1">INDIRECT($A2&amp;"!AU40")</f>
        <v>32</v>
      </c>
      <c r="W2" s="166" cm="1">
        <f t="array" aca="1" ref="W2" ca="1">INDIRECT($A2&amp;"!AV40")</f>
        <v>0.58160000000000001</v>
      </c>
      <c r="Y2" s="96" cm="1">
        <f t="array" aca="1" ref="Y2" ca="1">INDIRECT($A2&amp;"!AU22")</f>
        <v>0</v>
      </c>
      <c r="Z2" s="96" cm="1">
        <f t="array" aca="1" ref="Z2" ca="1">INDIRECT($A2&amp;"!AU23")</f>
        <v>0</v>
      </c>
      <c r="AA2" s="96" t="str" cm="1">
        <f t="array" aca="1" ref="AA2" ca="1">INDIRECT($A2&amp;"!AW23")</f>
        <v>-</v>
      </c>
    </row>
    <row r="3" spans="1:27">
      <c r="A3" s="96">
        <v>2</v>
      </c>
      <c r="B3" s="112">
        <f t="shared" ref="B3:B31" ca="1" si="0">SUM(C3:D3)</f>
        <v>94</v>
      </c>
      <c r="C3" s="1" cm="1">
        <f t="array" aca="1" ref="C3" ca="1">INDIRECT(A3&amp;"!J15")</f>
        <v>60</v>
      </c>
      <c r="D3" s="1" cm="1">
        <f t="array" aca="1" ref="D3" ca="1">INDIRECT(A3&amp;"!W15")</f>
        <v>34</v>
      </c>
      <c r="E3" s="1" cm="1">
        <f t="array" aca="1" ref="E3" ca="1">INDIRECT(A3&amp;"!I10")</f>
        <v>0</v>
      </c>
      <c r="F3" s="1" cm="1">
        <f t="array" aca="1" ref="F3" ca="1">INDIRECT(A3&amp;"!U10")</f>
        <v>0</v>
      </c>
      <c r="G3" s="1" cm="1">
        <f t="array" aca="1" ref="G3" ca="1">INDIRECT(A3&amp;"!AG10")</f>
        <v>0</v>
      </c>
      <c r="H3" s="1" cm="1">
        <f t="array" aca="1" ref="H3" ca="1">INDIRECT(A3&amp;"!I11")</f>
        <v>0</v>
      </c>
      <c r="I3" s="1" cm="1">
        <f t="array" aca="1" ref="I3" ca="1">INDIRECT(A3&amp;"!U11")</f>
        <v>0</v>
      </c>
      <c r="J3" s="1" cm="1">
        <f t="array" aca="1" ref="J3" ca="1">INDIRECT(A3&amp;"!AG11")</f>
        <v>0</v>
      </c>
      <c r="K3" s="1" cm="1">
        <f t="array" aca="1" ref="K3" ca="1">INDIRECT(A3&amp;"!I12")</f>
        <v>0</v>
      </c>
      <c r="L3" s="1" cm="1">
        <f t="array" aca="1" ref="L3" ca="1">INDIRECT(A3&amp;"!U12")</f>
        <v>0</v>
      </c>
      <c r="M3" s="1" cm="1">
        <f t="array" aca="1" ref="M3" ca="1">INDIRECT(A3&amp;"!AG12")</f>
        <v>0</v>
      </c>
      <c r="N3" s="1" cm="1">
        <f t="array" aca="1" ref="N3" ca="1">INDIRECT(A3&amp;"!I13")</f>
        <v>0</v>
      </c>
      <c r="O3" s="1" cm="1">
        <f t="array" aca="1" ref="O3" ca="1">INDIRECT(A3&amp;"!U13")</f>
        <v>0</v>
      </c>
      <c r="P3" s="1" cm="1">
        <f t="array" aca="1" ref="P3" ca="1">INDIRECT(A3&amp;"!AG13")</f>
        <v>0</v>
      </c>
      <c r="R3" s="96" t="str" cm="1">
        <f t="array" aca="1" ref="R3" ca="1">INDIRECT(A3&amp;"!V7")</f>
        <v>曇</v>
      </c>
      <c r="S3" s="96" t="str" cm="1">
        <f t="array" aca="1" ref="S3" ca="1">INDIRECT(A3&amp;"!V8")</f>
        <v>雨</v>
      </c>
      <c r="T3" s="94">
        <v>2</v>
      </c>
      <c r="U3" s="96" cm="1">
        <f t="array" aca="1" ref="U3" ca="1">INDIRECT($A3&amp;"!AU39")</f>
        <v>33</v>
      </c>
      <c r="V3" s="96" cm="1">
        <f t="array" aca="1" ref="V3" ca="1">INDIRECT($A3&amp;"!AU40")</f>
        <v>21</v>
      </c>
      <c r="W3" s="166" cm="1">
        <f t="array" aca="1" ref="W3" ca="1">INDIRECT($A3&amp;"!AV40")</f>
        <v>0.72450000000000003</v>
      </c>
      <c r="Y3" s="96" cm="1">
        <f t="array" aca="1" ref="Y3" ca="1">INDIRECT($A3&amp;"!AU22")</f>
        <v>0</v>
      </c>
      <c r="Z3" s="96" cm="1">
        <f t="array" aca="1" ref="Z3" ca="1">INDIRECT($A3&amp;"!AU23")</f>
        <v>0</v>
      </c>
      <c r="AA3" s="96" t="str" cm="1">
        <f t="array" aca="1" ref="AA3" ca="1">INDIRECT($A3&amp;"!AW23")</f>
        <v>-</v>
      </c>
    </row>
    <row r="4" spans="1:27">
      <c r="A4" s="96">
        <v>3</v>
      </c>
      <c r="B4" s="112">
        <f t="shared" ca="1" si="0"/>
        <v>84</v>
      </c>
      <c r="C4" s="1" cm="1">
        <f t="array" aca="1" ref="C4" ca="1">INDIRECT(A4&amp;"!J15")</f>
        <v>35</v>
      </c>
      <c r="D4" s="1" cm="1">
        <f t="array" aca="1" ref="D4" ca="1">INDIRECT(A4&amp;"!W15")</f>
        <v>49</v>
      </c>
      <c r="E4" s="1" cm="1">
        <f t="array" aca="1" ref="E4" ca="1">INDIRECT(A4&amp;"!I10")</f>
        <v>4</v>
      </c>
      <c r="F4" s="1" cm="1">
        <f t="array" aca="1" ref="F4" ca="1">INDIRECT(A4&amp;"!U10")</f>
        <v>0</v>
      </c>
      <c r="G4" s="1" cm="1">
        <f t="array" aca="1" ref="G4" ca="1">INDIRECT(A4&amp;"!AG10")</f>
        <v>1</v>
      </c>
      <c r="H4" s="1" cm="1">
        <f t="array" aca="1" ref="H4" ca="1">INDIRECT(A4&amp;"!I11")</f>
        <v>0</v>
      </c>
      <c r="I4" s="1" cm="1">
        <f t="array" aca="1" ref="I4" ca="1">INDIRECT(A4&amp;"!U11")</f>
        <v>0</v>
      </c>
      <c r="J4" s="1" cm="1">
        <f t="array" aca="1" ref="J4" ca="1">INDIRECT(A4&amp;"!AG11")</f>
        <v>0</v>
      </c>
      <c r="K4" s="1" cm="1">
        <f t="array" aca="1" ref="K4" ca="1">INDIRECT(A4&amp;"!I12")</f>
        <v>0</v>
      </c>
      <c r="L4" s="1" cm="1">
        <f t="array" aca="1" ref="L4" ca="1">INDIRECT(A4&amp;"!U12")</f>
        <v>0</v>
      </c>
      <c r="M4" s="1" cm="1">
        <f t="array" aca="1" ref="M4" ca="1">INDIRECT(A4&amp;"!AG12")</f>
        <v>0</v>
      </c>
      <c r="N4" s="1" cm="1">
        <f t="array" aca="1" ref="N4" ca="1">INDIRECT(A4&amp;"!I13")</f>
        <v>0</v>
      </c>
      <c r="O4" s="1" cm="1">
        <f t="array" aca="1" ref="O4" ca="1">INDIRECT(A4&amp;"!U13")</f>
        <v>0</v>
      </c>
      <c r="P4" s="1" cm="1">
        <f t="array" aca="1" ref="P4" ca="1">INDIRECT(A4&amp;"!AG13")</f>
        <v>0</v>
      </c>
      <c r="R4" s="96" t="str" cm="1">
        <f t="array" aca="1" ref="R4" ca="1">INDIRECT(A4&amp;"!V7")</f>
        <v>雨</v>
      </c>
      <c r="S4" s="96" t="str" cm="1">
        <f t="array" aca="1" ref="S4" ca="1">INDIRECT(A4&amp;"!V8")</f>
        <v>晴</v>
      </c>
      <c r="T4" s="94">
        <v>3</v>
      </c>
      <c r="U4" s="96" cm="1">
        <f t="array" aca="1" ref="U4" ca="1">INDIRECT($A4&amp;"!AU39")</f>
        <v>37</v>
      </c>
      <c r="V4" s="96" cm="1">
        <f t="array" aca="1" ref="V4" ca="1">INDIRECT($A4&amp;"!AU40")</f>
        <v>33</v>
      </c>
      <c r="W4" s="166" cm="1">
        <f t="array" aca="1" ref="W4" ca="1">INDIRECT($A4&amp;"!AV40")</f>
        <v>0.77549999999999997</v>
      </c>
      <c r="Y4" s="96" cm="1">
        <f t="array" aca="1" ref="Y4" ca="1">INDIRECT($A4&amp;"!AU22")</f>
        <v>0</v>
      </c>
      <c r="Z4" s="96" cm="1">
        <f t="array" aca="1" ref="Z4" ca="1">INDIRECT($A4&amp;"!AU23")</f>
        <v>0</v>
      </c>
      <c r="AA4" s="96" t="str" cm="1">
        <f t="array" aca="1" ref="AA4" ca="1">INDIRECT($A4&amp;"!AW23")</f>
        <v>-</v>
      </c>
    </row>
    <row r="5" spans="1:27">
      <c r="A5" s="96">
        <v>4</v>
      </c>
      <c r="B5" s="112">
        <f t="shared" ca="1" si="0"/>
        <v>121</v>
      </c>
      <c r="C5" s="1" cm="1">
        <f t="array" aca="1" ref="C5" ca="1">INDIRECT(A5&amp;"!J15")</f>
        <v>77</v>
      </c>
      <c r="D5" s="1" cm="1">
        <f t="array" aca="1" ref="D5" ca="1">INDIRECT(A5&amp;"!W15")</f>
        <v>44</v>
      </c>
      <c r="E5" s="1" cm="1">
        <f t="array" aca="1" ref="E5" ca="1">INDIRECT(A5&amp;"!I10")</f>
        <v>6</v>
      </c>
      <c r="F5" s="1" cm="1">
        <f t="array" aca="1" ref="F5" ca="1">INDIRECT(A5&amp;"!U10")</f>
        <v>0</v>
      </c>
      <c r="G5" s="1" cm="1">
        <f t="array" aca="1" ref="G5" ca="1">INDIRECT(A5&amp;"!AG10")</f>
        <v>0</v>
      </c>
      <c r="H5" s="1" cm="1">
        <f t="array" aca="1" ref="H5" ca="1">INDIRECT(A5&amp;"!I11")</f>
        <v>0</v>
      </c>
      <c r="I5" s="1" cm="1">
        <f t="array" aca="1" ref="I5" ca="1">INDIRECT(A5&amp;"!U11")</f>
        <v>0</v>
      </c>
      <c r="J5" s="1" cm="1">
        <f t="array" aca="1" ref="J5" ca="1">INDIRECT(A5&amp;"!AG11")</f>
        <v>0</v>
      </c>
      <c r="K5" s="1" cm="1">
        <f t="array" aca="1" ref="K5" ca="1">INDIRECT(A5&amp;"!I12")</f>
        <v>0</v>
      </c>
      <c r="L5" s="1" cm="1">
        <f t="array" aca="1" ref="L5" ca="1">INDIRECT(A5&amp;"!U12")</f>
        <v>1</v>
      </c>
      <c r="M5" s="1" cm="1">
        <f t="array" aca="1" ref="M5" ca="1">INDIRECT(A5&amp;"!AG12")</f>
        <v>1</v>
      </c>
      <c r="N5" s="1" cm="1">
        <f t="array" aca="1" ref="N5" ca="1">INDIRECT(A5&amp;"!I13")</f>
        <v>0</v>
      </c>
      <c r="O5" s="1" cm="1">
        <f t="array" aca="1" ref="O5" ca="1">INDIRECT(A5&amp;"!U13")</f>
        <v>0</v>
      </c>
      <c r="P5" s="1" cm="1">
        <f t="array" aca="1" ref="P5" ca="1">INDIRECT(A5&amp;"!AG13")</f>
        <v>0</v>
      </c>
      <c r="R5" s="96" t="str" cm="1">
        <f t="array" aca="1" ref="R5" ca="1">INDIRECT(A5&amp;"!V7")</f>
        <v>曇</v>
      </c>
      <c r="S5" s="96" t="str" cm="1">
        <f t="array" aca="1" ref="S5" ca="1">INDIRECT(A5&amp;"!V8")</f>
        <v>曇</v>
      </c>
      <c r="T5" s="94">
        <v>4</v>
      </c>
      <c r="U5" s="96" cm="1">
        <f t="array" aca="1" ref="U5" ca="1">INDIRECT($A5&amp;"!AU39")</f>
        <v>30</v>
      </c>
      <c r="V5" s="96" cm="1">
        <f t="array" aca="1" ref="V5" ca="1">INDIRECT($A5&amp;"!AU40")</f>
        <v>37</v>
      </c>
      <c r="W5" s="166" cm="1">
        <f t="array" aca="1" ref="W5" ca="1">INDIRECT($A5&amp;"!AV40")</f>
        <v>0.68369999999999997</v>
      </c>
      <c r="Y5" s="96" cm="1">
        <f t="array" aca="1" ref="Y5" ca="1">INDIRECT($A5&amp;"!AU22")</f>
        <v>0</v>
      </c>
      <c r="Z5" s="96" cm="1">
        <f t="array" aca="1" ref="Z5" ca="1">INDIRECT($A5&amp;"!AU23")</f>
        <v>0</v>
      </c>
      <c r="AA5" s="96" t="str" cm="1">
        <f t="array" aca="1" ref="AA5" ca="1">INDIRECT($A5&amp;"!AW23")</f>
        <v>-</v>
      </c>
    </row>
    <row r="6" spans="1:27">
      <c r="A6" s="96">
        <v>5</v>
      </c>
      <c r="B6" s="112">
        <f t="shared" ca="1" si="0"/>
        <v>101</v>
      </c>
      <c r="C6" s="1" cm="1">
        <f t="array" aca="1" ref="C6" ca="1">INDIRECT(A6&amp;"!J15")</f>
        <v>61</v>
      </c>
      <c r="D6" s="1" cm="1">
        <f t="array" aca="1" ref="D6" ca="1">INDIRECT(A6&amp;"!W15")</f>
        <v>40</v>
      </c>
      <c r="E6" s="1" cm="1">
        <f t="array" aca="1" ref="E6" ca="1">INDIRECT(A6&amp;"!I10")</f>
        <v>3</v>
      </c>
      <c r="F6" s="1" cm="1">
        <f t="array" aca="1" ref="F6" ca="1">INDIRECT(A6&amp;"!U10")</f>
        <v>0</v>
      </c>
      <c r="G6" s="1" cm="1">
        <f t="array" aca="1" ref="G6" ca="1">INDIRECT(A6&amp;"!AG10")</f>
        <v>0</v>
      </c>
      <c r="H6" s="1" cm="1">
        <f t="array" aca="1" ref="H6" ca="1">INDIRECT(A6&amp;"!I11")</f>
        <v>0</v>
      </c>
      <c r="I6" s="1" cm="1">
        <f t="array" aca="1" ref="I6" ca="1">INDIRECT(A6&amp;"!U11")</f>
        <v>1</v>
      </c>
      <c r="J6" s="1" cm="1">
        <f t="array" aca="1" ref="J6" ca="1">INDIRECT(A6&amp;"!AG11")</f>
        <v>0</v>
      </c>
      <c r="K6" s="1" cm="1">
        <f t="array" aca="1" ref="K6" ca="1">INDIRECT(A6&amp;"!I12")</f>
        <v>0</v>
      </c>
      <c r="L6" s="1" cm="1">
        <f t="array" aca="1" ref="L6" ca="1">INDIRECT(A6&amp;"!U12")</f>
        <v>1</v>
      </c>
      <c r="M6" s="1" cm="1">
        <f t="array" aca="1" ref="M6" ca="1">INDIRECT(A6&amp;"!AG12")</f>
        <v>1</v>
      </c>
      <c r="N6" s="1" cm="1">
        <f t="array" aca="1" ref="N6" ca="1">INDIRECT(A6&amp;"!I13")</f>
        <v>0</v>
      </c>
      <c r="O6" s="1" cm="1">
        <f t="array" aca="1" ref="O6" ca="1">INDIRECT(A6&amp;"!U13")</f>
        <v>0</v>
      </c>
      <c r="P6" s="1" cm="1">
        <f t="array" aca="1" ref="P6" ca="1">INDIRECT(A6&amp;"!AG13")</f>
        <v>4</v>
      </c>
      <c r="R6" s="96" t="str" cm="1">
        <f t="array" aca="1" ref="R6" ca="1">INDIRECT(A6&amp;"!V7")</f>
        <v>曇</v>
      </c>
      <c r="S6" s="96" t="str" cm="1">
        <f t="array" aca="1" ref="S6" ca="1">INDIRECT(A6&amp;"!V8")</f>
        <v>曇</v>
      </c>
      <c r="T6" s="94">
        <v>5</v>
      </c>
      <c r="U6" s="96" cm="1">
        <f t="array" aca="1" ref="U6" ca="1">INDIRECT($A6&amp;"!AU39")</f>
        <v>29</v>
      </c>
      <c r="V6" s="96" cm="1">
        <f t="array" aca="1" ref="V6" ca="1">INDIRECT($A6&amp;"!AU40")</f>
        <v>38</v>
      </c>
      <c r="W6" s="166" cm="1">
        <f t="array" aca="1" ref="W6" ca="1">INDIRECT($A6&amp;"!AV40")</f>
        <v>0.65310000000000001</v>
      </c>
      <c r="Y6" s="96" cm="1">
        <f t="array" aca="1" ref="Y6" ca="1">INDIRECT($A6&amp;"!AU22")</f>
        <v>0</v>
      </c>
      <c r="Z6" s="96" cm="1">
        <f t="array" aca="1" ref="Z6" ca="1">INDIRECT($A6&amp;"!AU23")</f>
        <v>0</v>
      </c>
      <c r="AA6" s="96" t="str" cm="1">
        <f t="array" aca="1" ref="AA6" ca="1">INDIRECT($A6&amp;"!AW23")</f>
        <v>-</v>
      </c>
    </row>
    <row r="7" spans="1:27">
      <c r="A7" s="96">
        <v>6</v>
      </c>
      <c r="B7" s="112">
        <f t="shared" ca="1" si="0"/>
        <v>0</v>
      </c>
      <c r="C7" s="1" cm="1">
        <f t="array" aca="1" ref="C7" ca="1">INDIRECT(A7&amp;"!J15")</f>
        <v>0</v>
      </c>
      <c r="D7" s="1" cm="1">
        <f t="array" aca="1" ref="D7" ca="1">INDIRECT(A7&amp;"!W15")</f>
        <v>0</v>
      </c>
      <c r="E7" s="1" cm="1">
        <f t="array" aca="1" ref="E7" ca="1">INDIRECT(A7&amp;"!I10")</f>
        <v>0</v>
      </c>
      <c r="F7" s="1" cm="1">
        <f t="array" aca="1" ref="F7" ca="1">INDIRECT(A7&amp;"!U10")</f>
        <v>0</v>
      </c>
      <c r="G7" s="1" cm="1">
        <f t="array" aca="1" ref="G7" ca="1">INDIRECT(A7&amp;"!AG10")</f>
        <v>0</v>
      </c>
      <c r="H7" s="1" cm="1">
        <f t="array" aca="1" ref="H7" ca="1">INDIRECT(A7&amp;"!I11")</f>
        <v>0</v>
      </c>
      <c r="I7" s="1" cm="1">
        <f t="array" aca="1" ref="I7" ca="1">INDIRECT(A7&amp;"!U11")</f>
        <v>0</v>
      </c>
      <c r="J7" s="1" cm="1">
        <f t="array" aca="1" ref="J7" ca="1">INDIRECT(A7&amp;"!AG11")</f>
        <v>0</v>
      </c>
      <c r="K7" s="1" cm="1">
        <f t="array" aca="1" ref="K7" ca="1">INDIRECT(A7&amp;"!I12")</f>
        <v>0</v>
      </c>
      <c r="L7" s="1" cm="1">
        <f t="array" aca="1" ref="L7" ca="1">INDIRECT(A7&amp;"!U12")</f>
        <v>0</v>
      </c>
      <c r="M7" s="1" cm="1">
        <f t="array" aca="1" ref="M7" ca="1">INDIRECT(A7&amp;"!AG12")</f>
        <v>0</v>
      </c>
      <c r="N7" s="1" cm="1">
        <f t="array" aca="1" ref="N7" ca="1">INDIRECT(A7&amp;"!I13")</f>
        <v>0</v>
      </c>
      <c r="O7" s="1" cm="1">
        <f t="array" aca="1" ref="O7" ca="1">INDIRECT(A7&amp;"!U13")</f>
        <v>0</v>
      </c>
      <c r="P7" s="1" cm="1">
        <f t="array" aca="1" ref="P7" ca="1">INDIRECT(A7&amp;"!AG13")</f>
        <v>0</v>
      </c>
      <c r="R7" s="96" t="str" cm="1">
        <f t="array" aca="1" ref="R7" ca="1">INDIRECT(A7&amp;"!V7")</f>
        <v>曇</v>
      </c>
      <c r="S7" s="96" t="str" cm="1">
        <f t="array" aca="1" ref="S7" ca="1">INDIRECT(A7&amp;"!V8")</f>
        <v>曇</v>
      </c>
      <c r="T7" s="94">
        <v>6</v>
      </c>
      <c r="U7" s="96" cm="1">
        <f t="array" aca="1" ref="U7" ca="1">INDIRECT($A7&amp;"!AU39")</f>
        <v>38</v>
      </c>
      <c r="V7" s="96" cm="1">
        <f t="array" aca="1" ref="V7" ca="1">INDIRECT($A7&amp;"!AU40")</f>
        <v>35</v>
      </c>
      <c r="W7" s="166" cm="1">
        <f t="array" aca="1" ref="W7" ca="1">INDIRECT($A7&amp;"!AV40")</f>
        <v>0.69389999999999996</v>
      </c>
      <c r="Y7" s="96" cm="1">
        <f t="array" aca="1" ref="Y7" ca="1">INDIRECT($A7&amp;"!AU22")</f>
        <v>0</v>
      </c>
      <c r="Z7" s="96" cm="1">
        <f t="array" aca="1" ref="Z7" ca="1">INDIRECT($A7&amp;"!AU23")</f>
        <v>0</v>
      </c>
      <c r="AA7" s="96" t="str" cm="1">
        <f t="array" aca="1" ref="AA7" ca="1">INDIRECT($A7&amp;"!AW23")</f>
        <v>-</v>
      </c>
    </row>
    <row r="8" spans="1:27">
      <c r="A8" s="96">
        <v>7</v>
      </c>
      <c r="B8" s="112">
        <f t="shared" ca="1" si="0"/>
        <v>45</v>
      </c>
      <c r="C8" s="1" cm="1">
        <f t="array" aca="1" ref="C8" ca="1">INDIRECT(A8&amp;"!J15")</f>
        <v>6</v>
      </c>
      <c r="D8" s="1" cm="1">
        <f t="array" aca="1" ref="D8" ca="1">INDIRECT(A8&amp;"!W15")</f>
        <v>39</v>
      </c>
      <c r="E8" s="1" cm="1">
        <f t="array" aca="1" ref="E8" ca="1">INDIRECT(A8&amp;"!I10")</f>
        <v>2</v>
      </c>
      <c r="F8" s="1" cm="1">
        <f t="array" aca="1" ref="F8" ca="1">INDIRECT(A8&amp;"!U10")</f>
        <v>0</v>
      </c>
      <c r="G8" s="1" cm="1">
        <f t="array" aca="1" ref="G8" ca="1">INDIRECT(A8&amp;"!AG10")</f>
        <v>0</v>
      </c>
      <c r="H8" s="1" cm="1">
        <f t="array" aca="1" ref="H8" ca="1">INDIRECT(A8&amp;"!I11")</f>
        <v>0</v>
      </c>
      <c r="I8" s="1" cm="1">
        <f t="array" aca="1" ref="I8" ca="1">INDIRECT(A8&amp;"!U11")</f>
        <v>0</v>
      </c>
      <c r="J8" s="1" cm="1">
        <f t="array" aca="1" ref="J8" ca="1">INDIRECT(A8&amp;"!AG11")</f>
        <v>0</v>
      </c>
      <c r="K8" s="1" cm="1">
        <f t="array" aca="1" ref="K8" ca="1">INDIRECT(A8&amp;"!I12")</f>
        <v>0</v>
      </c>
      <c r="L8" s="1" cm="1">
        <f t="array" aca="1" ref="L8" ca="1">INDIRECT(A8&amp;"!U12")</f>
        <v>0</v>
      </c>
      <c r="M8" s="1" cm="1">
        <f t="array" aca="1" ref="M8" ca="1">INDIRECT(A8&amp;"!AG12")</f>
        <v>0</v>
      </c>
      <c r="N8" s="1" cm="1">
        <f t="array" aca="1" ref="N8" ca="1">INDIRECT(A8&amp;"!I13")</f>
        <v>0</v>
      </c>
      <c r="O8" s="1" cm="1">
        <f t="array" aca="1" ref="O8" ca="1">INDIRECT(A8&amp;"!U13")</f>
        <v>0</v>
      </c>
      <c r="P8" s="1" cm="1">
        <f t="array" aca="1" ref="P8" ca="1">INDIRECT(A8&amp;"!AG13")</f>
        <v>0</v>
      </c>
      <c r="R8" s="96" t="str" cm="1">
        <f t="array" aca="1" ref="R8" ca="1">INDIRECT(A8&amp;"!V7")</f>
        <v>曇</v>
      </c>
      <c r="S8" s="96" t="str" cm="1">
        <f t="array" aca="1" ref="S8" ca="1">INDIRECT(A8&amp;"!V8")</f>
        <v>雨</v>
      </c>
      <c r="T8" s="94">
        <v>7</v>
      </c>
      <c r="U8" s="96" cm="1">
        <f t="array" aca="1" ref="U8" ca="1">INDIRECT($A8&amp;"!AU39")</f>
        <v>26</v>
      </c>
      <c r="V8" s="96" cm="1">
        <f t="array" aca="1" ref="V8" ca="1">INDIRECT($A8&amp;"!AU40")</f>
        <v>27</v>
      </c>
      <c r="W8" s="166" cm="1">
        <f t="array" aca="1" ref="W8" ca="1">INDIRECT($A8&amp;"!AV40")</f>
        <v>0.68369999999999997</v>
      </c>
      <c r="Y8" s="96" cm="1">
        <f t="array" aca="1" ref="Y8" ca="1">INDIRECT($A8&amp;"!AU22")</f>
        <v>0</v>
      </c>
      <c r="Z8" s="96" cm="1">
        <f t="array" aca="1" ref="Z8" ca="1">INDIRECT($A8&amp;"!AU23")</f>
        <v>0</v>
      </c>
      <c r="AA8" s="96" t="str" cm="1">
        <f t="array" aca="1" ref="AA8" ca="1">INDIRECT($A8&amp;"!AW23")</f>
        <v>-</v>
      </c>
    </row>
    <row r="9" spans="1:27">
      <c r="A9" s="96">
        <v>8</v>
      </c>
      <c r="B9" s="112">
        <f t="shared" ca="1" si="0"/>
        <v>99</v>
      </c>
      <c r="C9" s="1" cm="1">
        <f t="array" aca="1" ref="C9" ca="1">INDIRECT(A9&amp;"!J15")</f>
        <v>61</v>
      </c>
      <c r="D9" s="1" cm="1">
        <f t="array" aca="1" ref="D9" ca="1">INDIRECT(A9&amp;"!W15")</f>
        <v>38</v>
      </c>
      <c r="E9" s="1" cm="1">
        <f t="array" aca="1" ref="E9" ca="1">INDIRECT(A9&amp;"!I10")</f>
        <v>2</v>
      </c>
      <c r="F9" s="1" cm="1">
        <f t="array" aca="1" ref="F9" ca="1">INDIRECT(A9&amp;"!U10")</f>
        <v>0</v>
      </c>
      <c r="G9" s="1" cm="1">
        <f t="array" aca="1" ref="G9" ca="1">INDIRECT(A9&amp;"!AG10")</f>
        <v>0</v>
      </c>
      <c r="H9" s="1" cm="1">
        <f t="array" aca="1" ref="H9" ca="1">INDIRECT(A9&amp;"!I11")</f>
        <v>0</v>
      </c>
      <c r="I9" s="1" cm="1">
        <f t="array" aca="1" ref="I9" ca="1">INDIRECT(A9&amp;"!U11")</f>
        <v>0</v>
      </c>
      <c r="J9" s="1" cm="1">
        <f t="array" aca="1" ref="J9" ca="1">INDIRECT(A9&amp;"!AG11")</f>
        <v>0</v>
      </c>
      <c r="K9" s="1" cm="1">
        <f t="array" aca="1" ref="K9" ca="1">INDIRECT(A9&amp;"!I12")</f>
        <v>0</v>
      </c>
      <c r="L9" s="1" cm="1">
        <f t="array" aca="1" ref="L9" ca="1">INDIRECT(A9&amp;"!U12")</f>
        <v>0</v>
      </c>
      <c r="M9" s="1" cm="1">
        <f t="array" aca="1" ref="M9" ca="1">INDIRECT(A9&amp;"!AG12")</f>
        <v>0</v>
      </c>
      <c r="N9" s="1" cm="1">
        <f t="array" aca="1" ref="N9" ca="1">INDIRECT(A9&amp;"!I13")</f>
        <v>0</v>
      </c>
      <c r="O9" s="1" cm="1">
        <f t="array" aca="1" ref="O9" ca="1">INDIRECT(A9&amp;"!U13")</f>
        <v>0</v>
      </c>
      <c r="P9" s="1" cm="1">
        <f t="array" aca="1" ref="P9" ca="1">INDIRECT(A9&amp;"!AG13")</f>
        <v>0</v>
      </c>
      <c r="R9" s="96" t="str" cm="1">
        <f t="array" aca="1" ref="R9" ca="1">INDIRECT(A9&amp;"!V7")</f>
        <v>雨</v>
      </c>
      <c r="S9" s="96" t="str" cm="1">
        <f t="array" aca="1" ref="S9" ca="1">INDIRECT(A9&amp;"!V8")</f>
        <v>曇</v>
      </c>
      <c r="T9" s="94">
        <v>8</v>
      </c>
      <c r="U9" s="96" cm="1">
        <f t="array" aca="1" ref="U9" ca="1">INDIRECT($A9&amp;"!AU39")</f>
        <v>18</v>
      </c>
      <c r="V9" s="96" cm="1">
        <f t="array" aca="1" ref="V9" ca="1">INDIRECT($A9&amp;"!AU40")</f>
        <v>27</v>
      </c>
      <c r="W9" s="166" cm="1">
        <f t="array" aca="1" ref="W9" ca="1">INDIRECT($A9&amp;"!AV40")</f>
        <v>0.57140000000000002</v>
      </c>
      <c r="Y9" s="96" cm="1">
        <f t="array" aca="1" ref="Y9" ca="1">INDIRECT($A9&amp;"!AU22")</f>
        <v>0</v>
      </c>
      <c r="Z9" s="96" cm="1">
        <f t="array" aca="1" ref="Z9" ca="1">INDIRECT($A9&amp;"!AU23")</f>
        <v>0</v>
      </c>
      <c r="AA9" s="96" t="str" cm="1">
        <f t="array" aca="1" ref="AA9" ca="1">INDIRECT($A9&amp;"!AW23")</f>
        <v>-</v>
      </c>
    </row>
    <row r="10" spans="1:27">
      <c r="A10" s="96">
        <v>9</v>
      </c>
      <c r="B10" s="112">
        <f t="shared" ca="1" si="0"/>
        <v>96</v>
      </c>
      <c r="C10" s="1" cm="1">
        <f t="array" aca="1" ref="C10" ca="1">INDIRECT(A10&amp;"!J15")</f>
        <v>61</v>
      </c>
      <c r="D10" s="1" cm="1">
        <f t="array" aca="1" ref="D10" ca="1">INDIRECT(A10&amp;"!W15")</f>
        <v>35</v>
      </c>
      <c r="E10" s="1" cm="1">
        <f t="array" aca="1" ref="E10" ca="1">INDIRECT(A10&amp;"!I10")</f>
        <v>2</v>
      </c>
      <c r="F10" s="1" cm="1">
        <f t="array" aca="1" ref="F10" ca="1">INDIRECT(A10&amp;"!U10")</f>
        <v>0</v>
      </c>
      <c r="G10" s="1" cm="1">
        <f t="array" aca="1" ref="G10" ca="1">INDIRECT(A10&amp;"!AG10")</f>
        <v>0</v>
      </c>
      <c r="H10" s="1" cm="1">
        <f t="array" aca="1" ref="H10" ca="1">INDIRECT(A10&amp;"!I11")</f>
        <v>0</v>
      </c>
      <c r="I10" s="1" cm="1">
        <f t="array" aca="1" ref="I10" ca="1">INDIRECT(A10&amp;"!U11")</f>
        <v>0</v>
      </c>
      <c r="J10" s="1" cm="1">
        <f t="array" aca="1" ref="J10" ca="1">INDIRECT(A10&amp;"!AG11")</f>
        <v>0</v>
      </c>
      <c r="K10" s="1" cm="1">
        <f t="array" aca="1" ref="K10" ca="1">INDIRECT(A10&amp;"!I12")</f>
        <v>0</v>
      </c>
      <c r="L10" s="1" cm="1">
        <f t="array" aca="1" ref="L10" ca="1">INDIRECT(A10&amp;"!U12")</f>
        <v>0</v>
      </c>
      <c r="M10" s="1" cm="1">
        <f t="array" aca="1" ref="M10" ca="1">INDIRECT(A10&amp;"!AG12")</f>
        <v>0</v>
      </c>
      <c r="N10" s="1" cm="1">
        <f t="array" aca="1" ref="N10" ca="1">INDIRECT(A10&amp;"!I13")</f>
        <v>0</v>
      </c>
      <c r="O10" s="1" cm="1">
        <f t="array" aca="1" ref="O10" ca="1">INDIRECT(A10&amp;"!U13")</f>
        <v>0</v>
      </c>
      <c r="P10" s="1" cm="1">
        <f t="array" aca="1" ref="P10" ca="1">INDIRECT(A10&amp;"!AG13")</f>
        <v>0</v>
      </c>
      <c r="R10" s="96" t="str" cm="1">
        <f t="array" aca="1" ref="R10" ca="1">INDIRECT(A10&amp;"!V7")</f>
        <v>雨</v>
      </c>
      <c r="S10" s="96" t="str" cm="1">
        <f t="array" aca="1" ref="S10" ca="1">INDIRECT(A10&amp;"!V8")</f>
        <v>曇</v>
      </c>
      <c r="T10" s="94">
        <v>9</v>
      </c>
      <c r="U10" s="96" cm="1">
        <f t="array" aca="1" ref="U10" ca="1">INDIRECT($A10&amp;"!AU39")</f>
        <v>19</v>
      </c>
      <c r="V10" s="96" cm="1">
        <f t="array" aca="1" ref="V10" ca="1">INDIRECT($A10&amp;"!AU40")</f>
        <v>11</v>
      </c>
      <c r="W10" s="166" cm="1">
        <f t="array" aca="1" ref="W10" ca="1">INDIRECT($A10&amp;"!AV40")</f>
        <v>0.65310000000000001</v>
      </c>
      <c r="Y10" s="96" cm="1">
        <f t="array" aca="1" ref="Y10" ca="1">INDIRECT($A10&amp;"!AU22")</f>
        <v>0</v>
      </c>
      <c r="Z10" s="96" cm="1">
        <f t="array" aca="1" ref="Z10" ca="1">INDIRECT($A10&amp;"!AU23")</f>
        <v>0</v>
      </c>
      <c r="AA10" s="96" t="str" cm="1">
        <f t="array" aca="1" ref="AA10" ca="1">INDIRECT($A10&amp;"!AW23")</f>
        <v>-</v>
      </c>
    </row>
    <row r="11" spans="1:27">
      <c r="A11" s="96">
        <v>10</v>
      </c>
      <c r="B11" s="112">
        <f t="shared" ca="1" si="0"/>
        <v>81</v>
      </c>
      <c r="C11" s="1" cm="1">
        <f t="array" aca="1" ref="C11" ca="1">INDIRECT(A11&amp;"!J15")</f>
        <v>41</v>
      </c>
      <c r="D11" s="1" cm="1">
        <f t="array" aca="1" ref="D11" ca="1">INDIRECT(A11&amp;"!W15")</f>
        <v>40</v>
      </c>
      <c r="E11" s="1" cm="1">
        <f t="array" aca="1" ref="E11" ca="1">INDIRECT(A11&amp;"!I10")</f>
        <v>1</v>
      </c>
      <c r="F11" s="1" cm="1">
        <f t="array" aca="1" ref="F11" ca="1">INDIRECT(A11&amp;"!U10")</f>
        <v>0</v>
      </c>
      <c r="G11" s="1" cm="1">
        <f t="array" aca="1" ref="G11" ca="1">INDIRECT(A11&amp;"!AG10")</f>
        <v>0</v>
      </c>
      <c r="H11" s="1" cm="1">
        <f t="array" aca="1" ref="H11" ca="1">INDIRECT(A11&amp;"!I11")</f>
        <v>0</v>
      </c>
      <c r="I11" s="1" cm="1">
        <f t="array" aca="1" ref="I11" ca="1">INDIRECT(A11&amp;"!U11")</f>
        <v>0</v>
      </c>
      <c r="J11" s="1" cm="1">
        <f t="array" aca="1" ref="J11" ca="1">INDIRECT(A11&amp;"!AG11")</f>
        <v>0</v>
      </c>
      <c r="K11" s="1" cm="1">
        <f t="array" aca="1" ref="K11" ca="1">INDIRECT(A11&amp;"!I12")</f>
        <v>0</v>
      </c>
      <c r="L11" s="1" cm="1">
        <f t="array" aca="1" ref="L11" ca="1">INDIRECT(A11&amp;"!U12")</f>
        <v>0</v>
      </c>
      <c r="M11" s="1" cm="1">
        <f t="array" aca="1" ref="M11" ca="1">INDIRECT(A11&amp;"!AG12")</f>
        <v>1</v>
      </c>
      <c r="N11" s="1" cm="1">
        <f t="array" aca="1" ref="N11" ca="1">INDIRECT(A11&amp;"!I13")</f>
        <v>0</v>
      </c>
      <c r="O11" s="1" cm="1">
        <f t="array" aca="1" ref="O11" ca="1">INDIRECT(A11&amp;"!U13")</f>
        <v>1</v>
      </c>
      <c r="P11" s="1" cm="1">
        <f t="array" aca="1" ref="P11" ca="1">INDIRECT(A11&amp;"!AG13")</f>
        <v>0</v>
      </c>
      <c r="R11" s="96" t="str" cm="1">
        <f t="array" aca="1" ref="R11" ca="1">INDIRECT(A11&amp;"!V7")</f>
        <v>晴</v>
      </c>
      <c r="S11" s="96" t="str" cm="1">
        <f t="array" aca="1" ref="S11" ca="1">INDIRECT(A11&amp;"!V8")</f>
        <v>晴</v>
      </c>
      <c r="T11" s="94">
        <v>10</v>
      </c>
      <c r="U11" s="96" cm="1">
        <f t="array" aca="1" ref="U11" ca="1">INDIRECT($A11&amp;"!AU39")</f>
        <v>20</v>
      </c>
      <c r="V11" s="96" cm="1">
        <f t="array" aca="1" ref="V11" ca="1">INDIRECT($A11&amp;"!AU40")</f>
        <v>32</v>
      </c>
      <c r="W11" s="166" cm="1">
        <f t="array" aca="1" ref="W11" ca="1">INDIRECT($A11&amp;"!AV40")</f>
        <v>0.51019999999999999</v>
      </c>
      <c r="Y11" s="96" cm="1">
        <f t="array" aca="1" ref="Y11" ca="1">INDIRECT($A11&amp;"!AU22")</f>
        <v>0</v>
      </c>
      <c r="Z11" s="96" cm="1">
        <f t="array" aca="1" ref="Z11" ca="1">INDIRECT($A11&amp;"!AU23")</f>
        <v>0</v>
      </c>
      <c r="AA11" s="96" t="str" cm="1">
        <f t="array" aca="1" ref="AA11" ca="1">INDIRECT($A11&amp;"!AW23")</f>
        <v>-</v>
      </c>
    </row>
    <row r="12" spans="1:27">
      <c r="A12" s="96">
        <v>11</v>
      </c>
      <c r="B12" s="112">
        <f t="shared" ca="1" si="0"/>
        <v>120</v>
      </c>
      <c r="C12" s="1" cm="1">
        <f t="array" aca="1" ref="C12" ca="1">INDIRECT(A12&amp;"!J15")</f>
        <v>76</v>
      </c>
      <c r="D12" s="1" cm="1">
        <f t="array" aca="1" ref="D12" ca="1">INDIRECT(A12&amp;"!W15")</f>
        <v>44</v>
      </c>
      <c r="E12" s="1" cm="1">
        <f t="array" aca="1" ref="E12" ca="1">INDIRECT(A12&amp;"!I10")</f>
        <v>1</v>
      </c>
      <c r="F12" s="1" cm="1">
        <f t="array" aca="1" ref="F12" ca="1">INDIRECT(A12&amp;"!U10")</f>
        <v>0</v>
      </c>
      <c r="G12" s="1" cm="1">
        <f t="array" aca="1" ref="G12" ca="1">INDIRECT(A12&amp;"!AG10")</f>
        <v>0</v>
      </c>
      <c r="H12" s="1" cm="1">
        <f t="array" aca="1" ref="H12" ca="1">INDIRECT(A12&amp;"!I11")</f>
        <v>0</v>
      </c>
      <c r="I12" s="1" cm="1">
        <f t="array" aca="1" ref="I12" ca="1">INDIRECT(A12&amp;"!U11")</f>
        <v>0</v>
      </c>
      <c r="J12" s="1" cm="1">
        <f t="array" aca="1" ref="J12" ca="1">INDIRECT(A12&amp;"!AG11")</f>
        <v>0</v>
      </c>
      <c r="K12" s="1" cm="1">
        <f t="array" aca="1" ref="K12" ca="1">INDIRECT(A12&amp;"!I12")</f>
        <v>0</v>
      </c>
      <c r="L12" s="1" cm="1">
        <f t="array" aca="1" ref="L12" ca="1">INDIRECT(A12&amp;"!U12")</f>
        <v>0</v>
      </c>
      <c r="M12" s="1" cm="1">
        <f t="array" aca="1" ref="M12" ca="1">INDIRECT(A12&amp;"!AG12")</f>
        <v>0</v>
      </c>
      <c r="N12" s="1" cm="1">
        <f t="array" aca="1" ref="N12" ca="1">INDIRECT(A12&amp;"!I13")</f>
        <v>0</v>
      </c>
      <c r="O12" s="1" cm="1">
        <f t="array" aca="1" ref="O12" ca="1">INDIRECT(A12&amp;"!U13")</f>
        <v>0</v>
      </c>
      <c r="P12" s="1" cm="1">
        <f t="array" aca="1" ref="P12" ca="1">INDIRECT(A12&amp;"!AG13")</f>
        <v>0</v>
      </c>
      <c r="R12" s="96" t="str" cm="1">
        <f t="array" aca="1" ref="R12" ca="1">INDIRECT(A12&amp;"!V7")</f>
        <v>曇</v>
      </c>
      <c r="S12" s="96" t="str" cm="1">
        <f t="array" aca="1" ref="S12" ca="1">INDIRECT(A12&amp;"!V8")</f>
        <v>曇</v>
      </c>
      <c r="T12" s="94">
        <v>11</v>
      </c>
      <c r="U12" s="96" cm="1">
        <f t="array" aca="1" ref="U12" ca="1">INDIRECT($A12&amp;"!AU39")</f>
        <v>32</v>
      </c>
      <c r="V12" s="96" cm="1">
        <f t="array" aca="1" ref="V12" ca="1">INDIRECT($A12&amp;"!AU40")</f>
        <v>24</v>
      </c>
      <c r="W12" s="166" cm="1">
        <f t="array" aca="1" ref="W12" ca="1">INDIRECT($A12&amp;"!AV40")</f>
        <v>0.60199999999999998</v>
      </c>
      <c r="Y12" s="96" cm="1">
        <f t="array" aca="1" ref="Y12" ca="1">INDIRECT($A12&amp;"!AU22")</f>
        <v>0</v>
      </c>
      <c r="Z12" s="96" cm="1">
        <f t="array" aca="1" ref="Z12" ca="1">INDIRECT($A12&amp;"!AU23")</f>
        <v>0</v>
      </c>
      <c r="AA12" s="96" t="str" cm="1">
        <f t="array" aca="1" ref="AA12" ca="1">INDIRECT($A12&amp;"!AW23")</f>
        <v>-</v>
      </c>
    </row>
    <row r="13" spans="1:27">
      <c r="A13" s="96">
        <v>12</v>
      </c>
      <c r="B13" s="112">
        <f t="shared" ca="1" si="0"/>
        <v>147</v>
      </c>
      <c r="C13" s="1" cm="1">
        <f t="array" aca="1" ref="C13" ca="1">INDIRECT(A13&amp;"!J15")</f>
        <v>59</v>
      </c>
      <c r="D13" s="1" cm="1">
        <f t="array" aca="1" ref="D13" ca="1">INDIRECT(A13&amp;"!W15")</f>
        <v>88</v>
      </c>
      <c r="E13" s="1" cm="1">
        <f t="array" aca="1" ref="E13" ca="1">INDIRECT(A13&amp;"!I10")</f>
        <v>0</v>
      </c>
      <c r="F13" s="1" cm="1">
        <f t="array" aca="1" ref="F13" ca="1">INDIRECT(A13&amp;"!U10")</f>
        <v>0</v>
      </c>
      <c r="G13" s="1" cm="1">
        <f t="array" aca="1" ref="G13" ca="1">INDIRECT(A13&amp;"!AG10")</f>
        <v>0</v>
      </c>
      <c r="H13" s="1" cm="1">
        <f t="array" aca="1" ref="H13" ca="1">INDIRECT(A13&amp;"!I11")</f>
        <v>0</v>
      </c>
      <c r="I13" s="1" cm="1">
        <f t="array" aca="1" ref="I13" ca="1">INDIRECT(A13&amp;"!U11")</f>
        <v>0</v>
      </c>
      <c r="J13" s="1" cm="1">
        <f t="array" aca="1" ref="J13" ca="1">INDIRECT(A13&amp;"!AG11")</f>
        <v>0</v>
      </c>
      <c r="K13" s="1" cm="1">
        <f t="array" aca="1" ref="K13" ca="1">INDIRECT(A13&amp;"!I12")</f>
        <v>0</v>
      </c>
      <c r="L13" s="1" cm="1">
        <f t="array" aca="1" ref="L13" ca="1">INDIRECT(A13&amp;"!U12")</f>
        <v>0</v>
      </c>
      <c r="M13" s="1" cm="1">
        <f t="array" aca="1" ref="M13" ca="1">INDIRECT(A13&amp;"!AG12")</f>
        <v>1</v>
      </c>
      <c r="N13" s="1" cm="1">
        <f t="array" aca="1" ref="N13" ca="1">INDIRECT(A13&amp;"!I13")</f>
        <v>0</v>
      </c>
      <c r="O13" s="1" cm="1">
        <f t="array" aca="1" ref="O13" ca="1">INDIRECT(A13&amp;"!U13")</f>
        <v>0</v>
      </c>
      <c r="P13" s="1" cm="1">
        <f t="array" aca="1" ref="P13" ca="1">INDIRECT(A13&amp;"!AG13")</f>
        <v>0</v>
      </c>
      <c r="R13" s="96" t="str" cm="1">
        <f t="array" aca="1" ref="R13" ca="1">INDIRECT(A13&amp;"!V7")</f>
        <v>雨</v>
      </c>
      <c r="S13" s="96" t="str" cm="1">
        <f t="array" aca="1" ref="S13" ca="1">INDIRECT(A13&amp;"!V8")</f>
        <v>曇</v>
      </c>
      <c r="T13" s="94">
        <v>12</v>
      </c>
      <c r="U13" s="96" cm="1">
        <f t="array" aca="1" ref="U13" ca="1">INDIRECT($A13&amp;"!AU39")</f>
        <v>38</v>
      </c>
      <c r="V13" s="96" cm="1">
        <f t="array" aca="1" ref="V13" ca="1">INDIRECT($A13&amp;"!AU40")</f>
        <v>26</v>
      </c>
      <c r="W13" s="166" cm="1">
        <f t="array" aca="1" ref="W13" ca="1">INDIRECT($A13&amp;"!AV40")</f>
        <v>0.72450000000000003</v>
      </c>
      <c r="Y13" s="96" cm="1">
        <f t="array" aca="1" ref="Y13" ca="1">INDIRECT($A13&amp;"!AU22")</f>
        <v>0</v>
      </c>
      <c r="Z13" s="96" cm="1">
        <f t="array" aca="1" ref="Z13" ca="1">INDIRECT($A13&amp;"!AU23")</f>
        <v>0</v>
      </c>
      <c r="AA13" s="96" t="str" cm="1">
        <f t="array" aca="1" ref="AA13" ca="1">INDIRECT($A13&amp;"!AW23")</f>
        <v>-</v>
      </c>
    </row>
    <row r="14" spans="1:27">
      <c r="A14" s="96">
        <v>13</v>
      </c>
      <c r="B14" s="112">
        <f t="shared" ca="1" si="0"/>
        <v>58</v>
      </c>
      <c r="C14" s="1" cm="1">
        <f t="array" aca="1" ref="C14" ca="1">INDIRECT(A14&amp;"!J15")</f>
        <v>21</v>
      </c>
      <c r="D14" s="1" cm="1">
        <f t="array" aca="1" ref="D14" ca="1">INDIRECT(A14&amp;"!W15")</f>
        <v>37</v>
      </c>
      <c r="E14" s="1" cm="1">
        <f t="array" aca="1" ref="E14" ca="1">INDIRECT(A14&amp;"!I10")</f>
        <v>3</v>
      </c>
      <c r="F14" s="1" cm="1">
        <f t="array" aca="1" ref="F14" ca="1">INDIRECT(A14&amp;"!U10")</f>
        <v>0</v>
      </c>
      <c r="G14" s="1" cm="1">
        <f t="array" aca="1" ref="G14" ca="1">INDIRECT(A14&amp;"!AG10")</f>
        <v>0</v>
      </c>
      <c r="H14" s="1" cm="1">
        <f t="array" aca="1" ref="H14" ca="1">INDIRECT(A14&amp;"!I11")</f>
        <v>0</v>
      </c>
      <c r="I14" s="1" cm="1">
        <f t="array" aca="1" ref="I14" ca="1">INDIRECT(A14&amp;"!U11")</f>
        <v>0</v>
      </c>
      <c r="J14" s="1" cm="1">
        <f t="array" aca="1" ref="J14" ca="1">INDIRECT(A14&amp;"!AG11")</f>
        <v>0</v>
      </c>
      <c r="K14" s="1" cm="1">
        <f t="array" aca="1" ref="K14" ca="1">INDIRECT(A14&amp;"!I12")</f>
        <v>0</v>
      </c>
      <c r="L14" s="1" cm="1">
        <f t="array" aca="1" ref="L14" ca="1">INDIRECT(A14&amp;"!U12")</f>
        <v>0</v>
      </c>
      <c r="M14" s="1" cm="1">
        <f t="array" aca="1" ref="M14" ca="1">INDIRECT(A14&amp;"!AG12")</f>
        <v>0</v>
      </c>
      <c r="N14" s="1" cm="1">
        <f t="array" aca="1" ref="N14" ca="1">INDIRECT(A14&amp;"!I13")</f>
        <v>0</v>
      </c>
      <c r="O14" s="1" cm="1">
        <f t="array" aca="1" ref="O14" ca="1">INDIRECT(A14&amp;"!U13")</f>
        <v>0</v>
      </c>
      <c r="P14" s="1" cm="1">
        <f t="array" aca="1" ref="P14" ca="1">INDIRECT(A14&amp;"!AG13")</f>
        <v>0</v>
      </c>
      <c r="R14" s="96" t="str" cm="1">
        <f t="array" aca="1" ref="R14" ca="1">INDIRECT(A14&amp;"!V7")</f>
        <v>晴</v>
      </c>
      <c r="S14" s="96" t="str" cm="1">
        <f t="array" aca="1" ref="S14" ca="1">INDIRECT(A14&amp;"!V8")</f>
        <v>晴</v>
      </c>
      <c r="T14" s="94">
        <v>13</v>
      </c>
      <c r="U14" s="96" cm="1">
        <f t="array" aca="1" ref="U14" ca="1">INDIRECT($A14&amp;"!AU39")</f>
        <v>17</v>
      </c>
      <c r="V14" s="96" cm="1">
        <f t="array" aca="1" ref="V14" ca="1">INDIRECT($A14&amp;"!AU40")</f>
        <v>17</v>
      </c>
      <c r="W14" s="166" cm="1">
        <f t="array" aca="1" ref="W14" ca="1">INDIRECT($A14&amp;"!AV40")</f>
        <v>0.71430000000000005</v>
      </c>
      <c r="Y14" s="96" cm="1">
        <f t="array" aca="1" ref="Y14" ca="1">INDIRECT($A14&amp;"!AU22")</f>
        <v>0</v>
      </c>
      <c r="Z14" s="96" cm="1">
        <f t="array" aca="1" ref="Z14" ca="1">INDIRECT($A14&amp;"!AU23")</f>
        <v>0</v>
      </c>
      <c r="AA14" s="96" t="str" cm="1">
        <f t="array" aca="1" ref="AA14" ca="1">INDIRECT($A14&amp;"!AW23")</f>
        <v>-</v>
      </c>
    </row>
    <row r="15" spans="1:27">
      <c r="A15" s="96">
        <v>14</v>
      </c>
      <c r="B15" s="112">
        <f t="shared" ca="1" si="0"/>
        <v>44</v>
      </c>
      <c r="C15" s="1" cm="1">
        <f t="array" aca="1" ref="C15" ca="1">INDIRECT(A15&amp;"!J15")</f>
        <v>7</v>
      </c>
      <c r="D15" s="1" cm="1">
        <f t="array" aca="1" ref="D15" ca="1">INDIRECT(A15&amp;"!W15")</f>
        <v>37</v>
      </c>
      <c r="E15" s="1" cm="1">
        <f t="array" aca="1" ref="E15" ca="1">INDIRECT(A15&amp;"!I10")</f>
        <v>2</v>
      </c>
      <c r="F15" s="1" cm="1">
        <f t="array" aca="1" ref="F15" ca="1">INDIRECT(A15&amp;"!U10")</f>
        <v>0</v>
      </c>
      <c r="G15" s="1" cm="1">
        <f t="array" aca="1" ref="G15" ca="1">INDIRECT(A15&amp;"!AG10")</f>
        <v>0</v>
      </c>
      <c r="H15" s="1" cm="1">
        <f t="array" aca="1" ref="H15" ca="1">INDIRECT(A15&amp;"!I11")</f>
        <v>0</v>
      </c>
      <c r="I15" s="1" cm="1">
        <f t="array" aca="1" ref="I15" ca="1">INDIRECT(A15&amp;"!U11")</f>
        <v>0</v>
      </c>
      <c r="J15" s="1" cm="1">
        <f t="array" aca="1" ref="J15" ca="1">INDIRECT(A15&amp;"!AG11")</f>
        <v>0</v>
      </c>
      <c r="K15" s="1" cm="1">
        <f t="array" aca="1" ref="K15" ca="1">INDIRECT(A15&amp;"!I12")</f>
        <v>0</v>
      </c>
      <c r="L15" s="1" cm="1">
        <f t="array" aca="1" ref="L15" ca="1">INDIRECT(A15&amp;"!U12")</f>
        <v>0</v>
      </c>
      <c r="M15" s="1" cm="1">
        <f t="array" aca="1" ref="M15" ca="1">INDIRECT(A15&amp;"!AG12")</f>
        <v>0</v>
      </c>
      <c r="N15" s="1" cm="1">
        <f t="array" aca="1" ref="N15" ca="1">INDIRECT(A15&amp;"!I13")</f>
        <v>0</v>
      </c>
      <c r="O15" s="1" cm="1">
        <f t="array" aca="1" ref="O15" ca="1">INDIRECT(A15&amp;"!U13")</f>
        <v>0</v>
      </c>
      <c r="P15" s="1" cm="1">
        <f t="array" aca="1" ref="P15" ca="1">INDIRECT(A15&amp;"!AG13")</f>
        <v>0</v>
      </c>
      <c r="R15" s="96" t="str" cm="1">
        <f t="array" aca="1" ref="R15" ca="1">INDIRECT(A15&amp;"!V7")</f>
        <v>曇</v>
      </c>
      <c r="S15" s="96" t="str" cm="1">
        <f t="array" aca="1" ref="S15" ca="1">INDIRECT(A15&amp;"!V8")</f>
        <v>雨</v>
      </c>
      <c r="T15" s="94">
        <v>14</v>
      </c>
      <c r="U15" s="96" cm="1">
        <f t="array" aca="1" ref="U15" ca="1">INDIRECT($A15&amp;"!AU39")</f>
        <v>31</v>
      </c>
      <c r="V15" s="96" cm="1">
        <f t="array" aca="1" ref="V15" ca="1">INDIRECT($A15&amp;"!AU40")</f>
        <v>31</v>
      </c>
      <c r="W15" s="166" cm="1">
        <f t="array" aca="1" ref="W15" ca="1">INDIRECT($A15&amp;"!AV40")</f>
        <v>0.72</v>
      </c>
      <c r="Y15" s="96" cm="1">
        <f t="array" aca="1" ref="Y15" ca="1">INDIRECT($A15&amp;"!AU22")</f>
        <v>0</v>
      </c>
      <c r="Z15" s="96" cm="1">
        <f t="array" aca="1" ref="Z15" ca="1">INDIRECT($A15&amp;"!AU23")</f>
        <v>0</v>
      </c>
      <c r="AA15" s="96" t="str" cm="1">
        <f t="array" aca="1" ref="AA15" ca="1">INDIRECT($A15&amp;"!AW23")</f>
        <v>-</v>
      </c>
    </row>
    <row r="16" spans="1:27">
      <c r="A16" s="96">
        <v>15</v>
      </c>
      <c r="B16" s="112">
        <f t="shared" ca="1" si="0"/>
        <v>114</v>
      </c>
      <c r="C16" s="1" cm="1">
        <f t="array" aca="1" ref="C16" ca="1">INDIRECT(A16&amp;"!J15")</f>
        <v>80</v>
      </c>
      <c r="D16" s="1" cm="1">
        <f t="array" aca="1" ref="D16" ca="1">INDIRECT(A16&amp;"!W15")</f>
        <v>34</v>
      </c>
      <c r="E16" s="1" cm="1">
        <f t="array" aca="1" ref="E16" ca="1">INDIRECT(A16&amp;"!I10")</f>
        <v>4</v>
      </c>
      <c r="F16" s="1" cm="1">
        <f t="array" aca="1" ref="F16" ca="1">INDIRECT(A16&amp;"!U10")</f>
        <v>0</v>
      </c>
      <c r="G16" s="1" cm="1">
        <f t="array" aca="1" ref="G16" ca="1">INDIRECT(A16&amp;"!AG10")</f>
        <v>0</v>
      </c>
      <c r="H16" s="1" cm="1">
        <f t="array" aca="1" ref="H16" ca="1">INDIRECT(A16&amp;"!I11")</f>
        <v>0</v>
      </c>
      <c r="I16" s="1" cm="1">
        <f t="array" aca="1" ref="I16" ca="1">INDIRECT(A16&amp;"!U11")</f>
        <v>0</v>
      </c>
      <c r="J16" s="1" cm="1">
        <f t="array" aca="1" ref="J16" ca="1">INDIRECT(A16&amp;"!AG11")</f>
        <v>0</v>
      </c>
      <c r="K16" s="1" cm="1">
        <f t="array" aca="1" ref="K16" ca="1">INDIRECT(A16&amp;"!I12")</f>
        <v>0</v>
      </c>
      <c r="L16" s="1" cm="1">
        <f t="array" aca="1" ref="L16" ca="1">INDIRECT(A16&amp;"!U12")</f>
        <v>0</v>
      </c>
      <c r="M16" s="1" cm="1">
        <f t="array" aca="1" ref="M16" ca="1">INDIRECT(A16&amp;"!AG12")</f>
        <v>0</v>
      </c>
      <c r="N16" s="1" cm="1">
        <f t="array" aca="1" ref="N16" ca="1">INDIRECT(A16&amp;"!I13")</f>
        <v>0</v>
      </c>
      <c r="O16" s="1" cm="1">
        <f t="array" aca="1" ref="O16" ca="1">INDIRECT(A16&amp;"!U13")</f>
        <v>0</v>
      </c>
      <c r="P16" s="1" cm="1">
        <f t="array" aca="1" ref="P16" ca="1">INDIRECT(A16&amp;"!AG13")</f>
        <v>1</v>
      </c>
      <c r="R16" s="96" t="str" cm="1">
        <f t="array" aca="1" ref="R16" ca="1">INDIRECT(A16&amp;"!V7")</f>
        <v>曇</v>
      </c>
      <c r="S16" s="96" t="str" cm="1">
        <f t="array" aca="1" ref="S16" ca="1">INDIRECT(A16&amp;"!V8")</f>
        <v>曇</v>
      </c>
      <c r="T16" s="94">
        <v>15</v>
      </c>
      <c r="U16" s="96" cm="1">
        <f t="array" aca="1" ref="U16" ca="1">INDIRECT($A16&amp;"!AU39")</f>
        <v>24</v>
      </c>
      <c r="V16" s="96" cm="1">
        <f t="array" aca="1" ref="V16" ca="1">INDIRECT($A16&amp;"!AU40")</f>
        <v>35</v>
      </c>
      <c r="W16" s="166" cm="1">
        <f t="array" aca="1" ref="W16" ca="1">INDIRECT($A16&amp;"!AV40")</f>
        <v>0.60199999999999998</v>
      </c>
      <c r="Y16" s="96" cm="1">
        <f t="array" aca="1" ref="Y16" ca="1">INDIRECT($A16&amp;"!AU22")</f>
        <v>0</v>
      </c>
      <c r="Z16" s="96" cm="1">
        <f t="array" aca="1" ref="Z16" ca="1">INDIRECT($A16&amp;"!AU23")</f>
        <v>0</v>
      </c>
      <c r="AA16" s="96" t="str" cm="1">
        <f t="array" aca="1" ref="AA16" ca="1">INDIRECT($A16&amp;"!AW23")</f>
        <v>-</v>
      </c>
    </row>
    <row r="17" spans="1:27">
      <c r="A17" s="96">
        <v>16</v>
      </c>
      <c r="B17" s="112">
        <f t="shared" ca="1" si="0"/>
        <v>96</v>
      </c>
      <c r="C17" s="1" cm="1">
        <f t="array" aca="1" ref="C17" ca="1">INDIRECT(A17&amp;"!J15")</f>
        <v>58</v>
      </c>
      <c r="D17" s="1" cm="1">
        <f t="array" aca="1" ref="D17" ca="1">INDIRECT(A17&amp;"!W15")</f>
        <v>38</v>
      </c>
      <c r="E17" s="1" cm="1">
        <f t="array" aca="1" ref="E17" ca="1">INDIRECT(A17&amp;"!I10")</f>
        <v>0</v>
      </c>
      <c r="F17" s="1" cm="1">
        <f t="array" aca="1" ref="F17" ca="1">INDIRECT(A17&amp;"!U10")</f>
        <v>0</v>
      </c>
      <c r="G17" s="1" cm="1">
        <f t="array" aca="1" ref="G17" ca="1">INDIRECT(A17&amp;"!AG10")</f>
        <v>0</v>
      </c>
      <c r="H17" s="1" cm="1">
        <f t="array" aca="1" ref="H17" ca="1">INDIRECT(A17&amp;"!I11")</f>
        <v>0</v>
      </c>
      <c r="I17" s="1" cm="1">
        <f t="array" aca="1" ref="I17" ca="1">INDIRECT(A17&amp;"!U11")</f>
        <v>0</v>
      </c>
      <c r="J17" s="1" cm="1">
        <f t="array" aca="1" ref="J17" ca="1">INDIRECT(A17&amp;"!AG11")</f>
        <v>0</v>
      </c>
      <c r="K17" s="1" cm="1">
        <f t="array" aca="1" ref="K17" ca="1">INDIRECT(A17&amp;"!I12")</f>
        <v>0</v>
      </c>
      <c r="L17" s="1" cm="1">
        <f t="array" aca="1" ref="L17" ca="1">INDIRECT(A17&amp;"!U12")</f>
        <v>0</v>
      </c>
      <c r="M17" s="1" cm="1">
        <f t="array" aca="1" ref="M17" ca="1">INDIRECT(A17&amp;"!AG12")</f>
        <v>0</v>
      </c>
      <c r="N17" s="1" cm="1">
        <f t="array" aca="1" ref="N17" ca="1">INDIRECT(A17&amp;"!I13")</f>
        <v>0</v>
      </c>
      <c r="O17" s="1" cm="1">
        <f t="array" aca="1" ref="O17" ca="1">INDIRECT(A17&amp;"!U13")</f>
        <v>0</v>
      </c>
      <c r="P17" s="1" cm="1">
        <f t="array" aca="1" ref="P17" ca="1">INDIRECT(A17&amp;"!AG13")</f>
        <v>0</v>
      </c>
      <c r="R17" s="96" t="str" cm="1">
        <f t="array" aca="1" ref="R17" ca="1">INDIRECT(A17&amp;"!V7")</f>
        <v>曇</v>
      </c>
      <c r="S17" s="96" t="str" cm="1">
        <f t="array" aca="1" ref="S17" ca="1">INDIRECT(A17&amp;"!V8")</f>
        <v>曇</v>
      </c>
      <c r="T17" s="94">
        <v>16</v>
      </c>
      <c r="U17" s="96" cm="1">
        <f t="array" aca="1" ref="U17" ca="1">INDIRECT($A17&amp;"!AU39")</f>
        <v>32</v>
      </c>
      <c r="V17" s="96" cm="1">
        <f t="array" aca="1" ref="V17" ca="1">INDIRECT($A17&amp;"!AU40")</f>
        <v>33</v>
      </c>
      <c r="W17" s="166" cm="1">
        <f t="array" aca="1" ref="W17" ca="1">INDIRECT($A17&amp;"!AV40")</f>
        <v>0.81630000000000003</v>
      </c>
      <c r="Y17" s="96" cm="1">
        <f t="array" aca="1" ref="Y17" ca="1">INDIRECT($A17&amp;"!AU22")</f>
        <v>0</v>
      </c>
      <c r="Z17" s="96" cm="1">
        <f t="array" aca="1" ref="Z17" ca="1">INDIRECT($A17&amp;"!AU23")</f>
        <v>0</v>
      </c>
      <c r="AA17" s="96" t="str" cm="1">
        <f t="array" aca="1" ref="AA17" ca="1">INDIRECT($A17&amp;"!AW23")</f>
        <v>-</v>
      </c>
    </row>
    <row r="18" spans="1:27">
      <c r="A18" s="96">
        <v>17</v>
      </c>
      <c r="B18" s="112">
        <f t="shared" ca="1" si="0"/>
        <v>72</v>
      </c>
      <c r="C18" s="1" cm="1">
        <f t="array" aca="1" ref="C18" ca="1">INDIRECT(A18&amp;"!J15")</f>
        <v>33</v>
      </c>
      <c r="D18" s="1" cm="1">
        <f t="array" aca="1" ref="D18" ca="1">INDIRECT(A18&amp;"!W15")</f>
        <v>39</v>
      </c>
      <c r="E18" s="1" cm="1">
        <f t="array" aca="1" ref="E18" ca="1">INDIRECT(A18&amp;"!I10")</f>
        <v>0</v>
      </c>
      <c r="F18" s="1" cm="1">
        <f t="array" aca="1" ref="F18" ca="1">INDIRECT(A18&amp;"!U10")</f>
        <v>0</v>
      </c>
      <c r="G18" s="1" cm="1">
        <f t="array" aca="1" ref="G18" ca="1">INDIRECT(A18&amp;"!AG10")</f>
        <v>0</v>
      </c>
      <c r="H18" s="1" cm="1">
        <f t="array" aca="1" ref="H18" ca="1">INDIRECT(A18&amp;"!I11")</f>
        <v>0</v>
      </c>
      <c r="I18" s="1" cm="1">
        <f t="array" aca="1" ref="I18" ca="1">INDIRECT(A18&amp;"!U11")</f>
        <v>0</v>
      </c>
      <c r="J18" s="1" cm="1">
        <f t="array" aca="1" ref="J18" ca="1">INDIRECT(A18&amp;"!AG11")</f>
        <v>0</v>
      </c>
      <c r="K18" s="1" cm="1">
        <f t="array" aca="1" ref="K18" ca="1">INDIRECT(A18&amp;"!I12")</f>
        <v>0</v>
      </c>
      <c r="L18" s="1" cm="1">
        <f t="array" aca="1" ref="L18" ca="1">INDIRECT(A18&amp;"!U12")</f>
        <v>0</v>
      </c>
      <c r="M18" s="1" cm="1">
        <f t="array" aca="1" ref="M18" ca="1">INDIRECT(A18&amp;"!AG12")</f>
        <v>0</v>
      </c>
      <c r="N18" s="1" cm="1">
        <f t="array" aca="1" ref="N18" ca="1">INDIRECT(A18&amp;"!I13")</f>
        <v>0</v>
      </c>
      <c r="O18" s="1" cm="1">
        <f t="array" aca="1" ref="O18" ca="1">INDIRECT(A18&amp;"!U13")</f>
        <v>0</v>
      </c>
      <c r="P18" s="1" cm="1">
        <f t="array" aca="1" ref="P18" ca="1">INDIRECT(A18&amp;"!AG13")</f>
        <v>0</v>
      </c>
      <c r="R18" s="96" t="str" cm="1">
        <f t="array" aca="1" ref="R18" ca="1">INDIRECT(A18&amp;"!V7")</f>
        <v>晴</v>
      </c>
      <c r="S18" s="96" t="str" cm="1">
        <f t="array" aca="1" ref="S18" ca="1">INDIRECT(A18&amp;"!V8")</f>
        <v>晴</v>
      </c>
      <c r="T18" s="94">
        <v>17</v>
      </c>
      <c r="U18" s="96" cm="1">
        <f t="array" aca="1" ref="U18" ca="1">INDIRECT($A18&amp;"!AU39")</f>
        <v>36</v>
      </c>
      <c r="V18" s="96" cm="1">
        <f t="array" aca="1" ref="V18" ca="1">INDIRECT($A18&amp;"!AU40")</f>
        <v>17</v>
      </c>
      <c r="W18" s="166" cm="1">
        <f t="array" aca="1" ref="W18" ca="1">INDIRECT($A18&amp;"!AV40")</f>
        <v>0.81</v>
      </c>
      <c r="Y18" s="96" cm="1">
        <f t="array" aca="1" ref="Y18" ca="1">INDIRECT($A18&amp;"!AU22")</f>
        <v>0</v>
      </c>
      <c r="Z18" s="96" cm="1">
        <f t="array" aca="1" ref="Z18" ca="1">INDIRECT($A18&amp;"!AU23")</f>
        <v>0</v>
      </c>
      <c r="AA18" s="96" t="str" cm="1">
        <f t="array" aca="1" ref="AA18" ca="1">INDIRECT($A18&amp;"!AW23")</f>
        <v>-</v>
      </c>
    </row>
    <row r="19" spans="1:27">
      <c r="A19" s="96">
        <v>18</v>
      </c>
      <c r="B19" s="112">
        <f t="shared" ca="1" si="0"/>
        <v>125</v>
      </c>
      <c r="C19" s="1" cm="1">
        <f t="array" aca="1" ref="C19" ca="1">INDIRECT(A19&amp;"!J15")</f>
        <v>85</v>
      </c>
      <c r="D19" s="1" cm="1">
        <f t="array" aca="1" ref="D19" ca="1">INDIRECT(A19&amp;"!W15")</f>
        <v>40</v>
      </c>
      <c r="E19" s="1" cm="1">
        <f t="array" aca="1" ref="E19" ca="1">INDIRECT(A19&amp;"!I10")</f>
        <v>2</v>
      </c>
      <c r="F19" s="1" cm="1">
        <f t="array" aca="1" ref="F19" ca="1">INDIRECT(A19&amp;"!U10")</f>
        <v>0</v>
      </c>
      <c r="G19" s="1" cm="1">
        <f t="array" aca="1" ref="G19" ca="1">INDIRECT(A19&amp;"!AG10")</f>
        <v>0</v>
      </c>
      <c r="H19" s="1" cm="1">
        <f t="array" aca="1" ref="H19" ca="1">INDIRECT(A19&amp;"!I11")</f>
        <v>0</v>
      </c>
      <c r="I19" s="1" cm="1">
        <f t="array" aca="1" ref="I19" ca="1">INDIRECT(A19&amp;"!U11")</f>
        <v>0</v>
      </c>
      <c r="J19" s="1" cm="1">
        <f t="array" aca="1" ref="J19" ca="1">INDIRECT(A19&amp;"!AG11")</f>
        <v>0</v>
      </c>
      <c r="K19" s="1" cm="1">
        <f t="array" aca="1" ref="K19" ca="1">INDIRECT(A19&amp;"!I12")</f>
        <v>0</v>
      </c>
      <c r="L19" s="1" cm="1">
        <f t="array" aca="1" ref="L19" ca="1">INDIRECT(A19&amp;"!U12")</f>
        <v>0</v>
      </c>
      <c r="M19" s="1" cm="1">
        <f t="array" aca="1" ref="M19" ca="1">INDIRECT(A19&amp;"!AG12")</f>
        <v>0</v>
      </c>
      <c r="N19" s="1" cm="1">
        <f t="array" aca="1" ref="N19" ca="1">INDIRECT(A19&amp;"!I13")</f>
        <v>0</v>
      </c>
      <c r="O19" s="1" cm="1">
        <f t="array" aca="1" ref="O19" ca="1">INDIRECT(A19&amp;"!U13")</f>
        <v>0</v>
      </c>
      <c r="P19" s="1" cm="1">
        <f t="array" aca="1" ref="P19" ca="1">INDIRECT(A19&amp;"!AG13")</f>
        <v>0</v>
      </c>
      <c r="R19" s="96" t="str" cm="1">
        <f t="array" aca="1" ref="R19" ca="1">INDIRECT(A19&amp;"!V7")</f>
        <v>雨</v>
      </c>
      <c r="S19" s="96" t="str" cm="1">
        <f t="array" aca="1" ref="S19" ca="1">INDIRECT(A19&amp;"!V8")</f>
        <v>曇</v>
      </c>
      <c r="T19" s="94">
        <v>18</v>
      </c>
      <c r="U19" s="96" cm="1">
        <f t="array" aca="1" ref="U19" ca="1">INDIRECT($A19&amp;"!AU39")</f>
        <v>23</v>
      </c>
      <c r="V19" s="96" cm="1">
        <f t="array" aca="1" ref="V19" ca="1">INDIRECT($A19&amp;"!AU40")</f>
        <v>26</v>
      </c>
      <c r="W19" s="166" cm="1">
        <f t="array" aca="1" ref="W19" ca="1">INDIRECT($A19&amp;"!AV40")</f>
        <v>0.78</v>
      </c>
      <c r="Y19" s="96" cm="1">
        <f t="array" aca="1" ref="Y19" ca="1">INDIRECT($A19&amp;"!AU22")</f>
        <v>0</v>
      </c>
      <c r="Z19" s="96" cm="1">
        <f t="array" aca="1" ref="Z19" ca="1">INDIRECT($A19&amp;"!AU23")</f>
        <v>0</v>
      </c>
      <c r="AA19" s="96" t="str" cm="1">
        <f t="array" aca="1" ref="AA19" ca="1">INDIRECT($A19&amp;"!AW23")</f>
        <v>-</v>
      </c>
    </row>
    <row r="20" spans="1:27">
      <c r="A20" s="96">
        <v>19</v>
      </c>
      <c r="B20" s="112">
        <f t="shared" ca="1" si="0"/>
        <v>0</v>
      </c>
      <c r="C20" s="1" cm="1">
        <f t="array" aca="1" ref="C20" ca="1">INDIRECT(A20&amp;"!J15")</f>
        <v>0</v>
      </c>
      <c r="D20" s="1" cm="1">
        <f t="array" aca="1" ref="D20" ca="1">INDIRECT(A20&amp;"!W15")</f>
        <v>0</v>
      </c>
      <c r="E20" s="1" cm="1">
        <f t="array" aca="1" ref="E20" ca="1">INDIRECT(A20&amp;"!I10")</f>
        <v>0</v>
      </c>
      <c r="F20" s="1" cm="1">
        <f t="array" aca="1" ref="F20" ca="1">INDIRECT(A20&amp;"!U10")</f>
        <v>0</v>
      </c>
      <c r="G20" s="1" cm="1">
        <f t="array" aca="1" ref="G20" ca="1">INDIRECT(A20&amp;"!AG10")</f>
        <v>0</v>
      </c>
      <c r="H20" s="1" cm="1">
        <f t="array" aca="1" ref="H20" ca="1">INDIRECT(A20&amp;"!I11")</f>
        <v>0</v>
      </c>
      <c r="I20" s="1" cm="1">
        <f t="array" aca="1" ref="I20" ca="1">INDIRECT(A20&amp;"!U11")</f>
        <v>0</v>
      </c>
      <c r="J20" s="1" cm="1">
        <f t="array" aca="1" ref="J20" ca="1">INDIRECT(A20&amp;"!AG11")</f>
        <v>0</v>
      </c>
      <c r="K20" s="1" cm="1">
        <f t="array" aca="1" ref="K20" ca="1">INDIRECT(A20&amp;"!I12")</f>
        <v>2</v>
      </c>
      <c r="L20" s="1" cm="1">
        <f t="array" aca="1" ref="L20" ca="1">INDIRECT(A20&amp;"!U12")</f>
        <v>0</v>
      </c>
      <c r="M20" s="1" cm="1">
        <f t="array" aca="1" ref="M20" ca="1">INDIRECT(A20&amp;"!AG12")</f>
        <v>0</v>
      </c>
      <c r="N20" s="1" cm="1">
        <f t="array" aca="1" ref="N20" ca="1">INDIRECT(A20&amp;"!I13")</f>
        <v>0</v>
      </c>
      <c r="O20" s="1" cm="1">
        <f t="array" aca="1" ref="O20" ca="1">INDIRECT(A20&amp;"!U13")</f>
        <v>0</v>
      </c>
      <c r="P20" s="1" cm="1">
        <f t="array" aca="1" ref="P20" ca="1">INDIRECT(A20&amp;"!AG13")</f>
        <v>0</v>
      </c>
      <c r="R20" s="96" t="str" cm="1">
        <f t="array" aca="1" ref="R20" ca="1">INDIRECT(A20&amp;"!V7")</f>
        <v>曇</v>
      </c>
      <c r="S20" s="96" t="str" cm="1">
        <f t="array" aca="1" ref="S20" ca="1">INDIRECT(A20&amp;"!V8")</f>
        <v>雨</v>
      </c>
      <c r="T20" s="94">
        <v>19</v>
      </c>
      <c r="U20" s="96" cm="1">
        <f t="array" aca="1" ref="U20" ca="1">INDIRECT($A20&amp;"!AU39")</f>
        <v>32</v>
      </c>
      <c r="V20" s="96" cm="1">
        <f t="array" aca="1" ref="V20" ca="1">INDIRECT($A20&amp;"!AU40")</f>
        <v>26</v>
      </c>
      <c r="W20" s="166" cm="1">
        <f t="array" aca="1" ref="W20" ca="1">INDIRECT($A20&amp;"!AV40")</f>
        <v>0.87690000000000001</v>
      </c>
      <c r="Y20" s="96" cm="1">
        <f t="array" aca="1" ref="Y20" ca="1">INDIRECT($A20&amp;"!AU22")</f>
        <v>0</v>
      </c>
      <c r="Z20" s="96" cm="1">
        <f t="array" aca="1" ref="Z20" ca="1">INDIRECT($A20&amp;"!AU23")</f>
        <v>0</v>
      </c>
      <c r="AA20" s="96" t="str" cm="1">
        <f t="array" aca="1" ref="AA20" ca="1">INDIRECT($A20&amp;"!AW23")</f>
        <v>-</v>
      </c>
    </row>
    <row r="21" spans="1:27">
      <c r="A21" s="96">
        <v>20</v>
      </c>
      <c r="B21" s="112">
        <f t="shared" ca="1" si="0"/>
        <v>68</v>
      </c>
      <c r="C21" s="1" cm="1">
        <f t="array" aca="1" ref="C21" ca="1">INDIRECT(A21&amp;"!J15")</f>
        <v>26</v>
      </c>
      <c r="D21" s="1" cm="1">
        <f t="array" aca="1" ref="D21" ca="1">INDIRECT(A21&amp;"!W15")</f>
        <v>42</v>
      </c>
      <c r="E21" s="1" cm="1">
        <f t="array" aca="1" ref="E21" ca="1">INDIRECT(A21&amp;"!I10")</f>
        <v>0</v>
      </c>
      <c r="F21" s="1" cm="1">
        <f t="array" aca="1" ref="F21" ca="1">INDIRECT(A21&amp;"!U10")</f>
        <v>0</v>
      </c>
      <c r="G21" s="1" cm="1">
        <f t="array" aca="1" ref="G21" ca="1">INDIRECT(A21&amp;"!AG10")</f>
        <v>0</v>
      </c>
      <c r="H21" s="1" cm="1">
        <f t="array" aca="1" ref="H21" ca="1">INDIRECT(A21&amp;"!I11")</f>
        <v>0</v>
      </c>
      <c r="I21" s="1" cm="1">
        <f t="array" aca="1" ref="I21" ca="1">INDIRECT(A21&amp;"!U11")</f>
        <v>0</v>
      </c>
      <c r="J21" s="1" cm="1">
        <f t="array" aca="1" ref="J21" ca="1">INDIRECT(A21&amp;"!AG11")</f>
        <v>0</v>
      </c>
      <c r="K21" s="1" cm="1">
        <f t="array" aca="1" ref="K21" ca="1">INDIRECT(A21&amp;"!I12")</f>
        <v>1</v>
      </c>
      <c r="L21" s="1" cm="1">
        <f t="array" aca="1" ref="L21" ca="1">INDIRECT(A21&amp;"!U12")</f>
        <v>0</v>
      </c>
      <c r="M21" s="1" cm="1">
        <f t="array" aca="1" ref="M21" ca="1">INDIRECT(A21&amp;"!AG12")</f>
        <v>0</v>
      </c>
      <c r="N21" s="1" cm="1">
        <f t="array" aca="1" ref="N21" ca="1">INDIRECT(A21&amp;"!I13")</f>
        <v>0</v>
      </c>
      <c r="O21" s="1" cm="1">
        <f t="array" aca="1" ref="O21" ca="1">INDIRECT(A21&amp;"!U13")</f>
        <v>0</v>
      </c>
      <c r="P21" s="1" cm="1">
        <f t="array" aca="1" ref="P21" ca="1">INDIRECT(A21&amp;"!AG13")</f>
        <v>0</v>
      </c>
      <c r="R21" s="96" t="str" cm="1">
        <f t="array" aca="1" ref="R21" ca="1">INDIRECT(A21&amp;"!V7")</f>
        <v>雨</v>
      </c>
      <c r="S21" s="96" t="str" cm="1">
        <f t="array" aca="1" ref="S21" ca="1">INDIRECT(A21&amp;"!V8")</f>
        <v>雨</v>
      </c>
      <c r="T21" s="94">
        <v>20</v>
      </c>
      <c r="U21" s="96" cm="1">
        <f t="array" aca="1" ref="U21" ca="1">INDIRECT($A21&amp;"!AU39")</f>
        <v>23</v>
      </c>
      <c r="V21" s="96" cm="1">
        <f t="array" aca="1" ref="V21" ca="1">INDIRECT($A21&amp;"!AU40")</f>
        <v>27</v>
      </c>
      <c r="W21" s="166" cm="1">
        <f t="array" aca="1" ref="W21" ca="1">INDIRECT($A21&amp;"!AV40")</f>
        <v>0.74490000000000001</v>
      </c>
      <c r="Y21" s="96" cm="1">
        <f t="array" aca="1" ref="Y21" ca="1">INDIRECT($A21&amp;"!AU22")</f>
        <v>0</v>
      </c>
      <c r="Z21" s="96" cm="1">
        <f t="array" aca="1" ref="Z21" ca="1">INDIRECT($A21&amp;"!AU23")</f>
        <v>0</v>
      </c>
      <c r="AA21" s="96" t="str" cm="1">
        <f t="array" aca="1" ref="AA21" ca="1">INDIRECT($A21&amp;"!AW23")</f>
        <v>-</v>
      </c>
    </row>
    <row r="22" spans="1:27">
      <c r="A22" s="96">
        <v>21</v>
      </c>
      <c r="B22" s="112">
        <f t="shared" ca="1" si="0"/>
        <v>47</v>
      </c>
      <c r="C22" s="1" cm="1">
        <f t="array" aca="1" ref="C22" ca="1">INDIRECT(A22&amp;"!J15")</f>
        <v>7</v>
      </c>
      <c r="D22" s="1" cm="1">
        <f t="array" aca="1" ref="D22" ca="1">INDIRECT(A22&amp;"!W15")</f>
        <v>40</v>
      </c>
      <c r="E22" s="1" cm="1">
        <f t="array" aca="1" ref="E22" ca="1">INDIRECT(A22&amp;"!I10")</f>
        <v>2</v>
      </c>
      <c r="F22" s="1" cm="1">
        <f t="array" aca="1" ref="F22" ca="1">INDIRECT(A22&amp;"!U10")</f>
        <v>0</v>
      </c>
      <c r="G22" s="1" cm="1">
        <f t="array" aca="1" ref="G22" ca="1">INDIRECT(A22&amp;"!AG10")</f>
        <v>0</v>
      </c>
      <c r="H22" s="1" cm="1">
        <f t="array" aca="1" ref="H22" ca="1">INDIRECT(A22&amp;"!I11")</f>
        <v>0</v>
      </c>
      <c r="I22" s="1" cm="1">
        <f t="array" aca="1" ref="I22" ca="1">INDIRECT(A22&amp;"!U11")</f>
        <v>0</v>
      </c>
      <c r="J22" s="1" cm="1">
        <f t="array" aca="1" ref="J22" ca="1">INDIRECT(A22&amp;"!AG11")</f>
        <v>0</v>
      </c>
      <c r="K22" s="1" cm="1">
        <f t="array" aca="1" ref="K22" ca="1">INDIRECT(A22&amp;"!I12")</f>
        <v>0</v>
      </c>
      <c r="L22" s="1" cm="1">
        <f t="array" aca="1" ref="L22" ca="1">INDIRECT(A22&amp;"!U12")</f>
        <v>0</v>
      </c>
      <c r="M22" s="1" cm="1">
        <f t="array" aca="1" ref="M22" ca="1">INDIRECT(A22&amp;"!AG12")</f>
        <v>0</v>
      </c>
      <c r="N22" s="1" cm="1">
        <f t="array" aca="1" ref="N22" ca="1">INDIRECT(A22&amp;"!I13")</f>
        <v>0</v>
      </c>
      <c r="O22" s="1" cm="1">
        <f t="array" aca="1" ref="O22" ca="1">INDIRECT(A22&amp;"!U13")</f>
        <v>0</v>
      </c>
      <c r="P22" s="1" cm="1">
        <f t="array" aca="1" ref="P22" ca="1">INDIRECT(A22&amp;"!AG13")</f>
        <v>0</v>
      </c>
      <c r="R22" s="96" t="str" cm="1">
        <f t="array" aca="1" ref="R22" ca="1">INDIRECT(A22&amp;"!V7")</f>
        <v>曇</v>
      </c>
      <c r="S22" s="96" t="str" cm="1">
        <f t="array" aca="1" ref="S22" ca="1">INDIRECT(A22&amp;"!V8")</f>
        <v>雨</v>
      </c>
      <c r="T22" s="94">
        <v>21</v>
      </c>
      <c r="U22" s="96" cm="1">
        <f t="array" aca="1" ref="U22" ca="1">INDIRECT($A22&amp;"!AU39")</f>
        <v>20</v>
      </c>
      <c r="V22" s="96" cm="1">
        <f t="array" aca="1" ref="V22" ca="1">INDIRECT($A22&amp;"!AU40")</f>
        <v>43</v>
      </c>
      <c r="W22" s="166" cm="1">
        <f t="array" aca="1" ref="W22" ca="1">INDIRECT($A22&amp;"!AV40")</f>
        <v>0.57140000000000002</v>
      </c>
      <c r="Y22" s="96" cm="1">
        <f t="array" aca="1" ref="Y22" ca="1">INDIRECT($A22&amp;"!AU22")</f>
        <v>0</v>
      </c>
      <c r="Z22" s="96" cm="1">
        <f t="array" aca="1" ref="Z22" ca="1">INDIRECT($A22&amp;"!AU23")</f>
        <v>0</v>
      </c>
      <c r="AA22" s="96" t="str" cm="1">
        <f t="array" aca="1" ref="AA22" ca="1">INDIRECT($A22&amp;"!AW23")</f>
        <v>-</v>
      </c>
    </row>
    <row r="23" spans="1:27">
      <c r="A23" s="96">
        <v>22</v>
      </c>
      <c r="B23" s="112">
        <f t="shared" ca="1" si="0"/>
        <v>100</v>
      </c>
      <c r="C23" s="1" cm="1">
        <f t="array" aca="1" ref="C23" ca="1">INDIRECT(A23&amp;"!J15")</f>
        <v>63</v>
      </c>
      <c r="D23" s="1" cm="1">
        <f t="array" aca="1" ref="D23" ca="1">INDIRECT(A23&amp;"!W15")</f>
        <v>37</v>
      </c>
      <c r="E23" s="1" cm="1">
        <f t="array" aca="1" ref="E23" ca="1">INDIRECT(A23&amp;"!I10")</f>
        <v>4</v>
      </c>
      <c r="F23" s="1" cm="1">
        <f t="array" aca="1" ref="F23" ca="1">INDIRECT(A23&amp;"!U10")</f>
        <v>0</v>
      </c>
      <c r="G23" s="1" cm="1">
        <f t="array" aca="1" ref="G23" ca="1">INDIRECT(A23&amp;"!AG10")</f>
        <v>0</v>
      </c>
      <c r="H23" s="1" cm="1">
        <f t="array" aca="1" ref="H23" ca="1">INDIRECT(A23&amp;"!I11")</f>
        <v>0</v>
      </c>
      <c r="I23" s="1" cm="1">
        <f t="array" aca="1" ref="I23" ca="1">INDIRECT(A23&amp;"!U11")</f>
        <v>0</v>
      </c>
      <c r="J23" s="1" cm="1">
        <f t="array" aca="1" ref="J23" ca="1">INDIRECT(A23&amp;"!AG11")</f>
        <v>0</v>
      </c>
      <c r="K23" s="1" cm="1">
        <f t="array" aca="1" ref="K23" ca="1">INDIRECT(A23&amp;"!I12")</f>
        <v>1</v>
      </c>
      <c r="L23" s="1" cm="1">
        <f t="array" aca="1" ref="L23" ca="1">INDIRECT(A23&amp;"!U12")</f>
        <v>0</v>
      </c>
      <c r="M23" s="1" cm="1">
        <f t="array" aca="1" ref="M23" ca="1">INDIRECT(A23&amp;"!AG12")</f>
        <v>1</v>
      </c>
      <c r="N23" s="1" cm="1">
        <f t="array" aca="1" ref="N23" ca="1">INDIRECT(A23&amp;"!I13")</f>
        <v>0</v>
      </c>
      <c r="O23" s="1" cm="1">
        <f t="array" aca="1" ref="O23" ca="1">INDIRECT(A23&amp;"!U13")</f>
        <v>0</v>
      </c>
      <c r="P23" s="1" cm="1">
        <f t="array" aca="1" ref="P23" ca="1">INDIRECT(A23&amp;"!AG13")</f>
        <v>3</v>
      </c>
      <c r="R23" s="96" t="str" cm="1">
        <f t="array" aca="1" ref="R23" ca="1">INDIRECT(A23&amp;"!V7")</f>
        <v>晴</v>
      </c>
      <c r="S23" s="96" t="str" cm="1">
        <f t="array" aca="1" ref="S23" ca="1">INDIRECT(A23&amp;"!V8")</f>
        <v>曇</v>
      </c>
      <c r="T23" s="94">
        <v>22</v>
      </c>
      <c r="U23" s="96" cm="1">
        <f t="array" aca="1" ref="U23" ca="1">INDIRECT($A23&amp;"!AU39")</f>
        <v>22</v>
      </c>
      <c r="V23" s="96" cm="1">
        <f t="array" aca="1" ref="V23" ca="1">INDIRECT($A23&amp;"!AU40")</f>
        <v>20</v>
      </c>
      <c r="W23" s="166" cm="1">
        <f t="array" aca="1" ref="W23" ca="1">INDIRECT($A23&amp;"!AV40")</f>
        <v>0.56120000000000003</v>
      </c>
      <c r="Y23" s="96" cm="1">
        <f t="array" aca="1" ref="Y23" ca="1">INDIRECT($A23&amp;"!AU22")</f>
        <v>0</v>
      </c>
      <c r="Z23" s="96" cm="1">
        <f t="array" aca="1" ref="Z23" ca="1">INDIRECT($A23&amp;"!AU23")</f>
        <v>0</v>
      </c>
      <c r="AA23" s="96" t="str" cm="1">
        <f t="array" aca="1" ref="AA23" ca="1">INDIRECT($A23&amp;"!AW23")</f>
        <v>-</v>
      </c>
    </row>
    <row r="24" spans="1:27">
      <c r="A24" s="96">
        <v>23</v>
      </c>
      <c r="B24" s="112">
        <f t="shared" ca="1" si="0"/>
        <v>84</v>
      </c>
      <c r="C24" s="1" cm="1">
        <f t="array" aca="1" ref="C24" ca="1">INDIRECT(A24&amp;"!J15")</f>
        <v>56</v>
      </c>
      <c r="D24" s="1" cm="1">
        <f t="array" aca="1" ref="D24" ca="1">INDIRECT(A24&amp;"!W15")</f>
        <v>28</v>
      </c>
      <c r="E24" s="1" cm="1">
        <f t="array" aca="1" ref="E24" ca="1">INDIRECT(A24&amp;"!I10")</f>
        <v>2</v>
      </c>
      <c r="F24" s="1" cm="1">
        <f t="array" aca="1" ref="F24" ca="1">INDIRECT(A24&amp;"!U10")</f>
        <v>0</v>
      </c>
      <c r="G24" s="1" cm="1">
        <f t="array" aca="1" ref="G24" ca="1">INDIRECT(A24&amp;"!AG10")</f>
        <v>0</v>
      </c>
      <c r="H24" s="1" cm="1">
        <f t="array" aca="1" ref="H24" ca="1">INDIRECT(A24&amp;"!I11")</f>
        <v>0</v>
      </c>
      <c r="I24" s="1" cm="1">
        <f t="array" aca="1" ref="I24" ca="1">INDIRECT(A24&amp;"!U11")</f>
        <v>0</v>
      </c>
      <c r="J24" s="1" cm="1">
        <f t="array" aca="1" ref="J24" ca="1">INDIRECT(A24&amp;"!AG11")</f>
        <v>0</v>
      </c>
      <c r="K24" s="1" cm="1">
        <f t="array" aca="1" ref="K24" ca="1">INDIRECT(A24&amp;"!I12")</f>
        <v>0</v>
      </c>
      <c r="L24" s="1" cm="1">
        <f t="array" aca="1" ref="L24" ca="1">INDIRECT(A24&amp;"!U12")</f>
        <v>0</v>
      </c>
      <c r="M24" s="1" cm="1">
        <f t="array" aca="1" ref="M24" ca="1">INDIRECT(A24&amp;"!AG12")</f>
        <v>0</v>
      </c>
      <c r="N24" s="1" cm="1">
        <f t="array" aca="1" ref="N24" ca="1">INDIRECT(A24&amp;"!I13")</f>
        <v>0</v>
      </c>
      <c r="O24" s="1" cm="1">
        <f t="array" aca="1" ref="O24" ca="1">INDIRECT(A24&amp;"!U13")</f>
        <v>0</v>
      </c>
      <c r="P24" s="1" cm="1">
        <f t="array" aca="1" ref="P24" ca="1">INDIRECT(A24&amp;"!AG13")</f>
        <v>0</v>
      </c>
      <c r="R24" s="96" t="str" cm="1">
        <f t="array" aca="1" ref="R24" ca="1">INDIRECT(A24&amp;"!V7")</f>
        <v>曇</v>
      </c>
      <c r="S24" s="96" t="str" cm="1">
        <f t="array" aca="1" ref="S24" ca="1">INDIRECT(A24&amp;"!V8")</f>
        <v>薄曇</v>
      </c>
      <c r="T24" s="94">
        <v>23</v>
      </c>
      <c r="U24" s="96" cm="1">
        <f t="array" aca="1" ref="U24" ca="1">INDIRECT($A24&amp;"!AU39")</f>
        <v>20</v>
      </c>
      <c r="V24" s="96" cm="1">
        <f t="array" aca="1" ref="V24" ca="1">INDIRECT($A24&amp;"!AU40")</f>
        <v>21</v>
      </c>
      <c r="W24" s="166" cm="1">
        <f t="array" aca="1" ref="W24" ca="1">INDIRECT($A24&amp;"!AV40")</f>
        <v>0.5</v>
      </c>
      <c r="Y24" s="96" cm="1">
        <f t="array" aca="1" ref="Y24" ca="1">INDIRECT($A24&amp;"!AU22")</f>
        <v>0</v>
      </c>
      <c r="Z24" s="96" cm="1">
        <f t="array" aca="1" ref="Z24" ca="1">INDIRECT($A24&amp;"!AU23")</f>
        <v>0</v>
      </c>
      <c r="AA24" s="96" t="str" cm="1">
        <f t="array" aca="1" ref="AA24" ca="1">INDIRECT($A24&amp;"!AW23")</f>
        <v>-</v>
      </c>
    </row>
    <row r="25" spans="1:27">
      <c r="A25" s="96">
        <v>24</v>
      </c>
      <c r="B25" s="112">
        <f t="shared" ca="1" si="0"/>
        <v>65</v>
      </c>
      <c r="C25" s="1" cm="1">
        <f t="array" aca="1" ref="C25" ca="1">INDIRECT(A25&amp;"!J15")</f>
        <v>35</v>
      </c>
      <c r="D25" s="1" cm="1">
        <f t="array" aca="1" ref="D25" ca="1">INDIRECT(A25&amp;"!W15")</f>
        <v>30</v>
      </c>
      <c r="E25" s="1" cm="1">
        <f t="array" aca="1" ref="E25" ca="1">INDIRECT(A25&amp;"!I10")</f>
        <v>0</v>
      </c>
      <c r="F25" s="1" cm="1">
        <f t="array" aca="1" ref="F25" ca="1">INDIRECT(A25&amp;"!U10")</f>
        <v>0</v>
      </c>
      <c r="G25" s="1" cm="1">
        <f t="array" aca="1" ref="G25" ca="1">INDIRECT(A25&amp;"!AG10")</f>
        <v>0</v>
      </c>
      <c r="H25" s="1" cm="1">
        <f t="array" aca="1" ref="H25" ca="1">INDIRECT(A25&amp;"!I11")</f>
        <v>0</v>
      </c>
      <c r="I25" s="1" cm="1">
        <f t="array" aca="1" ref="I25" ca="1">INDIRECT(A25&amp;"!U11")</f>
        <v>0</v>
      </c>
      <c r="J25" s="1" cm="1">
        <f t="array" aca="1" ref="J25" ca="1">INDIRECT(A25&amp;"!AG11")</f>
        <v>0</v>
      </c>
      <c r="K25" s="1" cm="1">
        <f t="array" aca="1" ref="K25" ca="1">INDIRECT(A25&amp;"!I12")</f>
        <v>0</v>
      </c>
      <c r="L25" s="1" cm="1">
        <f t="array" aca="1" ref="L25" ca="1">INDIRECT(A25&amp;"!U12")</f>
        <v>0</v>
      </c>
      <c r="M25" s="1" cm="1">
        <f t="array" aca="1" ref="M25" ca="1">INDIRECT(A25&amp;"!AG12")</f>
        <v>1</v>
      </c>
      <c r="N25" s="1" cm="1">
        <f t="array" aca="1" ref="N25" ca="1">INDIRECT(A25&amp;"!I13")</f>
        <v>0</v>
      </c>
      <c r="O25" s="1" cm="1">
        <f t="array" aca="1" ref="O25" ca="1">INDIRECT(A25&amp;"!U13")</f>
        <v>0</v>
      </c>
      <c r="P25" s="1" cm="1">
        <f t="array" aca="1" ref="P25" ca="1">INDIRECT(A25&amp;"!AG13")</f>
        <v>3</v>
      </c>
      <c r="R25" s="96" t="str" cm="1">
        <f t="array" aca="1" ref="R25" ca="1">INDIRECT(A25&amp;"!V7")</f>
        <v>晴</v>
      </c>
      <c r="S25" s="96" t="str" cm="1">
        <f t="array" aca="1" ref="S25" ca="1">INDIRECT(A25&amp;"!V8")</f>
        <v>曇</v>
      </c>
      <c r="T25" s="94">
        <v>24</v>
      </c>
      <c r="U25" s="96" cm="1">
        <f t="array" aca="1" ref="U25" ca="1">INDIRECT($A25&amp;"!AU39")</f>
        <v>15</v>
      </c>
      <c r="V25" s="96" cm="1">
        <f t="array" aca="1" ref="V25" ca="1">INDIRECT($A25&amp;"!AU40")</f>
        <v>22</v>
      </c>
      <c r="W25" s="166" cm="1">
        <f t="array" aca="1" ref="W25" ca="1">INDIRECT($A25&amp;"!AV40")</f>
        <v>0.44900000000000001</v>
      </c>
      <c r="Y25" s="96" cm="1">
        <f t="array" aca="1" ref="Y25" ca="1">INDIRECT($A25&amp;"!AU22")</f>
        <v>0</v>
      </c>
      <c r="Z25" s="96" cm="1">
        <f t="array" aca="1" ref="Z25" ca="1">INDIRECT($A25&amp;"!AU23")</f>
        <v>0</v>
      </c>
      <c r="AA25" s="96" t="str" cm="1">
        <f t="array" aca="1" ref="AA25" ca="1">INDIRECT($A25&amp;"!AW23")</f>
        <v>-</v>
      </c>
    </row>
    <row r="26" spans="1:27">
      <c r="A26" s="96">
        <v>25</v>
      </c>
      <c r="B26" s="112">
        <f t="shared" ca="1" si="0"/>
        <v>116</v>
      </c>
      <c r="C26" s="1" cm="1">
        <f t="array" aca="1" ref="C26" ca="1">INDIRECT(A26&amp;"!J15")</f>
        <v>74</v>
      </c>
      <c r="D26" s="1" cm="1">
        <f t="array" aca="1" ref="D26" ca="1">INDIRECT(A26&amp;"!W15")</f>
        <v>42</v>
      </c>
      <c r="E26" s="1" cm="1">
        <f t="array" aca="1" ref="E26" ca="1">INDIRECT(A26&amp;"!I10")</f>
        <v>5</v>
      </c>
      <c r="F26" s="1" cm="1">
        <f t="array" aca="1" ref="F26" ca="1">INDIRECT(A26&amp;"!U10")</f>
        <v>0</v>
      </c>
      <c r="G26" s="1" cm="1">
        <f t="array" aca="1" ref="G26" ca="1">INDIRECT(A26&amp;"!AG10")</f>
        <v>0</v>
      </c>
      <c r="H26" s="1" cm="1">
        <f t="array" aca="1" ref="H26" ca="1">INDIRECT(A26&amp;"!I11")</f>
        <v>0</v>
      </c>
      <c r="I26" s="1" cm="1">
        <f t="array" aca="1" ref="I26" ca="1">INDIRECT(A26&amp;"!U11")</f>
        <v>0</v>
      </c>
      <c r="J26" s="1" cm="1">
        <f t="array" aca="1" ref="J26" ca="1">INDIRECT(A26&amp;"!AG11")</f>
        <v>0</v>
      </c>
      <c r="K26" s="1" cm="1">
        <f t="array" aca="1" ref="K26" ca="1">INDIRECT(A26&amp;"!I12")</f>
        <v>0</v>
      </c>
      <c r="L26" s="1" cm="1">
        <f t="array" aca="1" ref="L26" ca="1">INDIRECT(A26&amp;"!U12")</f>
        <v>0</v>
      </c>
      <c r="M26" s="1" cm="1">
        <f t="array" aca="1" ref="M26" ca="1">INDIRECT(A26&amp;"!AG12")</f>
        <v>0</v>
      </c>
      <c r="N26" s="1" cm="1">
        <f t="array" aca="1" ref="N26" ca="1">INDIRECT(A26&amp;"!I13")</f>
        <v>0</v>
      </c>
      <c r="O26" s="1" cm="1">
        <f t="array" aca="1" ref="O26" ca="1">INDIRECT(A26&amp;"!U13")</f>
        <v>0</v>
      </c>
      <c r="P26" s="1" cm="1">
        <f t="array" aca="1" ref="P26" ca="1">INDIRECT(A26&amp;"!AG13")</f>
        <v>0</v>
      </c>
      <c r="R26" s="96" t="str" cm="1">
        <f t="array" aca="1" ref="R26" ca="1">INDIRECT(A26&amp;"!V7")</f>
        <v>雨</v>
      </c>
      <c r="S26" s="96" t="str" cm="1">
        <f t="array" aca="1" ref="S26" ca="1">INDIRECT(A26&amp;"!V8")</f>
        <v>雨</v>
      </c>
      <c r="T26" s="94">
        <v>25</v>
      </c>
      <c r="U26" s="96" cm="1">
        <f t="array" aca="1" ref="U26" ca="1">INDIRECT($A26&amp;"!AU39")</f>
        <v>23</v>
      </c>
      <c r="V26" s="96" cm="1">
        <f t="array" aca="1" ref="V26" ca="1">INDIRECT($A26&amp;"!AU40")</f>
        <v>25</v>
      </c>
      <c r="W26" s="166" cm="1">
        <f t="array" aca="1" ref="W26" ca="1">INDIRECT($A26&amp;"!AV40")</f>
        <v>0.438</v>
      </c>
      <c r="Y26" s="96" cm="1">
        <f t="array" aca="1" ref="Y26" ca="1">INDIRECT($A26&amp;"!AU22")</f>
        <v>0</v>
      </c>
      <c r="Z26" s="96" cm="1">
        <f t="array" aca="1" ref="Z26" ca="1">INDIRECT($A26&amp;"!AU23")</f>
        <v>0</v>
      </c>
      <c r="AA26" s="96" t="str" cm="1">
        <f t="array" aca="1" ref="AA26" ca="1">INDIRECT($A26&amp;"!AW23")</f>
        <v>-</v>
      </c>
    </row>
    <row r="27" spans="1:27">
      <c r="A27" s="96">
        <v>26</v>
      </c>
      <c r="B27" s="112">
        <f t="shared" ca="1" si="0"/>
        <v>99</v>
      </c>
      <c r="C27" s="1" cm="1">
        <f t="array" aca="1" ref="C27" ca="1">INDIRECT(A27&amp;"!J15")</f>
        <v>63</v>
      </c>
      <c r="D27" s="1" cm="1">
        <f t="array" aca="1" ref="D27" ca="1">INDIRECT(A27&amp;"!W15")</f>
        <v>36</v>
      </c>
      <c r="E27" s="1" cm="1">
        <f t="array" aca="1" ref="E27" ca="1">INDIRECT(A27&amp;"!I10")</f>
        <v>0</v>
      </c>
      <c r="F27" s="1" cm="1">
        <f t="array" aca="1" ref="F27" ca="1">INDIRECT(A27&amp;"!U10")</f>
        <v>0</v>
      </c>
      <c r="G27" s="1" cm="1">
        <f t="array" aca="1" ref="G27" ca="1">INDIRECT(A27&amp;"!AG10")</f>
        <v>0</v>
      </c>
      <c r="H27" s="1" cm="1">
        <f t="array" aca="1" ref="H27" ca="1">INDIRECT(A27&amp;"!I11")</f>
        <v>0</v>
      </c>
      <c r="I27" s="1" cm="1">
        <f t="array" aca="1" ref="I27" ca="1">INDIRECT(A27&amp;"!U11")</f>
        <v>0</v>
      </c>
      <c r="J27" s="1" cm="1">
        <f t="array" aca="1" ref="J27" ca="1">INDIRECT(A27&amp;"!AG11")</f>
        <v>0</v>
      </c>
      <c r="K27" s="1" cm="1">
        <f t="array" aca="1" ref="K27" ca="1">INDIRECT(A27&amp;"!I12")</f>
        <v>0</v>
      </c>
      <c r="L27" s="1" cm="1">
        <f t="array" aca="1" ref="L27" ca="1">INDIRECT(A27&amp;"!U12")</f>
        <v>0</v>
      </c>
      <c r="M27" s="1" cm="1">
        <f t="array" aca="1" ref="M27" ca="1">INDIRECT(A27&amp;"!AG12")</f>
        <v>0</v>
      </c>
      <c r="N27" s="1" cm="1">
        <f t="array" aca="1" ref="N27" ca="1">INDIRECT(A27&amp;"!I13")</f>
        <v>0</v>
      </c>
      <c r="O27" s="1" cm="1">
        <f t="array" aca="1" ref="O27" ca="1">INDIRECT(A27&amp;"!U13")</f>
        <v>0</v>
      </c>
      <c r="P27" s="1" cm="1">
        <f t="array" aca="1" ref="P27" ca="1">INDIRECT(A27&amp;"!AG13")</f>
        <v>7</v>
      </c>
      <c r="R27" s="96" t="str" cm="1">
        <f t="array" aca="1" ref="R27" ca="1">INDIRECT(A27&amp;"!V7")</f>
        <v>雨</v>
      </c>
      <c r="S27" s="96" t="str" cm="1">
        <f t="array" aca="1" ref="S27" ca="1">INDIRECT(A27&amp;"!V8")</f>
        <v>雨</v>
      </c>
      <c r="T27" s="94">
        <v>26</v>
      </c>
      <c r="U27" s="96" cm="1">
        <f t="array" aca="1" ref="U27" ca="1">INDIRECT($A27&amp;"!AU39")</f>
        <v>28</v>
      </c>
      <c r="V27" s="96" cm="1">
        <f t="array" aca="1" ref="V27" ca="1">INDIRECT($A27&amp;"!AU40")</f>
        <v>18</v>
      </c>
      <c r="W27" s="166" cm="1">
        <f t="array" aca="1" ref="W27" ca="1">INDIRECT($A27&amp;"!AV40")</f>
        <v>0.52039999999999997</v>
      </c>
      <c r="Y27" s="96" t="str" cm="1">
        <f t="array" aca="1" ref="Y27" ca="1">INDIRECT($A27&amp;"!AU22")</f>
        <v>関東-震度5以上発生（1週間以内）</v>
      </c>
      <c r="Z27" s="96" t="str" cm="1">
        <f t="array" aca="1" ref="Z27" ca="1">INDIRECT($A27&amp;"!AU23")</f>
        <v>山梨県東部</v>
      </c>
      <c r="AA27" s="96" t="str" cm="1">
        <f t="array" aca="1" ref="AA27" ca="1">INDIRECT($A27&amp;"!AW23")</f>
        <v>●</v>
      </c>
    </row>
    <row r="28" spans="1:27">
      <c r="A28" s="96">
        <v>27</v>
      </c>
      <c r="B28" s="112">
        <f t="shared" ca="1" si="0"/>
        <v>97</v>
      </c>
      <c r="C28" s="1" cm="1">
        <f t="array" aca="1" ref="C28" ca="1">INDIRECT(A28&amp;"!J15")</f>
        <v>48</v>
      </c>
      <c r="D28" s="1" cm="1">
        <f t="array" aca="1" ref="D28" ca="1">INDIRECT(A28&amp;"!W15")</f>
        <v>49</v>
      </c>
      <c r="E28" s="1" cm="1">
        <f t="array" aca="1" ref="E28" ca="1">INDIRECT(A28&amp;"!I10")</f>
        <v>0</v>
      </c>
      <c r="F28" s="1" cm="1">
        <f t="array" aca="1" ref="F28" ca="1">INDIRECT(A28&amp;"!U10")</f>
        <v>0</v>
      </c>
      <c r="G28" s="1" cm="1">
        <f t="array" aca="1" ref="G28" ca="1">INDIRECT(A28&amp;"!AG10")</f>
        <v>0</v>
      </c>
      <c r="H28" s="1" cm="1">
        <f t="array" aca="1" ref="H28" ca="1">INDIRECT(A28&amp;"!I11")</f>
        <v>0</v>
      </c>
      <c r="I28" s="1" cm="1">
        <f t="array" aca="1" ref="I28" ca="1">INDIRECT(A28&amp;"!U11")</f>
        <v>0</v>
      </c>
      <c r="J28" s="1" cm="1">
        <f t="array" aca="1" ref="J28" ca="1">INDIRECT(A28&amp;"!AG11")</f>
        <v>0</v>
      </c>
      <c r="K28" s="1" cm="1">
        <f t="array" aca="1" ref="K28" ca="1">INDIRECT(A28&amp;"!I12")</f>
        <v>0</v>
      </c>
      <c r="L28" s="1" cm="1">
        <f t="array" aca="1" ref="L28" ca="1">INDIRECT(A28&amp;"!U12")</f>
        <v>0</v>
      </c>
      <c r="M28" s="1" cm="1">
        <f t="array" aca="1" ref="M28" ca="1">INDIRECT(A28&amp;"!AG12")</f>
        <v>0</v>
      </c>
      <c r="N28" s="1" cm="1">
        <f t="array" aca="1" ref="N28" ca="1">INDIRECT(A28&amp;"!I13")</f>
        <v>0</v>
      </c>
      <c r="O28" s="1" cm="1">
        <f t="array" aca="1" ref="O28" ca="1">INDIRECT(A28&amp;"!U13")</f>
        <v>0</v>
      </c>
      <c r="P28" s="1" cm="1">
        <f t="array" aca="1" ref="P28" ca="1">INDIRECT(A28&amp;"!AG13")</f>
        <v>0</v>
      </c>
      <c r="R28" s="96" t="str" cm="1">
        <f t="array" aca="1" ref="R28" ca="1">INDIRECT(A28&amp;"!V7")</f>
        <v>雨</v>
      </c>
      <c r="S28" s="96" t="str" cm="1">
        <f t="array" aca="1" ref="S28" ca="1">INDIRECT(A28&amp;"!V8")</f>
        <v>曇</v>
      </c>
      <c r="T28" s="94">
        <v>27</v>
      </c>
      <c r="U28" s="96" cm="1">
        <f t="array" aca="1" ref="U28" ca="1">INDIRECT($A28&amp;"!AU39")</f>
        <v>20</v>
      </c>
      <c r="V28" s="96" cm="1">
        <f t="array" aca="1" ref="V28" ca="1">INDIRECT($A28&amp;"!AU40")</f>
        <v>19</v>
      </c>
      <c r="W28" s="166" cm="1">
        <f t="array" aca="1" ref="W28" ca="1">INDIRECT($A28&amp;"!AV40")</f>
        <v>0.55000000000000004</v>
      </c>
      <c r="Y28" s="96" cm="1">
        <f t="array" aca="1" ref="Y28" ca="1">INDIRECT($A28&amp;"!AU22")</f>
        <v>0</v>
      </c>
      <c r="Z28" s="96" cm="1">
        <f t="array" aca="1" ref="Z28" ca="1">INDIRECT($A28&amp;"!AU23")</f>
        <v>0</v>
      </c>
      <c r="AA28" s="96" t="str" cm="1">
        <f t="array" aca="1" ref="AA28" ca="1">INDIRECT($A28&amp;"!AW23")</f>
        <v>-</v>
      </c>
    </row>
    <row r="29" spans="1:27">
      <c r="A29" s="96">
        <v>28</v>
      </c>
      <c r="B29" s="112">
        <f t="shared" ca="1" si="0"/>
        <v>44</v>
      </c>
      <c r="C29" s="1" cm="1">
        <f t="array" aca="1" ref="C29" ca="1">INDIRECT(A29&amp;"!J15")</f>
        <v>6</v>
      </c>
      <c r="D29" s="1" cm="1">
        <f t="array" aca="1" ref="D29" ca="1">INDIRECT(A29&amp;"!W15")</f>
        <v>38</v>
      </c>
      <c r="E29" s="1" cm="1">
        <f t="array" aca="1" ref="E29" ca="1">INDIRECT(A29&amp;"!I10")</f>
        <v>2</v>
      </c>
      <c r="F29" s="1" cm="1">
        <f t="array" aca="1" ref="F29" ca="1">INDIRECT(A29&amp;"!U10")</f>
        <v>0</v>
      </c>
      <c r="G29" s="1" cm="1">
        <f t="array" aca="1" ref="G29" ca="1">INDIRECT(A29&amp;"!AG10")</f>
        <v>0</v>
      </c>
      <c r="H29" s="1" cm="1">
        <f t="array" aca="1" ref="H29" ca="1">INDIRECT(A29&amp;"!I11")</f>
        <v>0</v>
      </c>
      <c r="I29" s="1" cm="1">
        <f t="array" aca="1" ref="I29" ca="1">INDIRECT(A29&amp;"!U11")</f>
        <v>0</v>
      </c>
      <c r="J29" s="1" cm="1">
        <f t="array" aca="1" ref="J29" ca="1">INDIRECT(A29&amp;"!AG11")</f>
        <v>0</v>
      </c>
      <c r="K29" s="1" cm="1">
        <f t="array" aca="1" ref="K29" ca="1">INDIRECT(A29&amp;"!I12")</f>
        <v>0</v>
      </c>
      <c r="L29" s="1" cm="1">
        <f t="array" aca="1" ref="L29" ca="1">INDIRECT(A29&amp;"!U12")</f>
        <v>0</v>
      </c>
      <c r="M29" s="1" cm="1">
        <f t="array" aca="1" ref="M29" ca="1">INDIRECT(A29&amp;"!AG12")</f>
        <v>0</v>
      </c>
      <c r="N29" s="1" cm="1">
        <f t="array" aca="1" ref="N29" ca="1">INDIRECT(A29&amp;"!I13")</f>
        <v>0</v>
      </c>
      <c r="O29" s="1" cm="1">
        <f t="array" aca="1" ref="O29" ca="1">INDIRECT(A29&amp;"!U13")</f>
        <v>0</v>
      </c>
      <c r="P29" s="1" cm="1">
        <f t="array" aca="1" ref="P29" ca="1">INDIRECT(A29&amp;"!AG13")</f>
        <v>0</v>
      </c>
      <c r="R29" s="96" t="str" cm="1">
        <f t="array" aca="1" ref="R29" ca="1">INDIRECT(A29&amp;"!V7")</f>
        <v>雨</v>
      </c>
      <c r="S29" s="96" t="str" cm="1">
        <f t="array" aca="1" ref="S29" ca="1">INDIRECT(A29&amp;"!V8")</f>
        <v>雨</v>
      </c>
      <c r="T29" s="94">
        <v>28</v>
      </c>
      <c r="U29" s="96" cm="1">
        <f t="array" aca="1" ref="U29" ca="1">INDIRECT($A29&amp;"!AU39")</f>
        <v>14</v>
      </c>
      <c r="V29" s="96" cm="1">
        <f t="array" aca="1" ref="V29" ca="1">INDIRECT($A29&amp;"!AU40")</f>
        <v>24</v>
      </c>
      <c r="W29" s="166" cm="1">
        <f t="array" aca="1" ref="W29" ca="1">INDIRECT($A29&amp;"!AV40")</f>
        <v>0.44900000000000001</v>
      </c>
      <c r="Y29" s="96" cm="1">
        <f t="array" aca="1" ref="Y29" ca="1">INDIRECT($A29&amp;"!AU22")</f>
        <v>0</v>
      </c>
      <c r="Z29" s="96" cm="1">
        <f t="array" aca="1" ref="Z29" ca="1">INDIRECT($A29&amp;"!AU23")</f>
        <v>0</v>
      </c>
      <c r="AA29" s="96" t="str" cm="1">
        <f t="array" aca="1" ref="AA29" ca="1">INDIRECT($A29&amp;"!AW23")</f>
        <v>-</v>
      </c>
    </row>
    <row r="30" spans="1:27">
      <c r="A30" s="96">
        <v>29</v>
      </c>
      <c r="B30" s="112">
        <f t="shared" ca="1" si="0"/>
        <v>117</v>
      </c>
      <c r="C30" s="1" cm="1">
        <f t="array" aca="1" ref="C30" ca="1">INDIRECT(A30&amp;"!J15")</f>
        <v>72</v>
      </c>
      <c r="D30" s="1" cm="1">
        <f t="array" aca="1" ref="D30" ca="1">INDIRECT(A30&amp;"!W15")</f>
        <v>45</v>
      </c>
      <c r="E30" s="1" cm="1">
        <f t="array" aca="1" ref="E30" ca="1">INDIRECT(A30&amp;"!I10")</f>
        <v>3</v>
      </c>
      <c r="F30" s="1" cm="1">
        <f t="array" aca="1" ref="F30" ca="1">INDIRECT(A30&amp;"!U10")</f>
        <v>0</v>
      </c>
      <c r="G30" s="1" cm="1">
        <f t="array" aca="1" ref="G30" ca="1">INDIRECT(A30&amp;"!AG10")</f>
        <v>0</v>
      </c>
      <c r="H30" s="1" cm="1">
        <f t="array" aca="1" ref="H30" ca="1">INDIRECT(A30&amp;"!I11")</f>
        <v>0</v>
      </c>
      <c r="I30" s="1" cm="1">
        <f t="array" aca="1" ref="I30" ca="1">INDIRECT(A30&amp;"!U11")</f>
        <v>0</v>
      </c>
      <c r="J30" s="1" cm="1">
        <f t="array" aca="1" ref="J30" ca="1">INDIRECT(A30&amp;"!AG11")</f>
        <v>0</v>
      </c>
      <c r="K30" s="1" cm="1">
        <f t="array" aca="1" ref="K30" ca="1">INDIRECT(A30&amp;"!I12")</f>
        <v>0</v>
      </c>
      <c r="L30" s="1" cm="1">
        <f t="array" aca="1" ref="L30" ca="1">INDIRECT(A30&amp;"!U12")</f>
        <v>0</v>
      </c>
      <c r="M30" s="1" cm="1">
        <f t="array" aca="1" ref="M30" ca="1">INDIRECT(A30&amp;"!AG12")</f>
        <v>0</v>
      </c>
      <c r="N30" s="1" cm="1">
        <f t="array" aca="1" ref="N30" ca="1">INDIRECT(A30&amp;"!I13")</f>
        <v>2</v>
      </c>
      <c r="O30" s="1" cm="1">
        <f t="array" aca="1" ref="O30" ca="1">INDIRECT(A30&amp;"!U13")</f>
        <v>0</v>
      </c>
      <c r="P30" s="1" cm="1">
        <f t="array" aca="1" ref="P30" ca="1">INDIRECT(A30&amp;"!AG13")</f>
        <v>1</v>
      </c>
      <c r="R30" s="96" t="str" cm="1">
        <f t="array" aca="1" ref="R30" ca="1">INDIRECT(A30&amp;"!V7")</f>
        <v>雨</v>
      </c>
      <c r="S30" s="96" t="str" cm="1">
        <f t="array" aca="1" ref="S30" ca="1">INDIRECT(A30&amp;"!V8")</f>
        <v>曇</v>
      </c>
      <c r="T30" s="94">
        <v>29</v>
      </c>
      <c r="U30" s="96" cm="1">
        <f t="array" aca="1" ref="U30" ca="1">INDIRECT($A30&amp;"!AU39")</f>
        <v>0</v>
      </c>
      <c r="V30" s="96" cm="1">
        <f t="array" aca="1" ref="V30" ca="1">INDIRECT($A30&amp;"!AU40")</f>
        <v>0</v>
      </c>
      <c r="W30" s="166" cm="1">
        <f t="array" aca="1" ref="W30" ca="1">INDIRECT($A30&amp;"!AV40")</f>
        <v>0</v>
      </c>
      <c r="Y30" s="96" cm="1">
        <f t="array" aca="1" ref="Y30" ca="1">INDIRECT($A30&amp;"!AU22")</f>
        <v>0</v>
      </c>
      <c r="Z30" s="96" cm="1">
        <f t="array" aca="1" ref="Z30" ca="1">INDIRECT($A30&amp;"!AU23")</f>
        <v>0</v>
      </c>
      <c r="AA30" s="96" t="str" cm="1">
        <f t="array" aca="1" ref="AA30" ca="1">INDIRECT($A30&amp;"!AW23")</f>
        <v>-</v>
      </c>
    </row>
    <row r="31" spans="1:27" ht="19.5" thickBot="1">
      <c r="A31" s="96">
        <v>30</v>
      </c>
      <c r="B31" s="112">
        <f t="shared" ca="1" si="0"/>
        <v>81</v>
      </c>
      <c r="C31" s="1" cm="1">
        <f t="array" aca="1" ref="C31" ca="1">INDIRECT(A31&amp;"!J15")</f>
        <v>44</v>
      </c>
      <c r="D31" s="1" cm="1">
        <f t="array" aca="1" ref="D31" ca="1">INDIRECT(A31&amp;"!W15")</f>
        <v>37</v>
      </c>
      <c r="E31" s="1" cm="1">
        <f t="array" aca="1" ref="E31" ca="1">INDIRECT(A31&amp;"!I10")</f>
        <v>1</v>
      </c>
      <c r="F31" s="1" cm="1">
        <f t="array" aca="1" ref="F31" ca="1">INDIRECT(A31&amp;"!U10")</f>
        <v>0</v>
      </c>
      <c r="G31" s="1" cm="1">
        <f t="array" aca="1" ref="G31" ca="1">INDIRECT(A31&amp;"!AG10")</f>
        <v>0</v>
      </c>
      <c r="H31" s="1" cm="1">
        <f t="array" aca="1" ref="H31" ca="1">INDIRECT(A31&amp;"!I11")</f>
        <v>1</v>
      </c>
      <c r="I31" s="1" cm="1">
        <f t="array" aca="1" ref="I31" ca="1">INDIRECT(A31&amp;"!U11")</f>
        <v>0</v>
      </c>
      <c r="J31" s="1" cm="1">
        <f t="array" aca="1" ref="J31" ca="1">INDIRECT(A31&amp;"!AG11")</f>
        <v>0</v>
      </c>
      <c r="K31" s="1" cm="1">
        <f t="array" aca="1" ref="K31" ca="1">INDIRECT(A31&amp;"!I12")</f>
        <v>0</v>
      </c>
      <c r="L31" s="1" cm="1">
        <f t="array" aca="1" ref="L31" ca="1">INDIRECT(A31&amp;"!U12")</f>
        <v>0</v>
      </c>
      <c r="M31" s="1" cm="1">
        <f t="array" aca="1" ref="M31" ca="1">INDIRECT(A31&amp;"!AG12")</f>
        <v>0</v>
      </c>
      <c r="N31" s="1" cm="1">
        <f t="array" aca="1" ref="N31" ca="1">INDIRECT(A31&amp;"!I13")</f>
        <v>1</v>
      </c>
      <c r="O31" s="1" cm="1">
        <f t="array" aca="1" ref="O31" ca="1">INDIRECT(A31&amp;"!U13")</f>
        <v>0</v>
      </c>
      <c r="P31" s="1" cm="1">
        <f t="array" aca="1" ref="P31" ca="1">INDIRECT(A31&amp;"!AG13")</f>
        <v>0</v>
      </c>
      <c r="R31" s="96" t="str" cm="1">
        <f t="array" aca="1" ref="R31" ca="1">INDIRECT(A31&amp;"!V7")</f>
        <v>曇</v>
      </c>
      <c r="S31" s="96" t="str" cm="1">
        <f t="array" aca="1" ref="S31" ca="1">INDIRECT(A31&amp;"!V8")</f>
        <v>晴</v>
      </c>
      <c r="T31" s="94">
        <v>30</v>
      </c>
      <c r="U31" s="96" cm="1">
        <f t="array" aca="1" ref="U31" ca="1">INDIRECT($A31&amp;"!AU39")</f>
        <v>10</v>
      </c>
      <c r="V31" s="96" cm="1">
        <f t="array" aca="1" ref="V31" ca="1">INDIRECT($A31&amp;"!AU40")</f>
        <v>19</v>
      </c>
      <c r="W31" s="166" cm="1">
        <f t="array" aca="1" ref="W31" ca="1">INDIRECT($A31&amp;"!AV40")</f>
        <v>0.38779999999999998</v>
      </c>
      <c r="Y31" s="96" cm="1">
        <f t="array" aca="1" ref="Y31" ca="1">INDIRECT($A31&amp;"!AU22")</f>
        <v>0</v>
      </c>
      <c r="Z31" s="96" cm="1">
        <f t="array" aca="1" ref="Z31" ca="1">INDIRECT($A31&amp;"!AU23")</f>
        <v>0</v>
      </c>
      <c r="AA31" s="96" t="str" cm="1">
        <f t="array" aca="1" ref="AA31" ca="1">INDIRECT($A31&amp;"!AW23")</f>
        <v>-</v>
      </c>
    </row>
    <row r="32" spans="1:27" ht="19.5" thickBot="1">
      <c r="A32" s="113" t="s">
        <v>530</v>
      </c>
      <c r="B32" s="114">
        <f t="shared" ref="B32:P32" ca="1" si="1">SUM(B2:B31)</f>
        <v>2531</v>
      </c>
      <c r="C32" s="115">
        <f t="shared" ca="1" si="1"/>
        <v>1394</v>
      </c>
      <c r="D32" s="115">
        <f t="shared" ca="1" si="1"/>
        <v>1137</v>
      </c>
      <c r="E32" s="115">
        <f t="shared" ca="1" si="1"/>
        <v>54</v>
      </c>
      <c r="F32" s="115">
        <f t="shared" ca="1" si="1"/>
        <v>0</v>
      </c>
      <c r="G32" s="115">
        <f t="shared" ca="1" si="1"/>
        <v>1</v>
      </c>
      <c r="H32" s="115">
        <f t="shared" ca="1" si="1"/>
        <v>1</v>
      </c>
      <c r="I32" s="115">
        <f t="shared" ca="1" si="1"/>
        <v>1</v>
      </c>
      <c r="J32" s="115">
        <f t="shared" ca="1" si="1"/>
        <v>0</v>
      </c>
      <c r="K32" s="115">
        <f t="shared" ca="1" si="1"/>
        <v>4</v>
      </c>
      <c r="L32" s="115">
        <f t="shared" ca="1" si="1"/>
        <v>2</v>
      </c>
      <c r="M32" s="115">
        <f t="shared" ca="1" si="1"/>
        <v>6</v>
      </c>
      <c r="N32" s="115">
        <f t="shared" ca="1" si="1"/>
        <v>3</v>
      </c>
      <c r="O32" s="115">
        <f t="shared" ca="1" si="1"/>
        <v>1</v>
      </c>
      <c r="P32" s="116">
        <f t="shared" ca="1" si="1"/>
        <v>20</v>
      </c>
      <c r="U32" s="152">
        <f ca="1">SUM(U2:U31)</f>
        <v>742</v>
      </c>
      <c r="V32" s="161">
        <f ca="1">SUM(V2:V31)</f>
        <v>766</v>
      </c>
      <c r="W32" s="153">
        <f ca="1">AVERAGE(W2:W31)</f>
        <v>0.61161333333333323</v>
      </c>
    </row>
    <row r="33" spans="5:34">
      <c r="E33" s="94" t="s">
        <v>531</v>
      </c>
      <c r="F33" s="94" t="s">
        <v>532</v>
      </c>
      <c r="G33" s="94" t="s">
        <v>533</v>
      </c>
      <c r="H33" s="94" t="s">
        <v>534</v>
      </c>
      <c r="I33" s="94" t="s">
        <v>535</v>
      </c>
      <c r="J33" s="94" t="s">
        <v>536</v>
      </c>
      <c r="K33" s="94" t="s">
        <v>537</v>
      </c>
      <c r="L33" s="94" t="s">
        <v>538</v>
      </c>
      <c r="M33" s="94" t="s">
        <v>539</v>
      </c>
      <c r="N33" s="94" t="s">
        <v>540</v>
      </c>
      <c r="O33" s="94" t="s">
        <v>541</v>
      </c>
      <c r="P33" s="94" t="s">
        <v>542</v>
      </c>
      <c r="R33" s="94" t="s">
        <v>543</v>
      </c>
      <c r="S33" s="94" t="s">
        <v>544</v>
      </c>
      <c r="T33" s="94"/>
      <c r="U33" s="94" t="s">
        <v>545</v>
      </c>
      <c r="V33" s="94" t="s">
        <v>546</v>
      </c>
      <c r="W33" s="149" t="s">
        <v>547</v>
      </c>
      <c r="X33" s="94"/>
      <c r="Y33" s="94" t="s">
        <v>548</v>
      </c>
      <c r="Z33" s="94" t="s">
        <v>549</v>
      </c>
      <c r="AA33" s="94" t="s">
        <v>550</v>
      </c>
      <c r="AB33" s="94"/>
      <c r="AC33" s="94"/>
      <c r="AD33" s="94"/>
      <c r="AE33" s="94"/>
      <c r="AF33" s="94"/>
      <c r="AG33" s="94"/>
      <c r="AH33" s="94"/>
    </row>
    <row r="36" spans="5:34">
      <c r="G36" s="94"/>
    </row>
    <row r="37" spans="5:34">
      <c r="E37" s="94"/>
      <c r="F37" s="94"/>
      <c r="G37" s="94"/>
    </row>
  </sheetData>
  <phoneticPr fontId="2"/>
  <conditionalFormatting sqref="W33 V1 V32:V1048576">
    <cfRule type="beginsWith" dxfId="386" priority="7" operator="beginsWith" text="0">
      <formula>LEFT(V1,LEN("0"))="0"</formula>
    </cfRule>
  </conditionalFormatting>
  <conditionalFormatting sqref="Z1:Z31">
    <cfRule type="beginsWith" dxfId="385" priority="4" operator="beginsWith" text="0">
      <formula>LEFT(Z1,LEN("0"))="0"</formula>
    </cfRule>
  </conditionalFormatting>
  <conditionalFormatting sqref="V2:V31">
    <cfRule type="beginsWith" dxfId="384" priority="3" operator="beginsWith" text="0">
      <formula>LEFT(V2,LEN("0"))="0"</formula>
    </cfRule>
  </conditionalFormatting>
  <conditionalFormatting sqref="W2:W31">
    <cfRule type="colorScale" priority="2">
      <colorScale>
        <cfvo type="min"/>
        <cfvo type="percentile" val="50"/>
        <cfvo type="max"/>
        <color theme="7" tint="0.59999389629810485"/>
        <color rgb="FFFFFF61"/>
        <color rgb="FFFF0000"/>
      </colorScale>
    </cfRule>
  </conditionalFormatting>
  <pageMargins left="0.7" right="0.7" top="0.75" bottom="0.75" header="0.3" footer="0.3"/>
  <drawing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5A7928C-9A4D-4C74-960D-E7F3844FA7C3}">
  <sheetPr codeName="Sheet5"/>
  <dimension ref="A1:CG266"/>
  <sheetViews>
    <sheetView topLeftCell="A11" zoomScaleNormal="100" zoomScaleSheetLayoutView="100" workbookViewId="0">
      <selection activeCell="AK42" sqref="AK42:AP42"/>
    </sheetView>
  </sheetViews>
  <sheetFormatPr defaultColWidth="8.875" defaultRowHeight="13.5"/>
  <cols>
    <col min="1" max="42" width="2.25" style="23" customWidth="1"/>
    <col min="43" max="43" width="6" style="23" bestFit="1" customWidth="1"/>
    <col min="44" max="44" width="4.5" style="23" bestFit="1" customWidth="1"/>
    <col min="45" max="45" width="6" style="23" bestFit="1" customWidth="1"/>
    <col min="46" max="46" width="4.5" style="23" bestFit="1" customWidth="1"/>
    <col min="47" max="47" width="9" style="23" bestFit="1" customWidth="1"/>
    <col min="48" max="48" width="8.5" style="23" bestFit="1" customWidth="1"/>
    <col min="49" max="49" width="7.5" style="23" bestFit="1" customWidth="1"/>
    <col min="50" max="50" width="6.5" style="23" bestFit="1" customWidth="1"/>
    <col min="51" max="51" width="7.5" style="23" bestFit="1" customWidth="1"/>
    <col min="52" max="52" width="2.125" style="23" customWidth="1"/>
    <col min="53" max="54" width="7.375" style="23" customWidth="1"/>
    <col min="55" max="63" width="3.625" style="23" bestFit="1" customWidth="1"/>
    <col min="64" max="84" width="4" style="23" bestFit="1" customWidth="1"/>
    <col min="85" max="16384" width="8.875" style="23"/>
  </cols>
  <sheetData>
    <row r="1" spans="1:85" ht="14.1" customHeight="1">
      <c r="A1" s="510" t="s">
        <v>551</v>
      </c>
      <c r="B1" s="510"/>
      <c r="C1" s="510"/>
      <c r="D1" s="510"/>
      <c r="E1" s="510"/>
      <c r="F1" s="510"/>
      <c r="G1" s="510"/>
      <c r="H1" s="510"/>
      <c r="I1" s="510"/>
      <c r="J1" s="510"/>
      <c r="K1" s="510"/>
      <c r="L1" s="510"/>
      <c r="M1" s="510"/>
      <c r="N1" s="510"/>
      <c r="O1" s="510"/>
      <c r="P1" s="510"/>
      <c r="Q1" s="510"/>
      <c r="R1" s="510"/>
      <c r="S1" s="510"/>
      <c r="T1" s="388"/>
      <c r="U1" s="388"/>
      <c r="V1" s="388"/>
      <c r="W1" s="388"/>
      <c r="X1" s="388"/>
      <c r="Y1" s="388"/>
      <c r="Z1" s="388"/>
      <c r="AA1" s="24"/>
      <c r="AB1" s="32"/>
      <c r="AD1" s="252" t="s">
        <v>167</v>
      </c>
      <c r="AE1" s="252"/>
      <c r="AF1" s="252"/>
      <c r="AG1" s="252"/>
      <c r="AH1" s="252"/>
      <c r="AI1" s="252"/>
      <c r="AM1" s="123">
        <v>1</v>
      </c>
      <c r="BB1"/>
    </row>
    <row r="2" spans="1:85" ht="14.1" customHeight="1">
      <c r="A2" s="510"/>
      <c r="B2" s="510"/>
      <c r="C2" s="510"/>
      <c r="D2" s="510"/>
      <c r="E2" s="510"/>
      <c r="F2" s="510"/>
      <c r="G2" s="510"/>
      <c r="H2" s="510"/>
      <c r="I2" s="510"/>
      <c r="J2" s="510"/>
      <c r="K2" s="510"/>
      <c r="L2" s="510"/>
      <c r="M2" s="510"/>
      <c r="N2" s="510"/>
      <c r="O2" s="510"/>
      <c r="P2" s="510"/>
      <c r="Q2" s="510"/>
      <c r="R2" s="510"/>
      <c r="S2" s="510"/>
      <c r="T2" s="388"/>
      <c r="U2" s="388"/>
      <c r="V2" s="388"/>
      <c r="W2" s="388"/>
      <c r="X2" s="388"/>
      <c r="Y2" s="388"/>
      <c r="Z2" s="388"/>
      <c r="AA2" s="25"/>
      <c r="AB2" s="31"/>
      <c r="AD2" s="253"/>
      <c r="AE2" s="253"/>
      <c r="AF2" s="253"/>
      <c r="AG2" s="253"/>
      <c r="AH2" s="253"/>
      <c r="AI2" s="253"/>
      <c r="BA2"/>
    </row>
    <row r="3" spans="1:85" ht="14.1" customHeight="1">
      <c r="A3" s="510"/>
      <c r="B3" s="510"/>
      <c r="C3" s="510"/>
      <c r="D3" s="510"/>
      <c r="E3" s="510"/>
      <c r="F3" s="510"/>
      <c r="G3" s="510"/>
      <c r="H3" s="510"/>
      <c r="I3" s="510"/>
      <c r="J3" s="510"/>
      <c r="K3" s="510"/>
      <c r="L3" s="510"/>
      <c r="M3" s="510"/>
      <c r="N3" s="510"/>
      <c r="O3" s="510"/>
      <c r="P3" s="510"/>
      <c r="Q3" s="510"/>
      <c r="R3" s="510"/>
      <c r="S3" s="510"/>
      <c r="T3" s="388"/>
      <c r="U3" s="388"/>
      <c r="V3" s="388"/>
      <c r="W3" s="388"/>
      <c r="X3" s="388"/>
      <c r="Y3" s="388"/>
      <c r="Z3" s="388"/>
      <c r="AA3" s="25"/>
      <c r="AB3" s="31"/>
      <c r="AD3" s="253"/>
      <c r="AE3" s="253"/>
      <c r="AF3" s="253"/>
      <c r="AG3" s="253"/>
      <c r="AH3" s="253"/>
      <c r="AI3" s="253"/>
      <c r="BA3"/>
    </row>
    <row r="4" spans="1:85" ht="14.1" customHeight="1">
      <c r="A4" s="395" t="s">
        <v>552</v>
      </c>
      <c r="B4" s="395"/>
      <c r="C4" s="395"/>
      <c r="D4" s="395"/>
      <c r="E4" s="395"/>
      <c r="F4" s="395"/>
      <c r="G4" s="395"/>
      <c r="H4" s="395"/>
      <c r="I4" s="395"/>
      <c r="J4" s="395"/>
      <c r="K4" s="395"/>
      <c r="L4" s="395"/>
      <c r="M4" s="395"/>
      <c r="N4" s="395"/>
      <c r="O4" s="395"/>
      <c r="P4" s="395"/>
      <c r="Q4" s="395"/>
      <c r="R4" s="395"/>
      <c r="S4" s="395"/>
      <c r="T4" s="155"/>
      <c r="U4" s="155"/>
      <c r="V4" s="155"/>
      <c r="W4" s="155"/>
      <c r="X4" s="155"/>
      <c r="Y4" s="155"/>
      <c r="Z4" s="155"/>
      <c r="AA4" s="26"/>
      <c r="AB4" s="31"/>
      <c r="AD4" s="253"/>
      <c r="AE4" s="253"/>
      <c r="AF4" s="253"/>
      <c r="AG4" s="253"/>
      <c r="AH4" s="253"/>
      <c r="AI4" s="253"/>
      <c r="BA4"/>
    </row>
    <row r="5" spans="1:85" ht="14.1" customHeight="1">
      <c r="A5" s="395"/>
      <c r="B5" s="395"/>
      <c r="C5" s="395"/>
      <c r="D5" s="395"/>
      <c r="E5" s="395"/>
      <c r="F5" s="395"/>
      <c r="G5" s="395"/>
      <c r="H5" s="395"/>
      <c r="I5" s="395"/>
      <c r="J5" s="395"/>
      <c r="K5" s="395"/>
      <c r="L5" s="395"/>
      <c r="M5" s="395"/>
      <c r="N5" s="395"/>
      <c r="O5" s="395"/>
      <c r="P5" s="395"/>
      <c r="Q5" s="395"/>
      <c r="R5" s="395"/>
      <c r="S5" s="395"/>
      <c r="T5" s="155"/>
      <c r="U5" s="155"/>
      <c r="V5" s="155"/>
      <c r="W5" s="155"/>
      <c r="X5" s="155"/>
      <c r="Y5" s="155"/>
      <c r="Z5" s="155"/>
      <c r="AA5" s="26"/>
      <c r="AB5" s="31"/>
      <c r="AC5" s="31"/>
      <c r="AD5" s="31"/>
      <c r="AE5" s="31"/>
      <c r="AF5" s="31"/>
      <c r="AG5" s="31"/>
      <c r="AH5" s="31"/>
      <c r="AI5" s="31"/>
      <c r="BA5"/>
    </row>
    <row r="6" spans="1:85" ht="14.1" customHeight="1" thickBot="1">
      <c r="A6" s="27"/>
      <c r="B6" s="27"/>
      <c r="C6" s="27"/>
      <c r="D6" s="27"/>
      <c r="E6" s="27"/>
      <c r="F6" s="27"/>
      <c r="G6" s="27"/>
      <c r="H6" s="27"/>
      <c r="I6" s="27"/>
      <c r="BA6"/>
    </row>
    <row r="7" spans="1:85" ht="12" customHeight="1">
      <c r="A7" s="255">
        <f>DATE(初期値!A2,初期値!A3,AM1)</f>
        <v>46174</v>
      </c>
      <c r="B7" s="256"/>
      <c r="C7" s="256"/>
      <c r="D7" s="256"/>
      <c r="E7" s="256"/>
      <c r="F7" s="259" t="s">
        <v>169</v>
      </c>
      <c r="G7" s="236">
        <f>$A$7</f>
        <v>46174</v>
      </c>
      <c r="H7" s="236"/>
      <c r="I7" s="236"/>
      <c r="J7" s="239" t="s">
        <v>170</v>
      </c>
      <c r="K7" s="261">
        <f>$A$7</f>
        <v>46174</v>
      </c>
      <c r="L7" s="261"/>
      <c r="M7" s="261"/>
      <c r="N7" s="239" t="s">
        <v>3</v>
      </c>
      <c r="O7" s="520">
        <f>$A$7</f>
        <v>46174</v>
      </c>
      <c r="P7" s="520"/>
      <c r="Q7" s="239" t="s">
        <v>292</v>
      </c>
      <c r="R7" s="240"/>
      <c r="S7" s="522" t="s">
        <v>553</v>
      </c>
      <c r="T7" s="244"/>
      <c r="U7" s="29" t="s">
        <v>554</v>
      </c>
      <c r="V7" s="518"/>
      <c r="W7" s="518"/>
      <c r="X7" s="518"/>
      <c r="Y7" s="511" t="s">
        <v>555</v>
      </c>
      <c r="Z7" s="512"/>
      <c r="AA7" s="513"/>
      <c r="AB7" s="244">
        <f>L43</f>
        <v>0</v>
      </c>
      <c r="AC7" s="244"/>
      <c r="AD7" s="244"/>
      <c r="AE7" s="244"/>
      <c r="AF7" s="244"/>
      <c r="AG7" s="244"/>
      <c r="AH7" s="244"/>
      <c r="AI7" s="245"/>
      <c r="AK7" s="425" t="s">
        <v>556</v>
      </c>
      <c r="AL7" s="425"/>
      <c r="AM7" s="425"/>
      <c r="AN7" s="425"/>
      <c r="AO7" s="425"/>
      <c r="AP7" s="425"/>
      <c r="AQ7" s="439" t="s">
        <v>557</v>
      </c>
      <c r="AR7" s="43"/>
      <c r="AS7" s="43"/>
      <c r="AT7" s="43"/>
      <c r="AU7" s="43"/>
      <c r="AV7" s="43"/>
      <c r="AW7" s="43"/>
      <c r="AX7" s="43"/>
      <c r="AY7" s="43"/>
      <c r="AZ7" s="43"/>
      <c r="BA7"/>
    </row>
    <row r="8" spans="1:85" ht="12" customHeight="1" thickBot="1">
      <c r="A8" s="257"/>
      <c r="B8" s="258"/>
      <c r="C8" s="258"/>
      <c r="D8" s="258"/>
      <c r="E8" s="258"/>
      <c r="F8" s="260"/>
      <c r="G8" s="237"/>
      <c r="H8" s="237"/>
      <c r="I8" s="237"/>
      <c r="J8" s="242"/>
      <c r="K8" s="262"/>
      <c r="L8" s="262"/>
      <c r="M8" s="262"/>
      <c r="N8" s="242"/>
      <c r="O8" s="521"/>
      <c r="P8" s="521"/>
      <c r="Q8" s="242"/>
      <c r="R8" s="243"/>
      <c r="S8" s="523"/>
      <c r="T8" s="246"/>
      <c r="U8" s="33" t="s">
        <v>558</v>
      </c>
      <c r="V8" s="519"/>
      <c r="W8" s="519"/>
      <c r="X8" s="519"/>
      <c r="Y8" s="514"/>
      <c r="Z8" s="515"/>
      <c r="AA8" s="516"/>
      <c r="AB8" s="246"/>
      <c r="AC8" s="246"/>
      <c r="AD8" s="246"/>
      <c r="AE8" s="246"/>
      <c r="AF8" s="246"/>
      <c r="AG8" s="246"/>
      <c r="AH8" s="246"/>
      <c r="AI8" s="247"/>
      <c r="AK8" s="425"/>
      <c r="AL8" s="425"/>
      <c r="AM8" s="425"/>
      <c r="AN8" s="425"/>
      <c r="AO8" s="425"/>
      <c r="AP8" s="425"/>
      <c r="AQ8" s="439"/>
      <c r="AR8" s="43"/>
      <c r="AS8" s="43"/>
      <c r="AT8" s="43"/>
      <c r="AU8" s="43"/>
      <c r="AV8" s="43"/>
      <c r="AW8" s="43"/>
      <c r="AX8" s="43"/>
      <c r="AY8" s="43"/>
      <c r="AZ8" s="43"/>
      <c r="BA8"/>
    </row>
    <row r="9" spans="1:85" ht="18" customHeight="1">
      <c r="A9" s="507" t="s">
        <v>559</v>
      </c>
      <c r="B9" s="508"/>
      <c r="C9" s="508"/>
      <c r="D9" s="508"/>
      <c r="E9" s="508"/>
      <c r="F9" s="508"/>
      <c r="G9" s="508"/>
      <c r="H9" s="508"/>
      <c r="I9" s="508"/>
      <c r="J9" s="508"/>
      <c r="K9" s="508"/>
      <c r="L9" s="508"/>
      <c r="M9" s="508"/>
      <c r="N9" s="508"/>
      <c r="O9" s="508"/>
      <c r="P9" s="508"/>
      <c r="Q9" s="508"/>
      <c r="R9" s="508"/>
      <c r="S9" s="508"/>
      <c r="T9" s="508"/>
      <c r="U9" s="508"/>
      <c r="V9" s="508"/>
      <c r="W9" s="508"/>
      <c r="X9" s="508"/>
      <c r="Y9" s="508"/>
      <c r="Z9" s="508"/>
      <c r="AA9" s="508"/>
      <c r="AB9" s="508"/>
      <c r="AC9" s="508"/>
      <c r="AD9" s="508"/>
      <c r="AE9" s="508"/>
      <c r="AF9" s="508"/>
      <c r="AG9" s="508"/>
      <c r="AH9" s="508"/>
      <c r="AI9" s="509"/>
      <c r="AK9" s="440" t="s">
        <v>560</v>
      </c>
      <c r="AL9" s="440"/>
      <c r="AM9" s="440"/>
      <c r="AN9" s="440"/>
      <c r="AO9" s="440"/>
      <c r="AP9" s="440"/>
      <c r="AQ9" s="42"/>
      <c r="AR9" s="43"/>
      <c r="AS9" s="44" t="s">
        <v>561</v>
      </c>
      <c r="AT9" s="44" t="s">
        <v>562</v>
      </c>
      <c r="AU9" s="44" t="s">
        <v>563</v>
      </c>
      <c r="AV9" s="44" t="s">
        <v>564</v>
      </c>
      <c r="AW9" s="45" t="s">
        <v>565</v>
      </c>
      <c r="AX9" s="45" t="s">
        <v>566</v>
      </c>
      <c r="AY9" s="44" t="s">
        <v>567</v>
      </c>
      <c r="AZ9" s="43"/>
      <c r="BB9" s="49" t="s">
        <v>568</v>
      </c>
      <c r="BC9" s="43"/>
      <c r="BD9" s="43"/>
      <c r="BE9" s="43"/>
      <c r="BF9" s="43"/>
      <c r="BG9" s="43"/>
      <c r="BH9" s="43"/>
      <c r="BI9" s="43"/>
      <c r="BJ9" s="43"/>
      <c r="BK9" s="43"/>
      <c r="BL9" s="43"/>
      <c r="BM9" s="43"/>
      <c r="BN9" s="43"/>
      <c r="BO9" s="43"/>
      <c r="BP9" s="43"/>
      <c r="BQ9" s="43"/>
      <c r="BR9" s="43"/>
      <c r="BS9" s="43"/>
      <c r="BT9" s="43"/>
      <c r="BU9" s="43"/>
      <c r="BV9" s="43"/>
      <c r="BW9" s="43"/>
      <c r="BX9" s="43"/>
      <c r="BY9" s="43"/>
      <c r="BZ9" s="43"/>
      <c r="CA9" s="43"/>
      <c r="CB9" s="43"/>
      <c r="CC9" s="43"/>
      <c r="CD9" s="43"/>
      <c r="CE9" s="43"/>
      <c r="CF9" s="43"/>
      <c r="CG9" s="43"/>
    </row>
    <row r="10" spans="1:85" ht="18" customHeight="1">
      <c r="A10" s="265" t="s">
        <v>569</v>
      </c>
      <c r="B10" s="266"/>
      <c r="C10" s="266"/>
      <c r="D10" s="266"/>
      <c r="E10" s="266"/>
      <c r="F10" s="266"/>
      <c r="G10" s="266"/>
      <c r="H10" s="266"/>
      <c r="I10" s="264">
        <f>AQ14</f>
        <v>0</v>
      </c>
      <c r="J10" s="264"/>
      <c r="K10" s="267" t="s">
        <v>176</v>
      </c>
      <c r="L10" s="268"/>
      <c r="M10" s="269" t="s">
        <v>570</v>
      </c>
      <c r="N10" s="266"/>
      <c r="O10" s="266"/>
      <c r="P10" s="266"/>
      <c r="Q10" s="266"/>
      <c r="R10" s="266"/>
      <c r="S10" s="266"/>
      <c r="T10" s="266"/>
      <c r="U10" s="264">
        <f>AQ37</f>
        <v>0</v>
      </c>
      <c r="V10" s="264"/>
      <c r="W10" s="267" t="s">
        <v>176</v>
      </c>
      <c r="X10" s="268"/>
      <c r="Y10" s="269" t="s">
        <v>571</v>
      </c>
      <c r="Z10" s="266"/>
      <c r="AA10" s="266"/>
      <c r="AB10" s="266"/>
      <c r="AC10" s="266"/>
      <c r="AD10" s="266"/>
      <c r="AE10" s="266"/>
      <c r="AF10" s="266"/>
      <c r="AG10" s="264">
        <f>AQ26+AQ25</f>
        <v>0</v>
      </c>
      <c r="AH10" s="264"/>
      <c r="AI10" s="28" t="s">
        <v>176</v>
      </c>
      <c r="AK10" s="440" t="s">
        <v>572</v>
      </c>
      <c r="AL10" s="440"/>
      <c r="AM10" s="440"/>
      <c r="AN10" s="440"/>
      <c r="AO10" s="440"/>
      <c r="AP10" s="440"/>
      <c r="AQ10" s="42"/>
      <c r="AR10" s="43"/>
      <c r="AS10" s="46">
        <v>1</v>
      </c>
      <c r="AT10" s="46"/>
      <c r="AU10" s="46"/>
      <c r="AV10" s="47" t="s">
        <v>573</v>
      </c>
      <c r="AW10" s="47" t="s">
        <v>574</v>
      </c>
      <c r="AX10" s="47">
        <v>0.33333333333333331</v>
      </c>
      <c r="AY10" s="47">
        <v>0.83333333333333337</v>
      </c>
      <c r="AZ10" s="43"/>
      <c r="BB10" s="49" t="s">
        <v>95</v>
      </c>
      <c r="BC10" s="120">
        <v>1</v>
      </c>
      <c r="BD10" s="120">
        <v>2</v>
      </c>
      <c r="BE10" s="120">
        <v>3</v>
      </c>
      <c r="BF10" s="120">
        <v>4</v>
      </c>
      <c r="BG10" s="120">
        <v>5</v>
      </c>
      <c r="BH10" s="120">
        <v>6</v>
      </c>
      <c r="BI10" s="120">
        <v>7</v>
      </c>
      <c r="BJ10" s="120">
        <v>8</v>
      </c>
      <c r="BK10" s="120">
        <v>9</v>
      </c>
      <c r="BL10" s="120">
        <v>10</v>
      </c>
      <c r="BM10" s="120">
        <v>11</v>
      </c>
      <c r="BN10" s="120">
        <v>12</v>
      </c>
      <c r="BO10" s="120">
        <v>13</v>
      </c>
      <c r="BP10" s="120">
        <v>14</v>
      </c>
      <c r="BQ10" s="120">
        <v>15</v>
      </c>
      <c r="BR10" s="120">
        <v>16</v>
      </c>
      <c r="BS10" s="120">
        <v>17</v>
      </c>
      <c r="BT10" s="120">
        <v>18</v>
      </c>
      <c r="BU10" s="120">
        <v>19</v>
      </c>
      <c r="BV10" s="120">
        <v>20</v>
      </c>
      <c r="BW10" s="120">
        <v>21</v>
      </c>
      <c r="BX10" s="120">
        <v>22</v>
      </c>
      <c r="BY10" s="120">
        <v>23</v>
      </c>
      <c r="BZ10" s="120">
        <v>24</v>
      </c>
      <c r="CA10" s="120">
        <v>25</v>
      </c>
      <c r="CB10" s="120">
        <v>26</v>
      </c>
      <c r="CC10" s="120">
        <v>27</v>
      </c>
      <c r="CD10" s="120">
        <v>28</v>
      </c>
      <c r="CE10" s="120">
        <v>29</v>
      </c>
      <c r="CF10" s="120">
        <v>30</v>
      </c>
      <c r="CG10" s="43"/>
    </row>
    <row r="11" spans="1:85" ht="18" customHeight="1">
      <c r="A11" s="265" t="s">
        <v>575</v>
      </c>
      <c r="B11" s="266"/>
      <c r="C11" s="266"/>
      <c r="D11" s="266"/>
      <c r="E11" s="266"/>
      <c r="F11" s="266"/>
      <c r="G11" s="266"/>
      <c r="H11" s="266"/>
      <c r="I11" s="264">
        <f>AQ27</f>
        <v>0</v>
      </c>
      <c r="J11" s="264"/>
      <c r="K11" s="267" t="s">
        <v>176</v>
      </c>
      <c r="L11" s="268"/>
      <c r="M11" s="269" t="s">
        <v>576</v>
      </c>
      <c r="N11" s="266"/>
      <c r="O11" s="266"/>
      <c r="P11" s="266"/>
      <c r="Q11" s="266"/>
      <c r="R11" s="266"/>
      <c r="S11" s="266"/>
      <c r="T11" s="266"/>
      <c r="U11" s="264">
        <f>AQ36</f>
        <v>0</v>
      </c>
      <c r="V11" s="264"/>
      <c r="W11" s="267" t="s">
        <v>176</v>
      </c>
      <c r="X11" s="268"/>
      <c r="Y11" s="269" t="s">
        <v>577</v>
      </c>
      <c r="Z11" s="266"/>
      <c r="AA11" s="266"/>
      <c r="AB11" s="266"/>
      <c r="AC11" s="266"/>
      <c r="AD11" s="266"/>
      <c r="AE11" s="266"/>
      <c r="AF11" s="266"/>
      <c r="AG11" s="264">
        <f>AQ34</f>
        <v>0</v>
      </c>
      <c r="AH11" s="264"/>
      <c r="AI11" s="28" t="s">
        <v>176</v>
      </c>
      <c r="AK11" s="441" t="s">
        <v>578</v>
      </c>
      <c r="AL11" s="442"/>
      <c r="AM11" s="442"/>
      <c r="AN11" s="442"/>
      <c r="AO11" s="442"/>
      <c r="AP11" s="443"/>
      <c r="AQ11" s="42"/>
      <c r="AR11" s="43"/>
      <c r="AS11" s="46">
        <v>2</v>
      </c>
      <c r="AT11" s="46"/>
      <c r="AU11" s="46"/>
      <c r="AV11" s="47" t="s">
        <v>579</v>
      </c>
      <c r="AW11" s="47" t="s">
        <v>580</v>
      </c>
      <c r="AX11" s="47">
        <v>0.33333333333333331</v>
      </c>
      <c r="AY11" s="47">
        <v>0.58333333333333337</v>
      </c>
      <c r="AZ11" s="43"/>
      <c r="BB11" s="121" t="s">
        <v>581</v>
      </c>
      <c r="BC11" s="138" t="s">
        <v>582</v>
      </c>
      <c r="BD11" s="138" t="s">
        <v>583</v>
      </c>
      <c r="BE11" s="138" t="s">
        <v>584</v>
      </c>
      <c r="BF11" s="138" t="s">
        <v>585</v>
      </c>
      <c r="BG11" s="139" t="s">
        <v>584</v>
      </c>
      <c r="BH11" s="138" t="s">
        <v>582</v>
      </c>
      <c r="BI11" s="138" t="s">
        <v>585</v>
      </c>
      <c r="BJ11" s="138" t="s">
        <v>583</v>
      </c>
      <c r="BK11" s="138" t="s">
        <v>584</v>
      </c>
      <c r="BL11" s="138" t="s">
        <v>583</v>
      </c>
      <c r="BM11" s="138" t="s">
        <v>585</v>
      </c>
      <c r="BN11" s="138" t="s">
        <v>582</v>
      </c>
      <c r="BO11" s="138" t="s">
        <v>584</v>
      </c>
      <c r="BP11" s="138" t="s">
        <v>585</v>
      </c>
      <c r="BQ11" s="138" t="s">
        <v>583</v>
      </c>
      <c r="BR11" s="138" t="s">
        <v>585</v>
      </c>
      <c r="BS11" s="138" t="s">
        <v>584</v>
      </c>
      <c r="BT11" s="138" t="s">
        <v>582</v>
      </c>
      <c r="BU11" s="138" t="s">
        <v>583</v>
      </c>
      <c r="BV11" s="138" t="s">
        <v>585</v>
      </c>
      <c r="BW11" s="138" t="s">
        <v>582</v>
      </c>
      <c r="BX11" s="138" t="s">
        <v>584</v>
      </c>
      <c r="BY11" s="138" t="s">
        <v>585</v>
      </c>
      <c r="BZ11" s="138" t="s">
        <v>583</v>
      </c>
      <c r="CA11" s="138" t="s">
        <v>582</v>
      </c>
      <c r="CB11" s="138" t="s">
        <v>585</v>
      </c>
      <c r="CC11" s="138" t="s">
        <v>584</v>
      </c>
      <c r="CD11" s="138" t="s">
        <v>582</v>
      </c>
      <c r="CE11" s="138" t="s">
        <v>585</v>
      </c>
      <c r="CF11" s="138" t="s">
        <v>583</v>
      </c>
      <c r="CG11" s="43"/>
    </row>
    <row r="12" spans="1:85" ht="18" customHeight="1">
      <c r="A12" s="265" t="s">
        <v>586</v>
      </c>
      <c r="B12" s="266"/>
      <c r="C12" s="266"/>
      <c r="D12" s="266"/>
      <c r="E12" s="266"/>
      <c r="F12" s="266"/>
      <c r="G12" s="266"/>
      <c r="H12" s="266"/>
      <c r="I12" s="264">
        <f>AQ33</f>
        <v>0</v>
      </c>
      <c r="J12" s="264"/>
      <c r="K12" s="267" t="s">
        <v>176</v>
      </c>
      <c r="L12" s="268"/>
      <c r="M12" s="269" t="s">
        <v>587</v>
      </c>
      <c r="N12" s="266"/>
      <c r="O12" s="266"/>
      <c r="P12" s="266"/>
      <c r="Q12" s="266"/>
      <c r="R12" s="266"/>
      <c r="S12" s="266"/>
      <c r="T12" s="266"/>
      <c r="U12" s="264">
        <f>AQ24</f>
        <v>0</v>
      </c>
      <c r="V12" s="264"/>
      <c r="W12" s="267" t="s">
        <v>176</v>
      </c>
      <c r="X12" s="268"/>
      <c r="Y12" s="269" t="s">
        <v>588</v>
      </c>
      <c r="Z12" s="266"/>
      <c r="AA12" s="266"/>
      <c r="AB12" s="266"/>
      <c r="AC12" s="266"/>
      <c r="AD12" s="266"/>
      <c r="AE12" s="266"/>
      <c r="AF12" s="266"/>
      <c r="AG12" s="264">
        <f>AQ20+AQ21+AQ22+AQ23</f>
        <v>0</v>
      </c>
      <c r="AH12" s="264"/>
      <c r="AI12" s="28" t="s">
        <v>176</v>
      </c>
      <c r="AK12" s="441" t="s">
        <v>589</v>
      </c>
      <c r="AL12" s="442"/>
      <c r="AM12" s="442"/>
      <c r="AN12" s="442"/>
      <c r="AO12" s="442"/>
      <c r="AP12" s="443"/>
      <c r="AQ12" s="42"/>
      <c r="AR12" s="43"/>
      <c r="AS12" s="46">
        <v>3</v>
      </c>
      <c r="AT12" s="46"/>
      <c r="AU12" s="46"/>
      <c r="AV12" s="47" t="s">
        <v>590</v>
      </c>
      <c r="AW12" s="47" t="s">
        <v>574</v>
      </c>
      <c r="AX12" s="47">
        <v>0.58333333333333337</v>
      </c>
      <c r="AY12" s="47">
        <v>0.83333333333333337</v>
      </c>
      <c r="AZ12" s="43"/>
      <c r="BB12" s="49"/>
      <c r="BC12" s="43"/>
      <c r="BD12" s="43"/>
      <c r="BE12" s="43"/>
      <c r="BF12" s="43"/>
      <c r="BG12" s="43"/>
      <c r="BH12" s="43"/>
      <c r="BI12" s="43"/>
      <c r="BJ12" s="43"/>
      <c r="BK12" s="43"/>
      <c r="BL12" s="43"/>
      <c r="BM12" s="43"/>
      <c r="BN12" s="43"/>
      <c r="BO12" s="43"/>
      <c r="BP12" s="43"/>
      <c r="BQ12" s="43"/>
      <c r="BR12" s="43"/>
      <c r="BS12" s="43"/>
      <c r="BT12" s="43"/>
      <c r="BU12" s="43"/>
      <c r="BV12" s="43"/>
      <c r="BW12" s="43"/>
      <c r="BX12" s="43"/>
      <c r="BY12" s="43"/>
      <c r="BZ12" s="43"/>
      <c r="CA12" s="43"/>
      <c r="CB12" s="43"/>
      <c r="CC12" s="43"/>
      <c r="CD12" s="43"/>
      <c r="CE12" s="43"/>
      <c r="CF12" s="43"/>
      <c r="CG12" s="43"/>
    </row>
    <row r="13" spans="1:85" ht="18" customHeight="1" thickBot="1">
      <c r="A13" s="517" t="s">
        <v>591</v>
      </c>
      <c r="B13" s="277"/>
      <c r="C13" s="277"/>
      <c r="D13" s="277"/>
      <c r="E13" s="277"/>
      <c r="F13" s="277"/>
      <c r="G13" s="277"/>
      <c r="H13" s="277"/>
      <c r="I13" s="272">
        <f>AQ30+AQ31</f>
        <v>0</v>
      </c>
      <c r="J13" s="272"/>
      <c r="K13" s="273" t="s">
        <v>176</v>
      </c>
      <c r="L13" s="274"/>
      <c r="M13" s="276" t="s">
        <v>592</v>
      </c>
      <c r="N13" s="277"/>
      <c r="O13" s="277"/>
      <c r="P13" s="277"/>
      <c r="Q13" s="277"/>
      <c r="R13" s="277"/>
      <c r="S13" s="277"/>
      <c r="T13" s="277"/>
      <c r="U13" s="272">
        <f>AQ28</f>
        <v>0</v>
      </c>
      <c r="V13" s="272"/>
      <c r="W13" s="273" t="s">
        <v>176</v>
      </c>
      <c r="X13" s="274"/>
      <c r="Y13" s="276" t="s">
        <v>593</v>
      </c>
      <c r="Z13" s="277"/>
      <c r="AA13" s="277"/>
      <c r="AB13" s="277"/>
      <c r="AC13" s="277"/>
      <c r="AD13" s="277"/>
      <c r="AE13" s="277"/>
      <c r="AF13" s="277"/>
      <c r="AG13" s="272">
        <f>AQ13</f>
        <v>0</v>
      </c>
      <c r="AH13" s="272"/>
      <c r="AI13" s="34" t="s">
        <v>176</v>
      </c>
      <c r="AK13" s="425" t="s">
        <v>594</v>
      </c>
      <c r="AL13" s="425"/>
      <c r="AM13" s="425"/>
      <c r="AN13" s="425"/>
      <c r="AO13" s="425"/>
      <c r="AP13" s="425"/>
      <c r="AQ13" s="42"/>
      <c r="AR13" s="43"/>
      <c r="AS13" s="46">
        <v>4</v>
      </c>
      <c r="AT13" s="46"/>
      <c r="AU13" s="46"/>
      <c r="AV13" s="47" t="s">
        <v>595</v>
      </c>
      <c r="AW13" s="47" t="s">
        <v>596</v>
      </c>
      <c r="AX13" s="47">
        <v>0.33333333333333331</v>
      </c>
      <c r="AY13" s="47">
        <v>0.83333333333333337</v>
      </c>
      <c r="AZ13" s="43"/>
      <c r="BB13" s="121" t="s">
        <v>597</v>
      </c>
      <c r="BC13" s="140" t="s">
        <v>20</v>
      </c>
      <c r="BD13" s="140" t="s">
        <v>119</v>
      </c>
      <c r="BE13" s="140" t="s">
        <v>20</v>
      </c>
      <c r="BF13" s="140" t="s">
        <v>20</v>
      </c>
      <c r="BG13" s="140" t="s">
        <v>20</v>
      </c>
      <c r="BH13" s="140" t="s">
        <v>20</v>
      </c>
      <c r="BI13" s="140" t="s">
        <v>80</v>
      </c>
      <c r="BJ13" s="140" t="s">
        <v>20</v>
      </c>
      <c r="BK13" s="140" t="s">
        <v>20</v>
      </c>
      <c r="BL13" s="140" t="s">
        <v>20</v>
      </c>
      <c r="BM13" s="140" t="s">
        <v>20</v>
      </c>
      <c r="BN13" s="140" t="s">
        <v>20</v>
      </c>
      <c r="BO13" s="140" t="s">
        <v>119</v>
      </c>
      <c r="BP13" s="140" t="s">
        <v>119</v>
      </c>
      <c r="BQ13" s="140" t="s">
        <v>20</v>
      </c>
      <c r="BR13" s="140" t="s">
        <v>119</v>
      </c>
      <c r="BS13" s="140" t="s">
        <v>20</v>
      </c>
      <c r="BT13" s="140" t="s">
        <v>20</v>
      </c>
      <c r="BU13" s="140" t="s">
        <v>20</v>
      </c>
      <c r="BV13" s="140" t="s">
        <v>119</v>
      </c>
      <c r="BW13" s="140" t="s">
        <v>119</v>
      </c>
      <c r="BX13" s="140" t="s">
        <v>20</v>
      </c>
      <c r="BY13" s="140" t="s">
        <v>119</v>
      </c>
      <c r="BZ13" s="140" t="s">
        <v>20</v>
      </c>
      <c r="CA13" s="140" t="s">
        <v>119</v>
      </c>
      <c r="CB13" s="140" t="s">
        <v>20</v>
      </c>
      <c r="CC13" s="140" t="s">
        <v>20</v>
      </c>
      <c r="CD13" s="140" t="s">
        <v>119</v>
      </c>
      <c r="CE13" s="140" t="s">
        <v>20</v>
      </c>
      <c r="CF13" s="140" t="s">
        <v>119</v>
      </c>
      <c r="CG13" s="43"/>
    </row>
    <row r="14" spans="1:85" ht="18" customHeight="1" thickBot="1">
      <c r="A14" s="452" t="s">
        <v>598</v>
      </c>
      <c r="B14" s="453"/>
      <c r="C14" s="453"/>
      <c r="D14" s="453"/>
      <c r="E14" s="453"/>
      <c r="F14" s="453"/>
      <c r="G14" s="453"/>
      <c r="H14" s="453"/>
      <c r="I14" s="453"/>
      <c r="J14" s="453"/>
      <c r="K14" s="453"/>
      <c r="L14" s="453"/>
      <c r="M14" s="453"/>
      <c r="N14" s="453"/>
      <c r="O14" s="453"/>
      <c r="P14" s="453"/>
      <c r="Q14" s="453"/>
      <c r="R14" s="453"/>
      <c r="S14" s="453"/>
      <c r="T14" s="453"/>
      <c r="U14" s="453"/>
      <c r="V14" s="453"/>
      <c r="W14" s="453"/>
      <c r="X14" s="453"/>
      <c r="Y14" s="453"/>
      <c r="Z14" s="453"/>
      <c r="AA14" s="453"/>
      <c r="AB14" s="453"/>
      <c r="AC14" s="453"/>
      <c r="AD14" s="453"/>
      <c r="AE14" s="453"/>
      <c r="AF14" s="453"/>
      <c r="AG14" s="453"/>
      <c r="AH14" s="453"/>
      <c r="AI14" s="454"/>
      <c r="AK14" s="440" t="s">
        <v>599</v>
      </c>
      <c r="AL14" s="440"/>
      <c r="AM14" s="440"/>
      <c r="AN14" s="440"/>
      <c r="AO14" s="440"/>
      <c r="AP14" s="440"/>
      <c r="AQ14" s="42"/>
      <c r="AR14" s="43"/>
      <c r="AS14" s="46">
        <v>5</v>
      </c>
      <c r="AT14" s="46"/>
      <c r="AU14" s="46"/>
      <c r="AV14" s="47" t="s">
        <v>600</v>
      </c>
      <c r="AW14" s="47" t="s">
        <v>596</v>
      </c>
      <c r="AX14" s="47">
        <v>0.33333333333333331</v>
      </c>
      <c r="AY14" s="47">
        <v>0.83333333333333337</v>
      </c>
      <c r="AZ14" s="43"/>
      <c r="BB14" s="121" t="s">
        <v>601</v>
      </c>
      <c r="BC14" s="162" t="s">
        <v>28</v>
      </c>
      <c r="BD14" s="162" t="s">
        <v>602</v>
      </c>
      <c r="BE14" s="162" t="s">
        <v>602</v>
      </c>
      <c r="BF14" s="162" t="s">
        <v>28</v>
      </c>
      <c r="BG14" s="162" t="s">
        <v>602</v>
      </c>
      <c r="BH14" s="162" t="s">
        <v>602</v>
      </c>
      <c r="BI14" s="162" t="s">
        <v>28</v>
      </c>
      <c r="BJ14" s="162" t="s">
        <v>28</v>
      </c>
      <c r="BK14" s="162" t="s">
        <v>602</v>
      </c>
      <c r="BL14" s="162" t="s">
        <v>28</v>
      </c>
      <c r="BM14" s="162" t="s">
        <v>602</v>
      </c>
      <c r="BN14" s="162" t="s">
        <v>28</v>
      </c>
      <c r="BO14" s="162" t="s">
        <v>28</v>
      </c>
      <c r="BP14" s="162" t="s">
        <v>76</v>
      </c>
      <c r="BQ14" s="162" t="s">
        <v>28</v>
      </c>
      <c r="BR14" s="162" t="s">
        <v>602</v>
      </c>
      <c r="BS14" s="162" t="s">
        <v>28</v>
      </c>
      <c r="BT14" s="162" t="s">
        <v>602</v>
      </c>
      <c r="BU14" s="162" t="s">
        <v>28</v>
      </c>
      <c r="BV14" s="162" t="s">
        <v>602</v>
      </c>
      <c r="BW14" s="162" t="s">
        <v>28</v>
      </c>
      <c r="BX14" s="162" t="s">
        <v>28</v>
      </c>
      <c r="BY14" s="162" t="s">
        <v>602</v>
      </c>
      <c r="BZ14" s="162" t="s">
        <v>28</v>
      </c>
      <c r="CA14" s="162" t="s">
        <v>602</v>
      </c>
      <c r="CB14" s="162" t="s">
        <v>28</v>
      </c>
      <c r="CC14" s="162" t="s">
        <v>28</v>
      </c>
      <c r="CD14" s="162" t="s">
        <v>76</v>
      </c>
      <c r="CE14" s="162" t="s">
        <v>28</v>
      </c>
      <c r="CF14" s="162" t="s">
        <v>602</v>
      </c>
      <c r="CG14" s="43"/>
    </row>
    <row r="15" spans="1:85" ht="18" customHeight="1" thickBot="1">
      <c r="A15" s="30" t="s">
        <v>189</v>
      </c>
      <c r="B15" s="264" t="s">
        <v>603</v>
      </c>
      <c r="C15" s="264"/>
      <c r="D15" s="264"/>
      <c r="E15" s="264"/>
      <c r="F15" s="264"/>
      <c r="G15" s="264"/>
      <c r="H15" s="264"/>
      <c r="I15" s="264"/>
      <c r="J15" s="278">
        <f>AQ9+AQ10</f>
        <v>0</v>
      </c>
      <c r="K15" s="278"/>
      <c r="L15" s="278"/>
      <c r="M15" s="264" t="s">
        <v>176</v>
      </c>
      <c r="N15" s="264"/>
      <c r="O15" s="264" t="s">
        <v>604</v>
      </c>
      <c r="P15" s="264"/>
      <c r="Q15" s="264"/>
      <c r="R15" s="264"/>
      <c r="S15" s="264"/>
      <c r="T15" s="264"/>
      <c r="U15" s="264"/>
      <c r="V15" s="264"/>
      <c r="W15" s="278">
        <f>AQ11+AQ12</f>
        <v>0</v>
      </c>
      <c r="X15" s="278"/>
      <c r="Y15" s="278"/>
      <c r="Z15" s="264" t="s">
        <v>176</v>
      </c>
      <c r="AA15" s="264"/>
      <c r="AB15" s="503" t="s">
        <v>605</v>
      </c>
      <c r="AC15" s="503"/>
      <c r="AD15" s="503"/>
      <c r="AE15" s="503"/>
      <c r="AF15" s="503"/>
      <c r="AG15" s="503"/>
      <c r="AH15" s="281"/>
      <c r="AI15" s="282"/>
      <c r="AK15" s="425" t="s">
        <v>606</v>
      </c>
      <c r="AL15" s="425"/>
      <c r="AM15" s="425"/>
      <c r="AN15" s="425"/>
      <c r="AO15" s="425"/>
      <c r="AP15" s="425"/>
      <c r="AQ15" s="42"/>
      <c r="AR15" s="43"/>
      <c r="AS15" s="46">
        <v>6</v>
      </c>
      <c r="AT15" s="46"/>
      <c r="AU15" s="46"/>
      <c r="AV15" s="47" t="s">
        <v>607</v>
      </c>
      <c r="AW15" s="47" t="s">
        <v>596</v>
      </c>
      <c r="AX15" s="47">
        <v>0.33333333333333331</v>
      </c>
      <c r="AY15" s="47">
        <v>0.83333333333333337</v>
      </c>
      <c r="AZ15" s="43"/>
      <c r="BB15" s="121" t="s">
        <v>31</v>
      </c>
      <c r="BC15" s="163" t="s">
        <v>119</v>
      </c>
      <c r="BD15" s="164"/>
      <c r="BE15" s="165" t="s">
        <v>28</v>
      </c>
      <c r="BF15" s="165" t="s">
        <v>119</v>
      </c>
      <c r="BG15" s="164"/>
      <c r="BH15" s="164"/>
      <c r="BI15" s="164"/>
      <c r="BJ15" s="164"/>
      <c r="BK15" s="165" t="s">
        <v>119</v>
      </c>
      <c r="BL15" s="165" t="s">
        <v>602</v>
      </c>
      <c r="BM15" s="165" t="s">
        <v>119</v>
      </c>
      <c r="BN15" s="165" t="s">
        <v>602</v>
      </c>
      <c r="BO15" s="164"/>
      <c r="BP15" s="164"/>
      <c r="BQ15" s="165" t="s">
        <v>608</v>
      </c>
      <c r="BR15" s="165" t="s">
        <v>20</v>
      </c>
      <c r="BS15" s="165" t="s">
        <v>602</v>
      </c>
      <c r="BT15" s="165" t="s">
        <v>119</v>
      </c>
      <c r="BU15" s="165" t="s">
        <v>602</v>
      </c>
      <c r="BV15" s="164"/>
      <c r="BW15" s="164"/>
      <c r="BX15" s="165" t="s">
        <v>119</v>
      </c>
      <c r="BY15" s="165" t="s">
        <v>20</v>
      </c>
      <c r="BZ15" s="165" t="s">
        <v>602</v>
      </c>
      <c r="CA15" s="165" t="s">
        <v>20</v>
      </c>
      <c r="CB15" s="165" t="s">
        <v>602</v>
      </c>
      <c r="CC15" s="165" t="s">
        <v>602</v>
      </c>
      <c r="CD15" s="164"/>
      <c r="CE15" s="165" t="s">
        <v>119</v>
      </c>
      <c r="CF15" s="165" t="s">
        <v>20</v>
      </c>
      <c r="CG15" s="43"/>
    </row>
    <row r="16" spans="1:85" ht="18" customHeight="1">
      <c r="A16" s="504" t="s">
        <v>609</v>
      </c>
      <c r="B16" s="505"/>
      <c r="C16" s="505"/>
      <c r="D16" s="505"/>
      <c r="E16" s="505"/>
      <c r="F16" s="505"/>
      <c r="G16" s="505"/>
      <c r="H16" s="505"/>
      <c r="I16" s="505"/>
      <c r="J16" s="505"/>
      <c r="K16" s="505"/>
      <c r="L16" s="505"/>
      <c r="M16" s="505"/>
      <c r="N16" s="505"/>
      <c r="O16" s="505"/>
      <c r="P16" s="505"/>
      <c r="Q16" s="505"/>
      <c r="R16" s="505"/>
      <c r="S16" s="505"/>
      <c r="T16" s="505"/>
      <c r="U16" s="505"/>
      <c r="V16" s="505"/>
      <c r="W16" s="505"/>
      <c r="X16" s="505"/>
      <c r="Y16" s="505"/>
      <c r="Z16" s="505"/>
      <c r="AA16" s="505"/>
      <c r="AB16" s="505"/>
      <c r="AC16" s="505"/>
      <c r="AD16" s="505"/>
      <c r="AE16" s="505"/>
      <c r="AF16" s="505"/>
      <c r="AG16" s="505"/>
      <c r="AH16" s="505"/>
      <c r="AI16" s="506"/>
      <c r="AK16" s="425" t="s">
        <v>610</v>
      </c>
      <c r="AL16" s="425"/>
      <c r="AM16" s="425"/>
      <c r="AN16" s="425"/>
      <c r="AO16" s="425"/>
      <c r="AP16" s="425"/>
      <c r="AQ16" s="42"/>
      <c r="AR16" s="43"/>
      <c r="AS16" s="46">
        <v>7</v>
      </c>
      <c r="AT16" s="46"/>
      <c r="AU16" s="46"/>
      <c r="AV16" s="47" t="s">
        <v>611</v>
      </c>
      <c r="AW16" s="47" t="s">
        <v>612</v>
      </c>
      <c r="AX16" s="47">
        <v>0.83333333333333337</v>
      </c>
      <c r="AY16" s="47" t="s">
        <v>613</v>
      </c>
      <c r="AZ16" s="43"/>
      <c r="BB16" s="121" t="s">
        <v>614</v>
      </c>
      <c r="BC16" s="142" t="s">
        <v>20</v>
      </c>
      <c r="BD16" s="140" t="s">
        <v>67</v>
      </c>
      <c r="BE16" s="142" t="s">
        <v>42</v>
      </c>
      <c r="BF16" s="142" t="s">
        <v>20</v>
      </c>
      <c r="BG16" s="142" t="s">
        <v>42</v>
      </c>
      <c r="BH16" s="142" t="s">
        <v>61</v>
      </c>
      <c r="BI16" s="142" t="s">
        <v>67</v>
      </c>
      <c r="BJ16" s="142" t="s">
        <v>67</v>
      </c>
      <c r="BK16" s="142" t="s">
        <v>42</v>
      </c>
      <c r="BL16" s="142" t="s">
        <v>42</v>
      </c>
      <c r="BM16" s="142" t="s">
        <v>67</v>
      </c>
      <c r="BN16" s="142" t="s">
        <v>67</v>
      </c>
      <c r="BO16" s="142" t="s">
        <v>42</v>
      </c>
      <c r="BP16" s="142" t="s">
        <v>67</v>
      </c>
      <c r="BQ16" s="142" t="s">
        <v>20</v>
      </c>
      <c r="BR16" s="142" t="s">
        <v>71</v>
      </c>
      <c r="BS16" s="142" t="s">
        <v>67</v>
      </c>
      <c r="BT16" s="142" t="s">
        <v>67</v>
      </c>
      <c r="BU16" s="142" t="s">
        <v>61</v>
      </c>
      <c r="BV16" s="142" t="s">
        <v>42</v>
      </c>
      <c r="BW16" s="142" t="s">
        <v>49</v>
      </c>
      <c r="BX16" s="142" t="s">
        <v>20</v>
      </c>
      <c r="BY16" s="142" t="s">
        <v>71</v>
      </c>
      <c r="BZ16" s="142" t="s">
        <v>42</v>
      </c>
      <c r="CA16" s="142" t="s">
        <v>20</v>
      </c>
      <c r="CB16" s="142" t="s">
        <v>61</v>
      </c>
      <c r="CC16" s="142" t="s">
        <v>42</v>
      </c>
      <c r="CD16" s="142" t="s">
        <v>49</v>
      </c>
      <c r="CE16" s="142" t="s">
        <v>20</v>
      </c>
      <c r="CF16" s="143" t="s">
        <v>71</v>
      </c>
      <c r="CG16" s="43"/>
    </row>
    <row r="17" spans="1:85" ht="18" customHeight="1">
      <c r="A17" s="396" t="s">
        <v>615</v>
      </c>
      <c r="B17" s="397"/>
      <c r="C17" s="397"/>
      <c r="D17" s="397"/>
      <c r="E17" s="397"/>
      <c r="F17" s="398" t="s">
        <v>616</v>
      </c>
      <c r="G17" s="398"/>
      <c r="H17" s="398"/>
      <c r="I17" s="398"/>
      <c r="J17" s="398"/>
      <c r="K17" s="398"/>
      <c r="L17" s="398"/>
      <c r="M17" s="398"/>
      <c r="N17" s="398"/>
      <c r="O17" s="398"/>
      <c r="P17" s="398"/>
      <c r="Q17" s="398"/>
      <c r="R17" s="398"/>
      <c r="S17" s="398"/>
      <c r="T17" s="398"/>
      <c r="U17" s="398"/>
      <c r="V17" s="398"/>
      <c r="W17" s="398"/>
      <c r="X17" s="398"/>
      <c r="Y17" s="398"/>
      <c r="Z17" s="398"/>
      <c r="AA17" s="398"/>
      <c r="AB17" s="398"/>
      <c r="AC17" s="398"/>
      <c r="AD17" s="398"/>
      <c r="AE17" s="398"/>
      <c r="AF17" s="398"/>
      <c r="AG17" s="398"/>
      <c r="AH17" s="398"/>
      <c r="AI17" s="399"/>
      <c r="AK17" s="425" t="s">
        <v>617</v>
      </c>
      <c r="AL17" s="425"/>
      <c r="AM17" s="425"/>
      <c r="AN17" s="425"/>
      <c r="AO17" s="425"/>
      <c r="AP17" s="425"/>
      <c r="AQ17" s="42"/>
      <c r="AR17" s="43"/>
      <c r="AS17" s="46">
        <v>8</v>
      </c>
      <c r="AT17" s="46"/>
      <c r="AU17" s="46"/>
      <c r="AV17" s="47" t="s">
        <v>618</v>
      </c>
      <c r="AW17" s="47" t="s">
        <v>612</v>
      </c>
      <c r="AX17" s="47">
        <v>0.83333333333333337</v>
      </c>
      <c r="AY17" s="47" t="s">
        <v>613</v>
      </c>
      <c r="AZ17" s="43"/>
      <c r="BB17" s="121" t="s">
        <v>619</v>
      </c>
      <c r="BC17" s="141" t="s">
        <v>67</v>
      </c>
      <c r="BD17" s="140" t="s">
        <v>42</v>
      </c>
      <c r="BE17" s="141" t="s">
        <v>71</v>
      </c>
      <c r="BF17" s="140" t="s">
        <v>67</v>
      </c>
      <c r="BG17" s="140" t="s">
        <v>61</v>
      </c>
      <c r="BH17" s="140" t="s">
        <v>42</v>
      </c>
      <c r="BI17" s="140" t="s">
        <v>49</v>
      </c>
      <c r="BJ17" s="140" t="s">
        <v>61</v>
      </c>
      <c r="BK17" s="140" t="s">
        <v>71</v>
      </c>
      <c r="BL17" s="140" t="s">
        <v>67</v>
      </c>
      <c r="BM17" s="140" t="s">
        <v>49</v>
      </c>
      <c r="BN17" s="140" t="s">
        <v>49</v>
      </c>
      <c r="BO17" s="140" t="s">
        <v>61</v>
      </c>
      <c r="BP17" s="140" t="s">
        <v>49</v>
      </c>
      <c r="BQ17" s="140" t="s">
        <v>67</v>
      </c>
      <c r="BR17" s="140" t="s">
        <v>42</v>
      </c>
      <c r="BS17" s="140" t="s">
        <v>42</v>
      </c>
      <c r="BT17" s="140" t="s">
        <v>49</v>
      </c>
      <c r="BU17" s="140" t="s">
        <v>42</v>
      </c>
      <c r="BV17" s="140" t="s">
        <v>61</v>
      </c>
      <c r="BW17" s="140" t="s">
        <v>71</v>
      </c>
      <c r="BX17" s="140" t="s">
        <v>67</v>
      </c>
      <c r="BY17" s="140" t="s">
        <v>42</v>
      </c>
      <c r="BZ17" s="140" t="s">
        <v>67</v>
      </c>
      <c r="CA17" s="140" t="s">
        <v>67</v>
      </c>
      <c r="CB17" s="140" t="s">
        <v>49</v>
      </c>
      <c r="CC17" s="140" t="s">
        <v>61</v>
      </c>
      <c r="CD17" s="140" t="s">
        <v>71</v>
      </c>
      <c r="CE17" s="140" t="s">
        <v>67</v>
      </c>
      <c r="CF17" s="140" t="s">
        <v>42</v>
      </c>
      <c r="CG17" s="43"/>
    </row>
    <row r="18" spans="1:85" ht="18" customHeight="1">
      <c r="A18" s="501" t="s">
        <v>620</v>
      </c>
      <c r="B18" s="502"/>
      <c r="C18" s="502"/>
      <c r="D18" s="502"/>
      <c r="E18" s="502"/>
      <c r="F18" s="400" t="s">
        <v>616</v>
      </c>
      <c r="G18" s="400"/>
      <c r="H18" s="400"/>
      <c r="I18" s="400"/>
      <c r="J18" s="400"/>
      <c r="K18" s="400"/>
      <c r="L18" s="400"/>
      <c r="M18" s="400"/>
      <c r="N18" s="400"/>
      <c r="O18" s="400"/>
      <c r="P18" s="400"/>
      <c r="Q18" s="400"/>
      <c r="R18" s="400"/>
      <c r="S18" s="400"/>
      <c r="T18" s="400"/>
      <c r="U18" s="400"/>
      <c r="V18" s="400"/>
      <c r="W18" s="400"/>
      <c r="X18" s="400"/>
      <c r="Y18" s="400"/>
      <c r="Z18" s="400"/>
      <c r="AA18" s="400"/>
      <c r="AB18" s="400"/>
      <c r="AC18" s="400"/>
      <c r="AD18" s="400"/>
      <c r="AE18" s="400"/>
      <c r="AF18" s="400"/>
      <c r="AG18" s="400"/>
      <c r="AH18" s="400"/>
      <c r="AI18" s="401"/>
      <c r="AK18" s="425" t="s">
        <v>621</v>
      </c>
      <c r="AL18" s="425"/>
      <c r="AM18" s="425"/>
      <c r="AN18" s="425"/>
      <c r="AO18" s="425"/>
      <c r="AP18" s="425"/>
      <c r="AQ18" s="42"/>
      <c r="AR18" s="43"/>
      <c r="AS18" s="46">
        <v>9</v>
      </c>
      <c r="AT18" s="46"/>
      <c r="AU18" s="46"/>
      <c r="AV18" s="47" t="s">
        <v>622</v>
      </c>
      <c r="AW18" s="47" t="s">
        <v>612</v>
      </c>
      <c r="AX18" s="47">
        <v>0.83333333333333337</v>
      </c>
      <c r="AY18" s="47" t="s">
        <v>613</v>
      </c>
      <c r="AZ18" s="43"/>
    </row>
    <row r="19" spans="1:85" ht="18" customHeight="1" thickBot="1">
      <c r="A19" s="35" t="s">
        <v>189</v>
      </c>
      <c r="B19" s="405"/>
      <c r="C19" s="405"/>
      <c r="D19" s="405"/>
      <c r="E19" s="405"/>
      <c r="F19" s="402"/>
      <c r="G19" s="402"/>
      <c r="H19" s="402"/>
      <c r="I19" s="402"/>
      <c r="J19" s="402"/>
      <c r="K19" s="402"/>
      <c r="L19" s="402"/>
      <c r="M19" s="402"/>
      <c r="N19" s="402"/>
      <c r="O19" s="402"/>
      <c r="P19" s="402"/>
      <c r="Q19" s="402"/>
      <c r="R19" s="402"/>
      <c r="S19" s="402"/>
      <c r="T19" s="402"/>
      <c r="U19" s="402"/>
      <c r="V19" s="402"/>
      <c r="W19" s="402"/>
      <c r="X19" s="402"/>
      <c r="Y19" s="402"/>
      <c r="Z19" s="402"/>
      <c r="AA19" s="402"/>
      <c r="AB19" s="402"/>
      <c r="AC19" s="402"/>
      <c r="AD19" s="402"/>
      <c r="AE19" s="402"/>
      <c r="AF19" s="402"/>
      <c r="AG19" s="402"/>
      <c r="AH19" s="402"/>
      <c r="AI19" s="403"/>
      <c r="AK19" s="524" t="s">
        <v>623</v>
      </c>
      <c r="AL19" s="524"/>
      <c r="AM19" s="524"/>
      <c r="AN19" s="524"/>
      <c r="AO19" s="524"/>
      <c r="AP19" s="524"/>
      <c r="AQ19" s="58"/>
      <c r="AR19" s="43"/>
      <c r="AS19" s="46">
        <v>10</v>
      </c>
      <c r="AT19" s="46"/>
      <c r="AU19" s="46"/>
      <c r="AV19" s="47" t="s">
        <v>111</v>
      </c>
      <c r="AW19" s="47" t="s">
        <v>612</v>
      </c>
      <c r="AX19" s="47">
        <v>0.83333333333333337</v>
      </c>
      <c r="AY19" s="47" t="s">
        <v>613</v>
      </c>
      <c r="AZ19" s="43"/>
    </row>
    <row r="20" spans="1:85" ht="18" customHeight="1">
      <c r="A20" s="36"/>
      <c r="B20" s="404"/>
      <c r="C20" s="404"/>
      <c r="D20" s="404"/>
      <c r="E20" s="404"/>
      <c r="F20" s="288"/>
      <c r="G20" s="288"/>
      <c r="H20" s="288"/>
      <c r="I20" s="288"/>
      <c r="J20" s="288"/>
      <c r="K20" s="288"/>
      <c r="L20" s="288"/>
      <c r="M20" s="288"/>
      <c r="N20" s="288"/>
      <c r="O20" s="288"/>
      <c r="P20" s="288"/>
      <c r="Q20" s="288"/>
      <c r="R20" s="288"/>
      <c r="S20" s="288"/>
      <c r="T20" s="288"/>
      <c r="U20" s="288"/>
      <c r="V20" s="288"/>
      <c r="W20" s="288"/>
      <c r="X20" s="288"/>
      <c r="Y20" s="288"/>
      <c r="Z20" s="288"/>
      <c r="AA20" s="288"/>
      <c r="AB20" s="288"/>
      <c r="AC20" s="288"/>
      <c r="AD20" s="288"/>
      <c r="AE20" s="288"/>
      <c r="AF20" s="288"/>
      <c r="AG20" s="288"/>
      <c r="AH20" s="288"/>
      <c r="AI20" s="289"/>
      <c r="AK20" s="447" t="s">
        <v>624</v>
      </c>
      <c r="AL20" s="448"/>
      <c r="AM20" s="448"/>
      <c r="AN20" s="448"/>
      <c r="AO20" s="448"/>
      <c r="AP20" s="448"/>
      <c r="AQ20" s="62"/>
      <c r="AR20" s="426" t="s">
        <v>625</v>
      </c>
      <c r="AS20" s="146">
        <v>11</v>
      </c>
      <c r="AT20" s="46"/>
      <c r="AU20" s="46"/>
      <c r="AV20" s="47" t="s">
        <v>111</v>
      </c>
      <c r="AW20" s="47" t="s">
        <v>612</v>
      </c>
      <c r="AX20" s="47">
        <v>0.83333333333333337</v>
      </c>
      <c r="AY20" s="47" t="s">
        <v>613</v>
      </c>
      <c r="AZ20" s="43"/>
    </row>
    <row r="21" spans="1:85" ht="18" customHeight="1" thickBot="1">
      <c r="A21" s="36"/>
      <c r="B21" s="404"/>
      <c r="C21" s="404"/>
      <c r="D21" s="404"/>
      <c r="E21" s="404"/>
      <c r="F21" s="288"/>
      <c r="G21" s="288"/>
      <c r="H21" s="288"/>
      <c r="I21" s="288"/>
      <c r="J21" s="288"/>
      <c r="K21" s="288"/>
      <c r="L21" s="288"/>
      <c r="M21" s="288"/>
      <c r="N21" s="288"/>
      <c r="O21" s="288"/>
      <c r="P21" s="288"/>
      <c r="Q21" s="288"/>
      <c r="R21" s="288"/>
      <c r="S21" s="288"/>
      <c r="T21" s="288"/>
      <c r="U21" s="288"/>
      <c r="V21" s="288"/>
      <c r="W21" s="288"/>
      <c r="X21" s="288"/>
      <c r="Y21" s="288"/>
      <c r="Z21" s="288"/>
      <c r="AA21" s="288"/>
      <c r="AB21" s="288"/>
      <c r="AC21" s="288"/>
      <c r="AD21" s="288"/>
      <c r="AE21" s="288"/>
      <c r="AF21" s="288"/>
      <c r="AG21" s="288"/>
      <c r="AH21" s="288"/>
      <c r="AI21" s="289"/>
      <c r="AK21" s="429" t="s">
        <v>626</v>
      </c>
      <c r="AL21" s="430"/>
      <c r="AM21" s="430"/>
      <c r="AN21" s="430"/>
      <c r="AO21" s="430"/>
      <c r="AP21" s="430"/>
      <c r="AQ21" s="63"/>
      <c r="AR21" s="427"/>
      <c r="AW21" s="43"/>
      <c r="AX21" s="43"/>
      <c r="AY21" s="43"/>
      <c r="AZ21" s="43"/>
    </row>
    <row r="22" spans="1:85" ht="18" customHeight="1">
      <c r="A22" s="36"/>
      <c r="B22" s="404"/>
      <c r="C22" s="404"/>
      <c r="D22" s="404"/>
      <c r="E22" s="404"/>
      <c r="F22" s="288"/>
      <c r="G22" s="288"/>
      <c r="H22" s="288"/>
      <c r="I22" s="288"/>
      <c r="J22" s="288"/>
      <c r="K22" s="288"/>
      <c r="L22" s="288"/>
      <c r="M22" s="288"/>
      <c r="N22" s="288"/>
      <c r="O22" s="288"/>
      <c r="P22" s="288"/>
      <c r="Q22" s="288"/>
      <c r="R22" s="288"/>
      <c r="S22" s="288"/>
      <c r="T22" s="288"/>
      <c r="U22" s="288"/>
      <c r="V22" s="288"/>
      <c r="W22" s="288"/>
      <c r="X22" s="288"/>
      <c r="Y22" s="288"/>
      <c r="Z22" s="288"/>
      <c r="AA22" s="288"/>
      <c r="AB22" s="288"/>
      <c r="AC22" s="288"/>
      <c r="AD22" s="288"/>
      <c r="AE22" s="288"/>
      <c r="AF22" s="288"/>
      <c r="AG22" s="288"/>
      <c r="AH22" s="288"/>
      <c r="AI22" s="289"/>
      <c r="AK22" s="429" t="s">
        <v>627</v>
      </c>
      <c r="AL22" s="430"/>
      <c r="AM22" s="430"/>
      <c r="AN22" s="430"/>
      <c r="AO22" s="430"/>
      <c r="AP22" s="430"/>
      <c r="AQ22" s="63"/>
      <c r="AR22" s="427"/>
      <c r="AS22" s="433" t="s">
        <v>628</v>
      </c>
      <c r="AT22" s="434"/>
      <c r="AU22" s="435"/>
      <c r="AV22" s="435"/>
      <c r="AW22" s="60" t="s">
        <v>74</v>
      </c>
      <c r="AY22" s="413" t="s">
        <v>629</v>
      </c>
      <c r="AZ22" s="413"/>
      <c r="BA22" s="412"/>
      <c r="BB22" s="412"/>
    </row>
    <row r="23" spans="1:85" ht="18" customHeight="1" thickBot="1">
      <c r="A23" s="36"/>
      <c r="B23" s="404"/>
      <c r="C23" s="404"/>
      <c r="D23" s="404"/>
      <c r="E23" s="404"/>
      <c r="F23" s="288"/>
      <c r="G23" s="288"/>
      <c r="H23" s="288"/>
      <c r="I23" s="288"/>
      <c r="J23" s="288"/>
      <c r="K23" s="288"/>
      <c r="L23" s="288"/>
      <c r="M23" s="288"/>
      <c r="N23" s="288"/>
      <c r="O23" s="288"/>
      <c r="P23" s="288"/>
      <c r="Q23" s="288"/>
      <c r="R23" s="288"/>
      <c r="S23" s="288"/>
      <c r="T23" s="288"/>
      <c r="U23" s="288"/>
      <c r="V23" s="288"/>
      <c r="W23" s="288"/>
      <c r="X23" s="288"/>
      <c r="Y23" s="288"/>
      <c r="Z23" s="288"/>
      <c r="AA23" s="288"/>
      <c r="AB23" s="288"/>
      <c r="AC23" s="288"/>
      <c r="AD23" s="288"/>
      <c r="AE23" s="288"/>
      <c r="AF23" s="288"/>
      <c r="AG23" s="288"/>
      <c r="AH23" s="288"/>
      <c r="AI23" s="289"/>
      <c r="AK23" s="431" t="s">
        <v>630</v>
      </c>
      <c r="AL23" s="432"/>
      <c r="AM23" s="432"/>
      <c r="AN23" s="432"/>
      <c r="AO23" s="432"/>
      <c r="AP23" s="432"/>
      <c r="AQ23" s="64"/>
      <c r="AR23" s="428"/>
      <c r="AS23" s="536" t="s">
        <v>631</v>
      </c>
      <c r="AT23" s="246"/>
      <c r="AU23" s="537"/>
      <c r="AV23" s="537"/>
      <c r="AW23" s="56" t="s">
        <v>632</v>
      </c>
      <c r="AY23" s="413" t="s">
        <v>633</v>
      </c>
      <c r="AZ23" s="413"/>
      <c r="BA23" s="412"/>
      <c r="BB23" s="412"/>
    </row>
    <row r="24" spans="1:85" ht="18" customHeight="1" thickBot="1">
      <c r="A24" s="36"/>
      <c r="B24" s="404"/>
      <c r="C24" s="404"/>
      <c r="D24" s="404"/>
      <c r="E24" s="404"/>
      <c r="F24" s="288"/>
      <c r="G24" s="288"/>
      <c r="H24" s="288"/>
      <c r="I24" s="288"/>
      <c r="J24" s="288"/>
      <c r="K24" s="288"/>
      <c r="L24" s="288"/>
      <c r="M24" s="288"/>
      <c r="N24" s="288"/>
      <c r="O24" s="288"/>
      <c r="P24" s="288"/>
      <c r="Q24" s="288"/>
      <c r="R24" s="288"/>
      <c r="S24" s="288"/>
      <c r="T24" s="288"/>
      <c r="U24" s="288"/>
      <c r="V24" s="288"/>
      <c r="W24" s="288"/>
      <c r="X24" s="288"/>
      <c r="Y24" s="288"/>
      <c r="Z24" s="288"/>
      <c r="AA24" s="288"/>
      <c r="AB24" s="288"/>
      <c r="AC24" s="288"/>
      <c r="AD24" s="288"/>
      <c r="AE24" s="288"/>
      <c r="AF24" s="288"/>
      <c r="AG24" s="288"/>
      <c r="AH24" s="288"/>
      <c r="AI24" s="289"/>
      <c r="AK24" s="527" t="s">
        <v>634</v>
      </c>
      <c r="AL24" s="528"/>
      <c r="AM24" s="528"/>
      <c r="AN24" s="528"/>
      <c r="AO24" s="528"/>
      <c r="AP24" s="528"/>
      <c r="AQ24" s="65"/>
      <c r="AR24" s="43"/>
      <c r="AY24" s="413" t="s">
        <v>635</v>
      </c>
      <c r="AZ24" s="413"/>
      <c r="BA24" s="412"/>
      <c r="BB24" s="412"/>
    </row>
    <row r="25" spans="1:85" ht="18" customHeight="1">
      <c r="A25" s="36"/>
      <c r="B25" s="404"/>
      <c r="C25" s="404"/>
      <c r="D25" s="404"/>
      <c r="E25" s="404"/>
      <c r="F25" s="288"/>
      <c r="G25" s="288"/>
      <c r="H25" s="288"/>
      <c r="I25" s="288"/>
      <c r="J25" s="288"/>
      <c r="K25" s="288"/>
      <c r="L25" s="288"/>
      <c r="M25" s="288"/>
      <c r="N25" s="288"/>
      <c r="O25" s="288"/>
      <c r="P25" s="288"/>
      <c r="Q25" s="288"/>
      <c r="R25" s="288"/>
      <c r="S25" s="288"/>
      <c r="T25" s="288"/>
      <c r="U25" s="288"/>
      <c r="V25" s="288"/>
      <c r="W25" s="288"/>
      <c r="X25" s="288"/>
      <c r="Y25" s="288"/>
      <c r="Z25" s="288"/>
      <c r="AA25" s="288"/>
      <c r="AB25" s="288"/>
      <c r="AC25" s="288"/>
      <c r="AD25" s="288"/>
      <c r="AE25" s="288"/>
      <c r="AF25" s="288"/>
      <c r="AG25" s="288"/>
      <c r="AH25" s="288"/>
      <c r="AI25" s="289"/>
      <c r="AK25" s="529" t="s">
        <v>636</v>
      </c>
      <c r="AL25" s="529"/>
      <c r="AM25" s="529"/>
      <c r="AN25" s="529"/>
      <c r="AO25" s="529"/>
      <c r="AP25" s="529"/>
      <c r="AQ25" s="66"/>
      <c r="AR25" s="43"/>
      <c r="AY25" s="413" t="s">
        <v>637</v>
      </c>
      <c r="AZ25" s="413"/>
      <c r="BA25" s="412"/>
      <c r="BB25" s="412"/>
    </row>
    <row r="26" spans="1:85" ht="18" customHeight="1">
      <c r="A26" s="36"/>
      <c r="B26" s="404"/>
      <c r="C26" s="404"/>
      <c r="D26" s="404"/>
      <c r="E26" s="404"/>
      <c r="F26" s="288"/>
      <c r="G26" s="288"/>
      <c r="H26" s="288"/>
      <c r="I26" s="288"/>
      <c r="J26" s="288"/>
      <c r="K26" s="288"/>
      <c r="L26" s="288"/>
      <c r="M26" s="288"/>
      <c r="N26" s="288"/>
      <c r="O26" s="288"/>
      <c r="P26" s="288"/>
      <c r="Q26" s="288"/>
      <c r="R26" s="288"/>
      <c r="S26" s="288"/>
      <c r="T26" s="288"/>
      <c r="U26" s="288"/>
      <c r="V26" s="288"/>
      <c r="W26" s="288"/>
      <c r="X26" s="288"/>
      <c r="Y26" s="288"/>
      <c r="Z26" s="288"/>
      <c r="AA26" s="288"/>
      <c r="AB26" s="288"/>
      <c r="AC26" s="288"/>
      <c r="AD26" s="288"/>
      <c r="AE26" s="288"/>
      <c r="AF26" s="288"/>
      <c r="AG26" s="288"/>
      <c r="AH26" s="288"/>
      <c r="AI26" s="289"/>
      <c r="AK26" s="436" t="s">
        <v>638</v>
      </c>
      <c r="AL26" s="436"/>
      <c r="AM26" s="436"/>
      <c r="AN26" s="436"/>
      <c r="AO26" s="436"/>
      <c r="AP26" s="436"/>
      <c r="AQ26" s="67"/>
      <c r="AR26" s="43"/>
      <c r="AS26" s="548" t="s">
        <v>639</v>
      </c>
      <c r="AT26" s="549"/>
      <c r="AU26" s="549"/>
      <c r="AV26" s="549"/>
      <c r="AW26" s="550"/>
      <c r="AY26" s="147"/>
      <c r="AZ26" s="147"/>
      <c r="BA26" s="147"/>
      <c r="BB26" s="147"/>
    </row>
    <row r="27" spans="1:85" ht="18" customHeight="1">
      <c r="A27" s="36"/>
      <c r="B27" s="404"/>
      <c r="C27" s="404"/>
      <c r="D27" s="404"/>
      <c r="E27" s="404"/>
      <c r="F27" s="288"/>
      <c r="G27" s="288"/>
      <c r="H27" s="288"/>
      <c r="I27" s="288"/>
      <c r="J27" s="288"/>
      <c r="K27" s="288"/>
      <c r="L27" s="288"/>
      <c r="M27" s="288"/>
      <c r="N27" s="288"/>
      <c r="O27" s="288"/>
      <c r="P27" s="288"/>
      <c r="Q27" s="288"/>
      <c r="R27" s="288"/>
      <c r="S27" s="288"/>
      <c r="T27" s="288"/>
      <c r="U27" s="288"/>
      <c r="V27" s="288"/>
      <c r="W27" s="288"/>
      <c r="X27" s="288"/>
      <c r="Y27" s="288"/>
      <c r="Z27" s="288"/>
      <c r="AA27" s="288"/>
      <c r="AB27" s="288"/>
      <c r="AC27" s="288"/>
      <c r="AD27" s="288"/>
      <c r="AE27" s="288"/>
      <c r="AF27" s="288"/>
      <c r="AG27" s="288"/>
      <c r="AH27" s="288"/>
      <c r="AI27" s="289"/>
      <c r="AK27" s="436" t="s">
        <v>640</v>
      </c>
      <c r="AL27" s="436"/>
      <c r="AM27" s="436"/>
      <c r="AN27" s="436"/>
      <c r="AO27" s="436"/>
      <c r="AP27" s="436"/>
      <c r="AQ27" s="67"/>
      <c r="AR27" s="43"/>
      <c r="AS27" s="458" t="s">
        <v>641</v>
      </c>
      <c r="AT27" s="460"/>
      <c r="AU27" s="458" t="s">
        <v>642</v>
      </c>
      <c r="AV27" s="459"/>
      <c r="AW27" s="460"/>
      <c r="AY27" s="411" t="s">
        <v>643</v>
      </c>
      <c r="AZ27" s="411"/>
      <c r="BA27" s="411"/>
      <c r="BB27" s="411"/>
    </row>
    <row r="28" spans="1:85" ht="18" customHeight="1" thickBot="1">
      <c r="A28" s="36"/>
      <c r="B28" s="404"/>
      <c r="C28" s="404"/>
      <c r="D28" s="404"/>
      <c r="E28" s="404"/>
      <c r="F28" s="288"/>
      <c r="G28" s="288"/>
      <c r="H28" s="288"/>
      <c r="I28" s="288"/>
      <c r="J28" s="288"/>
      <c r="K28" s="288"/>
      <c r="L28" s="288"/>
      <c r="M28" s="288"/>
      <c r="N28" s="288"/>
      <c r="O28" s="288"/>
      <c r="P28" s="288"/>
      <c r="Q28" s="288"/>
      <c r="R28" s="288"/>
      <c r="S28" s="288"/>
      <c r="T28" s="288"/>
      <c r="U28" s="288"/>
      <c r="V28" s="288"/>
      <c r="W28" s="288"/>
      <c r="X28" s="288"/>
      <c r="Y28" s="288"/>
      <c r="Z28" s="288"/>
      <c r="AA28" s="288"/>
      <c r="AB28" s="288"/>
      <c r="AC28" s="288"/>
      <c r="AD28" s="288"/>
      <c r="AE28" s="288"/>
      <c r="AF28" s="288"/>
      <c r="AG28" s="288"/>
      <c r="AH28" s="288"/>
      <c r="AI28" s="289"/>
      <c r="AK28" s="436" t="s">
        <v>644</v>
      </c>
      <c r="AL28" s="436"/>
      <c r="AM28" s="436"/>
      <c r="AN28" s="436"/>
      <c r="AO28" s="436"/>
      <c r="AP28" s="436"/>
      <c r="AQ28" s="67"/>
      <c r="AR28" s="43"/>
      <c r="AS28" s="538" t="s">
        <v>645</v>
      </c>
      <c r="AT28" s="539"/>
      <c r="AU28" s="533" t="s">
        <v>646</v>
      </c>
      <c r="AV28" s="534"/>
      <c r="AW28" s="535"/>
      <c r="AY28" s="413" t="s">
        <v>647</v>
      </c>
      <c r="AZ28" s="413"/>
      <c r="BA28" s="412"/>
      <c r="BB28" s="412"/>
    </row>
    <row r="29" spans="1:85" ht="18" customHeight="1" thickBot="1">
      <c r="A29" s="36"/>
      <c r="B29" s="404"/>
      <c r="C29" s="404"/>
      <c r="D29" s="404"/>
      <c r="E29" s="404"/>
      <c r="F29" s="288"/>
      <c r="G29" s="288"/>
      <c r="H29" s="288"/>
      <c r="I29" s="288"/>
      <c r="J29" s="288"/>
      <c r="K29" s="288"/>
      <c r="L29" s="288"/>
      <c r="M29" s="288"/>
      <c r="N29" s="288"/>
      <c r="O29" s="288"/>
      <c r="P29" s="288"/>
      <c r="Q29" s="288"/>
      <c r="R29" s="288"/>
      <c r="S29" s="288"/>
      <c r="T29" s="288"/>
      <c r="U29" s="288"/>
      <c r="V29" s="288"/>
      <c r="W29" s="288"/>
      <c r="X29" s="288"/>
      <c r="Y29" s="288"/>
      <c r="Z29" s="288"/>
      <c r="AA29" s="288"/>
      <c r="AB29" s="288"/>
      <c r="AC29" s="288"/>
      <c r="AD29" s="288"/>
      <c r="AE29" s="288"/>
      <c r="AF29" s="288"/>
      <c r="AG29" s="288"/>
      <c r="AH29" s="288"/>
      <c r="AI29" s="289"/>
      <c r="AK29" s="524"/>
      <c r="AL29" s="524"/>
      <c r="AM29" s="524"/>
      <c r="AN29" s="524"/>
      <c r="AO29" s="524"/>
      <c r="AP29" s="524"/>
      <c r="AQ29" s="58"/>
      <c r="AR29" s="43"/>
      <c r="AS29" s="551"/>
      <c r="AT29" s="552"/>
      <c r="AU29" s="434"/>
      <c r="AV29" s="434"/>
      <c r="AW29" s="553"/>
      <c r="AY29" s="413" t="s">
        <v>633</v>
      </c>
      <c r="AZ29" s="413"/>
      <c r="BA29" s="412"/>
      <c r="BB29" s="412"/>
    </row>
    <row r="30" spans="1:85" ht="18" customHeight="1">
      <c r="A30" s="36"/>
      <c r="B30" s="404"/>
      <c r="C30" s="404"/>
      <c r="D30" s="404"/>
      <c r="E30" s="404"/>
      <c r="F30" s="288"/>
      <c r="G30" s="288"/>
      <c r="H30" s="288"/>
      <c r="I30" s="288"/>
      <c r="J30" s="288"/>
      <c r="K30" s="288"/>
      <c r="L30" s="288"/>
      <c r="M30" s="288"/>
      <c r="N30" s="288"/>
      <c r="O30" s="288"/>
      <c r="P30" s="288"/>
      <c r="Q30" s="288"/>
      <c r="R30" s="288"/>
      <c r="S30" s="288"/>
      <c r="T30" s="288"/>
      <c r="U30" s="288"/>
      <c r="V30" s="288"/>
      <c r="W30" s="288"/>
      <c r="X30" s="288"/>
      <c r="Y30" s="288"/>
      <c r="Z30" s="288"/>
      <c r="AA30" s="288"/>
      <c r="AB30" s="288"/>
      <c r="AC30" s="288"/>
      <c r="AD30" s="288"/>
      <c r="AE30" s="288"/>
      <c r="AF30" s="288"/>
      <c r="AG30" s="288"/>
      <c r="AH30" s="288"/>
      <c r="AI30" s="289"/>
      <c r="AK30" s="449" t="s">
        <v>648</v>
      </c>
      <c r="AL30" s="450"/>
      <c r="AM30" s="450"/>
      <c r="AN30" s="450"/>
      <c r="AO30" s="450"/>
      <c r="AP30" s="450"/>
      <c r="AQ30" s="62"/>
      <c r="AR30" s="43"/>
      <c r="AS30" s="554"/>
      <c r="AT30" s="532"/>
      <c r="AU30" s="439"/>
      <c r="AV30" s="439"/>
      <c r="AW30" s="555"/>
      <c r="AY30" s="413" t="s">
        <v>649</v>
      </c>
      <c r="AZ30" s="413"/>
      <c r="BA30" s="412"/>
      <c r="BB30" s="412"/>
    </row>
    <row r="31" spans="1:85" ht="18" customHeight="1" thickBot="1">
      <c r="A31" s="37"/>
      <c r="B31" s="466"/>
      <c r="C31" s="466"/>
      <c r="D31" s="466"/>
      <c r="E31" s="466"/>
      <c r="F31" s="467"/>
      <c r="G31" s="467"/>
      <c r="H31" s="467"/>
      <c r="I31" s="467"/>
      <c r="J31" s="467"/>
      <c r="K31" s="467"/>
      <c r="L31" s="467"/>
      <c r="M31" s="467"/>
      <c r="N31" s="467"/>
      <c r="O31" s="467"/>
      <c r="P31" s="467"/>
      <c r="Q31" s="467"/>
      <c r="R31" s="467"/>
      <c r="S31" s="467"/>
      <c r="T31" s="467"/>
      <c r="U31" s="467"/>
      <c r="V31" s="467"/>
      <c r="W31" s="467"/>
      <c r="X31" s="467"/>
      <c r="Y31" s="467"/>
      <c r="Z31" s="467"/>
      <c r="AA31" s="467"/>
      <c r="AB31" s="467"/>
      <c r="AC31" s="467"/>
      <c r="AD31" s="467"/>
      <c r="AE31" s="467"/>
      <c r="AF31" s="467"/>
      <c r="AG31" s="467"/>
      <c r="AH31" s="467"/>
      <c r="AI31" s="468"/>
      <c r="AK31" s="451" t="s">
        <v>650</v>
      </c>
      <c r="AL31" s="416"/>
      <c r="AM31" s="416"/>
      <c r="AN31" s="416"/>
      <c r="AO31" s="416"/>
      <c r="AP31" s="416"/>
      <c r="AQ31" s="64"/>
      <c r="AR31" s="48"/>
      <c r="AS31" s="556"/>
      <c r="AT31" s="557"/>
      <c r="AU31" s="424"/>
      <c r="AV31" s="424"/>
      <c r="AW31" s="491"/>
      <c r="AY31" s="413" t="s">
        <v>637</v>
      </c>
      <c r="AZ31" s="413"/>
      <c r="BA31" s="412"/>
      <c r="BB31" s="412"/>
    </row>
    <row r="32" spans="1:85" ht="18" customHeight="1" thickBot="1">
      <c r="A32" s="406" t="s">
        <v>651</v>
      </c>
      <c r="B32" s="407"/>
      <c r="C32" s="407"/>
      <c r="D32" s="407"/>
      <c r="E32" s="407"/>
      <c r="F32" s="407"/>
      <c r="G32" s="407"/>
      <c r="H32" s="407"/>
      <c r="I32" s="407"/>
      <c r="J32" s="407"/>
      <c r="K32" s="407"/>
      <c r="L32" s="407"/>
      <c r="M32" s="407"/>
      <c r="N32" s="407"/>
      <c r="O32" s="407"/>
      <c r="P32" s="407"/>
      <c r="Q32" s="407"/>
      <c r="R32" s="407"/>
      <c r="S32" s="407"/>
      <c r="T32" s="407"/>
      <c r="U32" s="407"/>
      <c r="V32" s="407"/>
      <c r="W32" s="407"/>
      <c r="X32" s="407"/>
      <c r="Y32" s="407"/>
      <c r="Z32" s="407"/>
      <c r="AA32" s="407"/>
      <c r="AB32" s="407"/>
      <c r="AC32" s="407"/>
      <c r="AD32" s="407"/>
      <c r="AE32" s="407"/>
      <c r="AF32" s="407"/>
      <c r="AG32" s="407"/>
      <c r="AH32" s="407"/>
      <c r="AI32" s="408"/>
      <c r="AK32" s="531"/>
      <c r="AL32" s="531"/>
      <c r="AM32" s="531"/>
      <c r="AN32" s="531"/>
      <c r="AO32" s="531"/>
      <c r="AP32" s="531"/>
      <c r="AQ32" s="61"/>
      <c r="AR32" s="48"/>
      <c r="AS32" s="558"/>
      <c r="AT32" s="558"/>
      <c r="AU32" s="559"/>
      <c r="AV32" s="559"/>
      <c r="AW32" s="559"/>
      <c r="AY32" s="413" t="s">
        <v>652</v>
      </c>
      <c r="AZ32" s="413"/>
      <c r="BA32" s="412"/>
      <c r="BB32" s="412"/>
    </row>
    <row r="33" spans="1:80" ht="18" customHeight="1">
      <c r="A33" s="39"/>
      <c r="B33" s="546" t="s">
        <v>653</v>
      </c>
      <c r="C33" s="546"/>
      <c r="D33" s="546"/>
      <c r="E33" s="546"/>
      <c r="F33" s="417" t="str" cm="1">
        <f t="array" ref="F33">_xlfn.TEXTJOIN("/",TRUE,IF(AS29:AS31&lt;&gt;"",TEXT(AS29:AS31,"h:mm")&amp;" "&amp;AU29:AU31,""))</f>
        <v/>
      </c>
      <c r="G33" s="418"/>
      <c r="H33" s="418"/>
      <c r="I33" s="418"/>
      <c r="J33" s="418"/>
      <c r="K33" s="418"/>
      <c r="L33" s="418"/>
      <c r="M33" s="418"/>
      <c r="N33" s="418"/>
      <c r="O33" s="418"/>
      <c r="P33" s="418"/>
      <c r="Q33" s="418"/>
      <c r="R33" s="418"/>
      <c r="S33" s="418"/>
      <c r="T33" s="418"/>
      <c r="U33" s="418"/>
      <c r="V33" s="418"/>
      <c r="W33" s="418"/>
      <c r="X33" s="418"/>
      <c r="Y33" s="418"/>
      <c r="Z33" s="418"/>
      <c r="AA33" s="418"/>
      <c r="AB33" s="418"/>
      <c r="AC33" s="418"/>
      <c r="AD33" s="418"/>
      <c r="AE33" s="418"/>
      <c r="AF33" s="418"/>
      <c r="AG33" s="418"/>
      <c r="AH33" s="418"/>
      <c r="AI33" s="419"/>
      <c r="AK33" s="449" t="s">
        <v>654</v>
      </c>
      <c r="AL33" s="450"/>
      <c r="AM33" s="450"/>
      <c r="AN33" s="450"/>
      <c r="AO33" s="450"/>
      <c r="AP33" s="450"/>
      <c r="AQ33" s="60"/>
      <c r="AR33" s="48"/>
      <c r="AS33" s="532"/>
      <c r="AT33" s="532"/>
      <c r="AU33" s="439"/>
      <c r="AV33" s="439"/>
      <c r="AW33" s="439"/>
      <c r="AY33" s="413" t="s">
        <v>655</v>
      </c>
      <c r="AZ33" s="413"/>
      <c r="BA33" s="412"/>
      <c r="BB33" s="412"/>
    </row>
    <row r="34" spans="1:80" ht="18" customHeight="1" thickBot="1">
      <c r="A34" s="39"/>
      <c r="B34" s="546" t="s">
        <v>656</v>
      </c>
      <c r="C34" s="546"/>
      <c r="D34" s="546"/>
      <c r="E34" s="546"/>
      <c r="F34" s="420" t="s">
        <v>79</v>
      </c>
      <c r="G34" s="420"/>
      <c r="H34" s="420"/>
      <c r="I34" s="420"/>
      <c r="J34" s="420"/>
      <c r="K34" s="420"/>
      <c r="L34" s="420"/>
      <c r="M34" s="420"/>
      <c r="N34" s="420"/>
      <c r="O34" s="420"/>
      <c r="P34" s="420"/>
      <c r="Q34" s="420"/>
      <c r="R34" s="420"/>
      <c r="S34" s="420"/>
      <c r="T34" s="420"/>
      <c r="U34" s="420"/>
      <c r="V34" s="420"/>
      <c r="W34" s="420"/>
      <c r="X34" s="420"/>
      <c r="Y34" s="420"/>
      <c r="Z34" s="420"/>
      <c r="AA34" s="420"/>
      <c r="AB34" s="420"/>
      <c r="AC34" s="421"/>
      <c r="AD34" s="421"/>
      <c r="AE34" s="421"/>
      <c r="AF34" s="421"/>
      <c r="AG34" s="421"/>
      <c r="AH34" s="421"/>
      <c r="AI34" s="422"/>
      <c r="AK34" s="451" t="s">
        <v>657</v>
      </c>
      <c r="AL34" s="416"/>
      <c r="AM34" s="416"/>
      <c r="AN34" s="416"/>
      <c r="AO34" s="416"/>
      <c r="AP34" s="416"/>
      <c r="AQ34" s="56"/>
      <c r="AR34" s="48"/>
      <c r="AS34" s="532"/>
      <c r="AT34" s="532"/>
      <c r="AU34" s="439"/>
      <c r="AV34" s="439"/>
      <c r="AW34" s="439"/>
      <c r="AY34" s="413" t="s">
        <v>658</v>
      </c>
      <c r="AZ34" s="413"/>
      <c r="BA34" s="412"/>
      <c r="BB34" s="412"/>
    </row>
    <row r="35" spans="1:80" ht="18" customHeight="1" thickBot="1">
      <c r="A35" s="57"/>
      <c r="B35" s="547" t="s">
        <v>659</v>
      </c>
      <c r="C35" s="547"/>
      <c r="D35" s="547"/>
      <c r="E35" s="547"/>
      <c r="F35" s="389" t="s">
        <v>660</v>
      </c>
      <c r="G35" s="389"/>
      <c r="H35" s="389"/>
      <c r="I35" s="389"/>
      <c r="J35" s="389"/>
      <c r="K35" s="389"/>
      <c r="L35" s="389"/>
      <c r="M35" s="389"/>
      <c r="N35" s="389"/>
      <c r="O35" s="389"/>
      <c r="P35" s="389"/>
      <c r="Q35" s="389"/>
      <c r="R35" s="389"/>
      <c r="S35" s="389"/>
      <c r="T35" s="389"/>
      <c r="U35" s="389"/>
      <c r="V35" s="389"/>
      <c r="W35" s="390" t="s">
        <v>661</v>
      </c>
      <c r="X35" s="391"/>
      <c r="Y35" s="391"/>
      <c r="Z35" s="391"/>
      <c r="AA35" s="391"/>
      <c r="AB35" s="391"/>
      <c r="AC35" s="392" t="s">
        <v>662</v>
      </c>
      <c r="AD35" s="393"/>
      <c r="AE35" s="393"/>
      <c r="AF35" s="393"/>
      <c r="AG35" s="393"/>
      <c r="AH35" s="393"/>
      <c r="AI35" s="394"/>
      <c r="AK35" s="531"/>
      <c r="AL35" s="531"/>
      <c r="AM35" s="531"/>
      <c r="AN35" s="531"/>
      <c r="AO35" s="531"/>
      <c r="AP35" s="531"/>
      <c r="AQ35" s="61"/>
      <c r="AR35" s="48"/>
      <c r="AS35" s="532"/>
      <c r="AT35" s="532"/>
      <c r="AU35" s="439"/>
      <c r="AV35" s="439"/>
      <c r="AW35" s="439"/>
      <c r="AY35" s="413" t="s">
        <v>663</v>
      </c>
      <c r="AZ35" s="413"/>
      <c r="BA35" s="412"/>
      <c r="BB35" s="412"/>
    </row>
    <row r="36" spans="1:80" ht="18" customHeight="1" thickBot="1">
      <c r="A36" s="492" t="s">
        <v>664</v>
      </c>
      <c r="B36" s="493"/>
      <c r="C36" s="493"/>
      <c r="D36" s="493"/>
      <c r="E36" s="493"/>
      <c r="F36" s="498">
        <v>4.1666666666666664E-2</v>
      </c>
      <c r="G36" s="439"/>
      <c r="H36" s="439"/>
      <c r="I36" s="439"/>
      <c r="J36" s="439"/>
      <c r="K36" s="439"/>
      <c r="L36" s="499" t="s">
        <v>665</v>
      </c>
      <c r="M36" s="489"/>
      <c r="N36" s="489"/>
      <c r="O36" s="500"/>
      <c r="P36" s="410"/>
      <c r="Q36" s="410"/>
      <c r="R36" s="410"/>
      <c r="S36" s="55" t="s">
        <v>666</v>
      </c>
      <c r="T36" s="410"/>
      <c r="U36" s="410"/>
      <c r="V36" s="530"/>
      <c r="W36" s="489" t="s">
        <v>667</v>
      </c>
      <c r="X36" s="489"/>
      <c r="Y36" s="489"/>
      <c r="Z36" s="489"/>
      <c r="AA36" s="489"/>
      <c r="AB36" s="489"/>
      <c r="AC36" s="490"/>
      <c r="AD36" s="487"/>
      <c r="AE36" s="487"/>
      <c r="AF36" s="487"/>
      <c r="AG36" s="487"/>
      <c r="AH36" s="487"/>
      <c r="AI36" s="488"/>
      <c r="AK36" s="525" t="s">
        <v>668</v>
      </c>
      <c r="AL36" s="526"/>
      <c r="AM36" s="526"/>
      <c r="AN36" s="526"/>
      <c r="AO36" s="526"/>
      <c r="AP36" s="526"/>
      <c r="AQ36" s="117"/>
      <c r="AR36" s="48"/>
      <c r="AS36" s="532"/>
      <c r="AT36" s="532"/>
      <c r="AU36" s="439"/>
      <c r="AV36" s="439"/>
      <c r="AW36" s="439"/>
      <c r="BH36" s="50"/>
      <c r="BI36" s="51"/>
    </row>
    <row r="37" spans="1:80" ht="18" customHeight="1" thickBot="1">
      <c r="A37" s="494" t="s">
        <v>669</v>
      </c>
      <c r="B37" s="495"/>
      <c r="C37" s="495"/>
      <c r="D37" s="495"/>
      <c r="E37" s="495"/>
      <c r="F37" s="487"/>
      <c r="G37" s="487"/>
      <c r="H37" s="487"/>
      <c r="I37" s="487"/>
      <c r="J37" s="487"/>
      <c r="K37" s="487"/>
      <c r="L37" s="487"/>
      <c r="M37" s="487"/>
      <c r="N37" s="487"/>
      <c r="O37" s="487"/>
      <c r="P37" s="487"/>
      <c r="Q37" s="487"/>
      <c r="R37" s="487"/>
      <c r="S37" s="487"/>
      <c r="T37" s="487"/>
      <c r="U37" s="487"/>
      <c r="V37" s="487"/>
      <c r="W37" s="487"/>
      <c r="X37" s="487"/>
      <c r="Y37" s="487"/>
      <c r="Z37" s="487"/>
      <c r="AA37" s="487"/>
      <c r="AB37" s="487"/>
      <c r="AC37" s="487"/>
      <c r="AD37" s="487"/>
      <c r="AE37" s="487"/>
      <c r="AF37" s="487"/>
      <c r="AG37" s="487"/>
      <c r="AH37" s="487"/>
      <c r="AI37" s="488"/>
      <c r="AK37" s="544" t="s">
        <v>240</v>
      </c>
      <c r="AL37" s="545"/>
      <c r="AM37" s="545"/>
      <c r="AN37" s="545"/>
      <c r="AO37" s="545"/>
      <c r="AP37" s="545"/>
      <c r="AQ37" s="122"/>
      <c r="AR37" s="48"/>
      <c r="AS37" s="532"/>
      <c r="AT37" s="532"/>
      <c r="AU37" s="439"/>
      <c r="AV37" s="439"/>
      <c r="AW37" s="439"/>
      <c r="BH37" s="50"/>
      <c r="BI37" s="51"/>
    </row>
    <row r="38" spans="1:80" ht="18" customHeight="1" thickBot="1">
      <c r="A38" s="496" t="s">
        <v>670</v>
      </c>
      <c r="B38" s="497"/>
      <c r="C38" s="497"/>
      <c r="D38" s="497"/>
      <c r="E38" s="497"/>
      <c r="F38" s="416" t="s">
        <v>667</v>
      </c>
      <c r="G38" s="416"/>
      <c r="H38" s="416"/>
      <c r="I38" s="416"/>
      <c r="J38" s="416"/>
      <c r="K38" s="416"/>
      <c r="L38" s="424"/>
      <c r="M38" s="424"/>
      <c r="N38" s="424"/>
      <c r="O38" s="424"/>
      <c r="P38" s="416" t="s">
        <v>671</v>
      </c>
      <c r="Q38" s="416"/>
      <c r="R38" s="416"/>
      <c r="S38" s="416"/>
      <c r="T38" s="416"/>
      <c r="U38" s="416"/>
      <c r="V38" s="416"/>
      <c r="W38" s="416" t="s">
        <v>667</v>
      </c>
      <c r="X38" s="416"/>
      <c r="Y38" s="416"/>
      <c r="Z38" s="416"/>
      <c r="AA38" s="416"/>
      <c r="AB38" s="416"/>
      <c r="AC38" s="424"/>
      <c r="AD38" s="424"/>
      <c r="AE38" s="424"/>
      <c r="AF38" s="424"/>
      <c r="AG38" s="424"/>
      <c r="AH38" s="424"/>
      <c r="AI38" s="491"/>
      <c r="AK38" s="543"/>
      <c r="AL38" s="543"/>
      <c r="AM38" s="543"/>
      <c r="AN38" s="543"/>
      <c r="AO38" s="543"/>
      <c r="AP38" s="543"/>
      <c r="AQ38" s="59"/>
      <c r="AR38" s="48"/>
      <c r="BC38" s="50"/>
      <c r="BD38" s="51"/>
    </row>
    <row r="39" spans="1:80" ht="18" customHeight="1">
      <c r="A39" s="452" t="s">
        <v>672</v>
      </c>
      <c r="B39" s="453"/>
      <c r="C39" s="453"/>
      <c r="D39" s="453"/>
      <c r="E39" s="453"/>
      <c r="F39" s="453"/>
      <c r="G39" s="453"/>
      <c r="H39" s="453"/>
      <c r="I39" s="453"/>
      <c r="J39" s="453"/>
      <c r="K39" s="453"/>
      <c r="L39" s="453"/>
      <c r="M39" s="453"/>
      <c r="N39" s="453"/>
      <c r="O39" s="453"/>
      <c r="P39" s="453"/>
      <c r="Q39" s="453"/>
      <c r="R39" s="453"/>
      <c r="S39" s="453"/>
      <c r="T39" s="453"/>
      <c r="U39" s="453"/>
      <c r="V39" s="453"/>
      <c r="W39" s="453"/>
      <c r="X39" s="453"/>
      <c r="Y39" s="453"/>
      <c r="Z39" s="453"/>
      <c r="AA39" s="453"/>
      <c r="AB39" s="453"/>
      <c r="AC39" s="453"/>
      <c r="AD39" s="453"/>
      <c r="AE39" s="453"/>
      <c r="AF39" s="453"/>
      <c r="AG39" s="453"/>
      <c r="AH39" s="453"/>
      <c r="AI39" s="454"/>
      <c r="AK39" s="444" t="s">
        <v>673</v>
      </c>
      <c r="AL39" s="444"/>
      <c r="AM39" s="444"/>
      <c r="AN39" s="444"/>
      <c r="AO39" s="444"/>
      <c r="AP39" s="444"/>
      <c r="AQ39" s="42"/>
      <c r="AR39" s="48"/>
      <c r="AS39" s="423" t="s">
        <v>526</v>
      </c>
      <c r="AT39" s="423"/>
      <c r="AU39" s="148"/>
      <c r="AV39" s="423" t="s">
        <v>528</v>
      </c>
      <c r="AW39" s="423"/>
      <c r="BC39" s="50"/>
      <c r="BD39" s="51"/>
    </row>
    <row r="40" spans="1:80" ht="18" customHeight="1">
      <c r="A40" s="464" t="s">
        <v>674</v>
      </c>
      <c r="B40" s="459"/>
      <c r="C40" s="459"/>
      <c r="D40" s="459"/>
      <c r="E40" s="470" t="s">
        <v>675</v>
      </c>
      <c r="F40" s="471"/>
      <c r="G40" s="471"/>
      <c r="H40" s="471"/>
      <c r="I40" s="471"/>
      <c r="J40" s="471"/>
      <c r="K40" s="472"/>
      <c r="L40" s="458" t="s">
        <v>676</v>
      </c>
      <c r="M40" s="459"/>
      <c r="N40" s="459"/>
      <c r="O40" s="459"/>
      <c r="P40" s="459"/>
      <c r="Q40" s="459"/>
      <c r="R40" s="460"/>
      <c r="S40" s="458" t="s">
        <v>677</v>
      </c>
      <c r="T40" s="459"/>
      <c r="U40" s="459"/>
      <c r="V40" s="459"/>
      <c r="W40" s="470" t="s">
        <v>675</v>
      </c>
      <c r="X40" s="471"/>
      <c r="Y40" s="471"/>
      <c r="Z40" s="471"/>
      <c r="AA40" s="471"/>
      <c r="AB40" s="471"/>
      <c r="AC40" s="472"/>
      <c r="AD40" s="458" t="s">
        <v>678</v>
      </c>
      <c r="AE40" s="459"/>
      <c r="AF40" s="459"/>
      <c r="AG40" s="459"/>
      <c r="AH40" s="459"/>
      <c r="AI40" s="463"/>
      <c r="AK40" s="444" t="s">
        <v>679</v>
      </c>
      <c r="AL40" s="444"/>
      <c r="AM40" s="444"/>
      <c r="AN40" s="444"/>
      <c r="AO40" s="444"/>
      <c r="AP40" s="444"/>
      <c r="AQ40" s="42"/>
      <c r="AR40" s="48"/>
      <c r="AS40" s="423" t="s">
        <v>527</v>
      </c>
      <c r="AT40" s="423"/>
      <c r="AU40" s="148"/>
      <c r="AV40" s="560"/>
      <c r="AW40" s="560"/>
      <c r="BC40" s="50"/>
      <c r="BD40" s="51"/>
    </row>
    <row r="41" spans="1:80" ht="18" customHeight="1">
      <c r="A41" s="464" t="s">
        <v>16</v>
      </c>
      <c r="B41" s="459"/>
      <c r="C41" s="459"/>
      <c r="D41" s="459"/>
      <c r="E41" s="469">
        <f>AX10</f>
        <v>0.33333333333333331</v>
      </c>
      <c r="F41" s="456"/>
      <c r="G41" s="456"/>
      <c r="H41" s="144" t="s">
        <v>680</v>
      </c>
      <c r="I41" s="456">
        <f>AY10</f>
        <v>0.83333333333333337</v>
      </c>
      <c r="J41" s="456"/>
      <c r="K41" s="457"/>
      <c r="L41" s="458">
        <f>AU10</f>
        <v>0</v>
      </c>
      <c r="M41" s="459"/>
      <c r="N41" s="459"/>
      <c r="O41" s="459"/>
      <c r="P41" s="459"/>
      <c r="Q41" s="459"/>
      <c r="R41" s="460"/>
      <c r="S41" s="409" t="s">
        <v>31</v>
      </c>
      <c r="T41" s="410"/>
      <c r="U41" s="410"/>
      <c r="V41" s="410"/>
      <c r="W41" s="414">
        <v>0.39583333333333331</v>
      </c>
      <c r="X41" s="415"/>
      <c r="Y41" s="415"/>
      <c r="Z41" s="40" t="s">
        <v>680</v>
      </c>
      <c r="AA41" s="415">
        <v>0.77083333333333337</v>
      </c>
      <c r="AB41" s="415"/>
      <c r="AC41" s="461"/>
      <c r="AD41" s="409">
        <f>AU14</f>
        <v>0</v>
      </c>
      <c r="AE41" s="410"/>
      <c r="AF41" s="410"/>
      <c r="AG41" s="410"/>
      <c r="AH41" s="410"/>
      <c r="AI41" s="462"/>
      <c r="AK41" s="444" t="s">
        <v>681</v>
      </c>
      <c r="AL41" s="444"/>
      <c r="AM41" s="444"/>
      <c r="AN41" s="444"/>
      <c r="AO41" s="444"/>
      <c r="AP41" s="444"/>
      <c r="AQ41" s="42"/>
      <c r="AR41" s="48"/>
      <c r="BC41" s="50"/>
      <c r="BD41" s="51"/>
    </row>
    <row r="42" spans="1:80" ht="18" customHeight="1">
      <c r="A42" s="464" t="s">
        <v>24</v>
      </c>
      <c r="B42" s="459"/>
      <c r="C42" s="459"/>
      <c r="D42" s="459"/>
      <c r="E42" s="469">
        <f>AX13</f>
        <v>0.33333333333333331</v>
      </c>
      <c r="F42" s="456"/>
      <c r="G42" s="456"/>
      <c r="H42" s="144" t="s">
        <v>680</v>
      </c>
      <c r="I42" s="456">
        <f>AY12</f>
        <v>0.83333333333333337</v>
      </c>
      <c r="J42" s="456"/>
      <c r="K42" s="457"/>
      <c r="L42" s="458">
        <f>AU13</f>
        <v>0</v>
      </c>
      <c r="M42" s="459"/>
      <c r="N42" s="459"/>
      <c r="O42" s="459"/>
      <c r="P42" s="459"/>
      <c r="Q42" s="459"/>
      <c r="R42" s="460"/>
      <c r="S42" s="409"/>
      <c r="T42" s="410"/>
      <c r="U42" s="410"/>
      <c r="V42" s="410"/>
      <c r="W42" s="414"/>
      <c r="X42" s="415"/>
      <c r="Y42" s="415"/>
      <c r="Z42" s="136"/>
      <c r="AA42" s="415"/>
      <c r="AB42" s="415"/>
      <c r="AC42" s="461"/>
      <c r="AD42" s="409">
        <f>AU15</f>
        <v>0</v>
      </c>
      <c r="AE42" s="410"/>
      <c r="AF42" s="410"/>
      <c r="AG42" s="410"/>
      <c r="AH42" s="410"/>
      <c r="AI42" s="462"/>
      <c r="AK42" s="445" t="s">
        <v>682</v>
      </c>
      <c r="AL42" s="445"/>
      <c r="AM42" s="445"/>
      <c r="AN42" s="445"/>
      <c r="AO42" s="445"/>
      <c r="AP42" s="445"/>
      <c r="AQ42" s="42"/>
      <c r="AR42" s="48"/>
      <c r="AS42" s="561" t="s">
        <v>683</v>
      </c>
      <c r="AT42" s="561"/>
      <c r="AU42" s="561"/>
      <c r="AV42" s="561"/>
      <c r="AW42" s="561"/>
      <c r="BC42" s="50"/>
      <c r="BD42" s="51"/>
    </row>
    <row r="43" spans="1:80" ht="18" customHeight="1">
      <c r="A43" s="464" t="s">
        <v>38</v>
      </c>
      <c r="B43" s="459"/>
      <c r="C43" s="459"/>
      <c r="D43" s="459"/>
      <c r="E43" s="469">
        <f>AX16</f>
        <v>0.83333333333333337</v>
      </c>
      <c r="F43" s="456"/>
      <c r="G43" s="456"/>
      <c r="H43" s="144" t="s">
        <v>680</v>
      </c>
      <c r="I43" s="456" t="str">
        <f>AY16</f>
        <v>翌8:00</v>
      </c>
      <c r="J43" s="456"/>
      <c r="K43" s="457"/>
      <c r="L43" s="458">
        <f>AU16</f>
        <v>0</v>
      </c>
      <c r="M43" s="459"/>
      <c r="N43" s="459"/>
      <c r="O43" s="459"/>
      <c r="P43" s="459"/>
      <c r="Q43" s="459"/>
      <c r="R43" s="460"/>
      <c r="S43" s="409"/>
      <c r="T43" s="410"/>
      <c r="U43" s="410"/>
      <c r="V43" s="410"/>
      <c r="W43" s="414"/>
      <c r="X43" s="415"/>
      <c r="Y43" s="415"/>
      <c r="Z43" s="136"/>
      <c r="AA43" s="415"/>
      <c r="AB43" s="415"/>
      <c r="AC43" s="461"/>
      <c r="AD43" s="486">
        <f>AU18</f>
        <v>0</v>
      </c>
      <c r="AE43" s="410"/>
      <c r="AF43" s="410"/>
      <c r="AG43" s="410"/>
      <c r="AH43" s="410"/>
      <c r="AI43" s="462"/>
      <c r="AK43" s="444" t="s">
        <v>684</v>
      </c>
      <c r="AL43" s="444"/>
      <c r="AM43" s="444"/>
      <c r="AN43" s="444"/>
      <c r="AO43" s="444"/>
      <c r="AP43" s="444"/>
      <c r="AQ43" s="42"/>
      <c r="AR43" s="43"/>
      <c r="AW43"/>
      <c r="AX43"/>
      <c r="AY43"/>
      <c r="AZ43"/>
      <c r="BA43"/>
      <c r="BB43"/>
      <c r="BC43" s="50"/>
      <c r="BD43" s="51"/>
      <c r="BE43"/>
      <c r="BF43"/>
      <c r="BG43"/>
      <c r="BH43"/>
      <c r="BI43"/>
      <c r="BJ43"/>
      <c r="BK43"/>
      <c r="BL43"/>
      <c r="BM43"/>
      <c r="BN43"/>
      <c r="BO43"/>
      <c r="BP43"/>
      <c r="BQ43"/>
      <c r="BR43"/>
      <c r="BS43"/>
      <c r="BT43"/>
      <c r="BU43"/>
      <c r="BV43"/>
      <c r="BW43"/>
      <c r="BX43"/>
      <c r="BY43"/>
      <c r="BZ43"/>
      <c r="CA43"/>
      <c r="CB43"/>
    </row>
    <row r="44" spans="1:80" ht="18" customHeight="1" thickBot="1">
      <c r="A44" s="473" t="s">
        <v>45</v>
      </c>
      <c r="B44" s="474"/>
      <c r="C44" s="474"/>
      <c r="D44" s="474"/>
      <c r="E44" s="475">
        <f>AX17</f>
        <v>0.83333333333333337</v>
      </c>
      <c r="F44" s="476"/>
      <c r="G44" s="476"/>
      <c r="H44" s="145" t="s">
        <v>680</v>
      </c>
      <c r="I44" s="476" t="str">
        <f>AY17</f>
        <v>翌8:00</v>
      </c>
      <c r="J44" s="476"/>
      <c r="K44" s="477"/>
      <c r="L44" s="478">
        <f>AU17</f>
        <v>0</v>
      </c>
      <c r="M44" s="478"/>
      <c r="N44" s="478"/>
      <c r="O44" s="478"/>
      <c r="P44" s="478"/>
      <c r="Q44" s="478"/>
      <c r="R44" s="478"/>
      <c r="S44" s="479"/>
      <c r="T44" s="480"/>
      <c r="U44" s="480"/>
      <c r="V44" s="480"/>
      <c r="W44" s="481"/>
      <c r="X44" s="482"/>
      <c r="Y44" s="482"/>
      <c r="Z44" s="137"/>
      <c r="AA44" s="482"/>
      <c r="AB44" s="482"/>
      <c r="AC44" s="483"/>
      <c r="AD44" s="484">
        <f>AU19</f>
        <v>0</v>
      </c>
      <c r="AE44" s="480"/>
      <c r="AF44" s="480"/>
      <c r="AG44" s="480"/>
      <c r="AH44" s="480"/>
      <c r="AI44" s="485"/>
      <c r="AK44" s="446" t="s">
        <v>685</v>
      </c>
      <c r="AL44" s="446"/>
      <c r="AM44" s="446"/>
      <c r="AN44" s="446"/>
      <c r="AO44" s="446"/>
      <c r="AP44" s="446"/>
      <c r="AQ44" s="42"/>
      <c r="AR44" s="43"/>
      <c r="BC44" s="50"/>
      <c r="BD44" s="51"/>
    </row>
    <row r="45" spans="1:80" ht="18" customHeight="1" thickBot="1">
      <c r="A45" s="27"/>
      <c r="B45" s="27"/>
      <c r="C45" s="27"/>
      <c r="D45" s="27"/>
      <c r="E45" s="27"/>
      <c r="F45" s="27"/>
      <c r="G45" s="27"/>
      <c r="H45" s="27"/>
      <c r="I45" s="27"/>
      <c r="R45" s="307">
        <f>A7</f>
        <v>46174</v>
      </c>
      <c r="S45" s="308"/>
      <c r="T45" s="308"/>
      <c r="U45" s="308"/>
      <c r="V45" s="23" t="s">
        <v>169</v>
      </c>
      <c r="W45" s="309">
        <f>G7</f>
        <v>46174</v>
      </c>
      <c r="X45" s="308"/>
      <c r="Y45" s="23" t="s">
        <v>170</v>
      </c>
      <c r="Z45" s="310">
        <f>K7</f>
        <v>46174</v>
      </c>
      <c r="AA45" s="308"/>
      <c r="AB45" s="23" t="s">
        <v>3</v>
      </c>
      <c r="AC45" s="455">
        <f>O7</f>
        <v>46174</v>
      </c>
      <c r="AD45" s="308"/>
      <c r="AE45" s="308" t="s">
        <v>292</v>
      </c>
      <c r="AF45" s="308"/>
      <c r="AK45" s="425" t="s">
        <v>686</v>
      </c>
      <c r="AL45" s="425"/>
      <c r="AM45" s="425"/>
      <c r="AN45" s="425"/>
      <c r="AO45" s="425"/>
      <c r="AP45" s="425"/>
      <c r="AQ45" s="42"/>
      <c r="AR45" s="43"/>
      <c r="BC45" s="50"/>
      <c r="BD45" s="51"/>
    </row>
    <row r="46" spans="1:80" customFormat="1" ht="18" customHeight="1">
      <c r="A46" s="452" t="s">
        <v>598</v>
      </c>
      <c r="B46" s="453"/>
      <c r="C46" s="453"/>
      <c r="D46" s="453"/>
      <c r="E46" s="453"/>
      <c r="F46" s="453"/>
      <c r="G46" s="453"/>
      <c r="H46" s="453"/>
      <c r="I46" s="453"/>
      <c r="J46" s="453"/>
      <c r="K46" s="453"/>
      <c r="L46" s="453"/>
      <c r="M46" s="453"/>
      <c r="N46" s="453"/>
      <c r="O46" s="453"/>
      <c r="P46" s="453"/>
      <c r="Q46" s="453"/>
      <c r="R46" s="453"/>
      <c r="S46" s="453"/>
      <c r="T46" s="453"/>
      <c r="U46" s="453"/>
      <c r="V46" s="453"/>
      <c r="W46" s="453"/>
      <c r="X46" s="453"/>
      <c r="Y46" s="453"/>
      <c r="Z46" s="453"/>
      <c r="AA46" s="453"/>
      <c r="AB46" s="453"/>
      <c r="AC46" s="453"/>
      <c r="AD46" s="453"/>
      <c r="AE46" s="453"/>
      <c r="AF46" s="453"/>
      <c r="AG46" s="453"/>
      <c r="AH46" s="453"/>
      <c r="AI46" s="454"/>
      <c r="AK46" s="425" t="s">
        <v>687</v>
      </c>
      <c r="AL46" s="425"/>
      <c r="AM46" s="425"/>
      <c r="AN46" s="425"/>
      <c r="AO46" s="425"/>
      <c r="AP46" s="425"/>
      <c r="AQ46" s="42"/>
      <c r="AR46" s="43"/>
      <c r="AW46" s="23"/>
      <c r="AX46" s="23"/>
      <c r="AY46" s="23"/>
      <c r="AZ46" s="23"/>
      <c r="BA46" s="23"/>
      <c r="BB46" s="23"/>
      <c r="BC46" s="50"/>
      <c r="BD46" s="51"/>
      <c r="BE46" s="23"/>
      <c r="BF46" s="23"/>
      <c r="BG46" s="23"/>
      <c r="BH46" s="23"/>
      <c r="BI46" s="23"/>
      <c r="BJ46" s="23"/>
      <c r="BK46" s="23"/>
      <c r="BL46" s="23"/>
      <c r="BM46" s="23"/>
      <c r="BN46" s="23"/>
      <c r="BO46" s="23"/>
      <c r="BP46" s="23"/>
      <c r="BQ46" s="23"/>
      <c r="BR46" s="23"/>
      <c r="BS46" s="23"/>
      <c r="BT46" s="23"/>
      <c r="BU46" s="23"/>
      <c r="BV46" s="23"/>
      <c r="BW46" s="23"/>
      <c r="BX46" s="23"/>
      <c r="BY46" s="23"/>
      <c r="BZ46" s="23"/>
      <c r="CA46" s="23"/>
      <c r="CB46" s="23"/>
    </row>
    <row r="47" spans="1:80" ht="18" customHeight="1">
      <c r="A47" s="36"/>
      <c r="B47" s="404"/>
      <c r="C47" s="404"/>
      <c r="D47" s="404"/>
      <c r="E47" s="404"/>
      <c r="F47" s="288"/>
      <c r="G47" s="288"/>
      <c r="H47" s="288"/>
      <c r="I47" s="288"/>
      <c r="J47" s="288"/>
      <c r="K47" s="288"/>
      <c r="L47" s="288"/>
      <c r="M47" s="288"/>
      <c r="N47" s="288"/>
      <c r="O47" s="288"/>
      <c r="P47" s="288"/>
      <c r="Q47" s="288"/>
      <c r="R47" s="288"/>
      <c r="S47" s="288"/>
      <c r="T47" s="288"/>
      <c r="U47" s="288"/>
      <c r="V47" s="288"/>
      <c r="W47" s="288"/>
      <c r="X47" s="288"/>
      <c r="Y47" s="288"/>
      <c r="Z47" s="288"/>
      <c r="AA47" s="288"/>
      <c r="AB47" s="288"/>
      <c r="AC47" s="288"/>
      <c r="AD47" s="288"/>
      <c r="AE47" s="288"/>
      <c r="AF47" s="288"/>
      <c r="AG47" s="288"/>
      <c r="AH47" s="288"/>
      <c r="AI47" s="289"/>
      <c r="AK47" s="425" t="s">
        <v>688</v>
      </c>
      <c r="AL47" s="425"/>
      <c r="AM47" s="425"/>
      <c r="AN47" s="425"/>
      <c r="AO47" s="425"/>
      <c r="AP47" s="425"/>
      <c r="AQ47" s="42"/>
      <c r="AR47" s="43"/>
      <c r="AS47" s="120" t="s">
        <v>189</v>
      </c>
      <c r="AT47" s="43" t="s">
        <v>689</v>
      </c>
      <c r="AU47" s="43"/>
      <c r="BC47" s="50"/>
      <c r="BD47" s="51"/>
    </row>
    <row r="48" spans="1:80" ht="18" customHeight="1">
      <c r="A48" s="36"/>
      <c r="B48" s="404"/>
      <c r="C48" s="404"/>
      <c r="D48" s="404"/>
      <c r="E48" s="404"/>
      <c r="F48" s="288"/>
      <c r="G48" s="288"/>
      <c r="H48" s="288"/>
      <c r="I48" s="288"/>
      <c r="J48" s="288"/>
      <c r="K48" s="288"/>
      <c r="L48" s="288"/>
      <c r="M48" s="288"/>
      <c r="N48" s="288"/>
      <c r="O48" s="288"/>
      <c r="P48" s="288"/>
      <c r="Q48" s="288"/>
      <c r="R48" s="288"/>
      <c r="S48" s="288"/>
      <c r="T48" s="288"/>
      <c r="U48" s="288"/>
      <c r="V48" s="288"/>
      <c r="W48" s="288"/>
      <c r="X48" s="288"/>
      <c r="Y48" s="288"/>
      <c r="Z48" s="288"/>
      <c r="AA48" s="288"/>
      <c r="AB48" s="288"/>
      <c r="AC48" s="288"/>
      <c r="AD48" s="288"/>
      <c r="AE48" s="288"/>
      <c r="AF48" s="288"/>
      <c r="AG48" s="288"/>
      <c r="AH48" s="288"/>
      <c r="AI48" s="289"/>
      <c r="AK48" s="425" t="s">
        <v>690</v>
      </c>
      <c r="AL48" s="425"/>
      <c r="AM48" s="425"/>
      <c r="AN48" s="425"/>
      <c r="AO48" s="425"/>
      <c r="AP48" s="425"/>
      <c r="AQ48" s="42"/>
      <c r="AR48" s="43"/>
      <c r="AS48" s="43"/>
      <c r="AT48" s="43"/>
      <c r="AU48" s="43"/>
      <c r="BC48" s="50"/>
      <c r="BD48" s="51"/>
    </row>
    <row r="49" spans="1:61" ht="18" customHeight="1">
      <c r="A49" s="36"/>
      <c r="B49" s="404"/>
      <c r="C49" s="404"/>
      <c r="D49" s="404"/>
      <c r="E49" s="404"/>
      <c r="F49" s="288"/>
      <c r="G49" s="288"/>
      <c r="H49" s="288"/>
      <c r="I49" s="288"/>
      <c r="J49" s="288"/>
      <c r="K49" s="288"/>
      <c r="L49" s="288"/>
      <c r="M49" s="288"/>
      <c r="N49" s="288"/>
      <c r="O49" s="288"/>
      <c r="P49" s="288"/>
      <c r="Q49" s="288"/>
      <c r="R49" s="288"/>
      <c r="S49" s="288"/>
      <c r="T49" s="288"/>
      <c r="U49" s="288"/>
      <c r="V49" s="288"/>
      <c r="W49" s="288"/>
      <c r="X49" s="288"/>
      <c r="Y49" s="288"/>
      <c r="Z49" s="288"/>
      <c r="AA49" s="288"/>
      <c r="AB49" s="288"/>
      <c r="AC49" s="288"/>
      <c r="AD49" s="288"/>
      <c r="AE49" s="288"/>
      <c r="AF49" s="288"/>
      <c r="AG49" s="288"/>
      <c r="AH49" s="288"/>
      <c r="AI49" s="289"/>
      <c r="AK49" s="425" t="s">
        <v>691</v>
      </c>
      <c r="AL49" s="425"/>
      <c r="AM49" s="425"/>
      <c r="AN49" s="425"/>
      <c r="AO49" s="425"/>
      <c r="AP49" s="425"/>
      <c r="AQ49" s="42"/>
      <c r="AR49" s="43"/>
      <c r="AS49" s="43"/>
      <c r="AT49" s="43"/>
      <c r="AU49" s="43"/>
      <c r="BC49" s="50"/>
      <c r="BD49" s="51"/>
    </row>
    <row r="50" spans="1:61" ht="18" customHeight="1">
      <c r="A50" s="36"/>
      <c r="B50" s="404"/>
      <c r="C50" s="404"/>
      <c r="D50" s="404"/>
      <c r="E50" s="404"/>
      <c r="F50" s="288"/>
      <c r="G50" s="288"/>
      <c r="H50" s="288"/>
      <c r="I50" s="288"/>
      <c r="J50" s="288"/>
      <c r="K50" s="288"/>
      <c r="L50" s="288"/>
      <c r="M50" s="288"/>
      <c r="N50" s="288"/>
      <c r="O50" s="288"/>
      <c r="P50" s="288"/>
      <c r="Q50" s="288"/>
      <c r="R50" s="288"/>
      <c r="S50" s="288"/>
      <c r="T50" s="288"/>
      <c r="U50" s="288"/>
      <c r="V50" s="288"/>
      <c r="W50" s="288"/>
      <c r="X50" s="288"/>
      <c r="Y50" s="288"/>
      <c r="Z50" s="288"/>
      <c r="AA50" s="288"/>
      <c r="AB50" s="288"/>
      <c r="AC50" s="288"/>
      <c r="AD50" s="288"/>
      <c r="AE50" s="288"/>
      <c r="AF50" s="288"/>
      <c r="AG50" s="288"/>
      <c r="AH50" s="288"/>
      <c r="AI50" s="289"/>
      <c r="AK50" s="425" t="s">
        <v>692</v>
      </c>
      <c r="AL50" s="425"/>
      <c r="AM50" s="425"/>
      <c r="AN50" s="425"/>
      <c r="AO50" s="425"/>
      <c r="AP50" s="425"/>
      <c r="AQ50" s="42"/>
      <c r="AR50" s="43"/>
      <c r="AS50" s="43"/>
      <c r="AT50" s="43"/>
      <c r="AU50" s="43"/>
      <c r="BC50" s="50"/>
      <c r="BD50" s="51"/>
    </row>
    <row r="51" spans="1:61" ht="18" customHeight="1">
      <c r="A51" s="36"/>
      <c r="B51" s="404"/>
      <c r="C51" s="404"/>
      <c r="D51" s="404"/>
      <c r="E51" s="404"/>
      <c r="F51" s="288"/>
      <c r="G51" s="288"/>
      <c r="H51" s="288"/>
      <c r="I51" s="288"/>
      <c r="J51" s="288"/>
      <c r="K51" s="288"/>
      <c r="L51" s="288"/>
      <c r="M51" s="288"/>
      <c r="N51" s="288"/>
      <c r="O51" s="288"/>
      <c r="P51" s="288"/>
      <c r="Q51" s="288"/>
      <c r="R51" s="288"/>
      <c r="S51" s="288"/>
      <c r="T51" s="288"/>
      <c r="U51" s="288"/>
      <c r="V51" s="288"/>
      <c r="W51" s="288"/>
      <c r="X51" s="288"/>
      <c r="Y51" s="288"/>
      <c r="Z51" s="288"/>
      <c r="AA51" s="288"/>
      <c r="AB51" s="288"/>
      <c r="AC51" s="288"/>
      <c r="AD51" s="288"/>
      <c r="AE51" s="288"/>
      <c r="AF51" s="288"/>
      <c r="AG51" s="288"/>
      <c r="AH51" s="288"/>
      <c r="AI51" s="289"/>
      <c r="AK51" s="425" t="s">
        <v>693</v>
      </c>
      <c r="AL51" s="425"/>
      <c r="AM51" s="425"/>
      <c r="AN51" s="425"/>
      <c r="AO51" s="425"/>
      <c r="AP51" s="425"/>
      <c r="AQ51" s="42"/>
      <c r="AR51" s="43"/>
      <c r="AS51" s="43"/>
      <c r="AT51" s="43"/>
      <c r="AU51" s="43"/>
      <c r="BC51" s="50"/>
      <c r="BD51" s="51"/>
    </row>
    <row r="52" spans="1:61" ht="18" customHeight="1">
      <c r="A52" s="36"/>
      <c r="B52" s="404"/>
      <c r="C52" s="404"/>
      <c r="D52" s="404"/>
      <c r="E52" s="404"/>
      <c r="F52" s="288"/>
      <c r="G52" s="288"/>
      <c r="H52" s="288"/>
      <c r="I52" s="288"/>
      <c r="J52" s="288"/>
      <c r="K52" s="288"/>
      <c r="L52" s="288"/>
      <c r="M52" s="288"/>
      <c r="N52" s="288"/>
      <c r="O52" s="288"/>
      <c r="P52" s="288"/>
      <c r="Q52" s="288"/>
      <c r="R52" s="288"/>
      <c r="S52" s="288"/>
      <c r="T52" s="288"/>
      <c r="U52" s="288"/>
      <c r="V52" s="288"/>
      <c r="W52" s="288"/>
      <c r="X52" s="288"/>
      <c r="Y52" s="288"/>
      <c r="Z52" s="288"/>
      <c r="AA52" s="288"/>
      <c r="AB52" s="288"/>
      <c r="AC52" s="288"/>
      <c r="AD52" s="288"/>
      <c r="AE52" s="288"/>
      <c r="AF52" s="288"/>
      <c r="AG52" s="288"/>
      <c r="AH52" s="288"/>
      <c r="AI52" s="289"/>
      <c r="AK52" s="425" t="s">
        <v>694</v>
      </c>
      <c r="AL52" s="425"/>
      <c r="AM52" s="425"/>
      <c r="AN52" s="425"/>
      <c r="AO52" s="425"/>
      <c r="AP52" s="425"/>
      <c r="AQ52" s="42"/>
      <c r="AR52" s="43"/>
      <c r="AS52" s="43"/>
      <c r="AV52" s="43"/>
      <c r="AW52" s="43"/>
      <c r="AX52" s="43"/>
      <c r="AY52" s="43"/>
      <c r="AZ52" s="43"/>
      <c r="BA52" s="43"/>
      <c r="BH52" s="52"/>
      <c r="BI52" s="51"/>
    </row>
    <row r="53" spans="1:61" ht="18" customHeight="1">
      <c r="A53" s="36"/>
      <c r="B53" s="404"/>
      <c r="C53" s="404"/>
      <c r="D53" s="404"/>
      <c r="E53" s="404"/>
      <c r="F53" s="288"/>
      <c r="G53" s="288"/>
      <c r="H53" s="288"/>
      <c r="I53" s="288"/>
      <c r="J53" s="288"/>
      <c r="K53" s="288"/>
      <c r="L53" s="288"/>
      <c r="M53" s="288"/>
      <c r="N53" s="288"/>
      <c r="O53" s="288"/>
      <c r="P53" s="288"/>
      <c r="Q53" s="288"/>
      <c r="R53" s="288"/>
      <c r="S53" s="288"/>
      <c r="T53" s="288"/>
      <c r="U53" s="288"/>
      <c r="V53" s="288"/>
      <c r="W53" s="288"/>
      <c r="X53" s="288"/>
      <c r="Y53" s="288"/>
      <c r="Z53" s="288"/>
      <c r="AA53" s="288"/>
      <c r="AB53" s="288"/>
      <c r="AC53" s="288"/>
      <c r="AD53" s="288"/>
      <c r="AE53" s="288"/>
      <c r="AF53" s="288"/>
      <c r="AG53" s="288"/>
      <c r="AH53" s="288"/>
      <c r="AI53" s="289"/>
      <c r="AK53" s="425" t="s">
        <v>695</v>
      </c>
      <c r="AL53" s="425"/>
      <c r="AM53" s="425"/>
      <c r="AN53" s="425"/>
      <c r="AO53" s="425"/>
      <c r="AP53" s="425"/>
      <c r="AQ53" s="42"/>
      <c r="AR53" s="43"/>
      <c r="AS53" s="43"/>
      <c r="AT53" s="43"/>
      <c r="AU53" s="43"/>
      <c r="AV53" s="43"/>
      <c r="AW53" s="43"/>
      <c r="AX53" s="43"/>
      <c r="AY53" s="43"/>
      <c r="AZ53" s="43"/>
      <c r="BH53" s="50"/>
      <c r="BI53" s="51"/>
    </row>
    <row r="54" spans="1:61" ht="18" customHeight="1">
      <c r="A54" s="36"/>
      <c r="B54" s="404"/>
      <c r="C54" s="404"/>
      <c r="D54" s="404"/>
      <c r="E54" s="404"/>
      <c r="F54" s="288"/>
      <c r="G54" s="288"/>
      <c r="H54" s="288"/>
      <c r="I54" s="288"/>
      <c r="J54" s="288"/>
      <c r="K54" s="288"/>
      <c r="L54" s="288"/>
      <c r="M54" s="288"/>
      <c r="N54" s="288"/>
      <c r="O54" s="288"/>
      <c r="P54" s="288"/>
      <c r="Q54" s="288"/>
      <c r="R54" s="288"/>
      <c r="S54" s="288"/>
      <c r="T54" s="288"/>
      <c r="U54" s="288"/>
      <c r="V54" s="288"/>
      <c r="W54" s="288"/>
      <c r="X54" s="288"/>
      <c r="Y54" s="288"/>
      <c r="Z54" s="288"/>
      <c r="AA54" s="288"/>
      <c r="AB54" s="288"/>
      <c r="AC54" s="288"/>
      <c r="AD54" s="288"/>
      <c r="AE54" s="288"/>
      <c r="AF54" s="288"/>
      <c r="AG54" s="288"/>
      <c r="AH54" s="288"/>
      <c r="AI54" s="289"/>
      <c r="AK54" s="425" t="s">
        <v>696</v>
      </c>
      <c r="AL54" s="425"/>
      <c r="AM54" s="425"/>
      <c r="AN54" s="425"/>
      <c r="AO54" s="425"/>
      <c r="AP54" s="425"/>
      <c r="AQ54" s="42"/>
      <c r="AR54" s="43"/>
      <c r="AS54" s="43"/>
      <c r="AT54" s="43"/>
      <c r="AU54" s="43"/>
      <c r="AV54" s="43"/>
      <c r="AW54" s="43"/>
      <c r="AX54" s="43"/>
      <c r="AY54" s="43"/>
      <c r="AZ54" s="43"/>
      <c r="BH54" s="50"/>
      <c r="BI54" s="51"/>
    </row>
    <row r="55" spans="1:61" ht="18" customHeight="1">
      <c r="A55" s="36"/>
      <c r="B55" s="404"/>
      <c r="C55" s="404"/>
      <c r="D55" s="404"/>
      <c r="E55" s="404"/>
      <c r="F55" s="288"/>
      <c r="G55" s="288"/>
      <c r="H55" s="288"/>
      <c r="I55" s="288"/>
      <c r="J55" s="288"/>
      <c r="K55" s="288"/>
      <c r="L55" s="288"/>
      <c r="M55" s="288"/>
      <c r="N55" s="288"/>
      <c r="O55" s="288"/>
      <c r="P55" s="288"/>
      <c r="Q55" s="288"/>
      <c r="R55" s="288"/>
      <c r="S55" s="288"/>
      <c r="T55" s="288"/>
      <c r="U55" s="288"/>
      <c r="V55" s="288"/>
      <c r="W55" s="288"/>
      <c r="X55" s="288"/>
      <c r="Y55" s="288"/>
      <c r="Z55" s="288"/>
      <c r="AA55" s="288"/>
      <c r="AB55" s="288"/>
      <c r="AC55" s="288"/>
      <c r="AD55" s="288"/>
      <c r="AE55" s="288"/>
      <c r="AF55" s="288"/>
      <c r="AG55" s="288"/>
      <c r="AH55" s="288"/>
      <c r="AI55" s="289"/>
      <c r="AK55" s="425" t="s">
        <v>697</v>
      </c>
      <c r="AL55" s="425"/>
      <c r="AM55" s="425"/>
      <c r="AN55" s="425"/>
      <c r="AO55" s="425"/>
      <c r="AP55" s="425"/>
      <c r="AQ55" s="42"/>
      <c r="AR55" s="43"/>
      <c r="AS55" s="43"/>
      <c r="AT55" s="43"/>
      <c r="AU55" s="43"/>
      <c r="AV55" s="43"/>
      <c r="AW55" s="43"/>
      <c r="AX55" s="43"/>
      <c r="AY55" s="43"/>
      <c r="AZ55" s="43"/>
      <c r="BH55" s="50"/>
      <c r="BI55" s="51"/>
    </row>
    <row r="56" spans="1:61" ht="18" customHeight="1">
      <c r="A56" s="36"/>
      <c r="B56" s="404"/>
      <c r="C56" s="404"/>
      <c r="D56" s="404"/>
      <c r="E56" s="404"/>
      <c r="F56" s="288"/>
      <c r="G56" s="288"/>
      <c r="H56" s="288"/>
      <c r="I56" s="288"/>
      <c r="J56" s="288"/>
      <c r="K56" s="288"/>
      <c r="L56" s="288"/>
      <c r="M56" s="288"/>
      <c r="N56" s="288"/>
      <c r="O56" s="288"/>
      <c r="P56" s="288"/>
      <c r="Q56" s="288"/>
      <c r="R56" s="288"/>
      <c r="S56" s="288"/>
      <c r="T56" s="288"/>
      <c r="U56" s="288"/>
      <c r="V56" s="288"/>
      <c r="W56" s="288"/>
      <c r="X56" s="288"/>
      <c r="Y56" s="288"/>
      <c r="Z56" s="288"/>
      <c r="AA56" s="288"/>
      <c r="AB56" s="288"/>
      <c r="AC56" s="288"/>
      <c r="AD56" s="288"/>
      <c r="AE56" s="288"/>
      <c r="AF56" s="288"/>
      <c r="AG56" s="288"/>
      <c r="AH56" s="288"/>
      <c r="AI56" s="289"/>
      <c r="AK56" s="425" t="s">
        <v>698</v>
      </c>
      <c r="AL56" s="425"/>
      <c r="AM56" s="425"/>
      <c r="AN56" s="425"/>
      <c r="AO56" s="425"/>
      <c r="AP56" s="425"/>
      <c r="AQ56" s="42"/>
      <c r="AR56" s="43"/>
      <c r="AS56" s="43"/>
      <c r="AT56" s="43"/>
      <c r="AU56" s="43"/>
      <c r="AV56" s="43"/>
      <c r="AW56" s="43"/>
      <c r="AX56" s="43"/>
      <c r="AY56" s="43"/>
      <c r="AZ56" s="43"/>
      <c r="BH56" s="52"/>
      <c r="BI56" s="51"/>
    </row>
    <row r="57" spans="1:61" ht="18" customHeight="1">
      <c r="A57" s="36"/>
      <c r="B57" s="404"/>
      <c r="C57" s="404"/>
      <c r="D57" s="404"/>
      <c r="E57" s="404"/>
      <c r="F57" s="288"/>
      <c r="G57" s="288"/>
      <c r="H57" s="288"/>
      <c r="I57" s="288"/>
      <c r="J57" s="288"/>
      <c r="K57" s="288"/>
      <c r="L57" s="288"/>
      <c r="M57" s="288"/>
      <c r="N57" s="288"/>
      <c r="O57" s="288"/>
      <c r="P57" s="288"/>
      <c r="Q57" s="288"/>
      <c r="R57" s="288"/>
      <c r="S57" s="288"/>
      <c r="T57" s="288"/>
      <c r="U57" s="288"/>
      <c r="V57" s="288"/>
      <c r="W57" s="288"/>
      <c r="X57" s="288"/>
      <c r="Y57" s="288"/>
      <c r="Z57" s="288"/>
      <c r="AA57" s="288"/>
      <c r="AB57" s="288"/>
      <c r="AC57" s="288"/>
      <c r="AD57" s="288"/>
      <c r="AE57" s="288"/>
      <c r="AF57" s="288"/>
      <c r="AG57" s="288"/>
      <c r="AH57" s="288"/>
      <c r="AI57" s="289"/>
      <c r="AK57" s="425" t="s">
        <v>699</v>
      </c>
      <c r="AL57" s="425"/>
      <c r="AM57" s="425"/>
      <c r="AN57" s="425"/>
      <c r="AO57" s="425"/>
      <c r="AP57" s="425"/>
      <c r="AQ57" s="42"/>
      <c r="AR57" s="43"/>
      <c r="AS57" s="43"/>
      <c r="AT57" s="43"/>
      <c r="AU57" s="43"/>
      <c r="AV57" s="43"/>
      <c r="AW57" s="43"/>
      <c r="AX57" s="43"/>
      <c r="AY57" s="43"/>
      <c r="AZ57" s="43"/>
      <c r="BH57" s="50"/>
      <c r="BI57" s="51"/>
    </row>
    <row r="58" spans="1:61" ht="18" customHeight="1">
      <c r="A58" s="36"/>
      <c r="B58" s="404"/>
      <c r="C58" s="404"/>
      <c r="D58" s="404"/>
      <c r="E58" s="404"/>
      <c r="F58" s="288"/>
      <c r="G58" s="288"/>
      <c r="H58" s="288"/>
      <c r="I58" s="288"/>
      <c r="J58" s="288"/>
      <c r="K58" s="288"/>
      <c r="L58" s="288"/>
      <c r="M58" s="288"/>
      <c r="N58" s="288"/>
      <c r="O58" s="288"/>
      <c r="P58" s="288"/>
      <c r="Q58" s="288"/>
      <c r="R58" s="288"/>
      <c r="S58" s="288"/>
      <c r="T58" s="288"/>
      <c r="U58" s="288"/>
      <c r="V58" s="288"/>
      <c r="W58" s="288"/>
      <c r="X58" s="288"/>
      <c r="Y58" s="288"/>
      <c r="Z58" s="288"/>
      <c r="AA58" s="288"/>
      <c r="AB58" s="288"/>
      <c r="AC58" s="288"/>
      <c r="AD58" s="288"/>
      <c r="AE58" s="288"/>
      <c r="AF58" s="288"/>
      <c r="AG58" s="288"/>
      <c r="AH58" s="288"/>
      <c r="AI58" s="289"/>
      <c r="AK58" s="425" t="s">
        <v>700</v>
      </c>
      <c r="AL58" s="425"/>
      <c r="AM58" s="425"/>
      <c r="AN58" s="425"/>
      <c r="AO58" s="425"/>
      <c r="AP58" s="425"/>
      <c r="AQ58" s="42"/>
      <c r="AR58" s="43"/>
      <c r="AS58" s="43"/>
      <c r="AT58" s="43"/>
      <c r="AU58" s="43"/>
      <c r="AV58" s="43"/>
      <c r="AW58" s="43"/>
      <c r="AX58" s="43"/>
      <c r="AY58" s="43"/>
      <c r="AZ58" s="43"/>
      <c r="BH58" s="50"/>
      <c r="BI58" s="51"/>
    </row>
    <row r="59" spans="1:61" ht="18" customHeight="1">
      <c r="A59" s="36"/>
      <c r="B59" s="404"/>
      <c r="C59" s="404"/>
      <c r="D59" s="404"/>
      <c r="E59" s="404"/>
      <c r="F59" s="288"/>
      <c r="G59" s="288"/>
      <c r="H59" s="288"/>
      <c r="I59" s="288"/>
      <c r="J59" s="288"/>
      <c r="K59" s="288"/>
      <c r="L59" s="288"/>
      <c r="M59" s="288"/>
      <c r="N59" s="288"/>
      <c r="O59" s="288"/>
      <c r="P59" s="288"/>
      <c r="Q59" s="288"/>
      <c r="R59" s="288"/>
      <c r="S59" s="288"/>
      <c r="T59" s="288"/>
      <c r="U59" s="288"/>
      <c r="V59" s="288"/>
      <c r="W59" s="288"/>
      <c r="X59" s="288"/>
      <c r="Y59" s="288"/>
      <c r="Z59" s="288"/>
      <c r="AA59" s="288"/>
      <c r="AB59" s="288"/>
      <c r="AC59" s="288"/>
      <c r="AD59" s="288"/>
      <c r="AE59" s="288"/>
      <c r="AF59" s="288"/>
      <c r="AG59" s="288"/>
      <c r="AH59" s="288"/>
      <c r="AI59" s="289"/>
      <c r="AK59" s="425" t="s">
        <v>701</v>
      </c>
      <c r="AL59" s="425"/>
      <c r="AM59" s="425"/>
      <c r="AN59" s="425"/>
      <c r="AO59" s="425"/>
      <c r="AP59" s="425"/>
      <c r="AQ59" s="42"/>
      <c r="AR59" s="43"/>
      <c r="AS59" s="43"/>
      <c r="AT59" s="43"/>
      <c r="AU59" s="43"/>
      <c r="AV59" s="43"/>
      <c r="AW59" s="43"/>
      <c r="AX59" s="43"/>
      <c r="AY59" s="43"/>
      <c r="AZ59" s="43"/>
      <c r="BH59" s="50"/>
      <c r="BI59" s="51"/>
    </row>
    <row r="60" spans="1:61" ht="18" customHeight="1">
      <c r="A60" s="36"/>
      <c r="B60" s="404"/>
      <c r="C60" s="404"/>
      <c r="D60" s="404"/>
      <c r="E60" s="404"/>
      <c r="F60" s="288"/>
      <c r="G60" s="288"/>
      <c r="H60" s="288"/>
      <c r="I60" s="288"/>
      <c r="J60" s="288"/>
      <c r="K60" s="288"/>
      <c r="L60" s="288"/>
      <c r="M60" s="288"/>
      <c r="N60" s="288"/>
      <c r="O60" s="288"/>
      <c r="P60" s="288"/>
      <c r="Q60" s="288"/>
      <c r="R60" s="288"/>
      <c r="S60" s="288"/>
      <c r="T60" s="288"/>
      <c r="U60" s="288"/>
      <c r="V60" s="288"/>
      <c r="W60" s="288"/>
      <c r="X60" s="288"/>
      <c r="Y60" s="288"/>
      <c r="Z60" s="288"/>
      <c r="AA60" s="288"/>
      <c r="AB60" s="288"/>
      <c r="AC60" s="288"/>
      <c r="AD60" s="288"/>
      <c r="AE60" s="288"/>
      <c r="AF60" s="288"/>
      <c r="AG60" s="288"/>
      <c r="AH60" s="288"/>
      <c r="AI60" s="289"/>
      <c r="AK60" s="425" t="s">
        <v>702</v>
      </c>
      <c r="AL60" s="425"/>
      <c r="AM60" s="425"/>
      <c r="AN60" s="425"/>
      <c r="AO60" s="425"/>
      <c r="AP60" s="425"/>
      <c r="AQ60" s="42"/>
      <c r="AR60" s="43"/>
      <c r="AS60" s="43"/>
      <c r="AT60" s="43"/>
      <c r="AU60" s="43"/>
      <c r="AV60" s="43"/>
      <c r="AW60" s="43"/>
      <c r="AX60" s="43"/>
      <c r="AY60" s="43"/>
      <c r="AZ60" s="43"/>
      <c r="BH60" s="52"/>
      <c r="BI60" s="51"/>
    </row>
    <row r="61" spans="1:61" ht="18" customHeight="1">
      <c r="A61" s="36"/>
      <c r="B61" s="404"/>
      <c r="C61" s="404"/>
      <c r="D61" s="404"/>
      <c r="E61" s="404"/>
      <c r="F61" s="288"/>
      <c r="G61" s="288"/>
      <c r="H61" s="288"/>
      <c r="I61" s="288"/>
      <c r="J61" s="288"/>
      <c r="K61" s="288"/>
      <c r="L61" s="288"/>
      <c r="M61" s="288"/>
      <c r="N61" s="288"/>
      <c r="O61" s="288"/>
      <c r="P61" s="288"/>
      <c r="Q61" s="288"/>
      <c r="R61" s="288"/>
      <c r="S61" s="288"/>
      <c r="T61" s="288"/>
      <c r="U61" s="288"/>
      <c r="V61" s="288"/>
      <c r="W61" s="288"/>
      <c r="X61" s="288"/>
      <c r="Y61" s="288"/>
      <c r="Z61" s="288"/>
      <c r="AA61" s="288"/>
      <c r="AB61" s="288"/>
      <c r="AC61" s="288"/>
      <c r="AD61" s="288"/>
      <c r="AE61" s="288"/>
      <c r="AF61" s="288"/>
      <c r="AG61" s="288"/>
      <c r="AH61" s="288"/>
      <c r="AI61" s="289"/>
      <c r="AK61" s="425" t="s">
        <v>703</v>
      </c>
      <c r="AL61" s="425"/>
      <c r="AM61" s="425"/>
      <c r="AN61" s="425"/>
      <c r="AO61" s="425"/>
      <c r="AP61" s="425"/>
      <c r="AQ61" s="42"/>
      <c r="AR61" s="43"/>
      <c r="AS61" s="43"/>
      <c r="AT61" s="43"/>
      <c r="AU61" s="43"/>
      <c r="AV61" s="43"/>
      <c r="AW61" s="43"/>
      <c r="AX61" s="43"/>
      <c r="AY61" s="43"/>
      <c r="AZ61" s="43"/>
      <c r="BH61" s="50"/>
      <c r="BI61" s="51"/>
    </row>
    <row r="62" spans="1:61" ht="18" customHeight="1">
      <c r="A62" s="36"/>
      <c r="B62" s="404"/>
      <c r="C62" s="404"/>
      <c r="D62" s="404"/>
      <c r="E62" s="404"/>
      <c r="F62" s="288"/>
      <c r="G62" s="288"/>
      <c r="H62" s="288"/>
      <c r="I62" s="288"/>
      <c r="J62" s="288"/>
      <c r="K62" s="288"/>
      <c r="L62" s="288"/>
      <c r="M62" s="288"/>
      <c r="N62" s="288"/>
      <c r="O62" s="288"/>
      <c r="P62" s="288"/>
      <c r="Q62" s="288"/>
      <c r="R62" s="288"/>
      <c r="S62" s="288"/>
      <c r="T62" s="288"/>
      <c r="U62" s="288"/>
      <c r="V62" s="288"/>
      <c r="W62" s="288"/>
      <c r="X62" s="288"/>
      <c r="Y62" s="288"/>
      <c r="Z62" s="288"/>
      <c r="AA62" s="288"/>
      <c r="AB62" s="288"/>
      <c r="AC62" s="288"/>
      <c r="AD62" s="288"/>
      <c r="AE62" s="288"/>
      <c r="AF62" s="288"/>
      <c r="AG62" s="288"/>
      <c r="AH62" s="288"/>
      <c r="AI62" s="289"/>
      <c r="AK62" s="425"/>
      <c r="AL62" s="425"/>
      <c r="AM62" s="425"/>
      <c r="AN62" s="425"/>
      <c r="AO62" s="425"/>
      <c r="AP62" s="425"/>
      <c r="AQ62" s="42"/>
      <c r="AR62" s="43"/>
      <c r="AS62" s="43"/>
      <c r="AT62" s="43"/>
      <c r="AU62" s="43"/>
      <c r="AV62" s="43"/>
      <c r="AW62" s="43"/>
      <c r="AX62" s="43"/>
      <c r="AY62" s="43"/>
      <c r="AZ62" s="43"/>
      <c r="BH62" s="50"/>
      <c r="BI62" s="51"/>
    </row>
    <row r="63" spans="1:61" ht="18" customHeight="1">
      <c r="A63" s="36"/>
      <c r="B63" s="404"/>
      <c r="C63" s="404"/>
      <c r="D63" s="404"/>
      <c r="E63" s="404"/>
      <c r="F63" s="288"/>
      <c r="G63" s="288"/>
      <c r="H63" s="288"/>
      <c r="I63" s="288"/>
      <c r="J63" s="288"/>
      <c r="K63" s="288"/>
      <c r="L63" s="288"/>
      <c r="M63" s="288"/>
      <c r="N63" s="288"/>
      <c r="O63" s="288"/>
      <c r="P63" s="288"/>
      <c r="Q63" s="288"/>
      <c r="R63" s="288"/>
      <c r="S63" s="288"/>
      <c r="T63" s="288"/>
      <c r="U63" s="288"/>
      <c r="V63" s="288"/>
      <c r="W63" s="288"/>
      <c r="X63" s="288"/>
      <c r="Y63" s="288"/>
      <c r="Z63" s="288"/>
      <c r="AA63" s="288"/>
      <c r="AB63" s="288"/>
      <c r="AC63" s="288"/>
      <c r="AD63" s="288"/>
      <c r="AE63" s="288"/>
      <c r="AF63" s="288"/>
      <c r="AG63" s="288"/>
      <c r="AH63" s="288"/>
      <c r="AI63" s="289"/>
      <c r="AK63" s="425"/>
      <c r="AL63" s="425"/>
      <c r="AM63" s="425"/>
      <c r="AN63" s="425"/>
      <c r="AO63" s="425"/>
      <c r="AP63" s="425"/>
      <c r="AQ63" s="42"/>
      <c r="AR63" s="43"/>
      <c r="AS63" s="43"/>
      <c r="AT63" s="43"/>
      <c r="AU63" s="43"/>
      <c r="AV63" s="43"/>
      <c r="AW63" s="43"/>
      <c r="AX63" s="43"/>
      <c r="AY63" s="43"/>
      <c r="AZ63" s="43"/>
      <c r="BH63" s="52"/>
      <c r="BI63" s="51"/>
    </row>
    <row r="64" spans="1:61" ht="18" customHeight="1">
      <c r="A64" s="36"/>
      <c r="B64" s="404"/>
      <c r="C64" s="404"/>
      <c r="D64" s="404"/>
      <c r="E64" s="404"/>
      <c r="F64" s="288"/>
      <c r="G64" s="288"/>
      <c r="H64" s="288"/>
      <c r="I64" s="288"/>
      <c r="J64" s="288"/>
      <c r="K64" s="288"/>
      <c r="L64" s="288"/>
      <c r="M64" s="288"/>
      <c r="N64" s="288"/>
      <c r="O64" s="288"/>
      <c r="P64" s="288"/>
      <c r="Q64" s="288"/>
      <c r="R64" s="288"/>
      <c r="S64" s="288"/>
      <c r="T64" s="288"/>
      <c r="U64" s="288"/>
      <c r="V64" s="288"/>
      <c r="W64" s="288"/>
      <c r="X64" s="288"/>
      <c r="Y64" s="288"/>
      <c r="Z64" s="288"/>
      <c r="AA64" s="288"/>
      <c r="AB64" s="288"/>
      <c r="AC64" s="288"/>
      <c r="AD64" s="288"/>
      <c r="AE64" s="288"/>
      <c r="AF64" s="288"/>
      <c r="AG64" s="288"/>
      <c r="AH64" s="288"/>
      <c r="AI64" s="289"/>
      <c r="AK64" s="425"/>
      <c r="AL64" s="425"/>
      <c r="AM64" s="425"/>
      <c r="AN64" s="425"/>
      <c r="AO64" s="425"/>
      <c r="AP64" s="425"/>
      <c r="AQ64" s="42"/>
      <c r="AR64" s="43"/>
      <c r="AS64" s="43"/>
      <c r="AT64" s="43"/>
      <c r="AU64" s="43"/>
      <c r="AV64" s="43"/>
      <c r="AW64" s="43"/>
      <c r="AX64" s="43"/>
      <c r="AY64" s="43"/>
      <c r="AZ64" s="43"/>
      <c r="BH64" s="52"/>
      <c r="BI64" s="51"/>
    </row>
    <row r="65" spans="1:61" ht="18" customHeight="1">
      <c r="A65" s="36"/>
      <c r="B65" s="404"/>
      <c r="C65" s="404"/>
      <c r="D65" s="404"/>
      <c r="E65" s="404"/>
      <c r="F65" s="288"/>
      <c r="G65" s="288"/>
      <c r="H65" s="288"/>
      <c r="I65" s="288"/>
      <c r="J65" s="288"/>
      <c r="K65" s="288"/>
      <c r="L65" s="288"/>
      <c r="M65" s="288"/>
      <c r="N65" s="288"/>
      <c r="O65" s="288"/>
      <c r="P65" s="288"/>
      <c r="Q65" s="288"/>
      <c r="R65" s="288"/>
      <c r="S65" s="288"/>
      <c r="T65" s="288"/>
      <c r="U65" s="288"/>
      <c r="V65" s="288"/>
      <c r="W65" s="288"/>
      <c r="X65" s="288"/>
      <c r="Y65" s="288"/>
      <c r="Z65" s="288"/>
      <c r="AA65" s="288"/>
      <c r="AB65" s="288"/>
      <c r="AC65" s="288"/>
      <c r="AD65" s="288"/>
      <c r="AE65" s="288"/>
      <c r="AF65" s="288"/>
      <c r="AG65" s="288"/>
      <c r="AH65" s="288"/>
      <c r="AI65" s="289"/>
      <c r="AK65" s="425"/>
      <c r="AL65" s="425"/>
      <c r="AM65" s="425"/>
      <c r="AN65" s="425"/>
      <c r="AO65" s="425"/>
      <c r="AP65" s="425"/>
      <c r="AQ65" s="42"/>
      <c r="AR65" s="43"/>
      <c r="AS65" s="43"/>
      <c r="AT65" s="43"/>
      <c r="AU65" s="43"/>
      <c r="AV65" s="43"/>
      <c r="AW65" s="43"/>
      <c r="AX65" s="43"/>
      <c r="AY65" s="43"/>
      <c r="AZ65" s="43"/>
      <c r="BH65" s="50"/>
      <c r="BI65" s="51"/>
    </row>
    <row r="66" spans="1:61" ht="18" customHeight="1">
      <c r="A66" s="36"/>
      <c r="B66" s="404"/>
      <c r="C66" s="404"/>
      <c r="D66" s="404"/>
      <c r="E66" s="404"/>
      <c r="F66" s="288"/>
      <c r="G66" s="288"/>
      <c r="H66" s="288"/>
      <c r="I66" s="288"/>
      <c r="J66" s="288"/>
      <c r="K66" s="288"/>
      <c r="L66" s="288"/>
      <c r="M66" s="288"/>
      <c r="N66" s="288"/>
      <c r="O66" s="288"/>
      <c r="P66" s="288"/>
      <c r="Q66" s="288"/>
      <c r="R66" s="288"/>
      <c r="S66" s="288"/>
      <c r="T66" s="288"/>
      <c r="U66" s="288"/>
      <c r="V66" s="288"/>
      <c r="W66" s="288"/>
      <c r="X66" s="288"/>
      <c r="Y66" s="288"/>
      <c r="Z66" s="288"/>
      <c r="AA66" s="288"/>
      <c r="AB66" s="288"/>
      <c r="AC66" s="288"/>
      <c r="AD66" s="288"/>
      <c r="AE66" s="288"/>
      <c r="AF66" s="288"/>
      <c r="AG66" s="288"/>
      <c r="AH66" s="288"/>
      <c r="AI66" s="289"/>
      <c r="AK66" s="425"/>
      <c r="AL66" s="425"/>
      <c r="AM66" s="425"/>
      <c r="AN66" s="425"/>
      <c r="AO66" s="425"/>
      <c r="AP66" s="425"/>
      <c r="AQ66" s="42"/>
      <c r="AR66" s="43"/>
      <c r="AS66" s="43"/>
      <c r="AT66" s="43"/>
      <c r="AU66" s="43"/>
      <c r="AV66" s="43"/>
      <c r="AW66" s="43"/>
      <c r="AX66" s="43"/>
      <c r="AY66" s="43"/>
      <c r="AZ66" s="43"/>
      <c r="BH66" s="50"/>
      <c r="BI66" s="51"/>
    </row>
    <row r="67" spans="1:61" ht="18" customHeight="1">
      <c r="A67" s="36"/>
      <c r="B67" s="404"/>
      <c r="C67" s="404"/>
      <c r="D67" s="404"/>
      <c r="E67" s="404"/>
      <c r="F67" s="288"/>
      <c r="G67" s="288"/>
      <c r="H67" s="288"/>
      <c r="I67" s="288"/>
      <c r="J67" s="288"/>
      <c r="K67" s="288"/>
      <c r="L67" s="288"/>
      <c r="M67" s="288"/>
      <c r="N67" s="288"/>
      <c r="O67" s="288"/>
      <c r="P67" s="288"/>
      <c r="Q67" s="288"/>
      <c r="R67" s="288"/>
      <c r="S67" s="288"/>
      <c r="T67" s="288"/>
      <c r="U67" s="288"/>
      <c r="V67" s="288"/>
      <c r="W67" s="288"/>
      <c r="X67" s="288"/>
      <c r="Y67" s="288"/>
      <c r="Z67" s="288"/>
      <c r="AA67" s="288"/>
      <c r="AB67" s="288"/>
      <c r="AC67" s="288"/>
      <c r="AD67" s="288"/>
      <c r="AE67" s="288"/>
      <c r="AF67" s="288"/>
      <c r="AG67" s="288"/>
      <c r="AH67" s="288"/>
      <c r="AI67" s="289"/>
      <c r="AK67" s="425"/>
      <c r="AL67" s="425"/>
      <c r="AM67" s="425"/>
      <c r="AN67" s="425"/>
      <c r="AO67" s="425"/>
      <c r="AP67" s="425"/>
      <c r="AQ67" s="67"/>
      <c r="AR67" s="43"/>
      <c r="AS67" s="43"/>
      <c r="AT67" s="43"/>
      <c r="AU67" s="43"/>
      <c r="AV67" s="43"/>
      <c r="AW67" s="43"/>
      <c r="AX67" s="43"/>
      <c r="AY67" s="43"/>
      <c r="AZ67" s="43"/>
      <c r="BH67" s="50"/>
      <c r="BI67" s="51"/>
    </row>
    <row r="68" spans="1:61" ht="18" customHeight="1">
      <c r="A68" s="36"/>
      <c r="B68" s="404"/>
      <c r="C68" s="404"/>
      <c r="D68" s="404"/>
      <c r="E68" s="404"/>
      <c r="F68" s="288"/>
      <c r="G68" s="288"/>
      <c r="H68" s="288"/>
      <c r="I68" s="288"/>
      <c r="J68" s="288"/>
      <c r="K68" s="288"/>
      <c r="L68" s="288"/>
      <c r="M68" s="288"/>
      <c r="N68" s="288"/>
      <c r="O68" s="288"/>
      <c r="P68" s="288"/>
      <c r="Q68" s="288"/>
      <c r="R68" s="288"/>
      <c r="S68" s="288"/>
      <c r="T68" s="288"/>
      <c r="U68" s="288"/>
      <c r="V68" s="288"/>
      <c r="W68" s="288"/>
      <c r="X68" s="288"/>
      <c r="Y68" s="288"/>
      <c r="Z68" s="288"/>
      <c r="AA68" s="288"/>
      <c r="AB68" s="288"/>
      <c r="AC68" s="288"/>
      <c r="AD68" s="288"/>
      <c r="AE68" s="288"/>
      <c r="AF68" s="288"/>
      <c r="AG68" s="288"/>
      <c r="AH68" s="288"/>
      <c r="AI68" s="289"/>
      <c r="AK68" s="425"/>
      <c r="AL68" s="425"/>
      <c r="AM68" s="425"/>
      <c r="AN68" s="425"/>
      <c r="AO68" s="425"/>
      <c r="AP68" s="425"/>
      <c r="AQ68" s="67"/>
      <c r="AR68" s="43"/>
      <c r="AS68" s="43"/>
      <c r="AT68" s="43"/>
      <c r="AU68" s="43"/>
      <c r="AV68" s="43"/>
      <c r="AW68" s="43"/>
      <c r="AX68" s="43"/>
      <c r="AY68" s="43"/>
      <c r="AZ68" s="43"/>
      <c r="BH68" s="50"/>
      <c r="BI68" s="51"/>
    </row>
    <row r="69" spans="1:61" ht="18" customHeight="1">
      <c r="A69" s="36"/>
      <c r="B69" s="404"/>
      <c r="C69" s="404"/>
      <c r="D69" s="404"/>
      <c r="E69" s="404"/>
      <c r="F69" s="288"/>
      <c r="G69" s="288"/>
      <c r="H69" s="288"/>
      <c r="I69" s="288"/>
      <c r="J69" s="288"/>
      <c r="K69" s="288"/>
      <c r="L69" s="288"/>
      <c r="M69" s="288"/>
      <c r="N69" s="288"/>
      <c r="O69" s="288"/>
      <c r="P69" s="288"/>
      <c r="Q69" s="288"/>
      <c r="R69" s="288"/>
      <c r="S69" s="288"/>
      <c r="T69" s="288"/>
      <c r="U69" s="288"/>
      <c r="V69" s="288"/>
      <c r="W69" s="288"/>
      <c r="X69" s="288"/>
      <c r="Y69" s="288"/>
      <c r="Z69" s="288"/>
      <c r="AA69" s="288"/>
      <c r="AB69" s="288"/>
      <c r="AC69" s="288"/>
      <c r="AD69" s="288"/>
      <c r="AE69" s="288"/>
      <c r="AF69" s="288"/>
      <c r="AG69" s="288"/>
      <c r="AH69" s="288"/>
      <c r="AI69" s="289"/>
      <c r="AK69" s="425"/>
      <c r="AL69" s="425"/>
      <c r="AM69" s="425"/>
      <c r="AN69" s="425"/>
      <c r="AO69" s="425"/>
      <c r="AP69" s="425"/>
      <c r="AQ69" s="42"/>
      <c r="AR69" s="43"/>
      <c r="AS69" s="43"/>
      <c r="AT69" s="43"/>
      <c r="AU69" s="43"/>
      <c r="AV69" s="43"/>
      <c r="AW69" s="43"/>
      <c r="AX69" s="43"/>
      <c r="AY69" s="43"/>
      <c r="AZ69" s="43"/>
      <c r="BH69" s="50"/>
      <c r="BI69" s="51"/>
    </row>
    <row r="70" spans="1:61" ht="18" customHeight="1">
      <c r="A70" s="36"/>
      <c r="B70" s="404"/>
      <c r="C70" s="404"/>
      <c r="D70" s="404"/>
      <c r="E70" s="404"/>
      <c r="F70" s="288"/>
      <c r="G70" s="288"/>
      <c r="H70" s="288"/>
      <c r="I70" s="288"/>
      <c r="J70" s="288"/>
      <c r="K70" s="288"/>
      <c r="L70" s="288"/>
      <c r="M70" s="288"/>
      <c r="N70" s="288"/>
      <c r="O70" s="288"/>
      <c r="P70" s="288"/>
      <c r="Q70" s="288"/>
      <c r="R70" s="288"/>
      <c r="S70" s="288"/>
      <c r="T70" s="288"/>
      <c r="U70" s="288"/>
      <c r="V70" s="288"/>
      <c r="W70" s="288"/>
      <c r="X70" s="288"/>
      <c r="Y70" s="288"/>
      <c r="Z70" s="288"/>
      <c r="AA70" s="288"/>
      <c r="AB70" s="288"/>
      <c r="AC70" s="288"/>
      <c r="AD70" s="288"/>
      <c r="AE70" s="288"/>
      <c r="AF70" s="288"/>
      <c r="AG70" s="288"/>
      <c r="AH70" s="288"/>
      <c r="AI70" s="289"/>
      <c r="AK70" s="425"/>
      <c r="AL70" s="425"/>
      <c r="AM70" s="425"/>
      <c r="AN70" s="425"/>
      <c r="AO70" s="425"/>
      <c r="AP70" s="425"/>
      <c r="AQ70" s="42"/>
      <c r="AR70" s="43"/>
      <c r="AS70" s="43"/>
      <c r="AT70" s="43"/>
      <c r="AU70" s="43"/>
      <c r="AV70" s="43"/>
      <c r="AW70" s="43"/>
      <c r="AX70" s="43"/>
      <c r="AY70" s="43"/>
      <c r="AZ70" s="43"/>
      <c r="BH70" s="50"/>
      <c r="BI70" s="51"/>
    </row>
    <row r="71" spans="1:61" ht="18" customHeight="1">
      <c r="A71" s="36"/>
      <c r="B71" s="404"/>
      <c r="C71" s="404"/>
      <c r="D71" s="404"/>
      <c r="E71" s="404"/>
      <c r="F71" s="288"/>
      <c r="G71" s="288"/>
      <c r="H71" s="288"/>
      <c r="I71" s="288"/>
      <c r="J71" s="288"/>
      <c r="K71" s="288"/>
      <c r="L71" s="288"/>
      <c r="M71" s="288"/>
      <c r="N71" s="288"/>
      <c r="O71" s="288"/>
      <c r="P71" s="288"/>
      <c r="Q71" s="288"/>
      <c r="R71" s="288"/>
      <c r="S71" s="288"/>
      <c r="T71" s="288"/>
      <c r="U71" s="288"/>
      <c r="V71" s="288"/>
      <c r="W71" s="288"/>
      <c r="X71" s="288"/>
      <c r="Y71" s="288"/>
      <c r="Z71" s="288"/>
      <c r="AA71" s="288"/>
      <c r="AB71" s="288"/>
      <c r="AC71" s="288"/>
      <c r="AD71" s="288"/>
      <c r="AE71" s="288"/>
      <c r="AF71" s="288"/>
      <c r="AG71" s="288"/>
      <c r="AH71" s="288"/>
      <c r="AI71" s="289"/>
      <c r="AK71" s="425"/>
      <c r="AL71" s="425"/>
      <c r="AM71" s="425"/>
      <c r="AN71" s="425"/>
      <c r="AO71" s="425"/>
      <c r="AP71" s="425"/>
      <c r="AQ71" s="42"/>
      <c r="AR71" s="43"/>
      <c r="AS71" s="43"/>
      <c r="AT71" s="43"/>
      <c r="AU71" s="43"/>
      <c r="AV71" s="43"/>
      <c r="AW71" s="43"/>
      <c r="AX71" s="43"/>
      <c r="AY71" s="43"/>
      <c r="AZ71" s="43"/>
      <c r="BH71" s="52"/>
      <c r="BI71" s="51"/>
    </row>
    <row r="72" spans="1:61" ht="18" customHeight="1">
      <c r="A72" s="36"/>
      <c r="B72" s="404"/>
      <c r="C72" s="404"/>
      <c r="D72" s="404"/>
      <c r="E72" s="404"/>
      <c r="F72" s="288"/>
      <c r="G72" s="288"/>
      <c r="H72" s="288"/>
      <c r="I72" s="288"/>
      <c r="J72" s="288"/>
      <c r="K72" s="288"/>
      <c r="L72" s="288"/>
      <c r="M72" s="288"/>
      <c r="N72" s="288"/>
      <c r="O72" s="288"/>
      <c r="P72" s="288"/>
      <c r="Q72" s="288"/>
      <c r="R72" s="288"/>
      <c r="S72" s="288"/>
      <c r="T72" s="288"/>
      <c r="U72" s="288"/>
      <c r="V72" s="288"/>
      <c r="W72" s="288"/>
      <c r="X72" s="288"/>
      <c r="Y72" s="288"/>
      <c r="Z72" s="288"/>
      <c r="AA72" s="288"/>
      <c r="AB72" s="288"/>
      <c r="AC72" s="288"/>
      <c r="AD72" s="288"/>
      <c r="AE72" s="288"/>
      <c r="AF72" s="288"/>
      <c r="AG72" s="288"/>
      <c r="AH72" s="288"/>
      <c r="AI72" s="289"/>
      <c r="AK72" s="425"/>
      <c r="AL72" s="425"/>
      <c r="AM72" s="425"/>
      <c r="AN72" s="425"/>
      <c r="AO72" s="425"/>
      <c r="AP72" s="425"/>
      <c r="AQ72" s="42"/>
      <c r="AR72" s="43"/>
      <c r="AS72" s="43"/>
      <c r="AT72" s="43"/>
      <c r="AU72" s="43"/>
      <c r="AV72" s="43"/>
      <c r="AW72" s="43"/>
      <c r="AX72" s="43"/>
      <c r="AY72" s="43"/>
      <c r="AZ72" s="43"/>
      <c r="BH72" s="53"/>
      <c r="BI72" s="51"/>
    </row>
    <row r="73" spans="1:61" ht="18" customHeight="1">
      <c r="A73" s="36"/>
      <c r="B73" s="404"/>
      <c r="C73" s="404"/>
      <c r="D73" s="404"/>
      <c r="E73" s="404"/>
      <c r="F73" s="288"/>
      <c r="G73" s="288"/>
      <c r="H73" s="288"/>
      <c r="I73" s="288"/>
      <c r="J73" s="288"/>
      <c r="K73" s="288"/>
      <c r="L73" s="288"/>
      <c r="M73" s="288"/>
      <c r="N73" s="288"/>
      <c r="O73" s="288"/>
      <c r="P73" s="288"/>
      <c r="Q73" s="288"/>
      <c r="R73" s="288"/>
      <c r="S73" s="288"/>
      <c r="T73" s="288"/>
      <c r="U73" s="288"/>
      <c r="V73" s="288"/>
      <c r="W73" s="288"/>
      <c r="X73" s="288"/>
      <c r="Y73" s="288"/>
      <c r="Z73" s="288"/>
      <c r="AA73" s="288"/>
      <c r="AB73" s="288"/>
      <c r="AC73" s="288"/>
      <c r="AD73" s="288"/>
      <c r="AE73" s="288"/>
      <c r="AF73" s="288"/>
      <c r="AG73" s="288"/>
      <c r="AH73" s="288"/>
      <c r="AI73" s="289"/>
      <c r="AK73" s="425"/>
      <c r="AL73" s="425"/>
      <c r="AM73" s="425"/>
      <c r="AN73" s="425"/>
      <c r="AO73" s="425"/>
      <c r="AP73" s="425"/>
      <c r="AQ73" s="42"/>
      <c r="AR73" s="43"/>
      <c r="AS73" s="43"/>
      <c r="AT73" s="43"/>
      <c r="AU73" s="43"/>
      <c r="AV73" s="43"/>
      <c r="AW73" s="43"/>
      <c r="AX73" s="43"/>
      <c r="AY73" s="43"/>
      <c r="AZ73" s="43"/>
      <c r="BH73" s="54"/>
      <c r="BI73" s="51"/>
    </row>
    <row r="74" spans="1:61" ht="18" customHeight="1">
      <c r="A74" s="36"/>
      <c r="B74" s="404"/>
      <c r="C74" s="404"/>
      <c r="D74" s="404"/>
      <c r="E74" s="404"/>
      <c r="F74" s="288"/>
      <c r="G74" s="288"/>
      <c r="H74" s="288"/>
      <c r="I74" s="288"/>
      <c r="J74" s="288"/>
      <c r="K74" s="288"/>
      <c r="L74" s="288"/>
      <c r="M74" s="288"/>
      <c r="N74" s="288"/>
      <c r="O74" s="288"/>
      <c r="P74" s="288"/>
      <c r="Q74" s="288"/>
      <c r="R74" s="288"/>
      <c r="S74" s="288"/>
      <c r="T74" s="288"/>
      <c r="U74" s="288"/>
      <c r="V74" s="288"/>
      <c r="W74" s="288"/>
      <c r="X74" s="288"/>
      <c r="Y74" s="288"/>
      <c r="Z74" s="288"/>
      <c r="AA74" s="288"/>
      <c r="AB74" s="288"/>
      <c r="AC74" s="288"/>
      <c r="AD74" s="288"/>
      <c r="AE74" s="288"/>
      <c r="AF74" s="288"/>
      <c r="AG74" s="288"/>
      <c r="AH74" s="288"/>
      <c r="AI74" s="289"/>
      <c r="AK74" s="425"/>
      <c r="AL74" s="425"/>
      <c r="AM74" s="425"/>
      <c r="AN74" s="425"/>
      <c r="AO74" s="425"/>
      <c r="AP74" s="425"/>
      <c r="AQ74" s="42"/>
      <c r="AR74" s="43"/>
      <c r="AS74" s="43"/>
      <c r="AT74" s="43"/>
      <c r="AU74" s="43"/>
      <c r="AV74" s="43"/>
      <c r="AW74" s="43"/>
      <c r="AX74" s="43"/>
      <c r="AY74" s="43"/>
      <c r="AZ74" s="43"/>
      <c r="BH74" s="54"/>
      <c r="BI74" s="51"/>
    </row>
    <row r="75" spans="1:61" ht="18" customHeight="1">
      <c r="A75" s="36"/>
      <c r="B75" s="404"/>
      <c r="C75" s="404"/>
      <c r="D75" s="404"/>
      <c r="E75" s="404"/>
      <c r="F75" s="288"/>
      <c r="G75" s="288"/>
      <c r="H75" s="288"/>
      <c r="I75" s="288"/>
      <c r="J75" s="288"/>
      <c r="K75" s="288"/>
      <c r="L75" s="288"/>
      <c r="M75" s="288"/>
      <c r="N75" s="288"/>
      <c r="O75" s="288"/>
      <c r="P75" s="288"/>
      <c r="Q75" s="288"/>
      <c r="R75" s="288"/>
      <c r="S75" s="288"/>
      <c r="T75" s="288"/>
      <c r="U75" s="288"/>
      <c r="V75" s="288"/>
      <c r="W75" s="288"/>
      <c r="X75" s="288"/>
      <c r="Y75" s="288"/>
      <c r="Z75" s="288"/>
      <c r="AA75" s="288"/>
      <c r="AB75" s="288"/>
      <c r="AC75" s="288"/>
      <c r="AD75" s="288"/>
      <c r="AE75" s="288"/>
      <c r="AF75" s="288"/>
      <c r="AG75" s="288"/>
      <c r="AH75" s="288"/>
      <c r="AI75" s="289"/>
      <c r="AK75" s="425"/>
      <c r="AL75" s="425"/>
      <c r="AM75" s="425"/>
      <c r="AN75" s="425"/>
      <c r="AO75" s="425"/>
      <c r="AP75" s="425"/>
      <c r="AQ75" s="42"/>
      <c r="AR75" s="43"/>
      <c r="AS75" s="43"/>
      <c r="AT75" s="43"/>
      <c r="AU75" s="43"/>
      <c r="AV75" s="43"/>
      <c r="AW75" s="43"/>
      <c r="AX75" s="43"/>
      <c r="AY75" s="43"/>
      <c r="AZ75" s="43"/>
      <c r="BH75" s="53"/>
      <c r="BI75" s="51"/>
    </row>
    <row r="76" spans="1:61" ht="18" customHeight="1">
      <c r="A76" s="36"/>
      <c r="B76" s="404"/>
      <c r="C76" s="404"/>
      <c r="D76" s="404"/>
      <c r="E76" s="404"/>
      <c r="F76" s="288"/>
      <c r="G76" s="288"/>
      <c r="H76" s="288"/>
      <c r="I76" s="288"/>
      <c r="J76" s="288"/>
      <c r="K76" s="288"/>
      <c r="L76" s="288"/>
      <c r="M76" s="288"/>
      <c r="N76" s="288"/>
      <c r="O76" s="288"/>
      <c r="P76" s="288"/>
      <c r="Q76" s="288"/>
      <c r="R76" s="288"/>
      <c r="S76" s="288"/>
      <c r="T76" s="288"/>
      <c r="U76" s="288"/>
      <c r="V76" s="288"/>
      <c r="W76" s="288"/>
      <c r="X76" s="288"/>
      <c r="Y76" s="288"/>
      <c r="Z76" s="288"/>
      <c r="AA76" s="288"/>
      <c r="AB76" s="288"/>
      <c r="AC76" s="288"/>
      <c r="AD76" s="288"/>
      <c r="AE76" s="288"/>
      <c r="AF76" s="288"/>
      <c r="AG76" s="288"/>
      <c r="AH76" s="288"/>
      <c r="AI76" s="289"/>
      <c r="AK76" s="425"/>
      <c r="AL76" s="425"/>
      <c r="AM76" s="425"/>
      <c r="AN76" s="425"/>
      <c r="AO76" s="425"/>
      <c r="AP76" s="425"/>
      <c r="AQ76" s="42"/>
      <c r="AR76" s="43"/>
      <c r="AS76" s="43"/>
      <c r="AT76" s="43"/>
      <c r="AU76" s="43"/>
      <c r="AV76" s="43"/>
      <c r="AW76" s="43"/>
      <c r="AX76" s="43"/>
      <c r="AY76" s="43"/>
      <c r="AZ76" s="43"/>
      <c r="BH76" s="53"/>
      <c r="BI76" s="51"/>
    </row>
    <row r="77" spans="1:61" ht="18" customHeight="1">
      <c r="A77" s="36"/>
      <c r="B77" s="404"/>
      <c r="C77" s="404"/>
      <c r="D77" s="404"/>
      <c r="E77" s="404"/>
      <c r="F77" s="288"/>
      <c r="G77" s="288"/>
      <c r="H77" s="288"/>
      <c r="I77" s="288"/>
      <c r="J77" s="288"/>
      <c r="K77" s="288"/>
      <c r="L77" s="288"/>
      <c r="M77" s="288"/>
      <c r="N77" s="288"/>
      <c r="O77" s="288"/>
      <c r="P77" s="288"/>
      <c r="Q77" s="288"/>
      <c r="R77" s="288"/>
      <c r="S77" s="288"/>
      <c r="T77" s="288"/>
      <c r="U77" s="288"/>
      <c r="V77" s="288"/>
      <c r="W77" s="288"/>
      <c r="X77" s="288"/>
      <c r="Y77" s="288"/>
      <c r="Z77" s="288"/>
      <c r="AA77" s="288"/>
      <c r="AB77" s="288"/>
      <c r="AC77" s="288"/>
      <c r="AD77" s="288"/>
      <c r="AE77" s="288"/>
      <c r="AF77" s="288"/>
      <c r="AG77" s="288"/>
      <c r="AH77" s="288"/>
      <c r="AI77" s="289"/>
      <c r="AK77" s="425"/>
      <c r="AL77" s="425"/>
      <c r="AM77" s="425"/>
      <c r="AN77" s="425"/>
      <c r="AO77" s="425"/>
      <c r="AP77" s="425"/>
      <c r="AQ77" s="42"/>
      <c r="AR77" s="43"/>
      <c r="AS77" s="43"/>
      <c r="AT77" s="43"/>
      <c r="AU77" s="43"/>
      <c r="AV77" s="43"/>
      <c r="AW77" s="43"/>
      <c r="AX77" s="43"/>
      <c r="AY77" s="43"/>
      <c r="AZ77" s="43"/>
      <c r="BH77" s="54"/>
      <c r="BI77" s="51"/>
    </row>
    <row r="78" spans="1:61" ht="18" customHeight="1">
      <c r="A78" s="36"/>
      <c r="B78" s="404"/>
      <c r="C78" s="404"/>
      <c r="D78" s="404"/>
      <c r="E78" s="404"/>
      <c r="F78" s="288"/>
      <c r="G78" s="288"/>
      <c r="H78" s="288"/>
      <c r="I78" s="288"/>
      <c r="J78" s="288"/>
      <c r="K78" s="288"/>
      <c r="L78" s="288"/>
      <c r="M78" s="288"/>
      <c r="N78" s="288"/>
      <c r="O78" s="288"/>
      <c r="P78" s="288"/>
      <c r="Q78" s="288"/>
      <c r="R78" s="288"/>
      <c r="S78" s="288"/>
      <c r="T78" s="288"/>
      <c r="U78" s="288"/>
      <c r="V78" s="288"/>
      <c r="W78" s="288"/>
      <c r="X78" s="288"/>
      <c r="Y78" s="288"/>
      <c r="Z78" s="288"/>
      <c r="AA78" s="288"/>
      <c r="AB78" s="288"/>
      <c r="AC78" s="288"/>
      <c r="AD78" s="288"/>
      <c r="AE78" s="288"/>
      <c r="AF78" s="288"/>
      <c r="AG78" s="288"/>
      <c r="AH78" s="288"/>
      <c r="AI78" s="289"/>
      <c r="AK78" s="425"/>
      <c r="AL78" s="425"/>
      <c r="AM78" s="425"/>
      <c r="AN78" s="425"/>
      <c r="AO78" s="425"/>
      <c r="AP78" s="425"/>
      <c r="AQ78" s="42"/>
      <c r="AR78" s="43"/>
      <c r="AS78" s="43"/>
      <c r="AT78" s="43"/>
      <c r="AU78" s="43"/>
      <c r="AV78" s="43"/>
      <c r="AW78" s="43"/>
      <c r="AX78" s="43"/>
      <c r="AY78" s="43"/>
      <c r="AZ78" s="43"/>
      <c r="BH78" s="54"/>
      <c r="BI78" s="51"/>
    </row>
    <row r="79" spans="1:61" ht="18" customHeight="1">
      <c r="A79" s="36"/>
      <c r="B79" s="404"/>
      <c r="C79" s="404"/>
      <c r="D79" s="404"/>
      <c r="E79" s="404"/>
      <c r="F79" s="288"/>
      <c r="G79" s="288"/>
      <c r="H79" s="288"/>
      <c r="I79" s="288"/>
      <c r="J79" s="288"/>
      <c r="K79" s="288"/>
      <c r="L79" s="288"/>
      <c r="M79" s="288"/>
      <c r="N79" s="288"/>
      <c r="O79" s="288"/>
      <c r="P79" s="288"/>
      <c r="Q79" s="288"/>
      <c r="R79" s="288"/>
      <c r="S79" s="288"/>
      <c r="T79" s="288"/>
      <c r="U79" s="288"/>
      <c r="V79" s="288"/>
      <c r="W79" s="288"/>
      <c r="X79" s="288"/>
      <c r="Y79" s="288"/>
      <c r="Z79" s="288"/>
      <c r="AA79" s="288"/>
      <c r="AB79" s="288"/>
      <c r="AC79" s="288"/>
      <c r="AD79" s="288"/>
      <c r="AE79" s="288"/>
      <c r="AF79" s="288"/>
      <c r="AG79" s="288"/>
      <c r="AH79" s="288"/>
      <c r="AI79" s="289"/>
      <c r="AK79" s="425"/>
      <c r="AL79" s="425"/>
      <c r="AM79" s="425"/>
      <c r="AN79" s="425"/>
      <c r="AO79" s="425"/>
      <c r="AP79" s="425"/>
      <c r="AQ79" s="42"/>
      <c r="AR79" s="43"/>
      <c r="AS79" s="43"/>
      <c r="AT79" s="43"/>
      <c r="AU79" s="43"/>
      <c r="AV79" s="43"/>
      <c r="AW79" s="43"/>
      <c r="AX79" s="43"/>
      <c r="AY79" s="43"/>
      <c r="AZ79" s="43"/>
      <c r="BH79" s="54"/>
      <c r="BI79" s="51"/>
    </row>
    <row r="80" spans="1:61" ht="18" customHeight="1">
      <c r="A80" s="37"/>
      <c r="B80" s="466"/>
      <c r="C80" s="466"/>
      <c r="D80" s="466"/>
      <c r="E80" s="466"/>
      <c r="F80" s="467"/>
      <c r="G80" s="467"/>
      <c r="H80" s="467"/>
      <c r="I80" s="467"/>
      <c r="J80" s="467"/>
      <c r="K80" s="467"/>
      <c r="L80" s="467"/>
      <c r="M80" s="467"/>
      <c r="N80" s="467"/>
      <c r="O80" s="467"/>
      <c r="P80" s="467"/>
      <c r="Q80" s="467"/>
      <c r="R80" s="467"/>
      <c r="S80" s="467"/>
      <c r="T80" s="467"/>
      <c r="U80" s="467"/>
      <c r="V80" s="467"/>
      <c r="W80" s="467"/>
      <c r="X80" s="467"/>
      <c r="Y80" s="467"/>
      <c r="Z80" s="467"/>
      <c r="AA80" s="467"/>
      <c r="AB80" s="467"/>
      <c r="AC80" s="467"/>
      <c r="AD80" s="467"/>
      <c r="AE80" s="467"/>
      <c r="AF80" s="467"/>
      <c r="AG80" s="467"/>
      <c r="AH80" s="467"/>
      <c r="AI80" s="468"/>
      <c r="AK80" s="425"/>
      <c r="AL80" s="425"/>
      <c r="AM80" s="425"/>
      <c r="AN80" s="425"/>
      <c r="AO80" s="425"/>
      <c r="AP80" s="425"/>
      <c r="AQ80" s="42"/>
      <c r="AR80" s="43"/>
      <c r="AS80" s="43"/>
      <c r="AT80" s="43"/>
      <c r="AU80" s="43"/>
      <c r="AV80" s="43"/>
      <c r="AW80" s="43"/>
      <c r="AX80" s="43"/>
      <c r="AY80" s="43"/>
      <c r="AZ80" s="43"/>
      <c r="BH80" s="54"/>
      <c r="BI80" s="51"/>
    </row>
    <row r="81" spans="1:61" ht="18" customHeight="1">
      <c r="A81" s="406" t="s">
        <v>704</v>
      </c>
      <c r="B81" s="407"/>
      <c r="C81" s="407"/>
      <c r="D81" s="407"/>
      <c r="E81" s="407"/>
      <c r="F81" s="407"/>
      <c r="G81" s="407"/>
      <c r="H81" s="407"/>
      <c r="I81" s="407"/>
      <c r="J81" s="407"/>
      <c r="K81" s="407"/>
      <c r="L81" s="407"/>
      <c r="M81" s="407"/>
      <c r="N81" s="407"/>
      <c r="O81" s="407"/>
      <c r="P81" s="407"/>
      <c r="Q81" s="407"/>
      <c r="R81" s="407"/>
      <c r="S81" s="407"/>
      <c r="T81" s="407"/>
      <c r="U81" s="407"/>
      <c r="V81" s="407"/>
      <c r="W81" s="407"/>
      <c r="X81" s="407"/>
      <c r="Y81" s="407"/>
      <c r="Z81" s="407"/>
      <c r="AA81" s="407"/>
      <c r="AB81" s="407"/>
      <c r="AC81" s="407"/>
      <c r="AD81" s="407"/>
      <c r="AE81" s="407"/>
      <c r="AF81" s="407"/>
      <c r="AG81" s="407"/>
      <c r="AH81" s="407"/>
      <c r="AI81" s="408"/>
      <c r="AK81" s="425"/>
      <c r="AL81" s="425"/>
      <c r="AM81" s="425"/>
      <c r="AN81" s="425"/>
      <c r="AO81" s="425"/>
      <c r="AP81" s="425"/>
      <c r="AQ81" s="42"/>
      <c r="AR81" s="43"/>
      <c r="AS81" s="43"/>
      <c r="AT81" s="43"/>
      <c r="AU81" s="43"/>
      <c r="AV81" s="43"/>
      <c r="AW81" s="43"/>
      <c r="AX81" s="43"/>
      <c r="AY81" s="43"/>
      <c r="AZ81" s="43"/>
      <c r="BH81" s="53"/>
      <c r="BI81" s="51"/>
    </row>
    <row r="82" spans="1:61" ht="18" customHeight="1">
      <c r="A82" s="38"/>
      <c r="B82" s="465">
        <v>46150</v>
      </c>
      <c r="C82" s="465"/>
      <c r="D82" s="465"/>
      <c r="E82" s="465"/>
      <c r="F82" s="288" t="s">
        <v>705</v>
      </c>
      <c r="G82" s="288"/>
      <c r="H82" s="288"/>
      <c r="I82" s="288"/>
      <c r="J82" s="288"/>
      <c r="K82" s="288"/>
      <c r="L82" s="288"/>
      <c r="M82" s="288"/>
      <c r="N82" s="288"/>
      <c r="O82" s="288"/>
      <c r="P82" s="288"/>
      <c r="Q82" s="288"/>
      <c r="R82" s="288"/>
      <c r="S82" s="288"/>
      <c r="T82" s="288"/>
      <c r="U82" s="288"/>
      <c r="V82" s="288"/>
      <c r="W82" s="288"/>
      <c r="X82" s="288"/>
      <c r="Y82" s="288"/>
      <c r="Z82" s="288"/>
      <c r="AA82" s="288"/>
      <c r="AB82" s="288"/>
      <c r="AC82" s="288"/>
      <c r="AD82" s="288"/>
      <c r="AE82" s="288"/>
      <c r="AF82" s="288"/>
      <c r="AG82" s="288"/>
      <c r="AH82" s="288"/>
      <c r="AI82" s="289"/>
      <c r="AK82" s="425"/>
      <c r="AL82" s="425"/>
      <c r="AM82" s="425"/>
      <c r="AN82" s="425"/>
      <c r="AO82" s="425"/>
      <c r="AP82" s="425"/>
      <c r="AQ82" s="42"/>
      <c r="AR82" s="43"/>
      <c r="AS82" s="43"/>
      <c r="AT82" s="43"/>
      <c r="AU82" s="43"/>
      <c r="AV82" s="43"/>
      <c r="AW82" s="43"/>
      <c r="AX82" s="43"/>
      <c r="AY82" s="43"/>
      <c r="AZ82" s="43"/>
      <c r="BH82" s="53"/>
      <c r="BI82" s="51"/>
    </row>
    <row r="83" spans="1:61" ht="18" customHeight="1">
      <c r="A83" s="38"/>
      <c r="B83" s="465">
        <v>46161</v>
      </c>
      <c r="C83" s="465"/>
      <c r="D83" s="465"/>
      <c r="E83" s="465"/>
      <c r="F83" s="288" t="s">
        <v>706</v>
      </c>
      <c r="G83" s="288"/>
      <c r="H83" s="288"/>
      <c r="I83" s="288"/>
      <c r="J83" s="288"/>
      <c r="K83" s="288"/>
      <c r="L83" s="288"/>
      <c r="M83" s="288"/>
      <c r="N83" s="288"/>
      <c r="O83" s="288"/>
      <c r="P83" s="288"/>
      <c r="Q83" s="288"/>
      <c r="R83" s="288"/>
      <c r="S83" s="288"/>
      <c r="T83" s="288"/>
      <c r="U83" s="288"/>
      <c r="V83" s="288"/>
      <c r="W83" s="288"/>
      <c r="X83" s="288"/>
      <c r="Y83" s="288"/>
      <c r="Z83" s="288"/>
      <c r="AA83" s="288"/>
      <c r="AB83" s="288"/>
      <c r="AC83" s="288"/>
      <c r="AD83" s="288"/>
      <c r="AE83" s="288"/>
      <c r="AF83" s="288"/>
      <c r="AG83" s="288"/>
      <c r="AH83" s="288"/>
      <c r="AI83" s="289"/>
      <c r="AK83" s="425"/>
      <c r="AL83" s="425"/>
      <c r="AM83" s="425"/>
      <c r="AN83" s="425"/>
      <c r="AO83" s="425"/>
      <c r="AP83" s="425"/>
      <c r="AQ83" s="42"/>
      <c r="AR83" s="43"/>
      <c r="AS83" s="43"/>
      <c r="AT83" s="43"/>
      <c r="AU83" s="43"/>
      <c r="AV83" s="43"/>
      <c r="AW83" s="43"/>
      <c r="AX83" s="43"/>
      <c r="AY83" s="43"/>
      <c r="AZ83" s="43"/>
      <c r="BH83" s="53"/>
      <c r="BI83" s="51"/>
    </row>
    <row r="84" spans="1:61" ht="18" customHeight="1">
      <c r="A84" s="38"/>
      <c r="B84" s="465"/>
      <c r="C84" s="465"/>
      <c r="D84" s="465"/>
      <c r="E84" s="465"/>
      <c r="F84" s="288"/>
      <c r="G84" s="288"/>
      <c r="H84" s="288"/>
      <c r="I84" s="288"/>
      <c r="J84" s="288"/>
      <c r="K84" s="288"/>
      <c r="L84" s="288"/>
      <c r="M84" s="288"/>
      <c r="N84" s="288"/>
      <c r="O84" s="288"/>
      <c r="P84" s="288"/>
      <c r="Q84" s="288"/>
      <c r="R84" s="288"/>
      <c r="S84" s="288"/>
      <c r="T84" s="288"/>
      <c r="U84" s="288"/>
      <c r="V84" s="288"/>
      <c r="W84" s="288"/>
      <c r="X84" s="288"/>
      <c r="Y84" s="288"/>
      <c r="Z84" s="288"/>
      <c r="AA84" s="288"/>
      <c r="AB84" s="288"/>
      <c r="AC84" s="288"/>
      <c r="AD84" s="288"/>
      <c r="AE84" s="288"/>
      <c r="AF84" s="288"/>
      <c r="AG84" s="288"/>
      <c r="AH84" s="288"/>
      <c r="AI84" s="289"/>
      <c r="AK84" s="425"/>
      <c r="AL84" s="425"/>
      <c r="AM84" s="425"/>
      <c r="AN84" s="425"/>
      <c r="AO84" s="425"/>
      <c r="AP84" s="425"/>
      <c r="AQ84" s="42"/>
      <c r="AR84" s="43"/>
      <c r="AS84" s="43"/>
      <c r="AT84" s="43"/>
      <c r="AU84" s="43"/>
      <c r="AV84" s="43"/>
      <c r="AW84" s="43"/>
      <c r="AX84" s="43"/>
      <c r="AY84" s="43"/>
      <c r="AZ84" s="43"/>
    </row>
    <row r="85" spans="1:61" ht="18" customHeight="1">
      <c r="A85" s="38"/>
      <c r="B85" s="465"/>
      <c r="C85" s="465"/>
      <c r="D85" s="465"/>
      <c r="E85" s="465"/>
      <c r="F85" s="288"/>
      <c r="G85" s="288"/>
      <c r="H85" s="288"/>
      <c r="I85" s="288"/>
      <c r="J85" s="288"/>
      <c r="K85" s="288"/>
      <c r="L85" s="288"/>
      <c r="M85" s="288"/>
      <c r="N85" s="288"/>
      <c r="O85" s="288"/>
      <c r="P85" s="288"/>
      <c r="Q85" s="288"/>
      <c r="R85" s="288"/>
      <c r="S85" s="288"/>
      <c r="T85" s="288"/>
      <c r="U85" s="288"/>
      <c r="V85" s="288"/>
      <c r="W85" s="288"/>
      <c r="X85" s="288"/>
      <c r="Y85" s="288"/>
      <c r="Z85" s="288"/>
      <c r="AA85" s="288"/>
      <c r="AB85" s="288"/>
      <c r="AC85" s="288"/>
      <c r="AD85" s="288"/>
      <c r="AE85" s="288"/>
      <c r="AF85" s="288"/>
      <c r="AG85" s="288"/>
      <c r="AH85" s="288"/>
      <c r="AI85" s="289"/>
      <c r="AK85" s="425"/>
      <c r="AL85" s="425"/>
      <c r="AM85" s="425"/>
      <c r="AN85" s="425"/>
      <c r="AO85" s="425"/>
      <c r="AP85" s="425"/>
      <c r="AQ85" s="42"/>
      <c r="AR85" s="43"/>
      <c r="AS85" s="43"/>
      <c r="AT85" s="43"/>
      <c r="AU85" s="43"/>
      <c r="AV85" s="43"/>
      <c r="AW85" s="43"/>
      <c r="AX85" s="43"/>
      <c r="AY85" s="43"/>
      <c r="AZ85" s="43"/>
    </row>
    <row r="86" spans="1:61" ht="18" customHeight="1" thickBot="1">
      <c r="A86" s="41"/>
      <c r="B86" s="540"/>
      <c r="C86" s="540"/>
      <c r="D86" s="540"/>
      <c r="E86" s="540"/>
      <c r="F86" s="541"/>
      <c r="G86" s="541"/>
      <c r="H86" s="541"/>
      <c r="I86" s="541"/>
      <c r="J86" s="541"/>
      <c r="K86" s="541"/>
      <c r="L86" s="541"/>
      <c r="M86" s="541"/>
      <c r="N86" s="541"/>
      <c r="O86" s="541"/>
      <c r="P86" s="541"/>
      <c r="Q86" s="541"/>
      <c r="R86" s="541"/>
      <c r="S86" s="541"/>
      <c r="T86" s="541"/>
      <c r="U86" s="541"/>
      <c r="V86" s="541"/>
      <c r="W86" s="541"/>
      <c r="X86" s="541"/>
      <c r="Y86" s="541"/>
      <c r="Z86" s="541"/>
      <c r="AA86" s="541"/>
      <c r="AB86" s="541"/>
      <c r="AC86" s="541"/>
      <c r="AD86" s="541"/>
      <c r="AE86" s="541"/>
      <c r="AF86" s="541"/>
      <c r="AG86" s="541"/>
      <c r="AH86" s="541"/>
      <c r="AI86" s="542"/>
      <c r="AK86" s="425"/>
      <c r="AL86" s="425"/>
      <c r="AM86" s="425"/>
      <c r="AN86" s="425"/>
      <c r="AO86" s="425"/>
      <c r="AP86" s="425"/>
      <c r="AQ86" s="42"/>
      <c r="AR86" s="43"/>
      <c r="AS86" s="43"/>
      <c r="AT86" s="43"/>
      <c r="AU86" s="43"/>
      <c r="AV86" s="43"/>
      <c r="AW86" s="43"/>
      <c r="AX86" s="43"/>
      <c r="AY86" s="43"/>
      <c r="AZ86" s="43"/>
    </row>
    <row r="87" spans="1:61" ht="14.1" customHeight="1">
      <c r="AK87" s="438"/>
      <c r="AL87" s="438"/>
      <c r="AM87" s="438"/>
      <c r="AN87" s="438"/>
      <c r="AO87" s="438"/>
      <c r="AP87" s="438"/>
      <c r="AQ87" s="119"/>
    </row>
    <row r="88" spans="1:61" ht="14.1" customHeight="1">
      <c r="AK88" s="437"/>
      <c r="AL88" s="437"/>
      <c r="AM88" s="437"/>
      <c r="AN88" s="437"/>
      <c r="AO88" s="437"/>
      <c r="AP88" s="437"/>
      <c r="AQ88" s="120"/>
    </row>
    <row r="89" spans="1:61" ht="14.1" customHeight="1">
      <c r="AK89" s="437"/>
      <c r="AL89" s="437"/>
      <c r="AM89" s="437"/>
      <c r="AN89" s="437"/>
      <c r="AO89" s="437"/>
      <c r="AP89" s="437"/>
      <c r="AQ89" s="120"/>
    </row>
    <row r="90" spans="1:61" ht="14.1" customHeight="1"/>
    <row r="91" spans="1:61" ht="14.1" customHeight="1"/>
    <row r="92" spans="1:61" ht="14.1" customHeight="1"/>
    <row r="93" spans="1:61" ht="14.1" customHeight="1"/>
    <row r="94" spans="1:61" ht="14.1" customHeight="1"/>
    <row r="95" spans="1:61" ht="14.1" customHeight="1"/>
    <row r="96" spans="1:61" ht="14.1" customHeight="1"/>
    <row r="97" ht="14.1" customHeight="1"/>
    <row r="98" ht="14.1" customHeight="1"/>
    <row r="99" ht="14.1" customHeight="1"/>
    <row r="100" ht="14.1" customHeight="1"/>
    <row r="101" ht="14.1" customHeight="1"/>
    <row r="102" ht="14.1" customHeight="1"/>
    <row r="103" ht="14.1" customHeight="1"/>
    <row r="104" ht="14.1" customHeight="1"/>
    <row r="105" ht="14.1" customHeight="1"/>
    <row r="106" ht="14.1" customHeight="1"/>
    <row r="107" ht="14.1" customHeight="1"/>
    <row r="108" ht="14.1" customHeight="1"/>
    <row r="109" ht="14.1" customHeight="1"/>
    <row r="110" ht="14.1" customHeight="1"/>
    <row r="111" ht="14.1" customHeight="1"/>
    <row r="112" ht="14.1" customHeight="1"/>
    <row r="113" ht="14.1" customHeight="1"/>
    <row r="114" ht="14.1" customHeight="1"/>
    <row r="115" ht="14.1" customHeight="1"/>
    <row r="116" ht="14.1" customHeight="1"/>
    <row r="117" ht="14.1" customHeight="1"/>
    <row r="118" ht="14.1" customHeight="1"/>
    <row r="119" ht="14.1" customHeight="1"/>
    <row r="120" ht="14.1" customHeight="1"/>
    <row r="121" ht="14.1" customHeight="1"/>
    <row r="122" ht="14.1" customHeight="1"/>
    <row r="123" ht="14.1" customHeight="1"/>
    <row r="124" ht="14.1" customHeight="1"/>
    <row r="125" ht="14.1" customHeight="1"/>
    <row r="126" ht="14.1" customHeight="1"/>
    <row r="127" ht="14.1" customHeight="1"/>
    <row r="128" ht="14.1" customHeight="1"/>
    <row r="129" ht="14.1" customHeight="1"/>
    <row r="130" ht="14.1" customHeight="1"/>
    <row r="131" ht="14.1" customHeight="1"/>
    <row r="132" ht="14.1" customHeight="1"/>
    <row r="133" ht="14.1" customHeight="1"/>
    <row r="134" ht="14.1" customHeight="1"/>
    <row r="135" ht="14.1" customHeight="1"/>
    <row r="136" ht="14.1" customHeight="1"/>
    <row r="137" ht="14.1" customHeight="1"/>
    <row r="138" ht="14.1" customHeight="1"/>
    <row r="139" ht="14.1" customHeight="1"/>
    <row r="140" ht="14.1" customHeight="1"/>
    <row r="141" ht="14.1" customHeight="1"/>
    <row r="142" ht="14.1" customHeight="1"/>
    <row r="143" ht="14.1" customHeight="1"/>
    <row r="144" ht="14.1" customHeight="1"/>
    <row r="145" ht="14.1" customHeight="1"/>
    <row r="146" ht="14.1" customHeight="1"/>
    <row r="147" ht="14.1" customHeight="1"/>
    <row r="148" ht="14.1" customHeight="1"/>
    <row r="149" ht="14.1" customHeight="1"/>
    <row r="150" ht="14.1" customHeight="1"/>
    <row r="151" ht="14.1" customHeight="1"/>
    <row r="152" ht="14.1" customHeight="1"/>
    <row r="153" ht="14.1" customHeight="1"/>
    <row r="154" ht="14.1" customHeight="1"/>
    <row r="155" ht="14.1" customHeight="1"/>
    <row r="156" ht="14.1" customHeight="1"/>
    <row r="157" ht="14.1" customHeight="1"/>
    <row r="158" ht="14.1" customHeight="1"/>
    <row r="159" ht="14.1" customHeight="1"/>
    <row r="160" ht="14.1" customHeight="1"/>
    <row r="161" ht="14.1" customHeight="1"/>
    <row r="162" ht="14.1" customHeight="1"/>
    <row r="163" ht="14.1" customHeight="1"/>
    <row r="164" ht="14.1" customHeight="1"/>
    <row r="165" ht="14.1" customHeight="1"/>
    <row r="166" ht="14.1" customHeight="1"/>
    <row r="167" ht="14.1" customHeight="1"/>
    <row r="168" ht="14.1" customHeight="1"/>
    <row r="169" ht="14.1" customHeight="1"/>
    <row r="170" ht="14.1" customHeight="1"/>
    <row r="171" ht="14.1" customHeight="1"/>
    <row r="172" ht="14.1" customHeight="1"/>
    <row r="173" ht="14.1" customHeight="1"/>
    <row r="174" ht="14.1" customHeight="1"/>
    <row r="175" ht="14.1" customHeight="1"/>
    <row r="176" ht="14.1" customHeight="1"/>
    <row r="177" ht="14.1" customHeight="1"/>
    <row r="178" ht="14.1" customHeight="1"/>
    <row r="179" ht="14.1" customHeight="1"/>
    <row r="180" ht="14.1" customHeight="1"/>
    <row r="181" ht="14.1" customHeight="1"/>
    <row r="182" ht="14.1" customHeight="1"/>
    <row r="183" ht="14.1" customHeight="1"/>
    <row r="184" ht="14.1" customHeight="1"/>
    <row r="185" ht="14.1" customHeight="1"/>
    <row r="186" ht="14.1" customHeight="1"/>
    <row r="187" ht="14.1" customHeight="1"/>
    <row r="188" ht="14.1" customHeight="1"/>
    <row r="189" ht="14.1" customHeight="1"/>
    <row r="190" ht="14.1" customHeight="1"/>
    <row r="191" ht="14.1" customHeight="1"/>
    <row r="192" ht="14.1" customHeight="1"/>
    <row r="193" ht="14.1" customHeight="1"/>
    <row r="194" ht="14.1" customHeight="1"/>
    <row r="195" ht="14.1" customHeight="1"/>
    <row r="196" ht="14.1" customHeight="1"/>
    <row r="197" ht="14.1" customHeight="1"/>
    <row r="198" ht="14.1" customHeight="1"/>
    <row r="199" ht="14.1" customHeight="1"/>
    <row r="200" ht="14.1" customHeight="1"/>
    <row r="201" ht="14.1" customHeight="1"/>
    <row r="202" ht="14.1" customHeight="1"/>
    <row r="203" ht="14.1" customHeight="1"/>
    <row r="204" ht="14.1" customHeight="1"/>
    <row r="205" ht="14.1" customHeight="1"/>
    <row r="206" ht="14.1" customHeight="1"/>
    <row r="207" ht="14.1" customHeight="1"/>
    <row r="208" ht="14.1" customHeight="1"/>
    <row r="209" ht="14.1" customHeight="1"/>
    <row r="210" ht="14.1" customHeight="1"/>
    <row r="211" ht="14.1" customHeight="1"/>
    <row r="212" ht="14.1" customHeight="1"/>
    <row r="213" ht="14.1" customHeight="1"/>
    <row r="214" ht="14.1" customHeight="1"/>
    <row r="215" ht="14.1" customHeight="1"/>
    <row r="216" ht="14.1" customHeight="1"/>
    <row r="217" ht="14.1" customHeight="1"/>
    <row r="218" ht="14.1" customHeight="1"/>
    <row r="219" ht="14.1" customHeight="1"/>
    <row r="220" ht="14.1" customHeight="1"/>
    <row r="221" ht="14.1" customHeight="1"/>
    <row r="222" ht="14.1" customHeight="1"/>
    <row r="223" ht="14.1" customHeight="1"/>
    <row r="224" ht="14.1" customHeight="1"/>
    <row r="225" ht="14.1" customHeight="1"/>
    <row r="226" ht="14.1" customHeight="1"/>
    <row r="227" ht="14.1" customHeight="1"/>
    <row r="228" ht="14.1" customHeight="1"/>
    <row r="229" ht="14.1" customHeight="1"/>
    <row r="230" ht="14.1" customHeight="1"/>
    <row r="231" ht="14.1" customHeight="1"/>
    <row r="232" ht="14.1" customHeight="1"/>
    <row r="233" ht="14.1" customHeight="1"/>
    <row r="234" ht="14.1" customHeight="1"/>
    <row r="235" ht="14.1" customHeight="1"/>
    <row r="236" ht="14.1" customHeight="1"/>
    <row r="237" ht="14.1" customHeight="1"/>
    <row r="238" ht="14.1" customHeight="1"/>
    <row r="239" ht="14.1" customHeight="1"/>
    <row r="240" ht="14.1" customHeight="1"/>
    <row r="241" ht="14.1" customHeight="1"/>
    <row r="242" ht="14.1" customHeight="1"/>
    <row r="243" ht="14.1" customHeight="1"/>
    <row r="244" ht="14.1" customHeight="1"/>
    <row r="245" ht="14.1" customHeight="1"/>
    <row r="246" ht="14.1" customHeight="1"/>
    <row r="247" ht="14.1" customHeight="1"/>
    <row r="248" ht="14.1" customHeight="1"/>
    <row r="249" ht="14.1" customHeight="1"/>
    <row r="250" ht="14.1" customHeight="1"/>
    <row r="251" ht="14.1" customHeight="1"/>
    <row r="252" ht="14.1" customHeight="1"/>
    <row r="253" ht="14.1" customHeight="1"/>
    <row r="254" ht="14.1" customHeight="1"/>
    <row r="255" ht="14.1" customHeight="1"/>
    <row r="256" ht="14.1" customHeight="1"/>
    <row r="257" ht="14.1" customHeight="1"/>
    <row r="258" ht="14.1" customHeight="1"/>
    <row r="259" ht="14.1" customHeight="1"/>
    <row r="260" ht="14.1" customHeight="1"/>
    <row r="261" ht="14.1" customHeight="1"/>
    <row r="262" ht="14.1" customHeight="1"/>
    <row r="263" ht="14.1" customHeight="1"/>
    <row r="264" ht="14.1" customHeight="1"/>
    <row r="265" ht="14.1" customHeight="1"/>
    <row r="266" ht="14.1" customHeight="1"/>
  </sheetData>
  <sheetProtection algorithmName="SHA-512" hashValue="0loLJCJhL4ad+e9W1BFBlntzNt2hf75qC+V2eugpQkoXMOcFlTwiL5DSpVRXAf1cyQ/kgBnOXO/4cSPzCUKn4A==" saltValue="4etb9yyOEqZ9UduJqdtb6g==" spinCount="100000" sheet="1" autoFilter="0"/>
  <mergeCells count="381">
    <mergeCell ref="AV39:AW39"/>
    <mergeCell ref="AV40:AW40"/>
    <mergeCell ref="AS42:AW42"/>
    <mergeCell ref="AS34:AT34"/>
    <mergeCell ref="AU34:AW34"/>
    <mergeCell ref="AS35:AT35"/>
    <mergeCell ref="AU35:AW35"/>
    <mergeCell ref="AS36:AT36"/>
    <mergeCell ref="AU36:AW36"/>
    <mergeCell ref="AS37:AT37"/>
    <mergeCell ref="AU37:AW37"/>
    <mergeCell ref="AS26:AW26"/>
    <mergeCell ref="AU27:AW27"/>
    <mergeCell ref="AS29:AT29"/>
    <mergeCell ref="AU29:AW29"/>
    <mergeCell ref="AS30:AT30"/>
    <mergeCell ref="AU30:AW30"/>
    <mergeCell ref="AS31:AT31"/>
    <mergeCell ref="AU31:AW31"/>
    <mergeCell ref="AS32:AT32"/>
    <mergeCell ref="AU32:AW32"/>
    <mergeCell ref="AS33:AT33"/>
    <mergeCell ref="AU33:AW33"/>
    <mergeCell ref="AU28:AW28"/>
    <mergeCell ref="AS23:AT23"/>
    <mergeCell ref="AU23:AV23"/>
    <mergeCell ref="AS27:AT27"/>
    <mergeCell ref="AS28:AT28"/>
    <mergeCell ref="B86:E86"/>
    <mergeCell ref="F86:AI86"/>
    <mergeCell ref="AK35:AP35"/>
    <mergeCell ref="AK38:AP38"/>
    <mergeCell ref="AK37:AP37"/>
    <mergeCell ref="AK53:AP53"/>
    <mergeCell ref="AK39:AP39"/>
    <mergeCell ref="AK40:AP40"/>
    <mergeCell ref="B28:E28"/>
    <mergeCell ref="B24:E24"/>
    <mergeCell ref="B25:E25"/>
    <mergeCell ref="B26:E26"/>
    <mergeCell ref="B27:E27"/>
    <mergeCell ref="B34:E34"/>
    <mergeCell ref="B33:E33"/>
    <mergeCell ref="B35:E35"/>
    <mergeCell ref="A39:AI39"/>
    <mergeCell ref="AK19:AP19"/>
    <mergeCell ref="AK36:AP36"/>
    <mergeCell ref="AK24:AP24"/>
    <mergeCell ref="AK25:AP25"/>
    <mergeCell ref="F24:AI24"/>
    <mergeCell ref="F25:AI25"/>
    <mergeCell ref="F26:AI26"/>
    <mergeCell ref="F27:AI27"/>
    <mergeCell ref="F28:AI28"/>
    <mergeCell ref="A32:AI32"/>
    <mergeCell ref="P36:R36"/>
    <mergeCell ref="T36:V36"/>
    <mergeCell ref="AK32:AP32"/>
    <mergeCell ref="AK33:AP33"/>
    <mergeCell ref="AK34:AP34"/>
    <mergeCell ref="AK29:AP29"/>
    <mergeCell ref="B21:E21"/>
    <mergeCell ref="F21:AI21"/>
    <mergeCell ref="B29:E29"/>
    <mergeCell ref="F29:AI29"/>
    <mergeCell ref="B30:E30"/>
    <mergeCell ref="F30:AI30"/>
    <mergeCell ref="B31:E31"/>
    <mergeCell ref="F31:AI31"/>
    <mergeCell ref="A1:S3"/>
    <mergeCell ref="Y7:AA8"/>
    <mergeCell ref="AB7:AI8"/>
    <mergeCell ref="A10:H10"/>
    <mergeCell ref="A11:H11"/>
    <mergeCell ref="A12:H12"/>
    <mergeCell ref="A13:H13"/>
    <mergeCell ref="I10:J10"/>
    <mergeCell ref="I11:J11"/>
    <mergeCell ref="I12:J12"/>
    <mergeCell ref="I13:J13"/>
    <mergeCell ref="V7:X7"/>
    <mergeCell ref="V8:X8"/>
    <mergeCell ref="K10:L10"/>
    <mergeCell ref="K11:L11"/>
    <mergeCell ref="A7:E8"/>
    <mergeCell ref="G7:I8"/>
    <mergeCell ref="J7:J8"/>
    <mergeCell ref="N7:N8"/>
    <mergeCell ref="O7:P8"/>
    <mergeCell ref="S7:T8"/>
    <mergeCell ref="F7:F8"/>
    <mergeCell ref="K12:L12"/>
    <mergeCell ref="K13:L13"/>
    <mergeCell ref="U10:V10"/>
    <mergeCell ref="W10:X10"/>
    <mergeCell ref="M11:T11"/>
    <mergeCell ref="M10:T10"/>
    <mergeCell ref="A9:AI9"/>
    <mergeCell ref="U11:V11"/>
    <mergeCell ref="W11:X11"/>
    <mergeCell ref="M12:T12"/>
    <mergeCell ref="U12:V12"/>
    <mergeCell ref="W12:X12"/>
    <mergeCell ref="AG12:AH12"/>
    <mergeCell ref="Y12:AF12"/>
    <mergeCell ref="B20:E20"/>
    <mergeCell ref="J15:L15"/>
    <mergeCell ref="O15:V15"/>
    <mergeCell ref="W15:Y15"/>
    <mergeCell ref="M15:N15"/>
    <mergeCell ref="Z15:AA15"/>
    <mergeCell ref="Y13:AF13"/>
    <mergeCell ref="AG13:AH13"/>
    <mergeCell ref="A14:AI14"/>
    <mergeCell ref="B15:I15"/>
    <mergeCell ref="A18:E18"/>
    <mergeCell ref="AH15:AI15"/>
    <mergeCell ref="AB15:AG15"/>
    <mergeCell ref="A16:AI16"/>
    <mergeCell ref="M13:T13"/>
    <mergeCell ref="U13:V13"/>
    <mergeCell ref="W13:X13"/>
    <mergeCell ref="F37:AI37"/>
    <mergeCell ref="W36:AB36"/>
    <mergeCell ref="AC36:AI36"/>
    <mergeCell ref="F38:K38"/>
    <mergeCell ref="W38:AB38"/>
    <mergeCell ref="AC38:AI38"/>
    <mergeCell ref="A36:E36"/>
    <mergeCell ref="A37:E37"/>
    <mergeCell ref="A38:E38"/>
    <mergeCell ref="F36:K36"/>
    <mergeCell ref="L36:O36"/>
    <mergeCell ref="AD44:AI44"/>
    <mergeCell ref="A43:D43"/>
    <mergeCell ref="E43:G43"/>
    <mergeCell ref="I43:K43"/>
    <mergeCell ref="L43:R43"/>
    <mergeCell ref="S43:V43"/>
    <mergeCell ref="W43:Y43"/>
    <mergeCell ref="AA43:AC43"/>
    <mergeCell ref="AD43:AI43"/>
    <mergeCell ref="A42:D42"/>
    <mergeCell ref="E42:G42"/>
    <mergeCell ref="A44:D44"/>
    <mergeCell ref="E44:G44"/>
    <mergeCell ref="I44:K44"/>
    <mergeCell ref="L44:R44"/>
    <mergeCell ref="S44:V44"/>
    <mergeCell ref="W44:Y44"/>
    <mergeCell ref="AA44:AC44"/>
    <mergeCell ref="E41:G41"/>
    <mergeCell ref="I41:K41"/>
    <mergeCell ref="L41:R41"/>
    <mergeCell ref="A40:D40"/>
    <mergeCell ref="L40:R40"/>
    <mergeCell ref="E40:K40"/>
    <mergeCell ref="W40:AC40"/>
    <mergeCell ref="AA41:AC41"/>
    <mergeCell ref="AD41:AI41"/>
    <mergeCell ref="F77:AI77"/>
    <mergeCell ref="F73:AI73"/>
    <mergeCell ref="B75:E75"/>
    <mergeCell ref="F75:AI75"/>
    <mergeCell ref="F48:AI48"/>
    <mergeCell ref="F54:AI54"/>
    <mergeCell ref="B49:E49"/>
    <mergeCell ref="F49:AI49"/>
    <mergeCell ref="F52:AI52"/>
    <mergeCell ref="B54:E54"/>
    <mergeCell ref="B55:E55"/>
    <mergeCell ref="B53:E53"/>
    <mergeCell ref="F53:AI53"/>
    <mergeCell ref="B65:E65"/>
    <mergeCell ref="F65:AI65"/>
    <mergeCell ref="B60:E60"/>
    <mergeCell ref="F60:AI60"/>
    <mergeCell ref="B61:E61"/>
    <mergeCell ref="F61:AI61"/>
    <mergeCell ref="B58:E58"/>
    <mergeCell ref="F58:AI58"/>
    <mergeCell ref="B59:E59"/>
    <mergeCell ref="F59:AI59"/>
    <mergeCell ref="F64:AI64"/>
    <mergeCell ref="F85:AI85"/>
    <mergeCell ref="B66:E66"/>
    <mergeCell ref="F66:AI66"/>
    <mergeCell ref="B67:E67"/>
    <mergeCell ref="F67:AI67"/>
    <mergeCell ref="B68:E68"/>
    <mergeCell ref="F68:AI68"/>
    <mergeCell ref="B69:E69"/>
    <mergeCell ref="F69:AI69"/>
    <mergeCell ref="B85:E85"/>
    <mergeCell ref="B84:E84"/>
    <mergeCell ref="B83:E83"/>
    <mergeCell ref="B82:E82"/>
    <mergeCell ref="B71:E71"/>
    <mergeCell ref="F71:AI71"/>
    <mergeCell ref="B72:E72"/>
    <mergeCell ref="F72:AI72"/>
    <mergeCell ref="F82:AI82"/>
    <mergeCell ref="F83:AI83"/>
    <mergeCell ref="F84:AI84"/>
    <mergeCell ref="B79:E79"/>
    <mergeCell ref="B80:E80"/>
    <mergeCell ref="F80:AI80"/>
    <mergeCell ref="F79:AI79"/>
    <mergeCell ref="B78:E78"/>
    <mergeCell ref="F78:AI78"/>
    <mergeCell ref="B47:E47"/>
    <mergeCell ref="F47:AI47"/>
    <mergeCell ref="B62:E62"/>
    <mergeCell ref="F62:AI62"/>
    <mergeCell ref="B63:E63"/>
    <mergeCell ref="F63:AI63"/>
    <mergeCell ref="B64:E64"/>
    <mergeCell ref="F55:AI55"/>
    <mergeCell ref="B56:E56"/>
    <mergeCell ref="F56:AI56"/>
    <mergeCell ref="B57:E57"/>
    <mergeCell ref="F57:AI57"/>
    <mergeCell ref="B50:E50"/>
    <mergeCell ref="F50:AI50"/>
    <mergeCell ref="B48:E48"/>
    <mergeCell ref="B74:E74"/>
    <mergeCell ref="F74:AI74"/>
    <mergeCell ref="B70:E70"/>
    <mergeCell ref="F70:AI70"/>
    <mergeCell ref="B76:E76"/>
    <mergeCell ref="F76:AI76"/>
    <mergeCell ref="B77:E77"/>
    <mergeCell ref="B73:E73"/>
    <mergeCell ref="AK60:AP60"/>
    <mergeCell ref="AK61:AP61"/>
    <mergeCell ref="AK62:AP62"/>
    <mergeCell ref="AK54:AP54"/>
    <mergeCell ref="AK55:AP55"/>
    <mergeCell ref="AK56:AP56"/>
    <mergeCell ref="AK57:AP57"/>
    <mergeCell ref="AK58:AP58"/>
    <mergeCell ref="AK59:AP59"/>
    <mergeCell ref="AK64:AP64"/>
    <mergeCell ref="AK63:AP63"/>
    <mergeCell ref="AK69:AP69"/>
    <mergeCell ref="AK70:AP70"/>
    <mergeCell ref="AK18:AP18"/>
    <mergeCell ref="AK50:AP50"/>
    <mergeCell ref="AK51:AP51"/>
    <mergeCell ref="AK52:AP52"/>
    <mergeCell ref="AK71:AP71"/>
    <mergeCell ref="AK72:AP72"/>
    <mergeCell ref="A46:AI46"/>
    <mergeCell ref="R45:U45"/>
    <mergeCell ref="W45:X45"/>
    <mergeCell ref="Z45:AA45"/>
    <mergeCell ref="AC45:AD45"/>
    <mergeCell ref="AE45:AF45"/>
    <mergeCell ref="B51:E51"/>
    <mergeCell ref="F51:AI51"/>
    <mergeCell ref="B52:E52"/>
    <mergeCell ref="I42:K42"/>
    <mergeCell ref="L42:R42"/>
    <mergeCell ref="S41:V41"/>
    <mergeCell ref="W42:Y42"/>
    <mergeCell ref="AA42:AC42"/>
    <mergeCell ref="AD42:AI42"/>
    <mergeCell ref="S40:V40"/>
    <mergeCell ref="AD40:AI40"/>
    <mergeCell ref="A41:D41"/>
    <mergeCell ref="AK7:AP8"/>
    <mergeCell ref="AQ7:AQ8"/>
    <mergeCell ref="AK9:AP9"/>
    <mergeCell ref="AK10:AP10"/>
    <mergeCell ref="AK11:AP11"/>
    <mergeCell ref="AK12:AP12"/>
    <mergeCell ref="AK47:AP47"/>
    <mergeCell ref="AK48:AP48"/>
    <mergeCell ref="AK49:AP49"/>
    <mergeCell ref="AK41:AP41"/>
    <mergeCell ref="AK42:AP42"/>
    <mergeCell ref="AK43:AP43"/>
    <mergeCell ref="AK44:AP44"/>
    <mergeCell ref="AK45:AP45"/>
    <mergeCell ref="AK46:AP46"/>
    <mergeCell ref="AK20:AP20"/>
    <mergeCell ref="AK28:AP28"/>
    <mergeCell ref="AK30:AP30"/>
    <mergeCell ref="AK31:AP31"/>
    <mergeCell ref="AK13:AP13"/>
    <mergeCell ref="AK14:AP14"/>
    <mergeCell ref="AK15:AP15"/>
    <mergeCell ref="AK16:AP16"/>
    <mergeCell ref="AK17:AP17"/>
    <mergeCell ref="AK88:AP88"/>
    <mergeCell ref="AK89:AP89"/>
    <mergeCell ref="AK81:AP81"/>
    <mergeCell ref="AK82:AP82"/>
    <mergeCell ref="AK83:AP83"/>
    <mergeCell ref="AK84:AP84"/>
    <mergeCell ref="AK85:AP85"/>
    <mergeCell ref="AK86:AP86"/>
    <mergeCell ref="AK75:AP75"/>
    <mergeCell ref="AK76:AP76"/>
    <mergeCell ref="AK77:AP77"/>
    <mergeCell ref="AK78:AP78"/>
    <mergeCell ref="AK79:AP79"/>
    <mergeCell ref="AK80:AP80"/>
    <mergeCell ref="AK87:AP87"/>
    <mergeCell ref="AR20:AR23"/>
    <mergeCell ref="AK21:AP21"/>
    <mergeCell ref="AK22:AP22"/>
    <mergeCell ref="AK23:AP23"/>
    <mergeCell ref="AY30:AZ30"/>
    <mergeCell ref="BA30:BB30"/>
    <mergeCell ref="AY31:AZ31"/>
    <mergeCell ref="BA31:BB31"/>
    <mergeCell ref="AY25:AZ25"/>
    <mergeCell ref="BA25:BB25"/>
    <mergeCell ref="AY28:AZ28"/>
    <mergeCell ref="BA28:BB28"/>
    <mergeCell ref="AY29:AZ29"/>
    <mergeCell ref="BA29:BB29"/>
    <mergeCell ref="AY24:AZ24"/>
    <mergeCell ref="BA24:BB24"/>
    <mergeCell ref="AS22:AT22"/>
    <mergeCell ref="AU22:AV22"/>
    <mergeCell ref="AY22:AZ22"/>
    <mergeCell ref="BA22:BB22"/>
    <mergeCell ref="AY23:AZ23"/>
    <mergeCell ref="BA23:BB23"/>
    <mergeCell ref="AK26:AP26"/>
    <mergeCell ref="AK27:AP27"/>
    <mergeCell ref="A81:AI81"/>
    <mergeCell ref="S42:V42"/>
    <mergeCell ref="AY27:BB27"/>
    <mergeCell ref="BA33:BB33"/>
    <mergeCell ref="AY34:AZ34"/>
    <mergeCell ref="BA34:BB34"/>
    <mergeCell ref="AY35:AZ35"/>
    <mergeCell ref="BA35:BB35"/>
    <mergeCell ref="AY32:AZ32"/>
    <mergeCell ref="BA32:BB32"/>
    <mergeCell ref="AY33:AZ33"/>
    <mergeCell ref="W41:Y41"/>
    <mergeCell ref="P38:V38"/>
    <mergeCell ref="F33:AI33"/>
    <mergeCell ref="F34:AI34"/>
    <mergeCell ref="AS39:AT39"/>
    <mergeCell ref="AS40:AT40"/>
    <mergeCell ref="L38:O38"/>
    <mergeCell ref="AK73:AP73"/>
    <mergeCell ref="AK74:AP74"/>
    <mergeCell ref="AK65:AP65"/>
    <mergeCell ref="AK66:AP66"/>
    <mergeCell ref="AK67:AP67"/>
    <mergeCell ref="AK68:AP68"/>
    <mergeCell ref="T1:Z3"/>
    <mergeCell ref="F35:V35"/>
    <mergeCell ref="W35:AB35"/>
    <mergeCell ref="AC35:AI35"/>
    <mergeCell ref="A4:S5"/>
    <mergeCell ref="AD2:AF4"/>
    <mergeCell ref="AG2:AI4"/>
    <mergeCell ref="AD1:AI1"/>
    <mergeCell ref="A17:E17"/>
    <mergeCell ref="F17:AI17"/>
    <mergeCell ref="F18:AI18"/>
    <mergeCell ref="F19:AI19"/>
    <mergeCell ref="F20:AI20"/>
    <mergeCell ref="F22:AI22"/>
    <mergeCell ref="F23:AI23"/>
    <mergeCell ref="B22:E22"/>
    <mergeCell ref="B23:E23"/>
    <mergeCell ref="B19:E19"/>
    <mergeCell ref="K7:M8"/>
    <mergeCell ref="Q7:R8"/>
    <mergeCell ref="Y10:AF10"/>
    <mergeCell ref="AG10:AH10"/>
    <mergeCell ref="Y11:AF11"/>
    <mergeCell ref="AG11:AH11"/>
  </mergeCells>
  <phoneticPr fontId="2"/>
  <conditionalFormatting sqref="AQ20:AQ28 AQ30:AQ31 AQ9 AQ11:AQ12 AQ14 AQ33:AQ34">
    <cfRule type="containsBlanks" dxfId="383" priority="21">
      <formula>LEN(TRIM(AQ9))=0</formula>
    </cfRule>
  </conditionalFormatting>
  <conditionalFormatting sqref="BC11:CF11">
    <cfRule type="containsText" dxfId="382" priority="9" operator="containsText" text="青">
      <formula>NOT(ISERROR(SEARCH("青",BC11)))</formula>
    </cfRule>
    <cfRule type="containsText" dxfId="381" priority="10" operator="containsText" text="緑">
      <formula>NOT(ISERROR(SEARCH("緑",BC11)))</formula>
    </cfRule>
    <cfRule type="containsText" dxfId="380" priority="11" operator="containsText" text="黄">
      <formula>NOT(ISERROR(SEARCH("黄",BC11)))</formula>
    </cfRule>
    <cfRule type="containsText" dxfId="379" priority="12" operator="containsText" text="赤">
      <formula>NOT(ISERROR(SEARCH("赤",BC11)))</formula>
    </cfRule>
  </conditionalFormatting>
  <conditionalFormatting sqref="V7:X8">
    <cfRule type="containsBlanks" dxfId="378" priority="7">
      <formula>LEN(TRIM(V7))=0</formula>
    </cfRule>
  </conditionalFormatting>
  <conditionalFormatting sqref="AB7:AI8">
    <cfRule type="containsBlanks" dxfId="377" priority="6">
      <formula>LEN(TRIM(AB7))=0</formula>
    </cfRule>
  </conditionalFormatting>
  <conditionalFormatting sqref="A7:E8 G7:I8 K7:M8 O7:P8">
    <cfRule type="containsBlanks" dxfId="376" priority="5">
      <formula>LEN(TRIM(A7))=0</formula>
    </cfRule>
  </conditionalFormatting>
  <conditionalFormatting sqref="W15:Y15 AH15:AI15 J15:L15">
    <cfRule type="containsBlanks" dxfId="375" priority="4">
      <formula>LEN(TRIM(J15))=0</formula>
    </cfRule>
  </conditionalFormatting>
  <conditionalFormatting sqref="L41:R44">
    <cfRule type="cellIs" dxfId="374" priority="1" operator="equal">
      <formula>0</formula>
    </cfRule>
  </conditionalFormatting>
  <conditionalFormatting sqref="P36:R36 T36:V36 L38:O38 AC38:AI38 AC36:AI36">
    <cfRule type="containsBlanks" dxfId="373" priority="3">
      <formula>LEN(TRIM(L36))=0</formula>
    </cfRule>
  </conditionalFormatting>
  <conditionalFormatting sqref="W41:Y44 AA41:AI44">
    <cfRule type="cellIs" dxfId="372" priority="2" operator="equal">
      <formula>0</formula>
    </cfRule>
  </conditionalFormatting>
  <printOptions horizontalCentered="1" verticalCentered="1"/>
  <pageMargins left="0.70866141732283472" right="0.59055118110236227" top="0.55118110236220474" bottom="0.55118110236220474" header="0.31496062992125984" footer="0.31496062992125984"/>
  <pageSetup paperSize="9" orientation="portrait" horizontalDpi="300" verticalDpi="300" r:id="rId1"/>
  <headerFooter scaleWithDoc="0" alignWithMargins="0">
    <oddFooter>&amp;C&amp;P&amp;Rヒトトヒト株式会社</oddFooter>
  </headerFooter>
  <rowBreaks count="1" manualBreakCount="1">
    <brk id="44" max="34" man="1"/>
  </rowBreaks>
  <drawing r:id="rId2"/>
  <extLst>
    <ext xmlns:x14="http://schemas.microsoft.com/office/spreadsheetml/2009/9/main" uri="{CCE6A557-97BC-4b89-ADB6-D9C93CAAB3DF}">
      <x14:dataValidations xmlns:xm="http://schemas.microsoft.com/office/excel/2006/main" count="6">
        <x14:dataValidation type="list" allowBlank="1" showInputMessage="1" showErrorMessage="1" xr:uid="{65C9AD5A-1505-46B9-BFE9-F40FD95D96D7}">
          <x14:formula1>
            <xm:f>初期値!$N$12:$N$19</xm:f>
          </x14:formula1>
          <xm:sqref>AU22:AV22</xm:sqref>
        </x14:dataValidation>
        <x14:dataValidation type="list" allowBlank="1" showInputMessage="1" showErrorMessage="1" xr:uid="{58A2ADCF-8E3B-445C-A63F-B14D554B5742}">
          <x14:formula1>
            <xm:f>初期値!$P$12:$P$27</xm:f>
          </x14:formula1>
          <xm:sqref>BA24:BB24 BA22:BB22 BA28:BB28 BA30:BB30 BA32:BB32 BA34:BB34</xm:sqref>
        </x14:dataValidation>
        <x14:dataValidation type="list" allowBlank="1" showInputMessage="1" showErrorMessage="1" xr:uid="{A2BB39F4-0A29-4077-93E9-36C05EAE81C6}">
          <x14:formula1>
            <xm:f>初期値!$N$22:$N$23</xm:f>
          </x14:formula1>
          <xm:sqref>AW23</xm:sqref>
        </x14:dataValidation>
        <x14:dataValidation type="list" allowBlank="1" showInputMessage="1" showErrorMessage="1" xr:uid="{9742AB90-42EA-4F65-9EEC-78EF06BCDF07}">
          <x14:formula1>
            <xm:f>初期値!$E$12:$E$13</xm:f>
          </x14:formula1>
          <xm:sqref>L38:O38 AC38:AI38 AC36:AI36</xm:sqref>
        </x14:dataValidation>
        <x14:dataValidation type="list" allowBlank="1" showInputMessage="1" showErrorMessage="1" xr:uid="{D506E683-70BE-44FF-AA09-92093191D2A9}">
          <x14:formula1>
            <xm:f>初期値!$G$12:$G$24</xm:f>
          </x14:formula1>
          <xm:sqref>V7:X8</xm:sqref>
        </x14:dataValidation>
        <x14:dataValidation type="list" allowBlank="1" showInputMessage="1" showErrorMessage="1" xr:uid="{A51A4CF0-0005-44FF-8293-C2F837CE7024}">
          <x14:formula1>
            <xm:f>初期値!$C$12:$C$27</xm:f>
          </x14:formula1>
          <xm:sqref>P36:R36 T36:V36</xm:sqref>
        </x14:dataValidation>
      </x14:dataValidation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DE57B1A-0B2E-446E-934A-D45F123E476B}">
  <sheetPr codeName="Sheet6"/>
  <dimension ref="A1:CG266"/>
  <sheetViews>
    <sheetView zoomScaleNormal="100" zoomScaleSheetLayoutView="100" workbookViewId="0">
      <selection activeCell="F19" sqref="F19:AI30"/>
    </sheetView>
  </sheetViews>
  <sheetFormatPr defaultColWidth="8.875" defaultRowHeight="13.5"/>
  <cols>
    <col min="1" max="42" width="2.25" style="23" customWidth="1"/>
    <col min="43" max="43" width="6" style="23" bestFit="1" customWidth="1"/>
    <col min="44" max="44" width="4.5" style="23" bestFit="1" customWidth="1"/>
    <col min="45" max="45" width="6" style="23" bestFit="1" customWidth="1"/>
    <col min="46" max="46" width="4.5" style="23" bestFit="1" customWidth="1"/>
    <col min="47" max="47" width="9" style="23" bestFit="1" customWidth="1"/>
    <col min="48" max="48" width="8.5" style="23" bestFit="1" customWidth="1"/>
    <col min="49" max="49" width="7.5" style="23" bestFit="1" customWidth="1"/>
    <col min="50" max="50" width="6.5" style="23" bestFit="1" customWidth="1"/>
    <col min="51" max="51" width="7.5" style="23" bestFit="1" customWidth="1"/>
    <col min="52" max="52" width="2.125" style="23" customWidth="1"/>
    <col min="53" max="54" width="7.375" style="23" customWidth="1"/>
    <col min="55" max="63" width="3.625" style="23" bestFit="1" customWidth="1"/>
    <col min="64" max="84" width="4" style="23" bestFit="1" customWidth="1"/>
    <col min="85" max="16384" width="8.875" style="23"/>
  </cols>
  <sheetData>
    <row r="1" spans="1:85" ht="14.1" customHeight="1">
      <c r="A1" s="510" t="s">
        <v>551</v>
      </c>
      <c r="B1" s="510"/>
      <c r="C1" s="510"/>
      <c r="D1" s="510"/>
      <c r="E1" s="510"/>
      <c r="F1" s="510"/>
      <c r="G1" s="510"/>
      <c r="H1" s="510"/>
      <c r="I1" s="510"/>
      <c r="J1" s="510"/>
      <c r="K1" s="510"/>
      <c r="L1" s="510"/>
      <c r="M1" s="510"/>
      <c r="N1" s="510"/>
      <c r="O1" s="510"/>
      <c r="P1" s="510"/>
      <c r="Q1" s="510"/>
      <c r="R1" s="510"/>
      <c r="S1" s="510"/>
      <c r="T1" s="388"/>
      <c r="U1" s="388"/>
      <c r="V1" s="388"/>
      <c r="W1" s="388"/>
      <c r="X1" s="388"/>
      <c r="Y1" s="388"/>
      <c r="Z1" s="388"/>
      <c r="AA1" s="24"/>
      <c r="AB1" s="32"/>
      <c r="AD1" s="252" t="s">
        <v>167</v>
      </c>
      <c r="AE1" s="252"/>
      <c r="AF1" s="252"/>
      <c r="AG1" s="252"/>
      <c r="AH1" s="252"/>
      <c r="AI1" s="252"/>
      <c r="AM1" s="123">
        <v>1</v>
      </c>
      <c r="BB1"/>
    </row>
    <row r="2" spans="1:85" ht="14.1" customHeight="1">
      <c r="A2" s="510"/>
      <c r="B2" s="510"/>
      <c r="C2" s="510"/>
      <c r="D2" s="510"/>
      <c r="E2" s="510"/>
      <c r="F2" s="510"/>
      <c r="G2" s="510"/>
      <c r="H2" s="510"/>
      <c r="I2" s="510"/>
      <c r="J2" s="510"/>
      <c r="K2" s="510"/>
      <c r="L2" s="510"/>
      <c r="M2" s="510"/>
      <c r="N2" s="510"/>
      <c r="O2" s="510"/>
      <c r="P2" s="510"/>
      <c r="Q2" s="510"/>
      <c r="R2" s="510"/>
      <c r="S2" s="510"/>
      <c r="T2" s="388"/>
      <c r="U2" s="388"/>
      <c r="V2" s="388"/>
      <c r="W2" s="388"/>
      <c r="X2" s="388"/>
      <c r="Y2" s="388"/>
      <c r="Z2" s="388"/>
      <c r="AA2" s="25"/>
      <c r="AB2" s="31"/>
      <c r="AD2" s="253"/>
      <c r="AE2" s="253"/>
      <c r="AF2" s="253"/>
      <c r="AG2" s="253"/>
      <c r="AH2" s="253"/>
      <c r="AI2" s="253"/>
      <c r="BA2"/>
    </row>
    <row r="3" spans="1:85" ht="14.1" customHeight="1">
      <c r="A3" s="510"/>
      <c r="B3" s="510"/>
      <c r="C3" s="510"/>
      <c r="D3" s="510"/>
      <c r="E3" s="510"/>
      <c r="F3" s="510"/>
      <c r="G3" s="510"/>
      <c r="H3" s="510"/>
      <c r="I3" s="510"/>
      <c r="J3" s="510"/>
      <c r="K3" s="510"/>
      <c r="L3" s="510"/>
      <c r="M3" s="510"/>
      <c r="N3" s="510"/>
      <c r="O3" s="510"/>
      <c r="P3" s="510"/>
      <c r="Q3" s="510"/>
      <c r="R3" s="510"/>
      <c r="S3" s="510"/>
      <c r="T3" s="388"/>
      <c r="U3" s="388"/>
      <c r="V3" s="388"/>
      <c r="W3" s="388"/>
      <c r="X3" s="388"/>
      <c r="Y3" s="388"/>
      <c r="Z3" s="388"/>
      <c r="AA3" s="25"/>
      <c r="AB3" s="31"/>
      <c r="AD3" s="253"/>
      <c r="AE3" s="253"/>
      <c r="AF3" s="253"/>
      <c r="AG3" s="253"/>
      <c r="AH3" s="253"/>
      <c r="AI3" s="253"/>
      <c r="BA3"/>
    </row>
    <row r="4" spans="1:85" ht="14.1" customHeight="1">
      <c r="A4" s="395" t="s">
        <v>552</v>
      </c>
      <c r="B4" s="395"/>
      <c r="C4" s="395"/>
      <c r="D4" s="395"/>
      <c r="E4" s="395"/>
      <c r="F4" s="395"/>
      <c r="G4" s="395"/>
      <c r="H4" s="395"/>
      <c r="I4" s="395"/>
      <c r="J4" s="395"/>
      <c r="K4" s="395"/>
      <c r="L4" s="395"/>
      <c r="M4" s="395"/>
      <c r="N4" s="395"/>
      <c r="O4" s="395"/>
      <c r="P4" s="395"/>
      <c r="Q4" s="395"/>
      <c r="R4" s="395"/>
      <c r="S4" s="395"/>
      <c r="T4" s="155"/>
      <c r="U4" s="155"/>
      <c r="V4" s="155"/>
      <c r="W4" s="155"/>
      <c r="X4" s="155"/>
      <c r="Y4" s="155"/>
      <c r="Z4" s="155"/>
      <c r="AA4" s="26"/>
      <c r="AB4" s="31"/>
      <c r="AD4" s="253"/>
      <c r="AE4" s="253"/>
      <c r="AF4" s="253"/>
      <c r="AG4" s="253"/>
      <c r="AH4" s="253"/>
      <c r="AI4" s="253"/>
      <c r="BA4"/>
    </row>
    <row r="5" spans="1:85" ht="14.1" customHeight="1">
      <c r="A5" s="395"/>
      <c r="B5" s="395"/>
      <c r="C5" s="395"/>
      <c r="D5" s="395"/>
      <c r="E5" s="395"/>
      <c r="F5" s="395"/>
      <c r="G5" s="395"/>
      <c r="H5" s="395"/>
      <c r="I5" s="395"/>
      <c r="J5" s="395"/>
      <c r="K5" s="395"/>
      <c r="L5" s="395"/>
      <c r="M5" s="395"/>
      <c r="N5" s="395"/>
      <c r="O5" s="395"/>
      <c r="P5" s="395"/>
      <c r="Q5" s="395"/>
      <c r="R5" s="395"/>
      <c r="S5" s="395"/>
      <c r="T5" s="155"/>
      <c r="U5" s="155"/>
      <c r="V5" s="155"/>
      <c r="W5" s="155"/>
      <c r="X5" s="155"/>
      <c r="Y5" s="155"/>
      <c r="Z5" s="155"/>
      <c r="AA5" s="26"/>
      <c r="AB5" s="31"/>
      <c r="AC5" s="31"/>
      <c r="AD5" s="31"/>
      <c r="AE5" s="31"/>
      <c r="AF5" s="31"/>
      <c r="AG5" s="31"/>
      <c r="AH5" s="31"/>
      <c r="AI5" s="31"/>
      <c r="BA5"/>
    </row>
    <row r="6" spans="1:85" ht="14.1" customHeight="1" thickBot="1">
      <c r="A6" s="27"/>
      <c r="B6" s="27"/>
      <c r="C6" s="27"/>
      <c r="D6" s="27"/>
      <c r="E6" s="27"/>
      <c r="F6" s="27"/>
      <c r="G6" s="27"/>
      <c r="H6" s="27"/>
      <c r="I6" s="27"/>
      <c r="BA6"/>
    </row>
    <row r="7" spans="1:85" ht="12" customHeight="1">
      <c r="A7" s="255">
        <f>DATE(初期値!A2,初期値!A3,AM1)</f>
        <v>46174</v>
      </c>
      <c r="B7" s="256"/>
      <c r="C7" s="256"/>
      <c r="D7" s="256"/>
      <c r="E7" s="256"/>
      <c r="F7" s="259" t="s">
        <v>169</v>
      </c>
      <c r="G7" s="236">
        <f>$A$7</f>
        <v>46174</v>
      </c>
      <c r="H7" s="236"/>
      <c r="I7" s="236"/>
      <c r="J7" s="239" t="s">
        <v>170</v>
      </c>
      <c r="K7" s="261">
        <f>$A$7</f>
        <v>46174</v>
      </c>
      <c r="L7" s="261"/>
      <c r="M7" s="261"/>
      <c r="N7" s="239" t="s">
        <v>3</v>
      </c>
      <c r="O7" s="520">
        <f>$A$7</f>
        <v>46174</v>
      </c>
      <c r="P7" s="520"/>
      <c r="Q7" s="239" t="s">
        <v>292</v>
      </c>
      <c r="R7" s="240"/>
      <c r="S7" s="522" t="s">
        <v>553</v>
      </c>
      <c r="T7" s="244"/>
      <c r="U7" s="29" t="s">
        <v>554</v>
      </c>
      <c r="V7" s="518" t="s">
        <v>23</v>
      </c>
      <c r="W7" s="518"/>
      <c r="X7" s="518"/>
      <c r="Y7" s="511" t="s">
        <v>555</v>
      </c>
      <c r="Z7" s="512"/>
      <c r="AA7" s="513"/>
      <c r="AB7" s="244" t="str">
        <f>L43</f>
        <v>三角龍彦</v>
      </c>
      <c r="AC7" s="244"/>
      <c r="AD7" s="244"/>
      <c r="AE7" s="244"/>
      <c r="AF7" s="244"/>
      <c r="AG7" s="244"/>
      <c r="AH7" s="244"/>
      <c r="AI7" s="245"/>
      <c r="AK7" s="425" t="s">
        <v>556</v>
      </c>
      <c r="AL7" s="425"/>
      <c r="AM7" s="425"/>
      <c r="AN7" s="425"/>
      <c r="AO7" s="425"/>
      <c r="AP7" s="425"/>
      <c r="AQ7" s="439" t="s">
        <v>557</v>
      </c>
      <c r="AR7" s="43"/>
      <c r="AS7" s="43"/>
      <c r="AT7" s="43"/>
      <c r="AU7" s="43"/>
      <c r="AV7" s="43"/>
      <c r="AW7" s="43"/>
      <c r="AX7" s="43"/>
      <c r="AY7" s="43"/>
      <c r="AZ7" s="43"/>
      <c r="BA7"/>
    </row>
    <row r="8" spans="1:85" ht="12" customHeight="1" thickBot="1">
      <c r="A8" s="257"/>
      <c r="B8" s="258"/>
      <c r="C8" s="258"/>
      <c r="D8" s="258"/>
      <c r="E8" s="258"/>
      <c r="F8" s="260"/>
      <c r="G8" s="237"/>
      <c r="H8" s="237"/>
      <c r="I8" s="237"/>
      <c r="J8" s="242"/>
      <c r="K8" s="262"/>
      <c r="L8" s="262"/>
      <c r="M8" s="262"/>
      <c r="N8" s="242"/>
      <c r="O8" s="521"/>
      <c r="P8" s="521"/>
      <c r="Q8" s="242"/>
      <c r="R8" s="243"/>
      <c r="S8" s="523"/>
      <c r="T8" s="246"/>
      <c r="U8" s="33" t="s">
        <v>558</v>
      </c>
      <c r="V8" s="519" t="s">
        <v>30</v>
      </c>
      <c r="W8" s="519"/>
      <c r="X8" s="519"/>
      <c r="Y8" s="514"/>
      <c r="Z8" s="515"/>
      <c r="AA8" s="516"/>
      <c r="AB8" s="246"/>
      <c r="AC8" s="246"/>
      <c r="AD8" s="246"/>
      <c r="AE8" s="246"/>
      <c r="AF8" s="246"/>
      <c r="AG8" s="246"/>
      <c r="AH8" s="246"/>
      <c r="AI8" s="247"/>
      <c r="AK8" s="425"/>
      <c r="AL8" s="425"/>
      <c r="AM8" s="425"/>
      <c r="AN8" s="425"/>
      <c r="AO8" s="425"/>
      <c r="AP8" s="425"/>
      <c r="AQ8" s="439"/>
      <c r="AR8" s="43"/>
      <c r="AS8" s="43"/>
      <c r="AT8" s="43"/>
      <c r="AU8" s="43"/>
      <c r="AV8" s="43"/>
      <c r="AW8" s="43"/>
      <c r="AX8" s="43"/>
      <c r="AY8" s="43"/>
      <c r="AZ8" s="43"/>
      <c r="BA8"/>
    </row>
    <row r="9" spans="1:85" ht="18" customHeight="1">
      <c r="A9" s="507" t="s">
        <v>559</v>
      </c>
      <c r="B9" s="508"/>
      <c r="C9" s="508"/>
      <c r="D9" s="508"/>
      <c r="E9" s="508"/>
      <c r="F9" s="508"/>
      <c r="G9" s="508"/>
      <c r="H9" s="508"/>
      <c r="I9" s="508"/>
      <c r="J9" s="508"/>
      <c r="K9" s="508"/>
      <c r="L9" s="508"/>
      <c r="M9" s="508"/>
      <c r="N9" s="508"/>
      <c r="O9" s="508"/>
      <c r="P9" s="508"/>
      <c r="Q9" s="508"/>
      <c r="R9" s="508"/>
      <c r="S9" s="508"/>
      <c r="T9" s="508"/>
      <c r="U9" s="508"/>
      <c r="V9" s="508"/>
      <c r="W9" s="508"/>
      <c r="X9" s="508"/>
      <c r="Y9" s="508"/>
      <c r="Z9" s="508"/>
      <c r="AA9" s="508"/>
      <c r="AB9" s="508"/>
      <c r="AC9" s="508"/>
      <c r="AD9" s="508"/>
      <c r="AE9" s="508"/>
      <c r="AF9" s="508"/>
      <c r="AG9" s="508"/>
      <c r="AH9" s="508"/>
      <c r="AI9" s="509"/>
      <c r="AK9" s="440" t="s">
        <v>560</v>
      </c>
      <c r="AL9" s="440"/>
      <c r="AM9" s="440"/>
      <c r="AN9" s="440"/>
      <c r="AO9" s="440"/>
      <c r="AP9" s="440"/>
      <c r="AQ9" s="42">
        <v>79</v>
      </c>
      <c r="AR9" s="43"/>
      <c r="AS9" s="44" t="s">
        <v>561</v>
      </c>
      <c r="AT9" s="44" t="s">
        <v>562</v>
      </c>
      <c r="AU9" s="44" t="s">
        <v>563</v>
      </c>
      <c r="AV9" s="44" t="s">
        <v>564</v>
      </c>
      <c r="AW9" s="45" t="s">
        <v>565</v>
      </c>
      <c r="AX9" s="45" t="s">
        <v>566</v>
      </c>
      <c r="AY9" s="44" t="s">
        <v>567</v>
      </c>
      <c r="AZ9" s="43"/>
      <c r="BB9" s="49"/>
      <c r="BC9" s="43"/>
      <c r="BD9" s="43"/>
      <c r="BE9" s="43"/>
      <c r="BF9" s="43"/>
      <c r="BG9" s="43"/>
      <c r="BH9" s="43"/>
      <c r="BI9" s="43"/>
      <c r="BJ9" s="43"/>
      <c r="BK9" s="43"/>
      <c r="BL9" s="43"/>
      <c r="BM9" s="43"/>
      <c r="BN9" s="43"/>
      <c r="BO9" s="43"/>
      <c r="BP9" s="43"/>
      <c r="BQ9" s="43"/>
      <c r="BR9" s="43"/>
      <c r="BS9" s="43"/>
      <c r="BT9" s="43"/>
      <c r="BU9" s="43"/>
      <c r="BV9" s="43"/>
      <c r="BW9" s="43"/>
      <c r="BX9" s="43"/>
      <c r="BY9" s="43"/>
      <c r="BZ9" s="43"/>
      <c r="CA9" s="43"/>
      <c r="CB9" s="43"/>
      <c r="CC9" s="43"/>
      <c r="CD9" s="43"/>
      <c r="CE9" s="43"/>
      <c r="CF9" s="43"/>
      <c r="CG9" s="43"/>
    </row>
    <row r="10" spans="1:85" ht="18" customHeight="1">
      <c r="A10" s="265" t="s">
        <v>569</v>
      </c>
      <c r="B10" s="266"/>
      <c r="C10" s="266"/>
      <c r="D10" s="266"/>
      <c r="E10" s="266"/>
      <c r="F10" s="266"/>
      <c r="G10" s="266"/>
      <c r="H10" s="266"/>
      <c r="I10" s="264">
        <f>AQ14</f>
        <v>3</v>
      </c>
      <c r="J10" s="264"/>
      <c r="K10" s="267" t="s">
        <v>176</v>
      </c>
      <c r="L10" s="268"/>
      <c r="M10" s="269" t="s">
        <v>570</v>
      </c>
      <c r="N10" s="266"/>
      <c r="O10" s="266"/>
      <c r="P10" s="266"/>
      <c r="Q10" s="266"/>
      <c r="R10" s="266"/>
      <c r="S10" s="266"/>
      <c r="T10" s="266"/>
      <c r="U10" s="264">
        <f>AQ37</f>
        <v>0</v>
      </c>
      <c r="V10" s="264"/>
      <c r="W10" s="267" t="s">
        <v>176</v>
      </c>
      <c r="X10" s="268"/>
      <c r="Y10" s="269" t="s">
        <v>571</v>
      </c>
      <c r="Z10" s="266"/>
      <c r="AA10" s="266"/>
      <c r="AB10" s="266"/>
      <c r="AC10" s="266"/>
      <c r="AD10" s="266"/>
      <c r="AE10" s="266"/>
      <c r="AF10" s="266"/>
      <c r="AG10" s="264">
        <f>AQ26+AQ25</f>
        <v>0</v>
      </c>
      <c r="AH10" s="264"/>
      <c r="AI10" s="28" t="s">
        <v>176</v>
      </c>
      <c r="AK10" s="440" t="s">
        <v>572</v>
      </c>
      <c r="AL10" s="440"/>
      <c r="AM10" s="440"/>
      <c r="AN10" s="440"/>
      <c r="AO10" s="440"/>
      <c r="AP10" s="440"/>
      <c r="AQ10" s="42"/>
      <c r="AR10" s="43"/>
      <c r="AS10" s="46">
        <v>1</v>
      </c>
      <c r="AT10" s="46"/>
      <c r="AU10" s="46" t="s">
        <v>20</v>
      </c>
      <c r="AV10" s="47" t="s">
        <v>707</v>
      </c>
      <c r="AW10" s="47" t="s">
        <v>574</v>
      </c>
      <c r="AX10" s="47">
        <v>0.33333333333333331</v>
      </c>
      <c r="AY10" s="47">
        <v>0.83333333333333337</v>
      </c>
      <c r="AZ10" s="43"/>
      <c r="BB10" s="49"/>
      <c r="BC10" s="120"/>
      <c r="BD10" s="120"/>
      <c r="BE10" s="120"/>
      <c r="BF10" s="120"/>
      <c r="BG10" s="120"/>
      <c r="BH10" s="120"/>
      <c r="BI10" s="120"/>
      <c r="BJ10" s="120"/>
      <c r="BK10" s="120"/>
      <c r="BL10" s="120"/>
      <c r="BM10" s="120"/>
      <c r="BN10" s="120"/>
      <c r="BO10" s="120"/>
      <c r="BP10" s="120"/>
      <c r="BQ10" s="120"/>
      <c r="BR10" s="120"/>
      <c r="BS10" s="120"/>
      <c r="BT10" s="120"/>
      <c r="BU10" s="120"/>
      <c r="BV10" s="120"/>
      <c r="BW10" s="120"/>
      <c r="BX10" s="120"/>
      <c r="BY10" s="120"/>
      <c r="BZ10" s="120"/>
      <c r="CA10" s="120"/>
      <c r="CB10" s="120"/>
      <c r="CC10" s="120"/>
      <c r="CD10" s="120"/>
      <c r="CE10" s="120"/>
      <c r="CF10" s="120"/>
      <c r="CG10" s="43"/>
    </row>
    <row r="11" spans="1:85" ht="18" customHeight="1">
      <c r="A11" s="265" t="s">
        <v>575</v>
      </c>
      <c r="B11" s="266"/>
      <c r="C11" s="266"/>
      <c r="D11" s="266"/>
      <c r="E11" s="266"/>
      <c r="F11" s="266"/>
      <c r="G11" s="266"/>
      <c r="H11" s="266"/>
      <c r="I11" s="264">
        <f>AQ27</f>
        <v>0</v>
      </c>
      <c r="J11" s="264"/>
      <c r="K11" s="267" t="s">
        <v>176</v>
      </c>
      <c r="L11" s="268"/>
      <c r="M11" s="269" t="s">
        <v>576</v>
      </c>
      <c r="N11" s="266"/>
      <c r="O11" s="266"/>
      <c r="P11" s="266"/>
      <c r="Q11" s="266"/>
      <c r="R11" s="266"/>
      <c r="S11" s="266"/>
      <c r="T11" s="266"/>
      <c r="U11" s="264">
        <f>AQ36</f>
        <v>0</v>
      </c>
      <c r="V11" s="264"/>
      <c r="W11" s="267" t="s">
        <v>176</v>
      </c>
      <c r="X11" s="268"/>
      <c r="Y11" s="269" t="s">
        <v>577</v>
      </c>
      <c r="Z11" s="266"/>
      <c r="AA11" s="266"/>
      <c r="AB11" s="266"/>
      <c r="AC11" s="266"/>
      <c r="AD11" s="266"/>
      <c r="AE11" s="266"/>
      <c r="AF11" s="266"/>
      <c r="AG11" s="264">
        <f>AQ34</f>
        <v>0</v>
      </c>
      <c r="AH11" s="264"/>
      <c r="AI11" s="28" t="s">
        <v>176</v>
      </c>
      <c r="AK11" s="441" t="s">
        <v>578</v>
      </c>
      <c r="AL11" s="442"/>
      <c r="AM11" s="442"/>
      <c r="AN11" s="442"/>
      <c r="AO11" s="442"/>
      <c r="AP11" s="443"/>
      <c r="AQ11" s="42">
        <v>26</v>
      </c>
      <c r="AR11" s="43"/>
      <c r="AS11" s="46">
        <v>2</v>
      </c>
      <c r="AT11" s="46"/>
      <c r="AU11" s="46"/>
      <c r="AV11" s="47" t="s">
        <v>579</v>
      </c>
      <c r="AW11" s="47" t="s">
        <v>580</v>
      </c>
      <c r="AX11" s="47">
        <v>0.33333333333333331</v>
      </c>
      <c r="AY11" s="47">
        <v>0.58333333333333337</v>
      </c>
      <c r="AZ11" s="43"/>
      <c r="BB11" s="121"/>
      <c r="BC11" s="138"/>
      <c r="BD11" s="138"/>
      <c r="BE11" s="138"/>
      <c r="BF11" s="138"/>
      <c r="BG11" s="139"/>
      <c r="BH11" s="138"/>
      <c r="BI11" s="138"/>
      <c r="BJ11" s="138"/>
      <c r="BK11" s="138"/>
      <c r="BL11" s="138"/>
      <c r="BM11" s="138"/>
      <c r="BN11" s="138"/>
      <c r="BO11" s="138"/>
      <c r="BP11" s="138"/>
      <c r="BQ11" s="138"/>
      <c r="BR11" s="138"/>
      <c r="BS11" s="138"/>
      <c r="BT11" s="138"/>
      <c r="BU11" s="138"/>
      <c r="BV11" s="138"/>
      <c r="BW11" s="138"/>
      <c r="BX11" s="138"/>
      <c r="BY11" s="138"/>
      <c r="BZ11" s="138"/>
      <c r="CA11" s="138"/>
      <c r="CB11" s="138"/>
      <c r="CC11" s="138"/>
      <c r="CD11" s="138"/>
      <c r="CE11" s="138"/>
      <c r="CF11" s="138"/>
      <c r="CG11" s="43"/>
    </row>
    <row r="12" spans="1:85" ht="18" customHeight="1">
      <c r="A12" s="265" t="s">
        <v>586</v>
      </c>
      <c r="B12" s="266"/>
      <c r="C12" s="266"/>
      <c r="D12" s="266"/>
      <c r="E12" s="266"/>
      <c r="F12" s="266"/>
      <c r="G12" s="266"/>
      <c r="H12" s="266"/>
      <c r="I12" s="264">
        <f>AQ33</f>
        <v>0</v>
      </c>
      <c r="J12" s="264"/>
      <c r="K12" s="267" t="s">
        <v>176</v>
      </c>
      <c r="L12" s="268"/>
      <c r="M12" s="269" t="s">
        <v>587</v>
      </c>
      <c r="N12" s="266"/>
      <c r="O12" s="266"/>
      <c r="P12" s="266"/>
      <c r="Q12" s="266"/>
      <c r="R12" s="266"/>
      <c r="S12" s="266"/>
      <c r="T12" s="266"/>
      <c r="U12" s="264">
        <f>AQ24</f>
        <v>0</v>
      </c>
      <c r="V12" s="264"/>
      <c r="W12" s="267" t="s">
        <v>176</v>
      </c>
      <c r="X12" s="268"/>
      <c r="Y12" s="269" t="s">
        <v>588</v>
      </c>
      <c r="Z12" s="266"/>
      <c r="AA12" s="266"/>
      <c r="AB12" s="266"/>
      <c r="AC12" s="266"/>
      <c r="AD12" s="266"/>
      <c r="AE12" s="266"/>
      <c r="AF12" s="266"/>
      <c r="AG12" s="264">
        <f>AQ20+AQ21+AQ22+AQ23</f>
        <v>0</v>
      </c>
      <c r="AH12" s="264"/>
      <c r="AI12" s="28" t="s">
        <v>176</v>
      </c>
      <c r="AK12" s="441" t="s">
        <v>589</v>
      </c>
      <c r="AL12" s="442"/>
      <c r="AM12" s="442"/>
      <c r="AN12" s="442"/>
      <c r="AO12" s="442"/>
      <c r="AP12" s="443"/>
      <c r="AQ12" s="42">
        <v>11</v>
      </c>
      <c r="AR12" s="43"/>
      <c r="AS12" s="46">
        <v>3</v>
      </c>
      <c r="AT12" s="46"/>
      <c r="AU12" s="46"/>
      <c r="AV12" s="47" t="s">
        <v>590</v>
      </c>
      <c r="AW12" s="47" t="s">
        <v>574</v>
      </c>
      <c r="AX12" s="47">
        <v>0.58333333333333337</v>
      </c>
      <c r="AY12" s="47">
        <v>0.83333333333333337</v>
      </c>
      <c r="AZ12" s="43"/>
      <c r="BB12" s="49"/>
      <c r="BC12" s="43"/>
      <c r="BD12" s="43"/>
      <c r="BE12" s="43"/>
      <c r="BF12" s="43"/>
      <c r="BG12" s="43"/>
      <c r="BH12" s="43"/>
      <c r="BI12" s="43"/>
      <c r="BJ12" s="43"/>
      <c r="BK12" s="43"/>
      <c r="BL12" s="43"/>
      <c r="BM12" s="43"/>
      <c r="BN12" s="43"/>
      <c r="BO12" s="43"/>
      <c r="BP12" s="43"/>
      <c r="BQ12" s="43"/>
      <c r="BR12" s="43"/>
      <c r="BS12" s="43"/>
      <c r="BT12" s="43"/>
      <c r="BU12" s="43"/>
      <c r="BV12" s="43"/>
      <c r="BW12" s="43"/>
      <c r="BX12" s="43"/>
      <c r="BY12" s="43"/>
      <c r="BZ12" s="43"/>
      <c r="CA12" s="43"/>
      <c r="CB12" s="43"/>
      <c r="CC12" s="43"/>
      <c r="CD12" s="43"/>
      <c r="CE12" s="43"/>
      <c r="CF12" s="43"/>
      <c r="CG12" s="43"/>
    </row>
    <row r="13" spans="1:85" ht="18" customHeight="1" thickBot="1">
      <c r="A13" s="517" t="s">
        <v>591</v>
      </c>
      <c r="B13" s="277"/>
      <c r="C13" s="277"/>
      <c r="D13" s="277"/>
      <c r="E13" s="277"/>
      <c r="F13" s="277"/>
      <c r="G13" s="277"/>
      <c r="H13" s="277"/>
      <c r="I13" s="272">
        <f>AQ30+AQ31</f>
        <v>0</v>
      </c>
      <c r="J13" s="272"/>
      <c r="K13" s="273" t="s">
        <v>176</v>
      </c>
      <c r="L13" s="274"/>
      <c r="M13" s="276" t="s">
        <v>592</v>
      </c>
      <c r="N13" s="277"/>
      <c r="O13" s="277"/>
      <c r="P13" s="277"/>
      <c r="Q13" s="277"/>
      <c r="R13" s="277"/>
      <c r="S13" s="277"/>
      <c r="T13" s="277"/>
      <c r="U13" s="272">
        <f>AQ28</f>
        <v>0</v>
      </c>
      <c r="V13" s="272"/>
      <c r="W13" s="273" t="s">
        <v>176</v>
      </c>
      <c r="X13" s="274"/>
      <c r="Y13" s="276" t="s">
        <v>593</v>
      </c>
      <c r="Z13" s="277"/>
      <c r="AA13" s="277"/>
      <c r="AB13" s="277"/>
      <c r="AC13" s="277"/>
      <c r="AD13" s="277"/>
      <c r="AE13" s="277"/>
      <c r="AF13" s="277"/>
      <c r="AG13" s="272">
        <f>AQ13</f>
        <v>1</v>
      </c>
      <c r="AH13" s="272"/>
      <c r="AI13" s="34" t="s">
        <v>176</v>
      </c>
      <c r="AK13" s="425" t="s">
        <v>594</v>
      </c>
      <c r="AL13" s="425"/>
      <c r="AM13" s="425"/>
      <c r="AN13" s="425"/>
      <c r="AO13" s="425"/>
      <c r="AP13" s="425"/>
      <c r="AQ13" s="42">
        <v>1</v>
      </c>
      <c r="AR13" s="43"/>
      <c r="AS13" s="46">
        <v>4</v>
      </c>
      <c r="AT13" s="46"/>
      <c r="AU13" s="46" t="s">
        <v>28</v>
      </c>
      <c r="AV13" s="47" t="s">
        <v>595</v>
      </c>
      <c r="AW13" s="47" t="s">
        <v>596</v>
      </c>
      <c r="AX13" s="47">
        <v>0.33333333333333331</v>
      </c>
      <c r="AY13" s="47">
        <v>0.83333333333333337</v>
      </c>
      <c r="AZ13" s="43"/>
      <c r="BB13" s="121"/>
      <c r="BC13" s="140"/>
      <c r="BD13" s="140"/>
      <c r="BE13" s="140"/>
      <c r="BF13" s="140"/>
      <c r="BG13" s="140"/>
      <c r="BH13" s="140"/>
      <c r="BI13" s="140"/>
      <c r="BJ13" s="140"/>
      <c r="BK13" s="140"/>
      <c r="BL13" s="140"/>
      <c r="BM13" s="140"/>
      <c r="BN13" s="140"/>
      <c r="BO13" s="140"/>
      <c r="BP13" s="140"/>
      <c r="BQ13" s="140"/>
      <c r="BR13" s="140"/>
      <c r="BS13" s="140"/>
      <c r="BT13" s="140"/>
      <c r="BU13" s="140"/>
      <c r="BV13" s="140"/>
      <c r="BW13" s="140"/>
      <c r="BX13" s="140"/>
      <c r="BY13" s="140"/>
      <c r="BZ13" s="140"/>
      <c r="CA13" s="140"/>
      <c r="CB13" s="140"/>
      <c r="CC13" s="140"/>
      <c r="CD13" s="140"/>
      <c r="CE13" s="140"/>
      <c r="CF13" s="140"/>
      <c r="CG13" s="43"/>
    </row>
    <row r="14" spans="1:85" ht="18" customHeight="1" thickBot="1">
      <c r="A14" s="452" t="s">
        <v>598</v>
      </c>
      <c r="B14" s="453"/>
      <c r="C14" s="453"/>
      <c r="D14" s="453"/>
      <c r="E14" s="453"/>
      <c r="F14" s="453"/>
      <c r="G14" s="453"/>
      <c r="H14" s="453"/>
      <c r="I14" s="453"/>
      <c r="J14" s="453"/>
      <c r="K14" s="453"/>
      <c r="L14" s="453"/>
      <c r="M14" s="453"/>
      <c r="N14" s="453"/>
      <c r="O14" s="453"/>
      <c r="P14" s="453"/>
      <c r="Q14" s="453"/>
      <c r="R14" s="453"/>
      <c r="S14" s="453"/>
      <c r="T14" s="453"/>
      <c r="U14" s="453"/>
      <c r="V14" s="453"/>
      <c r="W14" s="453"/>
      <c r="X14" s="453"/>
      <c r="Y14" s="453"/>
      <c r="Z14" s="453"/>
      <c r="AA14" s="453"/>
      <c r="AB14" s="453"/>
      <c r="AC14" s="453"/>
      <c r="AD14" s="453"/>
      <c r="AE14" s="453"/>
      <c r="AF14" s="453"/>
      <c r="AG14" s="453"/>
      <c r="AH14" s="453"/>
      <c r="AI14" s="454"/>
      <c r="AK14" s="440" t="s">
        <v>599</v>
      </c>
      <c r="AL14" s="440"/>
      <c r="AM14" s="440"/>
      <c r="AN14" s="440"/>
      <c r="AO14" s="440"/>
      <c r="AP14" s="440"/>
      <c r="AQ14" s="42">
        <v>3</v>
      </c>
      <c r="AR14" s="43"/>
      <c r="AS14" s="46">
        <v>5</v>
      </c>
      <c r="AT14" s="46"/>
      <c r="AU14" s="46" t="s">
        <v>119</v>
      </c>
      <c r="AV14" s="47" t="s">
        <v>600</v>
      </c>
      <c r="AW14" s="47" t="s">
        <v>596</v>
      </c>
      <c r="AX14" s="47">
        <v>0.33333333333333331</v>
      </c>
      <c r="AY14" s="47">
        <v>0.83333333333333337</v>
      </c>
      <c r="AZ14" s="43"/>
      <c r="BB14" s="121"/>
      <c r="BC14" s="162"/>
      <c r="BD14" s="162"/>
      <c r="BE14" s="162"/>
      <c r="BF14" s="162"/>
      <c r="BG14" s="162"/>
      <c r="BH14" s="162"/>
      <c r="BI14" s="162"/>
      <c r="BJ14" s="162"/>
      <c r="BK14" s="162"/>
      <c r="BL14" s="162"/>
      <c r="BM14" s="162"/>
      <c r="BN14" s="162"/>
      <c r="BO14" s="162"/>
      <c r="BP14" s="162"/>
      <c r="BQ14" s="162"/>
      <c r="BR14" s="162"/>
      <c r="BS14" s="162"/>
      <c r="BT14" s="162"/>
      <c r="BU14" s="162"/>
      <c r="BV14" s="162"/>
      <c r="BW14" s="162"/>
      <c r="BX14" s="162"/>
      <c r="BY14" s="162"/>
      <c r="BZ14" s="162"/>
      <c r="CA14" s="162"/>
      <c r="CB14" s="162"/>
      <c r="CC14" s="162"/>
      <c r="CD14" s="162"/>
      <c r="CE14" s="162"/>
      <c r="CF14" s="162"/>
      <c r="CG14" s="43"/>
    </row>
    <row r="15" spans="1:85" ht="18" customHeight="1" thickBot="1">
      <c r="A15" s="30" t="s">
        <v>189</v>
      </c>
      <c r="B15" s="264" t="s">
        <v>603</v>
      </c>
      <c r="C15" s="264"/>
      <c r="D15" s="264"/>
      <c r="E15" s="264"/>
      <c r="F15" s="264"/>
      <c r="G15" s="264"/>
      <c r="H15" s="264"/>
      <c r="I15" s="264"/>
      <c r="J15" s="278">
        <f>AQ9+AQ10</f>
        <v>79</v>
      </c>
      <c r="K15" s="278"/>
      <c r="L15" s="278"/>
      <c r="M15" s="264" t="s">
        <v>176</v>
      </c>
      <c r="N15" s="264"/>
      <c r="O15" s="264" t="s">
        <v>604</v>
      </c>
      <c r="P15" s="264"/>
      <c r="Q15" s="264"/>
      <c r="R15" s="264"/>
      <c r="S15" s="264"/>
      <c r="T15" s="264"/>
      <c r="U15" s="264"/>
      <c r="V15" s="264"/>
      <c r="W15" s="278">
        <f>AQ11+AQ12</f>
        <v>37</v>
      </c>
      <c r="X15" s="278"/>
      <c r="Y15" s="278"/>
      <c r="Z15" s="264" t="s">
        <v>176</v>
      </c>
      <c r="AA15" s="264"/>
      <c r="AB15" s="503" t="s">
        <v>605</v>
      </c>
      <c r="AC15" s="503"/>
      <c r="AD15" s="503"/>
      <c r="AE15" s="503"/>
      <c r="AF15" s="503"/>
      <c r="AG15" s="503"/>
      <c r="AH15" s="281" t="s">
        <v>582</v>
      </c>
      <c r="AI15" s="282"/>
      <c r="AK15" s="425" t="s">
        <v>606</v>
      </c>
      <c r="AL15" s="425"/>
      <c r="AM15" s="425"/>
      <c r="AN15" s="425"/>
      <c r="AO15" s="425"/>
      <c r="AP15" s="425"/>
      <c r="AQ15" s="42"/>
      <c r="AR15" s="43"/>
      <c r="AS15" s="46">
        <v>6</v>
      </c>
      <c r="AT15" s="46"/>
      <c r="AU15" s="46"/>
      <c r="AV15" s="47" t="s">
        <v>607</v>
      </c>
      <c r="AW15" s="47" t="s">
        <v>596</v>
      </c>
      <c r="AX15" s="47">
        <v>0.33333333333333331</v>
      </c>
      <c r="AY15" s="47">
        <v>0.83333333333333337</v>
      </c>
      <c r="AZ15" s="43"/>
      <c r="BB15" s="121"/>
      <c r="BC15" s="163"/>
      <c r="BD15" s="164"/>
      <c r="BE15" s="165"/>
      <c r="BF15" s="165"/>
      <c r="BG15" s="164"/>
      <c r="BH15" s="164"/>
      <c r="BI15" s="164"/>
      <c r="BJ15" s="164"/>
      <c r="BK15" s="165"/>
      <c r="BL15" s="165"/>
      <c r="BM15" s="165"/>
      <c r="BN15" s="165"/>
      <c r="BO15" s="164"/>
      <c r="BP15" s="164"/>
      <c r="BQ15" s="165"/>
      <c r="BR15" s="165"/>
      <c r="BS15" s="165"/>
      <c r="BT15" s="165"/>
      <c r="BU15" s="165"/>
      <c r="BV15" s="164"/>
      <c r="BW15" s="164"/>
      <c r="BX15" s="165"/>
      <c r="BY15" s="165"/>
      <c r="BZ15" s="165"/>
      <c r="CA15" s="165"/>
      <c r="CB15" s="165"/>
      <c r="CC15" s="165"/>
      <c r="CD15" s="164"/>
      <c r="CE15" s="165"/>
      <c r="CF15" s="165"/>
      <c r="CG15" s="43"/>
    </row>
    <row r="16" spans="1:85" ht="18" customHeight="1">
      <c r="A16" s="504" t="s">
        <v>609</v>
      </c>
      <c r="B16" s="505"/>
      <c r="C16" s="505"/>
      <c r="D16" s="505"/>
      <c r="E16" s="505"/>
      <c r="F16" s="505"/>
      <c r="G16" s="505"/>
      <c r="H16" s="505"/>
      <c r="I16" s="505"/>
      <c r="J16" s="505"/>
      <c r="K16" s="505"/>
      <c r="L16" s="505"/>
      <c r="M16" s="505"/>
      <c r="N16" s="505"/>
      <c r="O16" s="505"/>
      <c r="P16" s="505"/>
      <c r="Q16" s="505"/>
      <c r="R16" s="505"/>
      <c r="S16" s="505"/>
      <c r="T16" s="505"/>
      <c r="U16" s="505"/>
      <c r="V16" s="505"/>
      <c r="W16" s="505"/>
      <c r="X16" s="505"/>
      <c r="Y16" s="505"/>
      <c r="Z16" s="505"/>
      <c r="AA16" s="505"/>
      <c r="AB16" s="505"/>
      <c r="AC16" s="505"/>
      <c r="AD16" s="505"/>
      <c r="AE16" s="505"/>
      <c r="AF16" s="505"/>
      <c r="AG16" s="505"/>
      <c r="AH16" s="505"/>
      <c r="AI16" s="506"/>
      <c r="AK16" s="425" t="s">
        <v>610</v>
      </c>
      <c r="AL16" s="425"/>
      <c r="AM16" s="425"/>
      <c r="AN16" s="425"/>
      <c r="AO16" s="425"/>
      <c r="AP16" s="425"/>
      <c r="AQ16" s="42"/>
      <c r="AR16" s="43"/>
      <c r="AS16" s="46">
        <v>7</v>
      </c>
      <c r="AT16" s="46"/>
      <c r="AU16" s="46" t="s">
        <v>20</v>
      </c>
      <c r="AV16" s="47" t="s">
        <v>611</v>
      </c>
      <c r="AW16" s="47" t="s">
        <v>612</v>
      </c>
      <c r="AX16" s="47">
        <v>0.83333333333333337</v>
      </c>
      <c r="AY16" s="47" t="s">
        <v>613</v>
      </c>
      <c r="AZ16" s="43"/>
      <c r="BB16" s="121"/>
      <c r="BC16" s="142"/>
      <c r="BD16" s="140"/>
      <c r="BE16" s="142"/>
      <c r="BF16" s="142"/>
      <c r="BG16" s="142"/>
      <c r="BH16" s="142"/>
      <c r="BI16" s="142"/>
      <c r="BJ16" s="142"/>
      <c r="BK16" s="142"/>
      <c r="BL16" s="142"/>
      <c r="BM16" s="142"/>
      <c r="BN16" s="142"/>
      <c r="BO16" s="142"/>
      <c r="BP16" s="142"/>
      <c r="BQ16" s="142"/>
      <c r="BR16" s="142"/>
      <c r="BS16" s="142"/>
      <c r="BT16" s="142"/>
      <c r="BU16" s="142"/>
      <c r="BV16" s="142"/>
      <c r="BW16" s="142"/>
      <c r="BX16" s="142"/>
      <c r="BY16" s="142"/>
      <c r="BZ16" s="142"/>
      <c r="CA16" s="142"/>
      <c r="CB16" s="142"/>
      <c r="CC16" s="142"/>
      <c r="CD16" s="142"/>
      <c r="CE16" s="142"/>
      <c r="CF16" s="143"/>
      <c r="CG16" s="43"/>
    </row>
    <row r="17" spans="1:85" ht="18" customHeight="1">
      <c r="A17" s="396" t="s">
        <v>615</v>
      </c>
      <c r="B17" s="397"/>
      <c r="C17" s="397"/>
      <c r="D17" s="397"/>
      <c r="E17" s="397"/>
      <c r="F17" s="398" t="s">
        <v>616</v>
      </c>
      <c r="G17" s="398"/>
      <c r="H17" s="398"/>
      <c r="I17" s="398"/>
      <c r="J17" s="398"/>
      <c r="K17" s="398"/>
      <c r="L17" s="398"/>
      <c r="M17" s="398"/>
      <c r="N17" s="398"/>
      <c r="O17" s="398"/>
      <c r="P17" s="398"/>
      <c r="Q17" s="398"/>
      <c r="R17" s="398"/>
      <c r="S17" s="398"/>
      <c r="T17" s="398"/>
      <c r="U17" s="398"/>
      <c r="V17" s="398"/>
      <c r="W17" s="398"/>
      <c r="X17" s="398"/>
      <c r="Y17" s="398"/>
      <c r="Z17" s="398"/>
      <c r="AA17" s="398"/>
      <c r="AB17" s="398"/>
      <c r="AC17" s="398"/>
      <c r="AD17" s="398"/>
      <c r="AE17" s="398"/>
      <c r="AF17" s="398"/>
      <c r="AG17" s="398"/>
      <c r="AH17" s="398"/>
      <c r="AI17" s="399"/>
      <c r="AK17" s="425" t="s">
        <v>617</v>
      </c>
      <c r="AL17" s="425"/>
      <c r="AM17" s="425"/>
      <c r="AN17" s="425"/>
      <c r="AO17" s="425"/>
      <c r="AP17" s="425"/>
      <c r="AQ17" s="42"/>
      <c r="AR17" s="43"/>
      <c r="AS17" s="46">
        <v>8</v>
      </c>
      <c r="AT17" s="46"/>
      <c r="AU17" s="46" t="s">
        <v>67</v>
      </c>
      <c r="AV17" s="47" t="s">
        <v>618</v>
      </c>
      <c r="AW17" s="47" t="s">
        <v>612</v>
      </c>
      <c r="AX17" s="47">
        <v>0.83333333333333337</v>
      </c>
      <c r="AY17" s="47" t="s">
        <v>613</v>
      </c>
      <c r="AZ17" s="43"/>
      <c r="BB17" s="121"/>
      <c r="BC17" s="141"/>
      <c r="BD17" s="140"/>
      <c r="BE17" s="141"/>
      <c r="BF17" s="140"/>
      <c r="BG17" s="140"/>
      <c r="BH17" s="140"/>
      <c r="BI17" s="140"/>
      <c r="BJ17" s="140"/>
      <c r="BK17" s="140"/>
      <c r="BL17" s="140"/>
      <c r="BM17" s="140"/>
      <c r="BN17" s="140"/>
      <c r="BO17" s="140"/>
      <c r="BP17" s="140"/>
      <c r="BQ17" s="140"/>
      <c r="BR17" s="140"/>
      <c r="BS17" s="140"/>
      <c r="BT17" s="140"/>
      <c r="BU17" s="140"/>
      <c r="BV17" s="140"/>
      <c r="BW17" s="140"/>
      <c r="BX17" s="140"/>
      <c r="BY17" s="140"/>
      <c r="BZ17" s="140"/>
      <c r="CA17" s="140"/>
      <c r="CB17" s="140"/>
      <c r="CC17" s="140"/>
      <c r="CD17" s="140"/>
      <c r="CE17" s="140"/>
      <c r="CF17" s="140"/>
      <c r="CG17" s="43"/>
    </row>
    <row r="18" spans="1:85" ht="18" customHeight="1">
      <c r="A18" s="501" t="s">
        <v>620</v>
      </c>
      <c r="B18" s="502"/>
      <c r="C18" s="502"/>
      <c r="D18" s="502"/>
      <c r="E18" s="502"/>
      <c r="F18" s="400" t="s">
        <v>616</v>
      </c>
      <c r="G18" s="400"/>
      <c r="H18" s="400"/>
      <c r="I18" s="400"/>
      <c r="J18" s="400"/>
      <c r="K18" s="400"/>
      <c r="L18" s="400"/>
      <c r="M18" s="400"/>
      <c r="N18" s="400"/>
      <c r="O18" s="400"/>
      <c r="P18" s="400"/>
      <c r="Q18" s="400"/>
      <c r="R18" s="400"/>
      <c r="S18" s="400"/>
      <c r="T18" s="400"/>
      <c r="U18" s="400"/>
      <c r="V18" s="400"/>
      <c r="W18" s="400"/>
      <c r="X18" s="400"/>
      <c r="Y18" s="400"/>
      <c r="Z18" s="400"/>
      <c r="AA18" s="400"/>
      <c r="AB18" s="400"/>
      <c r="AC18" s="400"/>
      <c r="AD18" s="400"/>
      <c r="AE18" s="400"/>
      <c r="AF18" s="400"/>
      <c r="AG18" s="400"/>
      <c r="AH18" s="400"/>
      <c r="AI18" s="401"/>
      <c r="AK18" s="425" t="s">
        <v>621</v>
      </c>
      <c r="AL18" s="425"/>
      <c r="AM18" s="425"/>
      <c r="AN18" s="425"/>
      <c r="AO18" s="425"/>
      <c r="AP18" s="425"/>
      <c r="AQ18" s="42"/>
      <c r="AR18" s="43"/>
      <c r="AS18" s="46">
        <v>9</v>
      </c>
      <c r="AT18" s="46"/>
      <c r="AU18" s="46"/>
      <c r="AV18" s="47" t="s">
        <v>622</v>
      </c>
      <c r="AW18" s="47" t="s">
        <v>612</v>
      </c>
      <c r="AX18" s="47">
        <v>0.83333333333333337</v>
      </c>
      <c r="AY18" s="47" t="s">
        <v>613</v>
      </c>
      <c r="AZ18" s="43"/>
    </row>
    <row r="19" spans="1:85" ht="18" customHeight="1" thickBot="1">
      <c r="A19" s="35" t="s">
        <v>189</v>
      </c>
      <c r="B19" s="405">
        <v>0.34027777777777779</v>
      </c>
      <c r="C19" s="405"/>
      <c r="D19" s="405"/>
      <c r="E19" s="405"/>
      <c r="F19" s="402" t="s">
        <v>708</v>
      </c>
      <c r="G19" s="402"/>
      <c r="H19" s="402"/>
      <c r="I19" s="402"/>
      <c r="J19" s="402"/>
      <c r="K19" s="402"/>
      <c r="L19" s="402"/>
      <c r="M19" s="402"/>
      <c r="N19" s="402"/>
      <c r="O19" s="402"/>
      <c r="P19" s="402"/>
      <c r="Q19" s="402"/>
      <c r="R19" s="402"/>
      <c r="S19" s="402"/>
      <c r="T19" s="402"/>
      <c r="U19" s="402"/>
      <c r="V19" s="402"/>
      <c r="W19" s="402"/>
      <c r="X19" s="402"/>
      <c r="Y19" s="402"/>
      <c r="Z19" s="402"/>
      <c r="AA19" s="402"/>
      <c r="AB19" s="402"/>
      <c r="AC19" s="402"/>
      <c r="AD19" s="402"/>
      <c r="AE19" s="402"/>
      <c r="AF19" s="402"/>
      <c r="AG19" s="402"/>
      <c r="AH19" s="402"/>
      <c r="AI19" s="403"/>
      <c r="AK19" s="524" t="s">
        <v>623</v>
      </c>
      <c r="AL19" s="524"/>
      <c r="AM19" s="524"/>
      <c r="AN19" s="524"/>
      <c r="AO19" s="524"/>
      <c r="AP19" s="524"/>
      <c r="AQ19" s="58"/>
      <c r="AR19" s="43"/>
      <c r="AS19" s="46">
        <v>10</v>
      </c>
      <c r="AT19" s="46"/>
      <c r="AU19" s="46">
        <f>21/49*100</f>
        <v>42.857142857142854</v>
      </c>
      <c r="AV19" s="47" t="s">
        <v>111</v>
      </c>
      <c r="AW19" s="47" t="s">
        <v>612</v>
      </c>
      <c r="AX19" s="47">
        <v>0.83333333333333337</v>
      </c>
      <c r="AY19" s="47" t="s">
        <v>613</v>
      </c>
      <c r="AZ19" s="43"/>
    </row>
    <row r="20" spans="1:85" ht="18" customHeight="1">
      <c r="A20" s="36" t="s">
        <v>189</v>
      </c>
      <c r="B20" s="404">
        <v>0.40277777777777779</v>
      </c>
      <c r="C20" s="404"/>
      <c r="D20" s="404"/>
      <c r="E20" s="404"/>
      <c r="F20" s="288" t="s">
        <v>709</v>
      </c>
      <c r="G20" s="288"/>
      <c r="H20" s="288"/>
      <c r="I20" s="288"/>
      <c r="J20" s="288"/>
      <c r="K20" s="288"/>
      <c r="L20" s="288"/>
      <c r="M20" s="288"/>
      <c r="N20" s="288"/>
      <c r="O20" s="288"/>
      <c r="P20" s="288"/>
      <c r="Q20" s="288"/>
      <c r="R20" s="288"/>
      <c r="S20" s="288"/>
      <c r="T20" s="288"/>
      <c r="U20" s="288"/>
      <c r="V20" s="288"/>
      <c r="W20" s="288"/>
      <c r="X20" s="288"/>
      <c r="Y20" s="288"/>
      <c r="Z20" s="288"/>
      <c r="AA20" s="288"/>
      <c r="AB20" s="288"/>
      <c r="AC20" s="288"/>
      <c r="AD20" s="288"/>
      <c r="AE20" s="288"/>
      <c r="AF20" s="288"/>
      <c r="AG20" s="288"/>
      <c r="AH20" s="288"/>
      <c r="AI20" s="289"/>
      <c r="AK20" s="447" t="s">
        <v>624</v>
      </c>
      <c r="AL20" s="448"/>
      <c r="AM20" s="448"/>
      <c r="AN20" s="448"/>
      <c r="AO20" s="448"/>
      <c r="AP20" s="448"/>
      <c r="AQ20" s="62"/>
      <c r="AR20" s="426" t="s">
        <v>625</v>
      </c>
      <c r="AS20" s="146">
        <v>11</v>
      </c>
      <c r="AT20" s="46"/>
      <c r="AU20" s="46"/>
      <c r="AV20" s="47" t="s">
        <v>111</v>
      </c>
      <c r="AW20" s="47" t="s">
        <v>612</v>
      </c>
      <c r="AX20" s="47">
        <v>0.83333333333333337</v>
      </c>
      <c r="AY20" s="47" t="s">
        <v>613</v>
      </c>
      <c r="AZ20" s="43"/>
    </row>
    <row r="21" spans="1:85" ht="18" customHeight="1" thickBot="1">
      <c r="A21" s="36" t="s">
        <v>189</v>
      </c>
      <c r="B21" s="404">
        <v>0.4375</v>
      </c>
      <c r="C21" s="404"/>
      <c r="D21" s="404"/>
      <c r="E21" s="404"/>
      <c r="F21" s="288" t="s">
        <v>710</v>
      </c>
      <c r="G21" s="288"/>
      <c r="H21" s="288"/>
      <c r="I21" s="288"/>
      <c r="J21" s="288"/>
      <c r="K21" s="288"/>
      <c r="L21" s="288"/>
      <c r="M21" s="288"/>
      <c r="N21" s="288"/>
      <c r="O21" s="288"/>
      <c r="P21" s="288"/>
      <c r="Q21" s="288"/>
      <c r="R21" s="288"/>
      <c r="S21" s="288"/>
      <c r="T21" s="288"/>
      <c r="U21" s="288"/>
      <c r="V21" s="288"/>
      <c r="W21" s="288"/>
      <c r="X21" s="288"/>
      <c r="Y21" s="288"/>
      <c r="Z21" s="288"/>
      <c r="AA21" s="288"/>
      <c r="AB21" s="288"/>
      <c r="AC21" s="288"/>
      <c r="AD21" s="288"/>
      <c r="AE21" s="288"/>
      <c r="AF21" s="288"/>
      <c r="AG21" s="288"/>
      <c r="AH21" s="288"/>
      <c r="AI21" s="289"/>
      <c r="AK21" s="429" t="s">
        <v>626</v>
      </c>
      <c r="AL21" s="430"/>
      <c r="AM21" s="430"/>
      <c r="AN21" s="430"/>
      <c r="AO21" s="430"/>
      <c r="AP21" s="430"/>
      <c r="AQ21" s="63"/>
      <c r="AR21" s="427"/>
      <c r="AW21" s="43"/>
      <c r="AX21" s="43"/>
      <c r="AY21" s="43"/>
      <c r="AZ21" s="43"/>
    </row>
    <row r="22" spans="1:85" ht="18" customHeight="1">
      <c r="A22" s="36" t="s">
        <v>189</v>
      </c>
      <c r="B22" s="404">
        <v>0.45833333333333331</v>
      </c>
      <c r="C22" s="404"/>
      <c r="D22" s="404"/>
      <c r="E22" s="404"/>
      <c r="F22" s="288" t="s">
        <v>711</v>
      </c>
      <c r="G22" s="288"/>
      <c r="H22" s="288"/>
      <c r="I22" s="288"/>
      <c r="J22" s="288"/>
      <c r="K22" s="288"/>
      <c r="L22" s="288"/>
      <c r="M22" s="288"/>
      <c r="N22" s="288"/>
      <c r="O22" s="288"/>
      <c r="P22" s="288"/>
      <c r="Q22" s="288"/>
      <c r="R22" s="288"/>
      <c r="S22" s="288"/>
      <c r="T22" s="288"/>
      <c r="U22" s="288"/>
      <c r="V22" s="288"/>
      <c r="W22" s="288"/>
      <c r="X22" s="288"/>
      <c r="Y22" s="288"/>
      <c r="Z22" s="288"/>
      <c r="AA22" s="288"/>
      <c r="AB22" s="288"/>
      <c r="AC22" s="288"/>
      <c r="AD22" s="288"/>
      <c r="AE22" s="288"/>
      <c r="AF22" s="288"/>
      <c r="AG22" s="288"/>
      <c r="AH22" s="288"/>
      <c r="AI22" s="289"/>
      <c r="AK22" s="429" t="s">
        <v>627</v>
      </c>
      <c r="AL22" s="430"/>
      <c r="AM22" s="430"/>
      <c r="AN22" s="430"/>
      <c r="AO22" s="430"/>
      <c r="AP22" s="430"/>
      <c r="AQ22" s="63"/>
      <c r="AR22" s="427"/>
      <c r="AS22" s="433" t="s">
        <v>628</v>
      </c>
      <c r="AT22" s="434"/>
      <c r="AU22" s="435"/>
      <c r="AV22" s="435"/>
      <c r="AW22" s="60" t="s">
        <v>74</v>
      </c>
      <c r="AY22" s="413" t="s">
        <v>629</v>
      </c>
      <c r="AZ22" s="413"/>
      <c r="BA22" s="412"/>
      <c r="BB22" s="412"/>
    </row>
    <row r="23" spans="1:85" ht="18" customHeight="1" thickBot="1">
      <c r="A23" s="36" t="s">
        <v>189</v>
      </c>
      <c r="B23" s="404">
        <v>0.57291666666666663</v>
      </c>
      <c r="C23" s="404"/>
      <c r="D23" s="404"/>
      <c r="E23" s="404"/>
      <c r="F23" s="288" t="s">
        <v>712</v>
      </c>
      <c r="G23" s="288"/>
      <c r="H23" s="288"/>
      <c r="I23" s="288"/>
      <c r="J23" s="288"/>
      <c r="K23" s="288"/>
      <c r="L23" s="288"/>
      <c r="M23" s="288"/>
      <c r="N23" s="288"/>
      <c r="O23" s="288"/>
      <c r="P23" s="288"/>
      <c r="Q23" s="288"/>
      <c r="R23" s="288"/>
      <c r="S23" s="288"/>
      <c r="T23" s="288"/>
      <c r="U23" s="288"/>
      <c r="V23" s="288"/>
      <c r="W23" s="288"/>
      <c r="X23" s="288"/>
      <c r="Y23" s="288"/>
      <c r="Z23" s="288"/>
      <c r="AA23" s="288"/>
      <c r="AB23" s="288"/>
      <c r="AC23" s="288"/>
      <c r="AD23" s="288"/>
      <c r="AE23" s="288"/>
      <c r="AF23" s="288"/>
      <c r="AG23" s="288"/>
      <c r="AH23" s="288"/>
      <c r="AI23" s="289"/>
      <c r="AK23" s="431" t="s">
        <v>630</v>
      </c>
      <c r="AL23" s="432"/>
      <c r="AM23" s="432"/>
      <c r="AN23" s="432"/>
      <c r="AO23" s="432"/>
      <c r="AP23" s="432"/>
      <c r="AQ23" s="64"/>
      <c r="AR23" s="428"/>
      <c r="AS23" s="536" t="s">
        <v>631</v>
      </c>
      <c r="AT23" s="246"/>
      <c r="AU23" s="537"/>
      <c r="AV23" s="537"/>
      <c r="AW23" s="56" t="s">
        <v>632</v>
      </c>
      <c r="AY23" s="413" t="s">
        <v>633</v>
      </c>
      <c r="AZ23" s="413"/>
      <c r="BA23" s="412"/>
      <c r="BB23" s="412"/>
    </row>
    <row r="24" spans="1:85" ht="18" customHeight="1" thickBot="1">
      <c r="A24" s="36" t="s">
        <v>189</v>
      </c>
      <c r="B24" s="404">
        <v>0.70833333333333337</v>
      </c>
      <c r="C24" s="404"/>
      <c r="D24" s="404"/>
      <c r="E24" s="404"/>
      <c r="F24" s="288" t="s">
        <v>713</v>
      </c>
      <c r="G24" s="288"/>
      <c r="H24" s="288"/>
      <c r="I24" s="288"/>
      <c r="J24" s="288"/>
      <c r="K24" s="288"/>
      <c r="L24" s="288"/>
      <c r="M24" s="288"/>
      <c r="N24" s="288"/>
      <c r="O24" s="288"/>
      <c r="P24" s="288"/>
      <c r="Q24" s="288"/>
      <c r="R24" s="288"/>
      <c r="S24" s="288"/>
      <c r="T24" s="288"/>
      <c r="U24" s="288"/>
      <c r="V24" s="288"/>
      <c r="W24" s="288"/>
      <c r="X24" s="288"/>
      <c r="Y24" s="288"/>
      <c r="Z24" s="288"/>
      <c r="AA24" s="288"/>
      <c r="AB24" s="288"/>
      <c r="AC24" s="288"/>
      <c r="AD24" s="288"/>
      <c r="AE24" s="288"/>
      <c r="AF24" s="288"/>
      <c r="AG24" s="288"/>
      <c r="AH24" s="288"/>
      <c r="AI24" s="289"/>
      <c r="AK24" s="527" t="s">
        <v>634</v>
      </c>
      <c r="AL24" s="528"/>
      <c r="AM24" s="528"/>
      <c r="AN24" s="528"/>
      <c r="AO24" s="528"/>
      <c r="AP24" s="528"/>
      <c r="AQ24" s="65"/>
      <c r="AR24" s="43"/>
      <c r="AY24" s="413" t="s">
        <v>635</v>
      </c>
      <c r="AZ24" s="413"/>
      <c r="BA24" s="412"/>
      <c r="BB24" s="412"/>
    </row>
    <row r="25" spans="1:85" ht="18" customHeight="1">
      <c r="A25" s="36" t="s">
        <v>189</v>
      </c>
      <c r="B25" s="404">
        <v>0.90972222222222221</v>
      </c>
      <c r="C25" s="404"/>
      <c r="D25" s="404"/>
      <c r="E25" s="404"/>
      <c r="F25" s="288" t="s">
        <v>714</v>
      </c>
      <c r="G25" s="288"/>
      <c r="H25" s="288"/>
      <c r="I25" s="288"/>
      <c r="J25" s="288"/>
      <c r="K25" s="288"/>
      <c r="L25" s="288"/>
      <c r="M25" s="288"/>
      <c r="N25" s="288"/>
      <c r="O25" s="288"/>
      <c r="P25" s="288"/>
      <c r="Q25" s="288"/>
      <c r="R25" s="288"/>
      <c r="S25" s="288"/>
      <c r="T25" s="288"/>
      <c r="U25" s="288"/>
      <c r="V25" s="288"/>
      <c r="W25" s="288"/>
      <c r="X25" s="288"/>
      <c r="Y25" s="288"/>
      <c r="Z25" s="288"/>
      <c r="AA25" s="288"/>
      <c r="AB25" s="288"/>
      <c r="AC25" s="288"/>
      <c r="AD25" s="288"/>
      <c r="AE25" s="288"/>
      <c r="AF25" s="288"/>
      <c r="AG25" s="288"/>
      <c r="AH25" s="288"/>
      <c r="AI25" s="289"/>
      <c r="AK25" s="529" t="s">
        <v>636</v>
      </c>
      <c r="AL25" s="529"/>
      <c r="AM25" s="529"/>
      <c r="AN25" s="529"/>
      <c r="AO25" s="529"/>
      <c r="AP25" s="529"/>
      <c r="AQ25" s="66"/>
      <c r="AR25" s="43"/>
      <c r="AY25" s="413" t="s">
        <v>637</v>
      </c>
      <c r="AZ25" s="413"/>
      <c r="BA25" s="412"/>
      <c r="BB25" s="412"/>
    </row>
    <row r="26" spans="1:85" ht="18" customHeight="1">
      <c r="A26" s="36" t="s">
        <v>189</v>
      </c>
      <c r="B26" s="404">
        <v>1.0416666666666666E-2</v>
      </c>
      <c r="C26" s="404"/>
      <c r="D26" s="404"/>
      <c r="E26" s="404"/>
      <c r="F26" s="288" t="s">
        <v>715</v>
      </c>
      <c r="G26" s="288"/>
      <c r="H26" s="288"/>
      <c r="I26" s="288"/>
      <c r="J26" s="288"/>
      <c r="K26" s="288"/>
      <c r="L26" s="288"/>
      <c r="M26" s="288"/>
      <c r="N26" s="288"/>
      <c r="O26" s="288"/>
      <c r="P26" s="288"/>
      <c r="Q26" s="288"/>
      <c r="R26" s="288"/>
      <c r="S26" s="288"/>
      <c r="T26" s="288"/>
      <c r="U26" s="288"/>
      <c r="V26" s="288"/>
      <c r="W26" s="288"/>
      <c r="X26" s="288"/>
      <c r="Y26" s="288"/>
      <c r="Z26" s="288"/>
      <c r="AA26" s="288"/>
      <c r="AB26" s="288"/>
      <c r="AC26" s="288"/>
      <c r="AD26" s="288"/>
      <c r="AE26" s="288"/>
      <c r="AF26" s="288"/>
      <c r="AG26" s="288"/>
      <c r="AH26" s="288"/>
      <c r="AI26" s="289"/>
      <c r="AK26" s="436" t="s">
        <v>638</v>
      </c>
      <c r="AL26" s="436"/>
      <c r="AM26" s="436"/>
      <c r="AN26" s="436"/>
      <c r="AO26" s="436"/>
      <c r="AP26" s="436"/>
      <c r="AQ26" s="67"/>
      <c r="AR26" s="43"/>
      <c r="AS26" s="548" t="s">
        <v>639</v>
      </c>
      <c r="AT26" s="549"/>
      <c r="AU26" s="549"/>
      <c r="AV26" s="549"/>
      <c r="AW26" s="550"/>
      <c r="AY26" s="147"/>
      <c r="AZ26" s="147"/>
      <c r="BA26" s="147"/>
      <c r="BB26" s="147"/>
    </row>
    <row r="27" spans="1:85" ht="18" customHeight="1">
      <c r="A27" s="36" t="s">
        <v>189</v>
      </c>
      <c r="B27" s="404">
        <v>2.5694444444444443E-2</v>
      </c>
      <c r="C27" s="404"/>
      <c r="D27" s="404"/>
      <c r="E27" s="404"/>
      <c r="F27" s="288" t="s">
        <v>716</v>
      </c>
      <c r="G27" s="288"/>
      <c r="H27" s="288"/>
      <c r="I27" s="288"/>
      <c r="J27" s="288"/>
      <c r="K27" s="288"/>
      <c r="L27" s="288"/>
      <c r="M27" s="288"/>
      <c r="N27" s="288"/>
      <c r="O27" s="288"/>
      <c r="P27" s="288"/>
      <c r="Q27" s="288"/>
      <c r="R27" s="288"/>
      <c r="S27" s="288"/>
      <c r="T27" s="288"/>
      <c r="U27" s="288"/>
      <c r="V27" s="288"/>
      <c r="W27" s="288"/>
      <c r="X27" s="288"/>
      <c r="Y27" s="288"/>
      <c r="Z27" s="288"/>
      <c r="AA27" s="288"/>
      <c r="AB27" s="288"/>
      <c r="AC27" s="288"/>
      <c r="AD27" s="288"/>
      <c r="AE27" s="288"/>
      <c r="AF27" s="288"/>
      <c r="AG27" s="288"/>
      <c r="AH27" s="288"/>
      <c r="AI27" s="289"/>
      <c r="AK27" s="436" t="s">
        <v>640</v>
      </c>
      <c r="AL27" s="436"/>
      <c r="AM27" s="436"/>
      <c r="AN27" s="436"/>
      <c r="AO27" s="436"/>
      <c r="AP27" s="436"/>
      <c r="AQ27" s="67"/>
      <c r="AR27" s="43"/>
      <c r="AS27" s="458" t="s">
        <v>641</v>
      </c>
      <c r="AT27" s="460"/>
      <c r="AU27" s="458" t="s">
        <v>642</v>
      </c>
      <c r="AV27" s="459"/>
      <c r="AW27" s="460"/>
      <c r="AY27" s="411" t="s">
        <v>643</v>
      </c>
      <c r="AZ27" s="411"/>
      <c r="BA27" s="411"/>
      <c r="BB27" s="411"/>
    </row>
    <row r="28" spans="1:85" ht="18" customHeight="1" thickBot="1">
      <c r="A28" s="36" t="s">
        <v>189</v>
      </c>
      <c r="B28" s="404">
        <v>0.28263888888888888</v>
      </c>
      <c r="C28" s="404"/>
      <c r="D28" s="404"/>
      <c r="E28" s="404"/>
      <c r="F28" s="288" t="s">
        <v>717</v>
      </c>
      <c r="G28" s="288"/>
      <c r="H28" s="288"/>
      <c r="I28" s="288"/>
      <c r="J28" s="288"/>
      <c r="K28" s="288"/>
      <c r="L28" s="288"/>
      <c r="M28" s="288"/>
      <c r="N28" s="288"/>
      <c r="O28" s="288"/>
      <c r="P28" s="288"/>
      <c r="Q28" s="288"/>
      <c r="R28" s="288"/>
      <c r="S28" s="288"/>
      <c r="T28" s="288"/>
      <c r="U28" s="288"/>
      <c r="V28" s="288"/>
      <c r="W28" s="288"/>
      <c r="X28" s="288"/>
      <c r="Y28" s="288"/>
      <c r="Z28" s="288"/>
      <c r="AA28" s="288"/>
      <c r="AB28" s="288"/>
      <c r="AC28" s="288"/>
      <c r="AD28" s="288"/>
      <c r="AE28" s="288"/>
      <c r="AF28" s="288"/>
      <c r="AG28" s="288"/>
      <c r="AH28" s="288"/>
      <c r="AI28" s="289"/>
      <c r="AK28" s="436" t="s">
        <v>644</v>
      </c>
      <c r="AL28" s="436"/>
      <c r="AM28" s="436"/>
      <c r="AN28" s="436"/>
      <c r="AO28" s="436"/>
      <c r="AP28" s="436"/>
      <c r="AQ28" s="67"/>
      <c r="AR28" s="43"/>
      <c r="AS28" s="538" t="s">
        <v>645</v>
      </c>
      <c r="AT28" s="539"/>
      <c r="AU28" s="533" t="s">
        <v>646</v>
      </c>
      <c r="AV28" s="534"/>
      <c r="AW28" s="535"/>
      <c r="AY28" s="413" t="s">
        <v>647</v>
      </c>
      <c r="AZ28" s="413"/>
      <c r="BA28" s="412"/>
      <c r="BB28" s="412"/>
    </row>
    <row r="29" spans="1:85" ht="18" customHeight="1" thickBot="1">
      <c r="A29" s="36" t="s">
        <v>189</v>
      </c>
      <c r="B29" s="404">
        <v>0.28402777777777777</v>
      </c>
      <c r="C29" s="404"/>
      <c r="D29" s="404"/>
      <c r="E29" s="404"/>
      <c r="F29" s="288" t="s">
        <v>718</v>
      </c>
      <c r="G29" s="288"/>
      <c r="H29" s="288"/>
      <c r="I29" s="288"/>
      <c r="J29" s="288"/>
      <c r="K29" s="288"/>
      <c r="L29" s="288"/>
      <c r="M29" s="288"/>
      <c r="N29" s="288"/>
      <c r="O29" s="288"/>
      <c r="P29" s="288"/>
      <c r="Q29" s="288"/>
      <c r="R29" s="288"/>
      <c r="S29" s="288"/>
      <c r="T29" s="288"/>
      <c r="U29" s="288"/>
      <c r="V29" s="288"/>
      <c r="W29" s="288"/>
      <c r="X29" s="288"/>
      <c r="Y29" s="288"/>
      <c r="Z29" s="288"/>
      <c r="AA29" s="288"/>
      <c r="AB29" s="288"/>
      <c r="AC29" s="288"/>
      <c r="AD29" s="288"/>
      <c r="AE29" s="288"/>
      <c r="AF29" s="288"/>
      <c r="AG29" s="288"/>
      <c r="AH29" s="288"/>
      <c r="AI29" s="289"/>
      <c r="AK29" s="524"/>
      <c r="AL29" s="524"/>
      <c r="AM29" s="524"/>
      <c r="AN29" s="524"/>
      <c r="AO29" s="524"/>
      <c r="AP29" s="524"/>
      <c r="AQ29" s="58"/>
      <c r="AR29" s="43"/>
      <c r="AS29" s="551">
        <v>1.2715277777777778</v>
      </c>
      <c r="AT29" s="552"/>
      <c r="AU29" s="434" t="s">
        <v>719</v>
      </c>
      <c r="AV29" s="434"/>
      <c r="AW29" s="553"/>
      <c r="AY29" s="413" t="s">
        <v>633</v>
      </c>
      <c r="AZ29" s="413"/>
      <c r="BA29" s="412"/>
      <c r="BB29" s="412"/>
    </row>
    <row r="30" spans="1:85" ht="18" customHeight="1">
      <c r="A30" s="36" t="s">
        <v>189</v>
      </c>
      <c r="B30" s="404">
        <v>0.28472222222222221</v>
      </c>
      <c r="C30" s="404"/>
      <c r="D30" s="404"/>
      <c r="E30" s="404"/>
      <c r="F30" s="288" t="s">
        <v>689</v>
      </c>
      <c r="G30" s="288"/>
      <c r="H30" s="288"/>
      <c r="I30" s="288"/>
      <c r="J30" s="288"/>
      <c r="K30" s="288"/>
      <c r="L30" s="288"/>
      <c r="M30" s="288"/>
      <c r="N30" s="288"/>
      <c r="O30" s="288"/>
      <c r="P30" s="288"/>
      <c r="Q30" s="288"/>
      <c r="R30" s="288"/>
      <c r="S30" s="288"/>
      <c r="T30" s="288"/>
      <c r="U30" s="288"/>
      <c r="V30" s="288"/>
      <c r="W30" s="288"/>
      <c r="X30" s="288"/>
      <c r="Y30" s="288"/>
      <c r="Z30" s="288"/>
      <c r="AA30" s="288"/>
      <c r="AB30" s="288"/>
      <c r="AC30" s="288"/>
      <c r="AD30" s="288"/>
      <c r="AE30" s="288"/>
      <c r="AF30" s="288"/>
      <c r="AG30" s="288"/>
      <c r="AH30" s="288"/>
      <c r="AI30" s="289"/>
      <c r="AK30" s="449" t="s">
        <v>648</v>
      </c>
      <c r="AL30" s="450"/>
      <c r="AM30" s="450"/>
      <c r="AN30" s="450"/>
      <c r="AO30" s="450"/>
      <c r="AP30" s="450"/>
      <c r="AQ30" s="62"/>
      <c r="AR30" s="43"/>
      <c r="AS30" s="554">
        <v>1.2749999999999999</v>
      </c>
      <c r="AT30" s="532"/>
      <c r="AU30" s="439" t="s">
        <v>720</v>
      </c>
      <c r="AV30" s="439"/>
      <c r="AW30" s="555"/>
      <c r="AY30" s="413" t="s">
        <v>649</v>
      </c>
      <c r="AZ30" s="413"/>
      <c r="BA30" s="412"/>
      <c r="BB30" s="412"/>
    </row>
    <row r="31" spans="1:85" ht="18" customHeight="1" thickBot="1">
      <c r="A31" s="37"/>
      <c r="B31" s="466"/>
      <c r="C31" s="466"/>
      <c r="D31" s="466"/>
      <c r="E31" s="466"/>
      <c r="F31" s="467"/>
      <c r="G31" s="467"/>
      <c r="H31" s="467"/>
      <c r="I31" s="467"/>
      <c r="J31" s="467"/>
      <c r="K31" s="467"/>
      <c r="L31" s="467"/>
      <c r="M31" s="467"/>
      <c r="N31" s="467"/>
      <c r="O31" s="467"/>
      <c r="P31" s="467"/>
      <c r="Q31" s="467"/>
      <c r="R31" s="467"/>
      <c r="S31" s="467"/>
      <c r="T31" s="467"/>
      <c r="U31" s="467"/>
      <c r="V31" s="467"/>
      <c r="W31" s="467"/>
      <c r="X31" s="467"/>
      <c r="Y31" s="467"/>
      <c r="Z31" s="467"/>
      <c r="AA31" s="467"/>
      <c r="AB31" s="467"/>
      <c r="AC31" s="467"/>
      <c r="AD31" s="467"/>
      <c r="AE31" s="467"/>
      <c r="AF31" s="467"/>
      <c r="AG31" s="467"/>
      <c r="AH31" s="467"/>
      <c r="AI31" s="468"/>
      <c r="AK31" s="451" t="s">
        <v>650</v>
      </c>
      <c r="AL31" s="416"/>
      <c r="AM31" s="416"/>
      <c r="AN31" s="416"/>
      <c r="AO31" s="416"/>
      <c r="AP31" s="416"/>
      <c r="AQ31" s="64"/>
      <c r="AR31" s="48"/>
      <c r="AS31" s="556">
        <v>1.2749999999999999</v>
      </c>
      <c r="AT31" s="557"/>
      <c r="AU31" s="424" t="s">
        <v>721</v>
      </c>
      <c r="AV31" s="424"/>
      <c r="AW31" s="491"/>
      <c r="AY31" s="413" t="s">
        <v>637</v>
      </c>
      <c r="AZ31" s="413"/>
      <c r="BA31" s="412"/>
      <c r="BB31" s="412"/>
    </row>
    <row r="32" spans="1:85" ht="18" customHeight="1" thickBot="1">
      <c r="A32" s="406" t="s">
        <v>651</v>
      </c>
      <c r="B32" s="407"/>
      <c r="C32" s="407"/>
      <c r="D32" s="407"/>
      <c r="E32" s="407"/>
      <c r="F32" s="407"/>
      <c r="G32" s="407"/>
      <c r="H32" s="407"/>
      <c r="I32" s="407"/>
      <c r="J32" s="407"/>
      <c r="K32" s="407"/>
      <c r="L32" s="407"/>
      <c r="M32" s="407"/>
      <c r="N32" s="407"/>
      <c r="O32" s="407"/>
      <c r="P32" s="407"/>
      <c r="Q32" s="407"/>
      <c r="R32" s="407"/>
      <c r="S32" s="407"/>
      <c r="T32" s="407"/>
      <c r="U32" s="407"/>
      <c r="V32" s="407"/>
      <c r="W32" s="407"/>
      <c r="X32" s="407"/>
      <c r="Y32" s="407"/>
      <c r="Z32" s="407"/>
      <c r="AA32" s="407"/>
      <c r="AB32" s="407"/>
      <c r="AC32" s="407"/>
      <c r="AD32" s="407"/>
      <c r="AE32" s="407"/>
      <c r="AF32" s="407"/>
      <c r="AG32" s="407"/>
      <c r="AH32" s="407"/>
      <c r="AI32" s="408"/>
      <c r="AK32" s="531"/>
      <c r="AL32" s="531"/>
      <c r="AM32" s="531"/>
      <c r="AN32" s="531"/>
      <c r="AO32" s="531"/>
      <c r="AP32" s="531"/>
      <c r="AQ32" s="61"/>
      <c r="AR32" s="48"/>
      <c r="AS32" s="558"/>
      <c r="AT32" s="558"/>
      <c r="AU32" s="559"/>
      <c r="AV32" s="559"/>
      <c r="AW32" s="559"/>
      <c r="AY32" s="413" t="s">
        <v>652</v>
      </c>
      <c r="AZ32" s="413"/>
      <c r="BA32" s="412"/>
      <c r="BB32" s="412"/>
    </row>
    <row r="33" spans="1:80" ht="18" customHeight="1">
      <c r="A33" s="39"/>
      <c r="B33" s="546" t="s">
        <v>653</v>
      </c>
      <c r="C33" s="546"/>
      <c r="D33" s="546"/>
      <c r="E33" s="546"/>
      <c r="F33" s="417" t="str" cm="1">
        <f t="array" ref="F33">_xlfn.TEXTJOIN("/",TRUE,IF(AS29:AS31&lt;&gt;"",TEXT(AS29:AS31,"h:mm")&amp;" "&amp;AU29:AU31,""))</f>
        <v>6:31 45階ルーフトップテラス1/6:36 45階ルーフトップテラス2/6:36 45階屋外ストレージ2</v>
      </c>
      <c r="G33" s="418"/>
      <c r="H33" s="418"/>
      <c r="I33" s="418"/>
      <c r="J33" s="418"/>
      <c r="K33" s="418"/>
      <c r="L33" s="418"/>
      <c r="M33" s="418"/>
      <c r="N33" s="418"/>
      <c r="O33" s="418"/>
      <c r="P33" s="418"/>
      <c r="Q33" s="418"/>
      <c r="R33" s="418"/>
      <c r="S33" s="418"/>
      <c r="T33" s="418"/>
      <c r="U33" s="418"/>
      <c r="V33" s="418"/>
      <c r="W33" s="418"/>
      <c r="X33" s="418"/>
      <c r="Y33" s="418"/>
      <c r="Z33" s="418"/>
      <c r="AA33" s="418"/>
      <c r="AB33" s="418"/>
      <c r="AC33" s="418"/>
      <c r="AD33" s="418"/>
      <c r="AE33" s="418"/>
      <c r="AF33" s="418"/>
      <c r="AG33" s="418"/>
      <c r="AH33" s="418"/>
      <c r="AI33" s="419"/>
      <c r="AK33" s="449" t="s">
        <v>654</v>
      </c>
      <c r="AL33" s="450"/>
      <c r="AM33" s="450"/>
      <c r="AN33" s="450"/>
      <c r="AO33" s="450"/>
      <c r="AP33" s="450"/>
      <c r="AQ33" s="60"/>
      <c r="AR33" s="48"/>
      <c r="AS33" s="532"/>
      <c r="AT33" s="532"/>
      <c r="AU33" s="439"/>
      <c r="AV33" s="439"/>
      <c r="AW33" s="439"/>
      <c r="AY33" s="413" t="s">
        <v>655</v>
      </c>
      <c r="AZ33" s="413"/>
      <c r="BA33" s="412"/>
      <c r="BB33" s="412"/>
    </row>
    <row r="34" spans="1:80" ht="18" customHeight="1" thickBot="1">
      <c r="A34" s="39"/>
      <c r="B34" s="546" t="s">
        <v>656</v>
      </c>
      <c r="C34" s="546"/>
      <c r="D34" s="546"/>
      <c r="E34" s="546"/>
      <c r="F34" s="420" t="s">
        <v>79</v>
      </c>
      <c r="G34" s="420"/>
      <c r="H34" s="420"/>
      <c r="I34" s="420"/>
      <c r="J34" s="420"/>
      <c r="K34" s="420"/>
      <c r="L34" s="420"/>
      <c r="M34" s="420"/>
      <c r="N34" s="420"/>
      <c r="O34" s="420"/>
      <c r="P34" s="420"/>
      <c r="Q34" s="420"/>
      <c r="R34" s="420"/>
      <c r="S34" s="420"/>
      <c r="T34" s="420"/>
      <c r="U34" s="420"/>
      <c r="V34" s="420"/>
      <c r="W34" s="420"/>
      <c r="X34" s="420"/>
      <c r="Y34" s="420"/>
      <c r="Z34" s="420"/>
      <c r="AA34" s="420"/>
      <c r="AB34" s="420"/>
      <c r="AC34" s="421"/>
      <c r="AD34" s="421"/>
      <c r="AE34" s="421"/>
      <c r="AF34" s="421"/>
      <c r="AG34" s="421"/>
      <c r="AH34" s="421"/>
      <c r="AI34" s="422"/>
      <c r="AK34" s="451" t="s">
        <v>657</v>
      </c>
      <c r="AL34" s="416"/>
      <c r="AM34" s="416"/>
      <c r="AN34" s="416"/>
      <c r="AO34" s="416"/>
      <c r="AP34" s="416"/>
      <c r="AQ34" s="56"/>
      <c r="AR34" s="48"/>
      <c r="AS34" s="532"/>
      <c r="AT34" s="532"/>
      <c r="AU34" s="439"/>
      <c r="AV34" s="439"/>
      <c r="AW34" s="439"/>
      <c r="AY34" s="413" t="s">
        <v>658</v>
      </c>
      <c r="AZ34" s="413"/>
      <c r="BA34" s="412"/>
      <c r="BB34" s="412"/>
    </row>
    <row r="35" spans="1:80" ht="18" customHeight="1" thickBot="1">
      <c r="A35" s="57"/>
      <c r="B35" s="547" t="s">
        <v>659</v>
      </c>
      <c r="C35" s="547"/>
      <c r="D35" s="547"/>
      <c r="E35" s="547"/>
      <c r="F35" s="389" t="s">
        <v>660</v>
      </c>
      <c r="G35" s="389"/>
      <c r="H35" s="389"/>
      <c r="I35" s="389"/>
      <c r="J35" s="389"/>
      <c r="K35" s="389"/>
      <c r="L35" s="389"/>
      <c r="M35" s="389"/>
      <c r="N35" s="389"/>
      <c r="O35" s="389"/>
      <c r="P35" s="389"/>
      <c r="Q35" s="389"/>
      <c r="R35" s="389"/>
      <c r="S35" s="389"/>
      <c r="T35" s="389"/>
      <c r="U35" s="389"/>
      <c r="V35" s="389"/>
      <c r="W35" s="390" t="s">
        <v>661</v>
      </c>
      <c r="X35" s="391"/>
      <c r="Y35" s="391"/>
      <c r="Z35" s="391"/>
      <c r="AA35" s="391"/>
      <c r="AB35" s="391"/>
      <c r="AC35" s="392" t="s">
        <v>662</v>
      </c>
      <c r="AD35" s="393"/>
      <c r="AE35" s="393"/>
      <c r="AF35" s="393"/>
      <c r="AG35" s="393"/>
      <c r="AH35" s="393"/>
      <c r="AI35" s="394"/>
      <c r="AK35" s="531"/>
      <c r="AL35" s="531"/>
      <c r="AM35" s="531"/>
      <c r="AN35" s="531"/>
      <c r="AO35" s="531"/>
      <c r="AP35" s="531"/>
      <c r="AQ35" s="61"/>
      <c r="AR35" s="48"/>
      <c r="AS35" s="532"/>
      <c r="AT35" s="532"/>
      <c r="AU35" s="439"/>
      <c r="AV35" s="439"/>
      <c r="AW35" s="439"/>
      <c r="AY35" s="413" t="s">
        <v>663</v>
      </c>
      <c r="AZ35" s="413"/>
      <c r="BA35" s="412"/>
      <c r="BB35" s="412"/>
    </row>
    <row r="36" spans="1:80" ht="18" customHeight="1" thickBot="1">
      <c r="A36" s="492" t="s">
        <v>664</v>
      </c>
      <c r="B36" s="493"/>
      <c r="C36" s="493"/>
      <c r="D36" s="493"/>
      <c r="E36" s="493"/>
      <c r="F36" s="498">
        <v>4.1666666666666664E-2</v>
      </c>
      <c r="G36" s="439"/>
      <c r="H36" s="439"/>
      <c r="I36" s="439"/>
      <c r="J36" s="439"/>
      <c r="K36" s="439"/>
      <c r="L36" s="499" t="s">
        <v>665</v>
      </c>
      <c r="M36" s="489"/>
      <c r="N36" s="489"/>
      <c r="O36" s="500"/>
      <c r="P36" s="410" t="s">
        <v>21</v>
      </c>
      <c r="Q36" s="410"/>
      <c r="R36" s="410"/>
      <c r="S36" s="55" t="s">
        <v>666</v>
      </c>
      <c r="T36" s="410" t="s">
        <v>72</v>
      </c>
      <c r="U36" s="410"/>
      <c r="V36" s="530"/>
      <c r="W36" s="489" t="s">
        <v>667</v>
      </c>
      <c r="X36" s="489"/>
      <c r="Y36" s="489"/>
      <c r="Z36" s="489"/>
      <c r="AA36" s="489"/>
      <c r="AB36" s="489"/>
      <c r="AC36" s="490" t="s">
        <v>722</v>
      </c>
      <c r="AD36" s="487"/>
      <c r="AE36" s="487"/>
      <c r="AF36" s="487"/>
      <c r="AG36" s="487"/>
      <c r="AH36" s="487"/>
      <c r="AI36" s="488"/>
      <c r="AK36" s="525" t="s">
        <v>668</v>
      </c>
      <c r="AL36" s="526"/>
      <c r="AM36" s="526"/>
      <c r="AN36" s="526"/>
      <c r="AO36" s="526"/>
      <c r="AP36" s="526"/>
      <c r="AQ36" s="117"/>
      <c r="AR36" s="48"/>
      <c r="AS36" s="532"/>
      <c r="AT36" s="532"/>
      <c r="AU36" s="439"/>
      <c r="AV36" s="439"/>
      <c r="AW36" s="439"/>
      <c r="BH36" s="50"/>
      <c r="BI36" s="51"/>
    </row>
    <row r="37" spans="1:80" ht="18" customHeight="1" thickBot="1">
      <c r="A37" s="494" t="s">
        <v>669</v>
      </c>
      <c r="B37" s="495"/>
      <c r="C37" s="495"/>
      <c r="D37" s="495"/>
      <c r="E37" s="495"/>
      <c r="F37" s="487"/>
      <c r="G37" s="487"/>
      <c r="H37" s="487"/>
      <c r="I37" s="487"/>
      <c r="J37" s="487"/>
      <c r="K37" s="487"/>
      <c r="L37" s="487"/>
      <c r="M37" s="487"/>
      <c r="N37" s="487"/>
      <c r="O37" s="487"/>
      <c r="P37" s="487"/>
      <c r="Q37" s="487"/>
      <c r="R37" s="487"/>
      <c r="S37" s="487"/>
      <c r="T37" s="487"/>
      <c r="U37" s="487"/>
      <c r="V37" s="487"/>
      <c r="W37" s="487"/>
      <c r="X37" s="487"/>
      <c r="Y37" s="487"/>
      <c r="Z37" s="487"/>
      <c r="AA37" s="487"/>
      <c r="AB37" s="487"/>
      <c r="AC37" s="487"/>
      <c r="AD37" s="487"/>
      <c r="AE37" s="487"/>
      <c r="AF37" s="487"/>
      <c r="AG37" s="487"/>
      <c r="AH37" s="487"/>
      <c r="AI37" s="488"/>
      <c r="AK37" s="544" t="s">
        <v>240</v>
      </c>
      <c r="AL37" s="545"/>
      <c r="AM37" s="545"/>
      <c r="AN37" s="545"/>
      <c r="AO37" s="545"/>
      <c r="AP37" s="545"/>
      <c r="AQ37" s="122"/>
      <c r="AR37" s="48"/>
      <c r="AS37" s="532"/>
      <c r="AT37" s="532"/>
      <c r="AU37" s="439"/>
      <c r="AV37" s="439"/>
      <c r="AW37" s="439"/>
      <c r="BH37" s="50"/>
      <c r="BI37" s="51"/>
    </row>
    <row r="38" spans="1:80" ht="18" customHeight="1" thickBot="1">
      <c r="A38" s="496" t="s">
        <v>670</v>
      </c>
      <c r="B38" s="497"/>
      <c r="C38" s="497"/>
      <c r="D38" s="497"/>
      <c r="E38" s="497"/>
      <c r="F38" s="416" t="s">
        <v>667</v>
      </c>
      <c r="G38" s="416"/>
      <c r="H38" s="416"/>
      <c r="I38" s="416"/>
      <c r="J38" s="416"/>
      <c r="K38" s="416"/>
      <c r="L38" s="424" t="s">
        <v>722</v>
      </c>
      <c r="M38" s="424"/>
      <c r="N38" s="424"/>
      <c r="O38" s="424"/>
      <c r="P38" s="416" t="s">
        <v>671</v>
      </c>
      <c r="Q38" s="416"/>
      <c r="R38" s="416"/>
      <c r="S38" s="416"/>
      <c r="T38" s="416"/>
      <c r="U38" s="416"/>
      <c r="V38" s="416"/>
      <c r="W38" s="416" t="s">
        <v>667</v>
      </c>
      <c r="X38" s="416"/>
      <c r="Y38" s="416"/>
      <c r="Z38" s="416"/>
      <c r="AA38" s="416"/>
      <c r="AB38" s="416"/>
      <c r="AC38" s="424" t="s">
        <v>722</v>
      </c>
      <c r="AD38" s="424"/>
      <c r="AE38" s="424"/>
      <c r="AF38" s="424"/>
      <c r="AG38" s="424"/>
      <c r="AH38" s="424"/>
      <c r="AI38" s="491"/>
      <c r="AK38" s="543"/>
      <c r="AL38" s="543"/>
      <c r="AM38" s="543"/>
      <c r="AN38" s="543"/>
      <c r="AO38" s="543"/>
      <c r="AP38" s="543"/>
      <c r="AQ38" s="59"/>
      <c r="AR38" s="48"/>
      <c r="BC38" s="50"/>
      <c r="BD38" s="51"/>
    </row>
    <row r="39" spans="1:80" ht="18" customHeight="1">
      <c r="A39" s="452" t="s">
        <v>672</v>
      </c>
      <c r="B39" s="453"/>
      <c r="C39" s="453"/>
      <c r="D39" s="453"/>
      <c r="E39" s="453"/>
      <c r="F39" s="453"/>
      <c r="G39" s="453"/>
      <c r="H39" s="453"/>
      <c r="I39" s="453"/>
      <c r="J39" s="453"/>
      <c r="K39" s="453"/>
      <c r="L39" s="453"/>
      <c r="M39" s="453"/>
      <c r="N39" s="453"/>
      <c r="O39" s="453"/>
      <c r="P39" s="453"/>
      <c r="Q39" s="453"/>
      <c r="R39" s="453"/>
      <c r="S39" s="453"/>
      <c r="T39" s="453"/>
      <c r="U39" s="453"/>
      <c r="V39" s="453"/>
      <c r="W39" s="453"/>
      <c r="X39" s="453"/>
      <c r="Y39" s="453"/>
      <c r="Z39" s="453"/>
      <c r="AA39" s="453"/>
      <c r="AB39" s="453"/>
      <c r="AC39" s="453"/>
      <c r="AD39" s="453"/>
      <c r="AE39" s="453"/>
      <c r="AF39" s="453"/>
      <c r="AG39" s="453"/>
      <c r="AH39" s="453"/>
      <c r="AI39" s="454"/>
      <c r="AK39" s="444" t="s">
        <v>673</v>
      </c>
      <c r="AL39" s="444"/>
      <c r="AM39" s="444"/>
      <c r="AN39" s="444"/>
      <c r="AO39" s="444"/>
      <c r="AP39" s="444"/>
      <c r="AQ39" s="42"/>
      <c r="AR39" s="48"/>
      <c r="AS39" s="423" t="s">
        <v>526</v>
      </c>
      <c r="AT39" s="423"/>
      <c r="AU39" s="148">
        <v>32</v>
      </c>
      <c r="AV39" s="423" t="s">
        <v>528</v>
      </c>
      <c r="AW39" s="423"/>
      <c r="BC39" s="50"/>
      <c r="BD39" s="51"/>
    </row>
    <row r="40" spans="1:80" ht="18" customHeight="1">
      <c r="A40" s="464" t="s">
        <v>674</v>
      </c>
      <c r="B40" s="459"/>
      <c r="C40" s="459"/>
      <c r="D40" s="459"/>
      <c r="E40" s="470" t="s">
        <v>675</v>
      </c>
      <c r="F40" s="471"/>
      <c r="G40" s="471"/>
      <c r="H40" s="471"/>
      <c r="I40" s="471"/>
      <c r="J40" s="471"/>
      <c r="K40" s="472"/>
      <c r="L40" s="458" t="s">
        <v>676</v>
      </c>
      <c r="M40" s="459"/>
      <c r="N40" s="459"/>
      <c r="O40" s="459"/>
      <c r="P40" s="459"/>
      <c r="Q40" s="459"/>
      <c r="R40" s="460"/>
      <c r="S40" s="458" t="s">
        <v>677</v>
      </c>
      <c r="T40" s="459"/>
      <c r="U40" s="459"/>
      <c r="V40" s="459"/>
      <c r="W40" s="470" t="s">
        <v>675</v>
      </c>
      <c r="X40" s="471"/>
      <c r="Y40" s="471"/>
      <c r="Z40" s="471"/>
      <c r="AA40" s="471"/>
      <c r="AB40" s="471"/>
      <c r="AC40" s="472"/>
      <c r="AD40" s="458" t="s">
        <v>678</v>
      </c>
      <c r="AE40" s="459"/>
      <c r="AF40" s="459"/>
      <c r="AG40" s="459"/>
      <c r="AH40" s="459"/>
      <c r="AI40" s="463"/>
      <c r="AK40" s="444" t="s">
        <v>679</v>
      </c>
      <c r="AL40" s="444"/>
      <c r="AM40" s="444"/>
      <c r="AN40" s="444"/>
      <c r="AO40" s="444"/>
      <c r="AP40" s="444"/>
      <c r="AQ40" s="42"/>
      <c r="AR40" s="48"/>
      <c r="AS40" s="423" t="s">
        <v>527</v>
      </c>
      <c r="AT40" s="423"/>
      <c r="AU40" s="148">
        <v>32</v>
      </c>
      <c r="AV40" s="560">
        <v>0.58160000000000001</v>
      </c>
      <c r="AW40" s="560"/>
      <c r="BC40" s="50"/>
      <c r="BD40" s="51"/>
    </row>
    <row r="41" spans="1:80" ht="18" customHeight="1">
      <c r="A41" s="464" t="s">
        <v>16</v>
      </c>
      <c r="B41" s="459"/>
      <c r="C41" s="459"/>
      <c r="D41" s="459"/>
      <c r="E41" s="469">
        <f>AX10</f>
        <v>0.33333333333333331</v>
      </c>
      <c r="F41" s="456"/>
      <c r="G41" s="456"/>
      <c r="H41" s="144" t="s">
        <v>680</v>
      </c>
      <c r="I41" s="456">
        <f>AY10</f>
        <v>0.83333333333333337</v>
      </c>
      <c r="J41" s="456"/>
      <c r="K41" s="457"/>
      <c r="L41" s="458" t="str">
        <f>AU10</f>
        <v>三角龍彦</v>
      </c>
      <c r="M41" s="459"/>
      <c r="N41" s="459"/>
      <c r="O41" s="459"/>
      <c r="P41" s="459"/>
      <c r="Q41" s="459"/>
      <c r="R41" s="460"/>
      <c r="S41" s="409" t="s">
        <v>31</v>
      </c>
      <c r="T41" s="410"/>
      <c r="U41" s="410"/>
      <c r="V41" s="410"/>
      <c r="W41" s="414">
        <v>0.39583333333333331</v>
      </c>
      <c r="X41" s="415"/>
      <c r="Y41" s="415"/>
      <c r="Z41" s="40" t="s">
        <v>680</v>
      </c>
      <c r="AA41" s="415">
        <v>0.77083333333333337</v>
      </c>
      <c r="AB41" s="415"/>
      <c r="AC41" s="461"/>
      <c r="AD41" s="409" t="str">
        <f>AU14</f>
        <v>藤井隆幸</v>
      </c>
      <c r="AE41" s="410"/>
      <c r="AF41" s="410"/>
      <c r="AG41" s="410"/>
      <c r="AH41" s="410"/>
      <c r="AI41" s="462"/>
      <c r="AK41" s="444" t="s">
        <v>681</v>
      </c>
      <c r="AL41" s="444"/>
      <c r="AM41" s="444"/>
      <c r="AN41" s="444"/>
      <c r="AO41" s="444"/>
      <c r="AP41" s="444"/>
      <c r="AQ41" s="42"/>
      <c r="AR41" s="48"/>
      <c r="BC41" s="50"/>
      <c r="BD41" s="51"/>
    </row>
    <row r="42" spans="1:80" ht="18" customHeight="1">
      <c r="A42" s="464" t="s">
        <v>24</v>
      </c>
      <c r="B42" s="459"/>
      <c r="C42" s="459"/>
      <c r="D42" s="459"/>
      <c r="E42" s="469">
        <f>AX13</f>
        <v>0.33333333333333331</v>
      </c>
      <c r="F42" s="456"/>
      <c r="G42" s="456"/>
      <c r="H42" s="144" t="s">
        <v>680</v>
      </c>
      <c r="I42" s="456">
        <f>AY12</f>
        <v>0.83333333333333337</v>
      </c>
      <c r="J42" s="456"/>
      <c r="K42" s="457"/>
      <c r="L42" s="458" t="str">
        <f>AU13</f>
        <v>松葉眞</v>
      </c>
      <c r="M42" s="459"/>
      <c r="N42" s="459"/>
      <c r="O42" s="459"/>
      <c r="P42" s="459"/>
      <c r="Q42" s="459"/>
      <c r="R42" s="460"/>
      <c r="S42" s="409"/>
      <c r="T42" s="410"/>
      <c r="U42" s="410"/>
      <c r="V42" s="410"/>
      <c r="W42" s="414"/>
      <c r="X42" s="415"/>
      <c r="Y42" s="415"/>
      <c r="Z42" s="136"/>
      <c r="AA42" s="415"/>
      <c r="AB42" s="415"/>
      <c r="AC42" s="461"/>
      <c r="AD42" s="409">
        <f>AU15</f>
        <v>0</v>
      </c>
      <c r="AE42" s="410"/>
      <c r="AF42" s="410"/>
      <c r="AG42" s="410"/>
      <c r="AH42" s="410"/>
      <c r="AI42" s="462"/>
      <c r="AK42" s="445" t="s">
        <v>682</v>
      </c>
      <c r="AL42" s="445"/>
      <c r="AM42" s="445"/>
      <c r="AN42" s="445"/>
      <c r="AO42" s="445"/>
      <c r="AP42" s="445"/>
      <c r="AQ42" s="42"/>
      <c r="AR42" s="48"/>
      <c r="AS42" s="561" t="s">
        <v>683</v>
      </c>
      <c r="AT42" s="561"/>
      <c r="AU42" s="561"/>
      <c r="AV42" s="561"/>
      <c r="AW42" s="561"/>
      <c r="BC42" s="50"/>
      <c r="BD42" s="51"/>
    </row>
    <row r="43" spans="1:80" ht="18" customHeight="1">
      <c r="A43" s="464" t="s">
        <v>38</v>
      </c>
      <c r="B43" s="459"/>
      <c r="C43" s="459"/>
      <c r="D43" s="459"/>
      <c r="E43" s="469">
        <f>AX16</f>
        <v>0.83333333333333337</v>
      </c>
      <c r="F43" s="456"/>
      <c r="G43" s="456"/>
      <c r="H43" s="144" t="s">
        <v>680</v>
      </c>
      <c r="I43" s="456" t="str">
        <f>AY16</f>
        <v>翌8:00</v>
      </c>
      <c r="J43" s="456"/>
      <c r="K43" s="457"/>
      <c r="L43" s="458" t="str">
        <f>AU16</f>
        <v>三角龍彦</v>
      </c>
      <c r="M43" s="459"/>
      <c r="N43" s="459"/>
      <c r="O43" s="459"/>
      <c r="P43" s="459"/>
      <c r="Q43" s="459"/>
      <c r="R43" s="460"/>
      <c r="S43" s="409"/>
      <c r="T43" s="410"/>
      <c r="U43" s="410"/>
      <c r="V43" s="410"/>
      <c r="W43" s="414"/>
      <c r="X43" s="415"/>
      <c r="Y43" s="415"/>
      <c r="Z43" s="136"/>
      <c r="AA43" s="415"/>
      <c r="AB43" s="415"/>
      <c r="AC43" s="461"/>
      <c r="AD43" s="486">
        <f>AU18</f>
        <v>0</v>
      </c>
      <c r="AE43" s="410"/>
      <c r="AF43" s="410"/>
      <c r="AG43" s="410"/>
      <c r="AH43" s="410"/>
      <c r="AI43" s="462"/>
      <c r="AK43" s="444" t="s">
        <v>684</v>
      </c>
      <c r="AL43" s="444"/>
      <c r="AM43" s="444"/>
      <c r="AN43" s="444"/>
      <c r="AO43" s="444"/>
      <c r="AP43" s="444"/>
      <c r="AQ43" s="42"/>
      <c r="AR43" s="43"/>
      <c r="AW43"/>
      <c r="AX43"/>
      <c r="AY43"/>
      <c r="AZ43"/>
      <c r="BA43"/>
      <c r="BB43"/>
      <c r="BC43" s="50"/>
      <c r="BD43" s="51"/>
      <c r="BE43"/>
      <c r="BF43"/>
      <c r="BG43"/>
      <c r="BH43"/>
      <c r="BI43"/>
      <c r="BJ43"/>
      <c r="BK43"/>
      <c r="BL43"/>
      <c r="BM43"/>
      <c r="BN43"/>
      <c r="BO43"/>
      <c r="BP43"/>
      <c r="BQ43"/>
      <c r="BR43"/>
      <c r="BS43"/>
      <c r="BT43"/>
      <c r="BU43"/>
      <c r="BV43"/>
      <c r="BW43"/>
      <c r="BX43"/>
      <c r="BY43"/>
      <c r="BZ43"/>
      <c r="CA43"/>
      <c r="CB43"/>
    </row>
    <row r="44" spans="1:80" ht="18" customHeight="1" thickBot="1">
      <c r="A44" s="473" t="s">
        <v>45</v>
      </c>
      <c r="B44" s="474"/>
      <c r="C44" s="474"/>
      <c r="D44" s="474"/>
      <c r="E44" s="475">
        <f>AX17</f>
        <v>0.83333333333333337</v>
      </c>
      <c r="F44" s="476"/>
      <c r="G44" s="476"/>
      <c r="H44" s="145" t="s">
        <v>680</v>
      </c>
      <c r="I44" s="476" t="str">
        <f>AY17</f>
        <v>翌8:00</v>
      </c>
      <c r="J44" s="476"/>
      <c r="K44" s="477"/>
      <c r="L44" s="478" t="str">
        <f>AU17</f>
        <v>片山薫</v>
      </c>
      <c r="M44" s="478"/>
      <c r="N44" s="478"/>
      <c r="O44" s="478"/>
      <c r="P44" s="478"/>
      <c r="Q44" s="478"/>
      <c r="R44" s="478"/>
      <c r="S44" s="479"/>
      <c r="T44" s="480"/>
      <c r="U44" s="480"/>
      <c r="V44" s="480"/>
      <c r="W44" s="481"/>
      <c r="X44" s="482"/>
      <c r="Y44" s="482"/>
      <c r="Z44" s="137"/>
      <c r="AA44" s="482"/>
      <c r="AB44" s="482"/>
      <c r="AC44" s="483"/>
      <c r="AD44" s="484">
        <f>AU19</f>
        <v>42.857142857142854</v>
      </c>
      <c r="AE44" s="480"/>
      <c r="AF44" s="480"/>
      <c r="AG44" s="480"/>
      <c r="AH44" s="480"/>
      <c r="AI44" s="485"/>
      <c r="AK44" s="446" t="s">
        <v>685</v>
      </c>
      <c r="AL44" s="446"/>
      <c r="AM44" s="446"/>
      <c r="AN44" s="446"/>
      <c r="AO44" s="446"/>
      <c r="AP44" s="446"/>
      <c r="AQ44" s="42"/>
      <c r="AR44" s="43"/>
      <c r="BC44" s="50"/>
      <c r="BD44" s="51"/>
    </row>
    <row r="45" spans="1:80" ht="18" customHeight="1" thickBot="1">
      <c r="A45" s="27"/>
      <c r="B45" s="27"/>
      <c r="C45" s="27"/>
      <c r="D45" s="27"/>
      <c r="E45" s="27"/>
      <c r="F45" s="27"/>
      <c r="G45" s="27"/>
      <c r="H45" s="27"/>
      <c r="I45" s="27"/>
      <c r="R45" s="307">
        <f>A7</f>
        <v>46174</v>
      </c>
      <c r="S45" s="308"/>
      <c r="T45" s="308"/>
      <c r="U45" s="308"/>
      <c r="V45" s="23" t="s">
        <v>169</v>
      </c>
      <c r="W45" s="309">
        <f>G7</f>
        <v>46174</v>
      </c>
      <c r="X45" s="308"/>
      <c r="Y45" s="23" t="s">
        <v>170</v>
      </c>
      <c r="Z45" s="310">
        <f>K7</f>
        <v>46174</v>
      </c>
      <c r="AA45" s="308"/>
      <c r="AB45" s="23" t="s">
        <v>3</v>
      </c>
      <c r="AC45" s="455">
        <f>O7</f>
        <v>46174</v>
      </c>
      <c r="AD45" s="308"/>
      <c r="AE45" s="308" t="s">
        <v>292</v>
      </c>
      <c r="AF45" s="308"/>
      <c r="AK45" s="425" t="s">
        <v>686</v>
      </c>
      <c r="AL45" s="425"/>
      <c r="AM45" s="425"/>
      <c r="AN45" s="425"/>
      <c r="AO45" s="425"/>
      <c r="AP45" s="425"/>
      <c r="AQ45" s="42"/>
      <c r="AR45" s="43"/>
      <c r="BC45" s="50"/>
      <c r="BD45" s="51"/>
    </row>
    <row r="46" spans="1:80" customFormat="1" ht="18" customHeight="1">
      <c r="A46" s="452" t="s">
        <v>598</v>
      </c>
      <c r="B46" s="453"/>
      <c r="C46" s="453"/>
      <c r="D46" s="453"/>
      <c r="E46" s="453"/>
      <c r="F46" s="453"/>
      <c r="G46" s="453"/>
      <c r="H46" s="453"/>
      <c r="I46" s="453"/>
      <c r="J46" s="453"/>
      <c r="K46" s="453"/>
      <c r="L46" s="453"/>
      <c r="M46" s="453"/>
      <c r="N46" s="453"/>
      <c r="O46" s="453"/>
      <c r="P46" s="453"/>
      <c r="Q46" s="453"/>
      <c r="R46" s="453"/>
      <c r="S46" s="453"/>
      <c r="T46" s="453"/>
      <c r="U46" s="453"/>
      <c r="V46" s="453"/>
      <c r="W46" s="453"/>
      <c r="X46" s="453"/>
      <c r="Y46" s="453"/>
      <c r="Z46" s="453"/>
      <c r="AA46" s="453"/>
      <c r="AB46" s="453"/>
      <c r="AC46" s="453"/>
      <c r="AD46" s="453"/>
      <c r="AE46" s="453"/>
      <c r="AF46" s="453"/>
      <c r="AG46" s="453"/>
      <c r="AH46" s="453"/>
      <c r="AI46" s="454"/>
      <c r="AK46" s="425" t="s">
        <v>687</v>
      </c>
      <c r="AL46" s="425"/>
      <c r="AM46" s="425"/>
      <c r="AN46" s="425"/>
      <c r="AO46" s="425"/>
      <c r="AP46" s="425"/>
      <c r="AQ46" s="42"/>
      <c r="AR46" s="43"/>
      <c r="AW46" s="23"/>
      <c r="AX46" s="23"/>
      <c r="AY46" s="23"/>
      <c r="AZ46" s="23"/>
      <c r="BA46" s="23"/>
      <c r="BB46" s="23"/>
      <c r="BC46" s="50"/>
      <c r="BD46" s="51"/>
      <c r="BE46" s="23"/>
      <c r="BF46" s="23"/>
      <c r="BG46" s="23"/>
      <c r="BH46" s="23"/>
      <c r="BI46" s="23"/>
      <c r="BJ46" s="23"/>
      <c r="BK46" s="23"/>
      <c r="BL46" s="23"/>
      <c r="BM46" s="23"/>
      <c r="BN46" s="23"/>
      <c r="BO46" s="23"/>
      <c r="BP46" s="23"/>
      <c r="BQ46" s="23"/>
      <c r="BR46" s="23"/>
      <c r="BS46" s="23"/>
      <c r="BT46" s="23"/>
      <c r="BU46" s="23"/>
      <c r="BV46" s="23"/>
      <c r="BW46" s="23"/>
      <c r="BX46" s="23"/>
      <c r="BY46" s="23"/>
      <c r="BZ46" s="23"/>
      <c r="CA46" s="23"/>
      <c r="CB46" s="23"/>
    </row>
    <row r="47" spans="1:80" ht="18" customHeight="1">
      <c r="A47" s="36"/>
      <c r="B47" s="404"/>
      <c r="C47" s="404"/>
      <c r="D47" s="404"/>
      <c r="E47" s="404"/>
      <c r="F47" s="288"/>
      <c r="G47" s="288"/>
      <c r="H47" s="288"/>
      <c r="I47" s="288"/>
      <c r="J47" s="288"/>
      <c r="K47" s="288"/>
      <c r="L47" s="288"/>
      <c r="M47" s="288"/>
      <c r="N47" s="288"/>
      <c r="O47" s="288"/>
      <c r="P47" s="288"/>
      <c r="Q47" s="288"/>
      <c r="R47" s="288"/>
      <c r="S47" s="288"/>
      <c r="T47" s="288"/>
      <c r="U47" s="288"/>
      <c r="V47" s="288"/>
      <c r="W47" s="288"/>
      <c r="X47" s="288"/>
      <c r="Y47" s="288"/>
      <c r="Z47" s="288"/>
      <c r="AA47" s="288"/>
      <c r="AB47" s="288"/>
      <c r="AC47" s="288"/>
      <c r="AD47" s="288"/>
      <c r="AE47" s="288"/>
      <c r="AF47" s="288"/>
      <c r="AG47" s="288"/>
      <c r="AH47" s="288"/>
      <c r="AI47" s="289"/>
      <c r="AK47" s="425" t="s">
        <v>688</v>
      </c>
      <c r="AL47" s="425"/>
      <c r="AM47" s="425"/>
      <c r="AN47" s="425"/>
      <c r="AO47" s="425"/>
      <c r="AP47" s="425"/>
      <c r="AQ47" s="42"/>
      <c r="AR47" s="43"/>
      <c r="AS47" s="120" t="s">
        <v>189</v>
      </c>
      <c r="AT47" s="43" t="s">
        <v>689</v>
      </c>
      <c r="AU47" s="43"/>
      <c r="BC47" s="50"/>
      <c r="BD47" s="51"/>
    </row>
    <row r="48" spans="1:80" ht="18" customHeight="1">
      <c r="A48" s="36"/>
      <c r="B48" s="404"/>
      <c r="C48" s="404"/>
      <c r="D48" s="404"/>
      <c r="E48" s="404"/>
      <c r="F48" s="288"/>
      <c r="G48" s="288"/>
      <c r="H48" s="288"/>
      <c r="I48" s="288"/>
      <c r="J48" s="288"/>
      <c r="K48" s="288"/>
      <c r="L48" s="288"/>
      <c r="M48" s="288"/>
      <c r="N48" s="288"/>
      <c r="O48" s="288"/>
      <c r="P48" s="288"/>
      <c r="Q48" s="288"/>
      <c r="R48" s="288"/>
      <c r="S48" s="288"/>
      <c r="T48" s="288"/>
      <c r="U48" s="288"/>
      <c r="V48" s="288"/>
      <c r="W48" s="288"/>
      <c r="X48" s="288"/>
      <c r="Y48" s="288"/>
      <c r="Z48" s="288"/>
      <c r="AA48" s="288"/>
      <c r="AB48" s="288"/>
      <c r="AC48" s="288"/>
      <c r="AD48" s="288"/>
      <c r="AE48" s="288"/>
      <c r="AF48" s="288"/>
      <c r="AG48" s="288"/>
      <c r="AH48" s="288"/>
      <c r="AI48" s="289"/>
      <c r="AK48" s="425" t="s">
        <v>690</v>
      </c>
      <c r="AL48" s="425"/>
      <c r="AM48" s="425"/>
      <c r="AN48" s="425"/>
      <c r="AO48" s="425"/>
      <c r="AP48" s="425"/>
      <c r="AQ48" s="42"/>
      <c r="AR48" s="43"/>
      <c r="AS48" s="43"/>
      <c r="AT48" s="43"/>
      <c r="AU48" s="43"/>
      <c r="BC48" s="50"/>
      <c r="BD48" s="51"/>
    </row>
    <row r="49" spans="1:61" ht="18" customHeight="1">
      <c r="A49" s="36"/>
      <c r="B49" s="404"/>
      <c r="C49" s="404"/>
      <c r="D49" s="404"/>
      <c r="E49" s="404"/>
      <c r="F49" s="288"/>
      <c r="G49" s="288"/>
      <c r="H49" s="288"/>
      <c r="I49" s="288"/>
      <c r="J49" s="288"/>
      <c r="K49" s="288"/>
      <c r="L49" s="288"/>
      <c r="M49" s="288"/>
      <c r="N49" s="288"/>
      <c r="O49" s="288"/>
      <c r="P49" s="288"/>
      <c r="Q49" s="288"/>
      <c r="R49" s="288"/>
      <c r="S49" s="288"/>
      <c r="T49" s="288"/>
      <c r="U49" s="288"/>
      <c r="V49" s="288"/>
      <c r="W49" s="288"/>
      <c r="X49" s="288"/>
      <c r="Y49" s="288"/>
      <c r="Z49" s="288"/>
      <c r="AA49" s="288"/>
      <c r="AB49" s="288"/>
      <c r="AC49" s="288"/>
      <c r="AD49" s="288"/>
      <c r="AE49" s="288"/>
      <c r="AF49" s="288"/>
      <c r="AG49" s="288"/>
      <c r="AH49" s="288"/>
      <c r="AI49" s="289"/>
      <c r="AK49" s="425" t="s">
        <v>691</v>
      </c>
      <c r="AL49" s="425"/>
      <c r="AM49" s="425"/>
      <c r="AN49" s="425"/>
      <c r="AO49" s="425"/>
      <c r="AP49" s="425"/>
      <c r="AQ49" s="42"/>
      <c r="AR49" s="43"/>
      <c r="AS49" s="43"/>
      <c r="AT49" s="43"/>
      <c r="AU49" s="43"/>
      <c r="BC49" s="50"/>
      <c r="BD49" s="51"/>
    </row>
    <row r="50" spans="1:61" ht="18" customHeight="1">
      <c r="A50" s="36"/>
      <c r="B50" s="404"/>
      <c r="C50" s="404"/>
      <c r="D50" s="404"/>
      <c r="E50" s="404"/>
      <c r="F50" s="288"/>
      <c r="G50" s="288"/>
      <c r="H50" s="288"/>
      <c r="I50" s="288"/>
      <c r="J50" s="288"/>
      <c r="K50" s="288"/>
      <c r="L50" s="288"/>
      <c r="M50" s="288"/>
      <c r="N50" s="288"/>
      <c r="O50" s="288"/>
      <c r="P50" s="288"/>
      <c r="Q50" s="288"/>
      <c r="R50" s="288"/>
      <c r="S50" s="288"/>
      <c r="T50" s="288"/>
      <c r="U50" s="288"/>
      <c r="V50" s="288"/>
      <c r="W50" s="288"/>
      <c r="X50" s="288"/>
      <c r="Y50" s="288"/>
      <c r="Z50" s="288"/>
      <c r="AA50" s="288"/>
      <c r="AB50" s="288"/>
      <c r="AC50" s="288"/>
      <c r="AD50" s="288"/>
      <c r="AE50" s="288"/>
      <c r="AF50" s="288"/>
      <c r="AG50" s="288"/>
      <c r="AH50" s="288"/>
      <c r="AI50" s="289"/>
      <c r="AK50" s="425" t="s">
        <v>692</v>
      </c>
      <c r="AL50" s="425"/>
      <c r="AM50" s="425"/>
      <c r="AN50" s="425"/>
      <c r="AO50" s="425"/>
      <c r="AP50" s="425"/>
      <c r="AQ50" s="42"/>
      <c r="AR50" s="43"/>
      <c r="AS50" s="43"/>
      <c r="AT50" s="43"/>
      <c r="AU50" s="43"/>
      <c r="BC50" s="50"/>
      <c r="BD50" s="51"/>
    </row>
    <row r="51" spans="1:61" ht="18" customHeight="1">
      <c r="A51" s="36"/>
      <c r="B51" s="404"/>
      <c r="C51" s="404"/>
      <c r="D51" s="404"/>
      <c r="E51" s="404"/>
      <c r="F51" s="288"/>
      <c r="G51" s="288"/>
      <c r="H51" s="288"/>
      <c r="I51" s="288"/>
      <c r="J51" s="288"/>
      <c r="K51" s="288"/>
      <c r="L51" s="288"/>
      <c r="M51" s="288"/>
      <c r="N51" s="288"/>
      <c r="O51" s="288"/>
      <c r="P51" s="288"/>
      <c r="Q51" s="288"/>
      <c r="R51" s="288"/>
      <c r="S51" s="288"/>
      <c r="T51" s="288"/>
      <c r="U51" s="288"/>
      <c r="V51" s="288"/>
      <c r="W51" s="288"/>
      <c r="X51" s="288"/>
      <c r="Y51" s="288"/>
      <c r="Z51" s="288"/>
      <c r="AA51" s="288"/>
      <c r="AB51" s="288"/>
      <c r="AC51" s="288"/>
      <c r="AD51" s="288"/>
      <c r="AE51" s="288"/>
      <c r="AF51" s="288"/>
      <c r="AG51" s="288"/>
      <c r="AH51" s="288"/>
      <c r="AI51" s="289"/>
      <c r="AK51" s="425" t="s">
        <v>693</v>
      </c>
      <c r="AL51" s="425"/>
      <c r="AM51" s="425"/>
      <c r="AN51" s="425"/>
      <c r="AO51" s="425"/>
      <c r="AP51" s="425"/>
      <c r="AQ51" s="42"/>
      <c r="AR51" s="43"/>
      <c r="AS51" s="43"/>
      <c r="AT51" s="43"/>
      <c r="AU51" s="43"/>
      <c r="BC51" s="50"/>
      <c r="BD51" s="51"/>
    </row>
    <row r="52" spans="1:61" ht="18" customHeight="1">
      <c r="A52" s="36"/>
      <c r="B52" s="404"/>
      <c r="C52" s="404"/>
      <c r="D52" s="404"/>
      <c r="E52" s="404"/>
      <c r="F52" s="288"/>
      <c r="G52" s="288"/>
      <c r="H52" s="288"/>
      <c r="I52" s="288"/>
      <c r="J52" s="288"/>
      <c r="K52" s="288"/>
      <c r="L52" s="288"/>
      <c r="M52" s="288"/>
      <c r="N52" s="288"/>
      <c r="O52" s="288"/>
      <c r="P52" s="288"/>
      <c r="Q52" s="288"/>
      <c r="R52" s="288"/>
      <c r="S52" s="288"/>
      <c r="T52" s="288"/>
      <c r="U52" s="288"/>
      <c r="V52" s="288"/>
      <c r="W52" s="288"/>
      <c r="X52" s="288"/>
      <c r="Y52" s="288"/>
      <c r="Z52" s="288"/>
      <c r="AA52" s="288"/>
      <c r="AB52" s="288"/>
      <c r="AC52" s="288"/>
      <c r="AD52" s="288"/>
      <c r="AE52" s="288"/>
      <c r="AF52" s="288"/>
      <c r="AG52" s="288"/>
      <c r="AH52" s="288"/>
      <c r="AI52" s="289"/>
      <c r="AK52" s="425" t="s">
        <v>694</v>
      </c>
      <c r="AL52" s="425"/>
      <c r="AM52" s="425"/>
      <c r="AN52" s="425"/>
      <c r="AO52" s="425"/>
      <c r="AP52" s="425"/>
      <c r="AQ52" s="42"/>
      <c r="AR52" s="43"/>
      <c r="AS52" s="43"/>
      <c r="AV52" s="43"/>
      <c r="AW52" s="43"/>
      <c r="AX52" s="43"/>
      <c r="AY52" s="43"/>
      <c r="AZ52" s="43"/>
      <c r="BA52" s="43"/>
      <c r="BH52" s="52"/>
      <c r="BI52" s="51"/>
    </row>
    <row r="53" spans="1:61" ht="18" customHeight="1">
      <c r="A53" s="36"/>
      <c r="B53" s="404"/>
      <c r="C53" s="404"/>
      <c r="D53" s="404"/>
      <c r="E53" s="404"/>
      <c r="F53" s="288"/>
      <c r="G53" s="288"/>
      <c r="H53" s="288"/>
      <c r="I53" s="288"/>
      <c r="J53" s="288"/>
      <c r="K53" s="288"/>
      <c r="L53" s="288"/>
      <c r="M53" s="288"/>
      <c r="N53" s="288"/>
      <c r="O53" s="288"/>
      <c r="P53" s="288"/>
      <c r="Q53" s="288"/>
      <c r="R53" s="288"/>
      <c r="S53" s="288"/>
      <c r="T53" s="288"/>
      <c r="U53" s="288"/>
      <c r="V53" s="288"/>
      <c r="W53" s="288"/>
      <c r="X53" s="288"/>
      <c r="Y53" s="288"/>
      <c r="Z53" s="288"/>
      <c r="AA53" s="288"/>
      <c r="AB53" s="288"/>
      <c r="AC53" s="288"/>
      <c r="AD53" s="288"/>
      <c r="AE53" s="288"/>
      <c r="AF53" s="288"/>
      <c r="AG53" s="288"/>
      <c r="AH53" s="288"/>
      <c r="AI53" s="289"/>
      <c r="AK53" s="425" t="s">
        <v>695</v>
      </c>
      <c r="AL53" s="425"/>
      <c r="AM53" s="425"/>
      <c r="AN53" s="425"/>
      <c r="AO53" s="425"/>
      <c r="AP53" s="425"/>
      <c r="AQ53" s="42"/>
      <c r="AR53" s="43"/>
      <c r="AS53" s="43"/>
      <c r="AT53" s="43"/>
      <c r="AU53" s="43"/>
      <c r="AV53" s="43"/>
      <c r="AW53" s="43"/>
      <c r="AX53" s="43"/>
      <c r="AY53" s="43"/>
      <c r="AZ53" s="43"/>
      <c r="BH53" s="50"/>
      <c r="BI53" s="51"/>
    </row>
    <row r="54" spans="1:61" ht="18" customHeight="1">
      <c r="A54" s="36"/>
      <c r="B54" s="404"/>
      <c r="C54" s="404"/>
      <c r="D54" s="404"/>
      <c r="E54" s="404"/>
      <c r="F54" s="288"/>
      <c r="G54" s="288"/>
      <c r="H54" s="288"/>
      <c r="I54" s="288"/>
      <c r="J54" s="288"/>
      <c r="K54" s="288"/>
      <c r="L54" s="288"/>
      <c r="M54" s="288"/>
      <c r="N54" s="288"/>
      <c r="O54" s="288"/>
      <c r="P54" s="288"/>
      <c r="Q54" s="288"/>
      <c r="R54" s="288"/>
      <c r="S54" s="288"/>
      <c r="T54" s="288"/>
      <c r="U54" s="288"/>
      <c r="V54" s="288"/>
      <c r="W54" s="288"/>
      <c r="X54" s="288"/>
      <c r="Y54" s="288"/>
      <c r="Z54" s="288"/>
      <c r="AA54" s="288"/>
      <c r="AB54" s="288"/>
      <c r="AC54" s="288"/>
      <c r="AD54" s="288"/>
      <c r="AE54" s="288"/>
      <c r="AF54" s="288"/>
      <c r="AG54" s="288"/>
      <c r="AH54" s="288"/>
      <c r="AI54" s="289"/>
      <c r="AK54" s="425" t="s">
        <v>696</v>
      </c>
      <c r="AL54" s="425"/>
      <c r="AM54" s="425"/>
      <c r="AN54" s="425"/>
      <c r="AO54" s="425"/>
      <c r="AP54" s="425"/>
      <c r="AQ54" s="42"/>
      <c r="AR54" s="43"/>
      <c r="AS54" s="43"/>
      <c r="AT54" s="43"/>
      <c r="AU54" s="43"/>
      <c r="AV54" s="43"/>
      <c r="AW54" s="43"/>
      <c r="AX54" s="43"/>
      <c r="AY54" s="43"/>
      <c r="AZ54" s="43"/>
      <c r="BH54" s="50"/>
      <c r="BI54" s="51"/>
    </row>
    <row r="55" spans="1:61" ht="18" customHeight="1">
      <c r="A55" s="36"/>
      <c r="B55" s="404"/>
      <c r="C55" s="404"/>
      <c r="D55" s="404"/>
      <c r="E55" s="404"/>
      <c r="F55" s="288"/>
      <c r="G55" s="288"/>
      <c r="H55" s="288"/>
      <c r="I55" s="288"/>
      <c r="J55" s="288"/>
      <c r="K55" s="288"/>
      <c r="L55" s="288"/>
      <c r="M55" s="288"/>
      <c r="N55" s="288"/>
      <c r="O55" s="288"/>
      <c r="P55" s="288"/>
      <c r="Q55" s="288"/>
      <c r="R55" s="288"/>
      <c r="S55" s="288"/>
      <c r="T55" s="288"/>
      <c r="U55" s="288"/>
      <c r="V55" s="288"/>
      <c r="W55" s="288"/>
      <c r="X55" s="288"/>
      <c r="Y55" s="288"/>
      <c r="Z55" s="288"/>
      <c r="AA55" s="288"/>
      <c r="AB55" s="288"/>
      <c r="AC55" s="288"/>
      <c r="AD55" s="288"/>
      <c r="AE55" s="288"/>
      <c r="AF55" s="288"/>
      <c r="AG55" s="288"/>
      <c r="AH55" s="288"/>
      <c r="AI55" s="289"/>
      <c r="AK55" s="425" t="s">
        <v>697</v>
      </c>
      <c r="AL55" s="425"/>
      <c r="AM55" s="425"/>
      <c r="AN55" s="425"/>
      <c r="AO55" s="425"/>
      <c r="AP55" s="425"/>
      <c r="AQ55" s="42"/>
      <c r="AR55" s="43"/>
      <c r="AS55" s="43"/>
      <c r="AT55" s="43"/>
      <c r="AU55" s="43"/>
      <c r="AV55" s="43"/>
      <c r="AW55" s="43"/>
      <c r="AX55" s="43"/>
      <c r="AY55" s="43"/>
      <c r="AZ55" s="43"/>
      <c r="BH55" s="50"/>
      <c r="BI55" s="51"/>
    </row>
    <row r="56" spans="1:61" ht="18" customHeight="1">
      <c r="A56" s="36"/>
      <c r="B56" s="404"/>
      <c r="C56" s="404"/>
      <c r="D56" s="404"/>
      <c r="E56" s="404"/>
      <c r="F56" s="288"/>
      <c r="G56" s="288"/>
      <c r="H56" s="288"/>
      <c r="I56" s="288"/>
      <c r="J56" s="288"/>
      <c r="K56" s="288"/>
      <c r="L56" s="288"/>
      <c r="M56" s="288"/>
      <c r="N56" s="288"/>
      <c r="O56" s="288"/>
      <c r="P56" s="288"/>
      <c r="Q56" s="288"/>
      <c r="R56" s="288"/>
      <c r="S56" s="288"/>
      <c r="T56" s="288"/>
      <c r="U56" s="288"/>
      <c r="V56" s="288"/>
      <c r="W56" s="288"/>
      <c r="X56" s="288"/>
      <c r="Y56" s="288"/>
      <c r="Z56" s="288"/>
      <c r="AA56" s="288"/>
      <c r="AB56" s="288"/>
      <c r="AC56" s="288"/>
      <c r="AD56" s="288"/>
      <c r="AE56" s="288"/>
      <c r="AF56" s="288"/>
      <c r="AG56" s="288"/>
      <c r="AH56" s="288"/>
      <c r="AI56" s="289"/>
      <c r="AK56" s="425" t="s">
        <v>698</v>
      </c>
      <c r="AL56" s="425"/>
      <c r="AM56" s="425"/>
      <c r="AN56" s="425"/>
      <c r="AO56" s="425"/>
      <c r="AP56" s="425"/>
      <c r="AQ56" s="42"/>
      <c r="AR56" s="43"/>
      <c r="AS56" s="43"/>
      <c r="AT56" s="43"/>
      <c r="AU56" s="43"/>
      <c r="AV56" s="43"/>
      <c r="AW56" s="43"/>
      <c r="AX56" s="43"/>
      <c r="AY56" s="43"/>
      <c r="AZ56" s="43"/>
      <c r="BH56" s="52"/>
      <c r="BI56" s="51"/>
    </row>
    <row r="57" spans="1:61" ht="18" customHeight="1">
      <c r="A57" s="36"/>
      <c r="B57" s="404"/>
      <c r="C57" s="404"/>
      <c r="D57" s="404"/>
      <c r="E57" s="404"/>
      <c r="F57" s="288"/>
      <c r="G57" s="288"/>
      <c r="H57" s="288"/>
      <c r="I57" s="288"/>
      <c r="J57" s="288"/>
      <c r="K57" s="288"/>
      <c r="L57" s="288"/>
      <c r="M57" s="288"/>
      <c r="N57" s="288"/>
      <c r="O57" s="288"/>
      <c r="P57" s="288"/>
      <c r="Q57" s="288"/>
      <c r="R57" s="288"/>
      <c r="S57" s="288"/>
      <c r="T57" s="288"/>
      <c r="U57" s="288"/>
      <c r="V57" s="288"/>
      <c r="W57" s="288"/>
      <c r="X57" s="288"/>
      <c r="Y57" s="288"/>
      <c r="Z57" s="288"/>
      <c r="AA57" s="288"/>
      <c r="AB57" s="288"/>
      <c r="AC57" s="288"/>
      <c r="AD57" s="288"/>
      <c r="AE57" s="288"/>
      <c r="AF57" s="288"/>
      <c r="AG57" s="288"/>
      <c r="AH57" s="288"/>
      <c r="AI57" s="289"/>
      <c r="AK57" s="425" t="s">
        <v>699</v>
      </c>
      <c r="AL57" s="425"/>
      <c r="AM57" s="425"/>
      <c r="AN57" s="425"/>
      <c r="AO57" s="425"/>
      <c r="AP57" s="425"/>
      <c r="AQ57" s="42"/>
      <c r="AR57" s="43"/>
      <c r="AS57" s="43"/>
      <c r="AT57" s="43"/>
      <c r="AU57" s="43"/>
      <c r="AV57" s="43"/>
      <c r="AW57" s="43"/>
      <c r="AX57" s="43"/>
      <c r="AY57" s="43"/>
      <c r="AZ57" s="43"/>
      <c r="BH57" s="50"/>
      <c r="BI57" s="51"/>
    </row>
    <row r="58" spans="1:61" ht="18" customHeight="1">
      <c r="A58" s="36"/>
      <c r="B58" s="404"/>
      <c r="C58" s="404"/>
      <c r="D58" s="404"/>
      <c r="E58" s="404"/>
      <c r="F58" s="288"/>
      <c r="G58" s="288"/>
      <c r="H58" s="288"/>
      <c r="I58" s="288"/>
      <c r="J58" s="288"/>
      <c r="K58" s="288"/>
      <c r="L58" s="288"/>
      <c r="M58" s="288"/>
      <c r="N58" s="288"/>
      <c r="O58" s="288"/>
      <c r="P58" s="288"/>
      <c r="Q58" s="288"/>
      <c r="R58" s="288"/>
      <c r="S58" s="288"/>
      <c r="T58" s="288"/>
      <c r="U58" s="288"/>
      <c r="V58" s="288"/>
      <c r="W58" s="288"/>
      <c r="X58" s="288"/>
      <c r="Y58" s="288"/>
      <c r="Z58" s="288"/>
      <c r="AA58" s="288"/>
      <c r="AB58" s="288"/>
      <c r="AC58" s="288"/>
      <c r="AD58" s="288"/>
      <c r="AE58" s="288"/>
      <c r="AF58" s="288"/>
      <c r="AG58" s="288"/>
      <c r="AH58" s="288"/>
      <c r="AI58" s="289"/>
      <c r="AK58" s="425" t="s">
        <v>700</v>
      </c>
      <c r="AL58" s="425"/>
      <c r="AM58" s="425"/>
      <c r="AN58" s="425"/>
      <c r="AO58" s="425"/>
      <c r="AP58" s="425"/>
      <c r="AQ58" s="42"/>
      <c r="AR58" s="43"/>
      <c r="AS58" s="43"/>
      <c r="AT58" s="43"/>
      <c r="AU58" s="43"/>
      <c r="AV58" s="43"/>
      <c r="AW58" s="43"/>
      <c r="AX58" s="43"/>
      <c r="AY58" s="43"/>
      <c r="AZ58" s="43"/>
      <c r="BH58" s="50"/>
      <c r="BI58" s="51"/>
    </row>
    <row r="59" spans="1:61" ht="18" customHeight="1">
      <c r="A59" s="36"/>
      <c r="B59" s="404"/>
      <c r="C59" s="404"/>
      <c r="D59" s="404"/>
      <c r="E59" s="404"/>
      <c r="F59" s="288"/>
      <c r="G59" s="288"/>
      <c r="H59" s="288"/>
      <c r="I59" s="288"/>
      <c r="J59" s="288"/>
      <c r="K59" s="288"/>
      <c r="L59" s="288"/>
      <c r="M59" s="288"/>
      <c r="N59" s="288"/>
      <c r="O59" s="288"/>
      <c r="P59" s="288"/>
      <c r="Q59" s="288"/>
      <c r="R59" s="288"/>
      <c r="S59" s="288"/>
      <c r="T59" s="288"/>
      <c r="U59" s="288"/>
      <c r="V59" s="288"/>
      <c r="W59" s="288"/>
      <c r="X59" s="288"/>
      <c r="Y59" s="288"/>
      <c r="Z59" s="288"/>
      <c r="AA59" s="288"/>
      <c r="AB59" s="288"/>
      <c r="AC59" s="288"/>
      <c r="AD59" s="288"/>
      <c r="AE59" s="288"/>
      <c r="AF59" s="288"/>
      <c r="AG59" s="288"/>
      <c r="AH59" s="288"/>
      <c r="AI59" s="289"/>
      <c r="AK59" s="425" t="s">
        <v>701</v>
      </c>
      <c r="AL59" s="425"/>
      <c r="AM59" s="425"/>
      <c r="AN59" s="425"/>
      <c r="AO59" s="425"/>
      <c r="AP59" s="425"/>
      <c r="AQ59" s="42"/>
      <c r="AR59" s="43"/>
      <c r="AS59" s="43"/>
      <c r="AT59" s="43"/>
      <c r="AU59" s="43"/>
      <c r="AV59" s="43"/>
      <c r="AW59" s="43"/>
      <c r="AX59" s="43"/>
      <c r="AY59" s="43"/>
      <c r="AZ59" s="43"/>
      <c r="BH59" s="50"/>
      <c r="BI59" s="51"/>
    </row>
    <row r="60" spans="1:61" ht="18" customHeight="1">
      <c r="A60" s="36"/>
      <c r="B60" s="404"/>
      <c r="C60" s="404"/>
      <c r="D60" s="404"/>
      <c r="E60" s="404"/>
      <c r="F60" s="288"/>
      <c r="G60" s="288"/>
      <c r="H60" s="288"/>
      <c r="I60" s="288"/>
      <c r="J60" s="288"/>
      <c r="K60" s="288"/>
      <c r="L60" s="288"/>
      <c r="M60" s="288"/>
      <c r="N60" s="288"/>
      <c r="O60" s="288"/>
      <c r="P60" s="288"/>
      <c r="Q60" s="288"/>
      <c r="R60" s="288"/>
      <c r="S60" s="288"/>
      <c r="T60" s="288"/>
      <c r="U60" s="288"/>
      <c r="V60" s="288"/>
      <c r="W60" s="288"/>
      <c r="X60" s="288"/>
      <c r="Y60" s="288"/>
      <c r="Z60" s="288"/>
      <c r="AA60" s="288"/>
      <c r="AB60" s="288"/>
      <c r="AC60" s="288"/>
      <c r="AD60" s="288"/>
      <c r="AE60" s="288"/>
      <c r="AF60" s="288"/>
      <c r="AG60" s="288"/>
      <c r="AH60" s="288"/>
      <c r="AI60" s="289"/>
      <c r="AK60" s="425" t="s">
        <v>702</v>
      </c>
      <c r="AL60" s="425"/>
      <c r="AM60" s="425"/>
      <c r="AN60" s="425"/>
      <c r="AO60" s="425"/>
      <c r="AP60" s="425"/>
      <c r="AQ60" s="42"/>
      <c r="AR60" s="43"/>
      <c r="AS60" s="43"/>
      <c r="AT60" s="43"/>
      <c r="AU60" s="43"/>
      <c r="AV60" s="43"/>
      <c r="AW60" s="43"/>
      <c r="AX60" s="43"/>
      <c r="AY60" s="43"/>
      <c r="AZ60" s="43"/>
      <c r="BH60" s="52"/>
      <c r="BI60" s="51"/>
    </row>
    <row r="61" spans="1:61" ht="18" customHeight="1">
      <c r="A61" s="36"/>
      <c r="B61" s="404"/>
      <c r="C61" s="404"/>
      <c r="D61" s="404"/>
      <c r="E61" s="404"/>
      <c r="F61" s="288"/>
      <c r="G61" s="288"/>
      <c r="H61" s="288"/>
      <c r="I61" s="288"/>
      <c r="J61" s="288"/>
      <c r="K61" s="288"/>
      <c r="L61" s="288"/>
      <c r="M61" s="288"/>
      <c r="N61" s="288"/>
      <c r="O61" s="288"/>
      <c r="P61" s="288"/>
      <c r="Q61" s="288"/>
      <c r="R61" s="288"/>
      <c r="S61" s="288"/>
      <c r="T61" s="288"/>
      <c r="U61" s="288"/>
      <c r="V61" s="288"/>
      <c r="W61" s="288"/>
      <c r="X61" s="288"/>
      <c r="Y61" s="288"/>
      <c r="Z61" s="288"/>
      <c r="AA61" s="288"/>
      <c r="AB61" s="288"/>
      <c r="AC61" s="288"/>
      <c r="AD61" s="288"/>
      <c r="AE61" s="288"/>
      <c r="AF61" s="288"/>
      <c r="AG61" s="288"/>
      <c r="AH61" s="288"/>
      <c r="AI61" s="289"/>
      <c r="AK61" s="425" t="s">
        <v>703</v>
      </c>
      <c r="AL61" s="425"/>
      <c r="AM61" s="425"/>
      <c r="AN61" s="425"/>
      <c r="AO61" s="425"/>
      <c r="AP61" s="425"/>
      <c r="AQ61" s="42"/>
      <c r="AR61" s="43"/>
      <c r="AS61" s="43"/>
      <c r="AT61" s="43"/>
      <c r="AU61" s="43"/>
      <c r="AV61" s="43"/>
      <c r="AW61" s="43"/>
      <c r="AX61" s="43"/>
      <c r="AY61" s="43"/>
      <c r="AZ61" s="43"/>
      <c r="BH61" s="50"/>
      <c r="BI61" s="51"/>
    </row>
    <row r="62" spans="1:61" ht="18" customHeight="1">
      <c r="A62" s="36"/>
      <c r="B62" s="404"/>
      <c r="C62" s="404"/>
      <c r="D62" s="404"/>
      <c r="E62" s="404"/>
      <c r="F62" s="288"/>
      <c r="G62" s="288"/>
      <c r="H62" s="288"/>
      <c r="I62" s="288"/>
      <c r="J62" s="288"/>
      <c r="K62" s="288"/>
      <c r="L62" s="288"/>
      <c r="M62" s="288"/>
      <c r="N62" s="288"/>
      <c r="O62" s="288"/>
      <c r="P62" s="288"/>
      <c r="Q62" s="288"/>
      <c r="R62" s="288"/>
      <c r="S62" s="288"/>
      <c r="T62" s="288"/>
      <c r="U62" s="288"/>
      <c r="V62" s="288"/>
      <c r="W62" s="288"/>
      <c r="X62" s="288"/>
      <c r="Y62" s="288"/>
      <c r="Z62" s="288"/>
      <c r="AA62" s="288"/>
      <c r="AB62" s="288"/>
      <c r="AC62" s="288"/>
      <c r="AD62" s="288"/>
      <c r="AE62" s="288"/>
      <c r="AF62" s="288"/>
      <c r="AG62" s="288"/>
      <c r="AH62" s="288"/>
      <c r="AI62" s="289"/>
      <c r="AK62" s="425"/>
      <c r="AL62" s="425"/>
      <c r="AM62" s="425"/>
      <c r="AN62" s="425"/>
      <c r="AO62" s="425"/>
      <c r="AP62" s="425"/>
      <c r="AQ62" s="42"/>
      <c r="AR62" s="43"/>
      <c r="AS62" s="43"/>
      <c r="AT62" s="43"/>
      <c r="AU62" s="43"/>
      <c r="AV62" s="43"/>
      <c r="AW62" s="43"/>
      <c r="AX62" s="43"/>
      <c r="AY62" s="43"/>
      <c r="AZ62" s="43"/>
      <c r="BH62" s="50"/>
      <c r="BI62" s="51"/>
    </row>
    <row r="63" spans="1:61" ht="18" customHeight="1">
      <c r="A63" s="36"/>
      <c r="B63" s="404"/>
      <c r="C63" s="404"/>
      <c r="D63" s="404"/>
      <c r="E63" s="404"/>
      <c r="F63" s="288"/>
      <c r="G63" s="288"/>
      <c r="H63" s="288"/>
      <c r="I63" s="288"/>
      <c r="J63" s="288"/>
      <c r="K63" s="288"/>
      <c r="L63" s="288"/>
      <c r="M63" s="288"/>
      <c r="N63" s="288"/>
      <c r="O63" s="288"/>
      <c r="P63" s="288"/>
      <c r="Q63" s="288"/>
      <c r="R63" s="288"/>
      <c r="S63" s="288"/>
      <c r="T63" s="288"/>
      <c r="U63" s="288"/>
      <c r="V63" s="288"/>
      <c r="W63" s="288"/>
      <c r="X63" s="288"/>
      <c r="Y63" s="288"/>
      <c r="Z63" s="288"/>
      <c r="AA63" s="288"/>
      <c r="AB63" s="288"/>
      <c r="AC63" s="288"/>
      <c r="AD63" s="288"/>
      <c r="AE63" s="288"/>
      <c r="AF63" s="288"/>
      <c r="AG63" s="288"/>
      <c r="AH63" s="288"/>
      <c r="AI63" s="289"/>
      <c r="AK63" s="425"/>
      <c r="AL63" s="425"/>
      <c r="AM63" s="425"/>
      <c r="AN63" s="425"/>
      <c r="AO63" s="425"/>
      <c r="AP63" s="425"/>
      <c r="AQ63" s="42"/>
      <c r="AR63" s="43"/>
      <c r="AS63" s="43"/>
      <c r="AT63" s="43"/>
      <c r="AU63" s="43"/>
      <c r="AV63" s="43"/>
      <c r="AW63" s="43"/>
      <c r="AX63" s="43"/>
      <c r="AY63" s="43"/>
      <c r="AZ63" s="43"/>
      <c r="BH63" s="52"/>
      <c r="BI63" s="51"/>
    </row>
    <row r="64" spans="1:61" ht="18" customHeight="1">
      <c r="A64" s="36"/>
      <c r="B64" s="404"/>
      <c r="C64" s="404"/>
      <c r="D64" s="404"/>
      <c r="E64" s="404"/>
      <c r="F64" s="288"/>
      <c r="G64" s="288"/>
      <c r="H64" s="288"/>
      <c r="I64" s="288"/>
      <c r="J64" s="288"/>
      <c r="K64" s="288"/>
      <c r="L64" s="288"/>
      <c r="M64" s="288"/>
      <c r="N64" s="288"/>
      <c r="O64" s="288"/>
      <c r="P64" s="288"/>
      <c r="Q64" s="288"/>
      <c r="R64" s="288"/>
      <c r="S64" s="288"/>
      <c r="T64" s="288"/>
      <c r="U64" s="288"/>
      <c r="V64" s="288"/>
      <c r="W64" s="288"/>
      <c r="X64" s="288"/>
      <c r="Y64" s="288"/>
      <c r="Z64" s="288"/>
      <c r="AA64" s="288"/>
      <c r="AB64" s="288"/>
      <c r="AC64" s="288"/>
      <c r="AD64" s="288"/>
      <c r="AE64" s="288"/>
      <c r="AF64" s="288"/>
      <c r="AG64" s="288"/>
      <c r="AH64" s="288"/>
      <c r="AI64" s="289"/>
      <c r="AK64" s="425"/>
      <c r="AL64" s="425"/>
      <c r="AM64" s="425"/>
      <c r="AN64" s="425"/>
      <c r="AO64" s="425"/>
      <c r="AP64" s="425"/>
      <c r="AQ64" s="42"/>
      <c r="AR64" s="43"/>
      <c r="AS64" s="43"/>
      <c r="AT64" s="43"/>
      <c r="AU64" s="43"/>
      <c r="AV64" s="43"/>
      <c r="AW64" s="43"/>
      <c r="AX64" s="43"/>
      <c r="AY64" s="43"/>
      <c r="AZ64" s="43"/>
      <c r="BH64" s="52"/>
      <c r="BI64" s="51"/>
    </row>
    <row r="65" spans="1:61" ht="18" customHeight="1">
      <c r="A65" s="36"/>
      <c r="B65" s="404"/>
      <c r="C65" s="404"/>
      <c r="D65" s="404"/>
      <c r="E65" s="404"/>
      <c r="F65" s="288"/>
      <c r="G65" s="288"/>
      <c r="H65" s="288"/>
      <c r="I65" s="288"/>
      <c r="J65" s="288"/>
      <c r="K65" s="288"/>
      <c r="L65" s="288"/>
      <c r="M65" s="288"/>
      <c r="N65" s="288"/>
      <c r="O65" s="288"/>
      <c r="P65" s="288"/>
      <c r="Q65" s="288"/>
      <c r="R65" s="288"/>
      <c r="S65" s="288"/>
      <c r="T65" s="288"/>
      <c r="U65" s="288"/>
      <c r="V65" s="288"/>
      <c r="W65" s="288"/>
      <c r="X65" s="288"/>
      <c r="Y65" s="288"/>
      <c r="Z65" s="288"/>
      <c r="AA65" s="288"/>
      <c r="AB65" s="288"/>
      <c r="AC65" s="288"/>
      <c r="AD65" s="288"/>
      <c r="AE65" s="288"/>
      <c r="AF65" s="288"/>
      <c r="AG65" s="288"/>
      <c r="AH65" s="288"/>
      <c r="AI65" s="289"/>
      <c r="AK65" s="425"/>
      <c r="AL65" s="425"/>
      <c r="AM65" s="425"/>
      <c r="AN65" s="425"/>
      <c r="AO65" s="425"/>
      <c r="AP65" s="425"/>
      <c r="AQ65" s="42"/>
      <c r="AR65" s="43"/>
      <c r="AS65" s="43"/>
      <c r="AT65" s="43"/>
      <c r="AU65" s="43"/>
      <c r="AV65" s="43"/>
      <c r="AW65" s="43"/>
      <c r="AX65" s="43"/>
      <c r="AY65" s="43"/>
      <c r="AZ65" s="43"/>
      <c r="BH65" s="50"/>
      <c r="BI65" s="51"/>
    </row>
    <row r="66" spans="1:61" ht="18" customHeight="1">
      <c r="A66" s="36"/>
      <c r="B66" s="404"/>
      <c r="C66" s="404"/>
      <c r="D66" s="404"/>
      <c r="E66" s="404"/>
      <c r="F66" s="288"/>
      <c r="G66" s="288"/>
      <c r="H66" s="288"/>
      <c r="I66" s="288"/>
      <c r="J66" s="288"/>
      <c r="K66" s="288"/>
      <c r="L66" s="288"/>
      <c r="M66" s="288"/>
      <c r="N66" s="288"/>
      <c r="O66" s="288"/>
      <c r="P66" s="288"/>
      <c r="Q66" s="288"/>
      <c r="R66" s="288"/>
      <c r="S66" s="288"/>
      <c r="T66" s="288"/>
      <c r="U66" s="288"/>
      <c r="V66" s="288"/>
      <c r="W66" s="288"/>
      <c r="X66" s="288"/>
      <c r="Y66" s="288"/>
      <c r="Z66" s="288"/>
      <c r="AA66" s="288"/>
      <c r="AB66" s="288"/>
      <c r="AC66" s="288"/>
      <c r="AD66" s="288"/>
      <c r="AE66" s="288"/>
      <c r="AF66" s="288"/>
      <c r="AG66" s="288"/>
      <c r="AH66" s="288"/>
      <c r="AI66" s="289"/>
      <c r="AK66" s="425"/>
      <c r="AL66" s="425"/>
      <c r="AM66" s="425"/>
      <c r="AN66" s="425"/>
      <c r="AO66" s="425"/>
      <c r="AP66" s="425"/>
      <c r="AQ66" s="42"/>
      <c r="AR66" s="43"/>
      <c r="AS66" s="43"/>
      <c r="AT66" s="43"/>
      <c r="AU66" s="43"/>
      <c r="AV66" s="43"/>
      <c r="AW66" s="43"/>
      <c r="AX66" s="43"/>
      <c r="AY66" s="43"/>
      <c r="AZ66" s="43"/>
      <c r="BH66" s="50"/>
      <c r="BI66" s="51"/>
    </row>
    <row r="67" spans="1:61" ht="18" customHeight="1">
      <c r="A67" s="36"/>
      <c r="B67" s="404"/>
      <c r="C67" s="404"/>
      <c r="D67" s="404"/>
      <c r="E67" s="404"/>
      <c r="F67" s="288"/>
      <c r="G67" s="288"/>
      <c r="H67" s="288"/>
      <c r="I67" s="288"/>
      <c r="J67" s="288"/>
      <c r="K67" s="288"/>
      <c r="L67" s="288"/>
      <c r="M67" s="288"/>
      <c r="N67" s="288"/>
      <c r="O67" s="288"/>
      <c r="P67" s="288"/>
      <c r="Q67" s="288"/>
      <c r="R67" s="288"/>
      <c r="S67" s="288"/>
      <c r="T67" s="288"/>
      <c r="U67" s="288"/>
      <c r="V67" s="288"/>
      <c r="W67" s="288"/>
      <c r="X67" s="288"/>
      <c r="Y67" s="288"/>
      <c r="Z67" s="288"/>
      <c r="AA67" s="288"/>
      <c r="AB67" s="288"/>
      <c r="AC67" s="288"/>
      <c r="AD67" s="288"/>
      <c r="AE67" s="288"/>
      <c r="AF67" s="288"/>
      <c r="AG67" s="288"/>
      <c r="AH67" s="288"/>
      <c r="AI67" s="289"/>
      <c r="AK67" s="425"/>
      <c r="AL67" s="425"/>
      <c r="AM67" s="425"/>
      <c r="AN67" s="425"/>
      <c r="AO67" s="425"/>
      <c r="AP67" s="425"/>
      <c r="AQ67" s="67"/>
      <c r="AR67" s="43"/>
      <c r="AS67" s="43"/>
      <c r="AT67" s="43"/>
      <c r="AU67" s="43"/>
      <c r="AV67" s="43"/>
      <c r="AW67" s="43"/>
      <c r="AX67" s="43"/>
      <c r="AY67" s="43"/>
      <c r="AZ67" s="43"/>
      <c r="BH67" s="50"/>
      <c r="BI67" s="51"/>
    </row>
    <row r="68" spans="1:61" ht="18" customHeight="1">
      <c r="A68" s="36"/>
      <c r="B68" s="404"/>
      <c r="C68" s="404"/>
      <c r="D68" s="404"/>
      <c r="E68" s="404"/>
      <c r="F68" s="288"/>
      <c r="G68" s="288"/>
      <c r="H68" s="288"/>
      <c r="I68" s="288"/>
      <c r="J68" s="288"/>
      <c r="K68" s="288"/>
      <c r="L68" s="288"/>
      <c r="M68" s="288"/>
      <c r="N68" s="288"/>
      <c r="O68" s="288"/>
      <c r="P68" s="288"/>
      <c r="Q68" s="288"/>
      <c r="R68" s="288"/>
      <c r="S68" s="288"/>
      <c r="T68" s="288"/>
      <c r="U68" s="288"/>
      <c r="V68" s="288"/>
      <c r="W68" s="288"/>
      <c r="X68" s="288"/>
      <c r="Y68" s="288"/>
      <c r="Z68" s="288"/>
      <c r="AA68" s="288"/>
      <c r="AB68" s="288"/>
      <c r="AC68" s="288"/>
      <c r="AD68" s="288"/>
      <c r="AE68" s="288"/>
      <c r="AF68" s="288"/>
      <c r="AG68" s="288"/>
      <c r="AH68" s="288"/>
      <c r="AI68" s="289"/>
      <c r="AK68" s="425"/>
      <c r="AL68" s="425"/>
      <c r="AM68" s="425"/>
      <c r="AN68" s="425"/>
      <c r="AO68" s="425"/>
      <c r="AP68" s="425"/>
      <c r="AQ68" s="67"/>
      <c r="AR68" s="43"/>
      <c r="AS68" s="43"/>
      <c r="AT68" s="43"/>
      <c r="AU68" s="43"/>
      <c r="AV68" s="43"/>
      <c r="AW68" s="43"/>
      <c r="AX68" s="43"/>
      <c r="AY68" s="43"/>
      <c r="AZ68" s="43"/>
      <c r="BH68" s="50"/>
      <c r="BI68" s="51"/>
    </row>
    <row r="69" spans="1:61" ht="18" customHeight="1">
      <c r="A69" s="36"/>
      <c r="B69" s="404"/>
      <c r="C69" s="404"/>
      <c r="D69" s="404"/>
      <c r="E69" s="404"/>
      <c r="F69" s="288"/>
      <c r="G69" s="288"/>
      <c r="H69" s="288"/>
      <c r="I69" s="288"/>
      <c r="J69" s="288"/>
      <c r="K69" s="288"/>
      <c r="L69" s="288"/>
      <c r="M69" s="288"/>
      <c r="N69" s="288"/>
      <c r="O69" s="288"/>
      <c r="P69" s="288"/>
      <c r="Q69" s="288"/>
      <c r="R69" s="288"/>
      <c r="S69" s="288"/>
      <c r="T69" s="288"/>
      <c r="U69" s="288"/>
      <c r="V69" s="288"/>
      <c r="W69" s="288"/>
      <c r="X69" s="288"/>
      <c r="Y69" s="288"/>
      <c r="Z69" s="288"/>
      <c r="AA69" s="288"/>
      <c r="AB69" s="288"/>
      <c r="AC69" s="288"/>
      <c r="AD69" s="288"/>
      <c r="AE69" s="288"/>
      <c r="AF69" s="288"/>
      <c r="AG69" s="288"/>
      <c r="AH69" s="288"/>
      <c r="AI69" s="289"/>
      <c r="AK69" s="425"/>
      <c r="AL69" s="425"/>
      <c r="AM69" s="425"/>
      <c r="AN69" s="425"/>
      <c r="AO69" s="425"/>
      <c r="AP69" s="425"/>
      <c r="AQ69" s="42"/>
      <c r="AR69" s="43"/>
      <c r="AS69" s="43"/>
      <c r="AT69" s="43"/>
      <c r="AU69" s="43"/>
      <c r="AV69" s="43"/>
      <c r="AW69" s="43"/>
      <c r="AX69" s="43"/>
      <c r="AY69" s="43"/>
      <c r="AZ69" s="43"/>
      <c r="BH69" s="50"/>
      <c r="BI69" s="51"/>
    </row>
    <row r="70" spans="1:61" ht="18" customHeight="1">
      <c r="A70" s="36"/>
      <c r="B70" s="404"/>
      <c r="C70" s="404"/>
      <c r="D70" s="404"/>
      <c r="E70" s="404"/>
      <c r="F70" s="288"/>
      <c r="G70" s="288"/>
      <c r="H70" s="288"/>
      <c r="I70" s="288"/>
      <c r="J70" s="288"/>
      <c r="K70" s="288"/>
      <c r="L70" s="288"/>
      <c r="M70" s="288"/>
      <c r="N70" s="288"/>
      <c r="O70" s="288"/>
      <c r="P70" s="288"/>
      <c r="Q70" s="288"/>
      <c r="R70" s="288"/>
      <c r="S70" s="288"/>
      <c r="T70" s="288"/>
      <c r="U70" s="288"/>
      <c r="V70" s="288"/>
      <c r="W70" s="288"/>
      <c r="X70" s="288"/>
      <c r="Y70" s="288"/>
      <c r="Z70" s="288"/>
      <c r="AA70" s="288"/>
      <c r="AB70" s="288"/>
      <c r="AC70" s="288"/>
      <c r="AD70" s="288"/>
      <c r="AE70" s="288"/>
      <c r="AF70" s="288"/>
      <c r="AG70" s="288"/>
      <c r="AH70" s="288"/>
      <c r="AI70" s="289"/>
      <c r="AK70" s="425"/>
      <c r="AL70" s="425"/>
      <c r="AM70" s="425"/>
      <c r="AN70" s="425"/>
      <c r="AO70" s="425"/>
      <c r="AP70" s="425"/>
      <c r="AQ70" s="42"/>
      <c r="AR70" s="43"/>
      <c r="AS70" s="43"/>
      <c r="AT70" s="43"/>
      <c r="AU70" s="43"/>
      <c r="AV70" s="43"/>
      <c r="AW70" s="43"/>
      <c r="AX70" s="43"/>
      <c r="AY70" s="43"/>
      <c r="AZ70" s="43"/>
      <c r="BH70" s="50"/>
      <c r="BI70" s="51"/>
    </row>
    <row r="71" spans="1:61" ht="18" customHeight="1">
      <c r="A71" s="36"/>
      <c r="B71" s="404"/>
      <c r="C71" s="404"/>
      <c r="D71" s="404"/>
      <c r="E71" s="404"/>
      <c r="F71" s="288"/>
      <c r="G71" s="288"/>
      <c r="H71" s="288"/>
      <c r="I71" s="288"/>
      <c r="J71" s="288"/>
      <c r="K71" s="288"/>
      <c r="L71" s="288"/>
      <c r="M71" s="288"/>
      <c r="N71" s="288"/>
      <c r="O71" s="288"/>
      <c r="P71" s="288"/>
      <c r="Q71" s="288"/>
      <c r="R71" s="288"/>
      <c r="S71" s="288"/>
      <c r="T71" s="288"/>
      <c r="U71" s="288"/>
      <c r="V71" s="288"/>
      <c r="W71" s="288"/>
      <c r="X71" s="288"/>
      <c r="Y71" s="288"/>
      <c r="Z71" s="288"/>
      <c r="AA71" s="288"/>
      <c r="AB71" s="288"/>
      <c r="AC71" s="288"/>
      <c r="AD71" s="288"/>
      <c r="AE71" s="288"/>
      <c r="AF71" s="288"/>
      <c r="AG71" s="288"/>
      <c r="AH71" s="288"/>
      <c r="AI71" s="289"/>
      <c r="AK71" s="425"/>
      <c r="AL71" s="425"/>
      <c r="AM71" s="425"/>
      <c r="AN71" s="425"/>
      <c r="AO71" s="425"/>
      <c r="AP71" s="425"/>
      <c r="AQ71" s="42"/>
      <c r="AR71" s="43"/>
      <c r="AS71" s="43"/>
      <c r="AT71" s="43"/>
      <c r="AU71" s="43"/>
      <c r="AV71" s="43"/>
      <c r="AW71" s="43"/>
      <c r="AX71" s="43"/>
      <c r="AY71" s="43"/>
      <c r="AZ71" s="43"/>
      <c r="BH71" s="52"/>
      <c r="BI71" s="51"/>
    </row>
    <row r="72" spans="1:61" ht="18" customHeight="1">
      <c r="A72" s="36"/>
      <c r="B72" s="404"/>
      <c r="C72" s="404"/>
      <c r="D72" s="404"/>
      <c r="E72" s="404"/>
      <c r="F72" s="288"/>
      <c r="G72" s="288"/>
      <c r="H72" s="288"/>
      <c r="I72" s="288"/>
      <c r="J72" s="288"/>
      <c r="K72" s="288"/>
      <c r="L72" s="288"/>
      <c r="M72" s="288"/>
      <c r="N72" s="288"/>
      <c r="O72" s="288"/>
      <c r="P72" s="288"/>
      <c r="Q72" s="288"/>
      <c r="R72" s="288"/>
      <c r="S72" s="288"/>
      <c r="T72" s="288"/>
      <c r="U72" s="288"/>
      <c r="V72" s="288"/>
      <c r="W72" s="288"/>
      <c r="X72" s="288"/>
      <c r="Y72" s="288"/>
      <c r="Z72" s="288"/>
      <c r="AA72" s="288"/>
      <c r="AB72" s="288"/>
      <c r="AC72" s="288"/>
      <c r="AD72" s="288"/>
      <c r="AE72" s="288"/>
      <c r="AF72" s="288"/>
      <c r="AG72" s="288"/>
      <c r="AH72" s="288"/>
      <c r="AI72" s="289"/>
      <c r="AK72" s="425"/>
      <c r="AL72" s="425"/>
      <c r="AM72" s="425"/>
      <c r="AN72" s="425"/>
      <c r="AO72" s="425"/>
      <c r="AP72" s="425"/>
      <c r="AQ72" s="42"/>
      <c r="AR72" s="43"/>
      <c r="AS72" s="43"/>
      <c r="AT72" s="43"/>
      <c r="AU72" s="43"/>
      <c r="AV72" s="43"/>
      <c r="AW72" s="43"/>
      <c r="AX72" s="43"/>
      <c r="AY72" s="43"/>
      <c r="AZ72" s="43"/>
      <c r="BH72" s="53"/>
      <c r="BI72" s="51"/>
    </row>
    <row r="73" spans="1:61" ht="18" customHeight="1">
      <c r="A73" s="36"/>
      <c r="B73" s="404"/>
      <c r="C73" s="404"/>
      <c r="D73" s="404"/>
      <c r="E73" s="404"/>
      <c r="F73" s="288"/>
      <c r="G73" s="288"/>
      <c r="H73" s="288"/>
      <c r="I73" s="288"/>
      <c r="J73" s="288"/>
      <c r="K73" s="288"/>
      <c r="L73" s="288"/>
      <c r="M73" s="288"/>
      <c r="N73" s="288"/>
      <c r="O73" s="288"/>
      <c r="P73" s="288"/>
      <c r="Q73" s="288"/>
      <c r="R73" s="288"/>
      <c r="S73" s="288"/>
      <c r="T73" s="288"/>
      <c r="U73" s="288"/>
      <c r="V73" s="288"/>
      <c r="W73" s="288"/>
      <c r="X73" s="288"/>
      <c r="Y73" s="288"/>
      <c r="Z73" s="288"/>
      <c r="AA73" s="288"/>
      <c r="AB73" s="288"/>
      <c r="AC73" s="288"/>
      <c r="AD73" s="288"/>
      <c r="AE73" s="288"/>
      <c r="AF73" s="288"/>
      <c r="AG73" s="288"/>
      <c r="AH73" s="288"/>
      <c r="AI73" s="289"/>
      <c r="AK73" s="425"/>
      <c r="AL73" s="425"/>
      <c r="AM73" s="425"/>
      <c r="AN73" s="425"/>
      <c r="AO73" s="425"/>
      <c r="AP73" s="425"/>
      <c r="AQ73" s="42"/>
      <c r="AR73" s="43"/>
      <c r="AS73" s="43"/>
      <c r="AT73" s="43"/>
      <c r="AU73" s="43"/>
      <c r="AV73" s="43"/>
      <c r="AW73" s="43"/>
      <c r="AX73" s="43"/>
      <c r="AY73" s="43"/>
      <c r="AZ73" s="43"/>
      <c r="BH73" s="54"/>
      <c r="BI73" s="51"/>
    </row>
    <row r="74" spans="1:61" ht="18" customHeight="1">
      <c r="A74" s="36"/>
      <c r="B74" s="404"/>
      <c r="C74" s="404"/>
      <c r="D74" s="404"/>
      <c r="E74" s="404"/>
      <c r="F74" s="288"/>
      <c r="G74" s="288"/>
      <c r="H74" s="288"/>
      <c r="I74" s="288"/>
      <c r="J74" s="288"/>
      <c r="K74" s="288"/>
      <c r="L74" s="288"/>
      <c r="M74" s="288"/>
      <c r="N74" s="288"/>
      <c r="O74" s="288"/>
      <c r="P74" s="288"/>
      <c r="Q74" s="288"/>
      <c r="R74" s="288"/>
      <c r="S74" s="288"/>
      <c r="T74" s="288"/>
      <c r="U74" s="288"/>
      <c r="V74" s="288"/>
      <c r="W74" s="288"/>
      <c r="X74" s="288"/>
      <c r="Y74" s="288"/>
      <c r="Z74" s="288"/>
      <c r="AA74" s="288"/>
      <c r="AB74" s="288"/>
      <c r="AC74" s="288"/>
      <c r="AD74" s="288"/>
      <c r="AE74" s="288"/>
      <c r="AF74" s="288"/>
      <c r="AG74" s="288"/>
      <c r="AH74" s="288"/>
      <c r="AI74" s="289"/>
      <c r="AK74" s="425"/>
      <c r="AL74" s="425"/>
      <c r="AM74" s="425"/>
      <c r="AN74" s="425"/>
      <c r="AO74" s="425"/>
      <c r="AP74" s="425"/>
      <c r="AQ74" s="42"/>
      <c r="AR74" s="43"/>
      <c r="AS74" s="43"/>
      <c r="AT74" s="43"/>
      <c r="AU74" s="43"/>
      <c r="AV74" s="43"/>
      <c r="AW74" s="43"/>
      <c r="AX74" s="43"/>
      <c r="AY74" s="43"/>
      <c r="AZ74" s="43"/>
      <c r="BH74" s="54"/>
      <c r="BI74" s="51"/>
    </row>
    <row r="75" spans="1:61" ht="18" customHeight="1">
      <c r="A75" s="36"/>
      <c r="B75" s="404"/>
      <c r="C75" s="404"/>
      <c r="D75" s="404"/>
      <c r="E75" s="404"/>
      <c r="F75" s="288"/>
      <c r="G75" s="288"/>
      <c r="H75" s="288"/>
      <c r="I75" s="288"/>
      <c r="J75" s="288"/>
      <c r="K75" s="288"/>
      <c r="L75" s="288"/>
      <c r="M75" s="288"/>
      <c r="N75" s="288"/>
      <c r="O75" s="288"/>
      <c r="P75" s="288"/>
      <c r="Q75" s="288"/>
      <c r="R75" s="288"/>
      <c r="S75" s="288"/>
      <c r="T75" s="288"/>
      <c r="U75" s="288"/>
      <c r="V75" s="288"/>
      <c r="W75" s="288"/>
      <c r="X75" s="288"/>
      <c r="Y75" s="288"/>
      <c r="Z75" s="288"/>
      <c r="AA75" s="288"/>
      <c r="AB75" s="288"/>
      <c r="AC75" s="288"/>
      <c r="AD75" s="288"/>
      <c r="AE75" s="288"/>
      <c r="AF75" s="288"/>
      <c r="AG75" s="288"/>
      <c r="AH75" s="288"/>
      <c r="AI75" s="289"/>
      <c r="AK75" s="425"/>
      <c r="AL75" s="425"/>
      <c r="AM75" s="425"/>
      <c r="AN75" s="425"/>
      <c r="AO75" s="425"/>
      <c r="AP75" s="425"/>
      <c r="AQ75" s="42"/>
      <c r="AR75" s="43"/>
      <c r="AS75" s="43"/>
      <c r="AT75" s="43"/>
      <c r="AU75" s="43"/>
      <c r="AV75" s="43"/>
      <c r="AW75" s="43"/>
      <c r="AX75" s="43"/>
      <c r="AY75" s="43"/>
      <c r="AZ75" s="43"/>
      <c r="BH75" s="53"/>
      <c r="BI75" s="51"/>
    </row>
    <row r="76" spans="1:61" ht="18" customHeight="1">
      <c r="A76" s="36"/>
      <c r="B76" s="404"/>
      <c r="C76" s="404"/>
      <c r="D76" s="404"/>
      <c r="E76" s="404"/>
      <c r="F76" s="288"/>
      <c r="G76" s="288"/>
      <c r="H76" s="288"/>
      <c r="I76" s="288"/>
      <c r="J76" s="288"/>
      <c r="K76" s="288"/>
      <c r="L76" s="288"/>
      <c r="M76" s="288"/>
      <c r="N76" s="288"/>
      <c r="O76" s="288"/>
      <c r="P76" s="288"/>
      <c r="Q76" s="288"/>
      <c r="R76" s="288"/>
      <c r="S76" s="288"/>
      <c r="T76" s="288"/>
      <c r="U76" s="288"/>
      <c r="V76" s="288"/>
      <c r="W76" s="288"/>
      <c r="X76" s="288"/>
      <c r="Y76" s="288"/>
      <c r="Z76" s="288"/>
      <c r="AA76" s="288"/>
      <c r="AB76" s="288"/>
      <c r="AC76" s="288"/>
      <c r="AD76" s="288"/>
      <c r="AE76" s="288"/>
      <c r="AF76" s="288"/>
      <c r="AG76" s="288"/>
      <c r="AH76" s="288"/>
      <c r="AI76" s="289"/>
      <c r="AK76" s="425"/>
      <c r="AL76" s="425"/>
      <c r="AM76" s="425"/>
      <c r="AN76" s="425"/>
      <c r="AO76" s="425"/>
      <c r="AP76" s="425"/>
      <c r="AQ76" s="42"/>
      <c r="AR76" s="43"/>
      <c r="AS76" s="43"/>
      <c r="AT76" s="43"/>
      <c r="AU76" s="43"/>
      <c r="AV76" s="43"/>
      <c r="AW76" s="43"/>
      <c r="AX76" s="43"/>
      <c r="AY76" s="43"/>
      <c r="AZ76" s="43"/>
      <c r="BH76" s="53"/>
      <c r="BI76" s="51"/>
    </row>
    <row r="77" spans="1:61" ht="18" customHeight="1">
      <c r="A77" s="36"/>
      <c r="B77" s="404"/>
      <c r="C77" s="404"/>
      <c r="D77" s="404"/>
      <c r="E77" s="404"/>
      <c r="F77" s="288"/>
      <c r="G77" s="288"/>
      <c r="H77" s="288"/>
      <c r="I77" s="288"/>
      <c r="J77" s="288"/>
      <c r="K77" s="288"/>
      <c r="L77" s="288"/>
      <c r="M77" s="288"/>
      <c r="N77" s="288"/>
      <c r="O77" s="288"/>
      <c r="P77" s="288"/>
      <c r="Q77" s="288"/>
      <c r="R77" s="288"/>
      <c r="S77" s="288"/>
      <c r="T77" s="288"/>
      <c r="U77" s="288"/>
      <c r="V77" s="288"/>
      <c r="W77" s="288"/>
      <c r="X77" s="288"/>
      <c r="Y77" s="288"/>
      <c r="Z77" s="288"/>
      <c r="AA77" s="288"/>
      <c r="AB77" s="288"/>
      <c r="AC77" s="288"/>
      <c r="AD77" s="288"/>
      <c r="AE77" s="288"/>
      <c r="AF77" s="288"/>
      <c r="AG77" s="288"/>
      <c r="AH77" s="288"/>
      <c r="AI77" s="289"/>
      <c r="AK77" s="425"/>
      <c r="AL77" s="425"/>
      <c r="AM77" s="425"/>
      <c r="AN77" s="425"/>
      <c r="AO77" s="425"/>
      <c r="AP77" s="425"/>
      <c r="AQ77" s="42"/>
      <c r="AR77" s="43"/>
      <c r="AS77" s="43"/>
      <c r="AT77" s="43"/>
      <c r="AU77" s="43"/>
      <c r="AV77" s="43"/>
      <c r="AW77" s="43"/>
      <c r="AX77" s="43"/>
      <c r="AY77" s="43"/>
      <c r="AZ77" s="43"/>
      <c r="BH77" s="54"/>
      <c r="BI77" s="51"/>
    </row>
    <row r="78" spans="1:61" ht="18" customHeight="1">
      <c r="A78" s="36"/>
      <c r="B78" s="404"/>
      <c r="C78" s="404"/>
      <c r="D78" s="404"/>
      <c r="E78" s="404"/>
      <c r="F78" s="288"/>
      <c r="G78" s="288"/>
      <c r="H78" s="288"/>
      <c r="I78" s="288"/>
      <c r="J78" s="288"/>
      <c r="K78" s="288"/>
      <c r="L78" s="288"/>
      <c r="M78" s="288"/>
      <c r="N78" s="288"/>
      <c r="O78" s="288"/>
      <c r="P78" s="288"/>
      <c r="Q78" s="288"/>
      <c r="R78" s="288"/>
      <c r="S78" s="288"/>
      <c r="T78" s="288"/>
      <c r="U78" s="288"/>
      <c r="V78" s="288"/>
      <c r="W78" s="288"/>
      <c r="X78" s="288"/>
      <c r="Y78" s="288"/>
      <c r="Z78" s="288"/>
      <c r="AA78" s="288"/>
      <c r="AB78" s="288"/>
      <c r="AC78" s="288"/>
      <c r="AD78" s="288"/>
      <c r="AE78" s="288"/>
      <c r="AF78" s="288"/>
      <c r="AG78" s="288"/>
      <c r="AH78" s="288"/>
      <c r="AI78" s="289"/>
      <c r="AK78" s="425"/>
      <c r="AL78" s="425"/>
      <c r="AM78" s="425"/>
      <c r="AN78" s="425"/>
      <c r="AO78" s="425"/>
      <c r="AP78" s="425"/>
      <c r="AQ78" s="42"/>
      <c r="AR78" s="43"/>
      <c r="AS78" s="43"/>
      <c r="AT78" s="43"/>
      <c r="AU78" s="43"/>
      <c r="AV78" s="43"/>
      <c r="AW78" s="43"/>
      <c r="AX78" s="43"/>
      <c r="AY78" s="43"/>
      <c r="AZ78" s="43"/>
      <c r="BH78" s="54"/>
      <c r="BI78" s="51"/>
    </row>
    <row r="79" spans="1:61" ht="18" customHeight="1">
      <c r="A79" s="36"/>
      <c r="B79" s="404"/>
      <c r="C79" s="404"/>
      <c r="D79" s="404"/>
      <c r="E79" s="404"/>
      <c r="F79" s="288"/>
      <c r="G79" s="288"/>
      <c r="H79" s="288"/>
      <c r="I79" s="288"/>
      <c r="J79" s="288"/>
      <c r="K79" s="288"/>
      <c r="L79" s="288"/>
      <c r="M79" s="288"/>
      <c r="N79" s="288"/>
      <c r="O79" s="288"/>
      <c r="P79" s="288"/>
      <c r="Q79" s="288"/>
      <c r="R79" s="288"/>
      <c r="S79" s="288"/>
      <c r="T79" s="288"/>
      <c r="U79" s="288"/>
      <c r="V79" s="288"/>
      <c r="W79" s="288"/>
      <c r="X79" s="288"/>
      <c r="Y79" s="288"/>
      <c r="Z79" s="288"/>
      <c r="AA79" s="288"/>
      <c r="AB79" s="288"/>
      <c r="AC79" s="288"/>
      <c r="AD79" s="288"/>
      <c r="AE79" s="288"/>
      <c r="AF79" s="288"/>
      <c r="AG79" s="288"/>
      <c r="AH79" s="288"/>
      <c r="AI79" s="289"/>
      <c r="AK79" s="425"/>
      <c r="AL79" s="425"/>
      <c r="AM79" s="425"/>
      <c r="AN79" s="425"/>
      <c r="AO79" s="425"/>
      <c r="AP79" s="425"/>
      <c r="AQ79" s="42"/>
      <c r="AR79" s="43"/>
      <c r="AS79" s="43"/>
      <c r="AT79" s="43"/>
      <c r="AU79" s="43"/>
      <c r="AV79" s="43"/>
      <c r="AW79" s="43"/>
      <c r="AX79" s="43"/>
      <c r="AY79" s="43"/>
      <c r="AZ79" s="43"/>
      <c r="BH79" s="54"/>
      <c r="BI79" s="51"/>
    </row>
    <row r="80" spans="1:61" ht="18" customHeight="1">
      <c r="A80" s="37"/>
      <c r="B80" s="466"/>
      <c r="C80" s="466"/>
      <c r="D80" s="466"/>
      <c r="E80" s="466"/>
      <c r="F80" s="467"/>
      <c r="G80" s="467"/>
      <c r="H80" s="467"/>
      <c r="I80" s="467"/>
      <c r="J80" s="467"/>
      <c r="K80" s="467"/>
      <c r="L80" s="467"/>
      <c r="M80" s="467"/>
      <c r="N80" s="467"/>
      <c r="O80" s="467"/>
      <c r="P80" s="467"/>
      <c r="Q80" s="467"/>
      <c r="R80" s="467"/>
      <c r="S80" s="467"/>
      <c r="T80" s="467"/>
      <c r="U80" s="467"/>
      <c r="V80" s="467"/>
      <c r="W80" s="467"/>
      <c r="X80" s="467"/>
      <c r="Y80" s="467"/>
      <c r="Z80" s="467"/>
      <c r="AA80" s="467"/>
      <c r="AB80" s="467"/>
      <c r="AC80" s="467"/>
      <c r="AD80" s="467"/>
      <c r="AE80" s="467"/>
      <c r="AF80" s="467"/>
      <c r="AG80" s="467"/>
      <c r="AH80" s="467"/>
      <c r="AI80" s="468"/>
      <c r="AK80" s="425"/>
      <c r="AL80" s="425"/>
      <c r="AM80" s="425"/>
      <c r="AN80" s="425"/>
      <c r="AO80" s="425"/>
      <c r="AP80" s="425"/>
      <c r="AQ80" s="42"/>
      <c r="AR80" s="43"/>
      <c r="AS80" s="43"/>
      <c r="AT80" s="43"/>
      <c r="AU80" s="43"/>
      <c r="AV80" s="43"/>
      <c r="AW80" s="43"/>
      <c r="AX80" s="43"/>
      <c r="AY80" s="43"/>
      <c r="AZ80" s="43"/>
      <c r="BH80" s="54"/>
      <c r="BI80" s="51"/>
    </row>
    <row r="81" spans="1:61" ht="18" customHeight="1">
      <c r="A81" s="406" t="s">
        <v>704</v>
      </c>
      <c r="B81" s="407"/>
      <c r="C81" s="407"/>
      <c r="D81" s="407"/>
      <c r="E81" s="407"/>
      <c r="F81" s="407"/>
      <c r="G81" s="407"/>
      <c r="H81" s="407"/>
      <c r="I81" s="407"/>
      <c r="J81" s="407"/>
      <c r="K81" s="407"/>
      <c r="L81" s="407"/>
      <c r="M81" s="407"/>
      <c r="N81" s="407"/>
      <c r="O81" s="407"/>
      <c r="P81" s="407"/>
      <c r="Q81" s="407"/>
      <c r="R81" s="407"/>
      <c r="S81" s="407"/>
      <c r="T81" s="407"/>
      <c r="U81" s="407"/>
      <c r="V81" s="407"/>
      <c r="W81" s="407"/>
      <c r="X81" s="407"/>
      <c r="Y81" s="407"/>
      <c r="Z81" s="407"/>
      <c r="AA81" s="407"/>
      <c r="AB81" s="407"/>
      <c r="AC81" s="407"/>
      <c r="AD81" s="407"/>
      <c r="AE81" s="407"/>
      <c r="AF81" s="407"/>
      <c r="AG81" s="407"/>
      <c r="AH81" s="407"/>
      <c r="AI81" s="408"/>
      <c r="AK81" s="425"/>
      <c r="AL81" s="425"/>
      <c r="AM81" s="425"/>
      <c r="AN81" s="425"/>
      <c r="AO81" s="425"/>
      <c r="AP81" s="425"/>
      <c r="AQ81" s="42"/>
      <c r="AR81" s="43"/>
      <c r="AS81" s="43"/>
      <c r="AT81" s="43"/>
      <c r="AU81" s="43"/>
      <c r="AV81" s="43"/>
      <c r="AW81" s="43"/>
      <c r="AX81" s="43"/>
      <c r="AY81" s="43"/>
      <c r="AZ81" s="43"/>
      <c r="BH81" s="53"/>
      <c r="BI81" s="51"/>
    </row>
    <row r="82" spans="1:61" ht="18" customHeight="1">
      <c r="A82" s="38"/>
      <c r="B82" s="465">
        <v>46150</v>
      </c>
      <c r="C82" s="465"/>
      <c r="D82" s="465"/>
      <c r="E82" s="465"/>
      <c r="F82" s="288" t="s">
        <v>705</v>
      </c>
      <c r="G82" s="288"/>
      <c r="H82" s="288"/>
      <c r="I82" s="288"/>
      <c r="J82" s="288"/>
      <c r="K82" s="288"/>
      <c r="L82" s="288"/>
      <c r="M82" s="288"/>
      <c r="N82" s="288"/>
      <c r="O82" s="288"/>
      <c r="P82" s="288"/>
      <c r="Q82" s="288"/>
      <c r="R82" s="288"/>
      <c r="S82" s="288"/>
      <c r="T82" s="288"/>
      <c r="U82" s="288"/>
      <c r="V82" s="288"/>
      <c r="W82" s="288"/>
      <c r="X82" s="288"/>
      <c r="Y82" s="288"/>
      <c r="Z82" s="288"/>
      <c r="AA82" s="288"/>
      <c r="AB82" s="288"/>
      <c r="AC82" s="288"/>
      <c r="AD82" s="288"/>
      <c r="AE82" s="288"/>
      <c r="AF82" s="288"/>
      <c r="AG82" s="288"/>
      <c r="AH82" s="288"/>
      <c r="AI82" s="289"/>
      <c r="AK82" s="425"/>
      <c r="AL82" s="425"/>
      <c r="AM82" s="425"/>
      <c r="AN82" s="425"/>
      <c r="AO82" s="425"/>
      <c r="AP82" s="425"/>
      <c r="AQ82" s="42"/>
      <c r="AR82" s="43"/>
      <c r="AS82" s="43"/>
      <c r="AT82" s="43"/>
      <c r="AU82" s="43"/>
      <c r="AV82" s="43"/>
      <c r="AW82" s="43"/>
      <c r="AX82" s="43"/>
      <c r="AY82" s="43"/>
      <c r="AZ82" s="43"/>
      <c r="BH82" s="53"/>
      <c r="BI82" s="51"/>
    </row>
    <row r="83" spans="1:61" ht="18" customHeight="1">
      <c r="A83" s="38"/>
      <c r="B83" s="465">
        <v>46161</v>
      </c>
      <c r="C83" s="465"/>
      <c r="D83" s="465"/>
      <c r="E83" s="465"/>
      <c r="F83" s="288" t="s">
        <v>706</v>
      </c>
      <c r="G83" s="288"/>
      <c r="H83" s="288"/>
      <c r="I83" s="288"/>
      <c r="J83" s="288"/>
      <c r="K83" s="288"/>
      <c r="L83" s="288"/>
      <c r="M83" s="288"/>
      <c r="N83" s="288"/>
      <c r="O83" s="288"/>
      <c r="P83" s="288"/>
      <c r="Q83" s="288"/>
      <c r="R83" s="288"/>
      <c r="S83" s="288"/>
      <c r="T83" s="288"/>
      <c r="U83" s="288"/>
      <c r="V83" s="288"/>
      <c r="W83" s="288"/>
      <c r="X83" s="288"/>
      <c r="Y83" s="288"/>
      <c r="Z83" s="288"/>
      <c r="AA83" s="288"/>
      <c r="AB83" s="288"/>
      <c r="AC83" s="288"/>
      <c r="AD83" s="288"/>
      <c r="AE83" s="288"/>
      <c r="AF83" s="288"/>
      <c r="AG83" s="288"/>
      <c r="AH83" s="288"/>
      <c r="AI83" s="289"/>
      <c r="AK83" s="425"/>
      <c r="AL83" s="425"/>
      <c r="AM83" s="425"/>
      <c r="AN83" s="425"/>
      <c r="AO83" s="425"/>
      <c r="AP83" s="425"/>
      <c r="AQ83" s="42"/>
      <c r="AR83" s="43"/>
      <c r="AS83" s="43"/>
      <c r="AT83" s="43"/>
      <c r="AU83" s="43"/>
      <c r="AV83" s="43"/>
      <c r="AW83" s="43"/>
      <c r="AX83" s="43"/>
      <c r="AY83" s="43"/>
      <c r="AZ83" s="43"/>
      <c r="BH83" s="53"/>
      <c r="BI83" s="51"/>
    </row>
    <row r="84" spans="1:61" ht="18" customHeight="1">
      <c r="A84" s="38"/>
      <c r="B84" s="465">
        <v>46168</v>
      </c>
      <c r="C84" s="465"/>
      <c r="D84" s="465"/>
      <c r="E84" s="465"/>
      <c r="F84" s="288" t="s">
        <v>723</v>
      </c>
      <c r="G84" s="288"/>
      <c r="H84" s="288"/>
      <c r="I84" s="288"/>
      <c r="J84" s="288"/>
      <c r="K84" s="288"/>
      <c r="L84" s="288"/>
      <c r="M84" s="288"/>
      <c r="N84" s="288"/>
      <c r="O84" s="288"/>
      <c r="P84" s="288"/>
      <c r="Q84" s="288"/>
      <c r="R84" s="288"/>
      <c r="S84" s="288"/>
      <c r="T84" s="288"/>
      <c r="U84" s="288"/>
      <c r="V84" s="288"/>
      <c r="W84" s="288"/>
      <c r="X84" s="288"/>
      <c r="Y84" s="288"/>
      <c r="Z84" s="288"/>
      <c r="AA84" s="288"/>
      <c r="AB84" s="288"/>
      <c r="AC84" s="288"/>
      <c r="AD84" s="288"/>
      <c r="AE84" s="288"/>
      <c r="AF84" s="288"/>
      <c r="AG84" s="288"/>
      <c r="AH84" s="288"/>
      <c r="AI84" s="289"/>
      <c r="AK84" s="425"/>
      <c r="AL84" s="425"/>
      <c r="AM84" s="425"/>
      <c r="AN84" s="425"/>
      <c r="AO84" s="425"/>
      <c r="AP84" s="425"/>
      <c r="AQ84" s="42"/>
      <c r="AR84" s="43"/>
      <c r="AS84" s="43"/>
      <c r="AT84" s="43"/>
      <c r="AU84" s="43"/>
      <c r="AV84" s="43"/>
      <c r="AW84" s="43"/>
      <c r="AX84" s="43"/>
      <c r="AY84" s="43"/>
      <c r="AZ84" s="43"/>
    </row>
    <row r="85" spans="1:61" ht="18" customHeight="1">
      <c r="A85" s="38"/>
      <c r="B85" s="465"/>
      <c r="C85" s="465"/>
      <c r="D85" s="465"/>
      <c r="E85" s="465"/>
      <c r="F85" s="288"/>
      <c r="G85" s="288"/>
      <c r="H85" s="288"/>
      <c r="I85" s="288"/>
      <c r="J85" s="288"/>
      <c r="K85" s="288"/>
      <c r="L85" s="288"/>
      <c r="M85" s="288"/>
      <c r="N85" s="288"/>
      <c r="O85" s="288"/>
      <c r="P85" s="288"/>
      <c r="Q85" s="288"/>
      <c r="R85" s="288"/>
      <c r="S85" s="288"/>
      <c r="T85" s="288"/>
      <c r="U85" s="288"/>
      <c r="V85" s="288"/>
      <c r="W85" s="288"/>
      <c r="X85" s="288"/>
      <c r="Y85" s="288"/>
      <c r="Z85" s="288"/>
      <c r="AA85" s="288"/>
      <c r="AB85" s="288"/>
      <c r="AC85" s="288"/>
      <c r="AD85" s="288"/>
      <c r="AE85" s="288"/>
      <c r="AF85" s="288"/>
      <c r="AG85" s="288"/>
      <c r="AH85" s="288"/>
      <c r="AI85" s="289"/>
      <c r="AK85" s="425"/>
      <c r="AL85" s="425"/>
      <c r="AM85" s="425"/>
      <c r="AN85" s="425"/>
      <c r="AO85" s="425"/>
      <c r="AP85" s="425"/>
      <c r="AQ85" s="42"/>
      <c r="AR85" s="43"/>
      <c r="AS85" s="43"/>
      <c r="AT85" s="43"/>
      <c r="AU85" s="43"/>
      <c r="AV85" s="43"/>
      <c r="AW85" s="43"/>
      <c r="AX85" s="43"/>
      <c r="AY85" s="43"/>
      <c r="AZ85" s="43"/>
    </row>
    <row r="86" spans="1:61" ht="18" customHeight="1" thickBot="1">
      <c r="A86" s="41"/>
      <c r="B86" s="540"/>
      <c r="C86" s="540"/>
      <c r="D86" s="540"/>
      <c r="E86" s="540"/>
      <c r="F86" s="541"/>
      <c r="G86" s="541"/>
      <c r="H86" s="541"/>
      <c r="I86" s="541"/>
      <c r="J86" s="541"/>
      <c r="K86" s="541"/>
      <c r="L86" s="541"/>
      <c r="M86" s="541"/>
      <c r="N86" s="541"/>
      <c r="O86" s="541"/>
      <c r="P86" s="541"/>
      <c r="Q86" s="541"/>
      <c r="R86" s="541"/>
      <c r="S86" s="541"/>
      <c r="T86" s="541"/>
      <c r="U86" s="541"/>
      <c r="V86" s="541"/>
      <c r="W86" s="541"/>
      <c r="X86" s="541"/>
      <c r="Y86" s="541"/>
      <c r="Z86" s="541"/>
      <c r="AA86" s="541"/>
      <c r="AB86" s="541"/>
      <c r="AC86" s="541"/>
      <c r="AD86" s="541"/>
      <c r="AE86" s="541"/>
      <c r="AF86" s="541"/>
      <c r="AG86" s="541"/>
      <c r="AH86" s="541"/>
      <c r="AI86" s="542"/>
      <c r="AK86" s="425"/>
      <c r="AL86" s="425"/>
      <c r="AM86" s="425"/>
      <c r="AN86" s="425"/>
      <c r="AO86" s="425"/>
      <c r="AP86" s="425"/>
      <c r="AQ86" s="42"/>
      <c r="AR86" s="43"/>
      <c r="AS86" s="43"/>
      <c r="AT86" s="43"/>
      <c r="AU86" s="43"/>
      <c r="AV86" s="43"/>
      <c r="AW86" s="43"/>
      <c r="AX86" s="43"/>
      <c r="AY86" s="43"/>
      <c r="AZ86" s="43"/>
    </row>
    <row r="87" spans="1:61" ht="14.1" customHeight="1">
      <c r="AK87" s="438"/>
      <c r="AL87" s="438"/>
      <c r="AM87" s="438"/>
      <c r="AN87" s="438"/>
      <c r="AO87" s="438"/>
      <c r="AP87" s="438"/>
      <c r="AQ87" s="119"/>
    </row>
    <row r="88" spans="1:61" ht="14.1" customHeight="1">
      <c r="AK88" s="437"/>
      <c r="AL88" s="437"/>
      <c r="AM88" s="437"/>
      <c r="AN88" s="437"/>
      <c r="AO88" s="437"/>
      <c r="AP88" s="437"/>
      <c r="AQ88" s="120"/>
    </row>
    <row r="89" spans="1:61" ht="14.1" customHeight="1">
      <c r="AK89" s="437"/>
      <c r="AL89" s="437"/>
      <c r="AM89" s="437"/>
      <c r="AN89" s="437"/>
      <c r="AO89" s="437"/>
      <c r="AP89" s="437"/>
      <c r="AQ89" s="120"/>
    </row>
    <row r="90" spans="1:61" ht="14.1" customHeight="1"/>
    <row r="91" spans="1:61" ht="14.1" customHeight="1"/>
    <row r="92" spans="1:61" ht="14.1" customHeight="1"/>
    <row r="93" spans="1:61" ht="14.1" customHeight="1"/>
    <row r="94" spans="1:61" ht="14.1" customHeight="1"/>
    <row r="95" spans="1:61" ht="14.1" customHeight="1"/>
    <row r="96" spans="1:61" ht="14.1" customHeight="1"/>
    <row r="97" ht="14.1" customHeight="1"/>
    <row r="98" ht="14.1" customHeight="1"/>
    <row r="99" ht="14.1" customHeight="1"/>
    <row r="100" ht="14.1" customHeight="1"/>
    <row r="101" ht="14.1" customHeight="1"/>
    <row r="102" ht="14.1" customHeight="1"/>
    <row r="103" ht="14.1" customHeight="1"/>
    <row r="104" ht="14.1" customHeight="1"/>
    <row r="105" ht="14.1" customHeight="1"/>
    <row r="106" ht="14.1" customHeight="1"/>
    <row r="107" ht="14.1" customHeight="1"/>
    <row r="108" ht="14.1" customHeight="1"/>
    <row r="109" ht="14.1" customHeight="1"/>
    <row r="110" ht="14.1" customHeight="1"/>
    <row r="111" ht="14.1" customHeight="1"/>
    <row r="112" ht="14.1" customHeight="1"/>
    <row r="113" ht="14.1" customHeight="1"/>
    <row r="114" ht="14.1" customHeight="1"/>
    <row r="115" ht="14.1" customHeight="1"/>
    <row r="116" ht="14.1" customHeight="1"/>
    <row r="117" ht="14.1" customHeight="1"/>
    <row r="118" ht="14.1" customHeight="1"/>
    <row r="119" ht="14.1" customHeight="1"/>
    <row r="120" ht="14.1" customHeight="1"/>
    <row r="121" ht="14.1" customHeight="1"/>
    <row r="122" ht="14.1" customHeight="1"/>
    <row r="123" ht="14.1" customHeight="1"/>
    <row r="124" ht="14.1" customHeight="1"/>
    <row r="125" ht="14.1" customHeight="1"/>
    <row r="126" ht="14.1" customHeight="1"/>
    <row r="127" ht="14.1" customHeight="1"/>
    <row r="128" ht="14.1" customHeight="1"/>
    <row r="129" ht="14.1" customHeight="1"/>
    <row r="130" ht="14.1" customHeight="1"/>
    <row r="131" ht="14.1" customHeight="1"/>
    <row r="132" ht="14.1" customHeight="1"/>
    <row r="133" ht="14.1" customHeight="1"/>
    <row r="134" ht="14.1" customHeight="1"/>
    <row r="135" ht="14.1" customHeight="1"/>
    <row r="136" ht="14.1" customHeight="1"/>
    <row r="137" ht="14.1" customHeight="1"/>
    <row r="138" ht="14.1" customHeight="1"/>
    <row r="139" ht="14.1" customHeight="1"/>
    <row r="140" ht="14.1" customHeight="1"/>
    <row r="141" ht="14.1" customHeight="1"/>
    <row r="142" ht="14.1" customHeight="1"/>
    <row r="143" ht="14.1" customHeight="1"/>
    <row r="144" ht="14.1" customHeight="1"/>
    <row r="145" ht="14.1" customHeight="1"/>
    <row r="146" ht="14.1" customHeight="1"/>
    <row r="147" ht="14.1" customHeight="1"/>
    <row r="148" ht="14.1" customHeight="1"/>
    <row r="149" ht="14.1" customHeight="1"/>
    <row r="150" ht="14.1" customHeight="1"/>
    <row r="151" ht="14.1" customHeight="1"/>
    <row r="152" ht="14.1" customHeight="1"/>
    <row r="153" ht="14.1" customHeight="1"/>
    <row r="154" ht="14.1" customHeight="1"/>
    <row r="155" ht="14.1" customHeight="1"/>
    <row r="156" ht="14.1" customHeight="1"/>
    <row r="157" ht="14.1" customHeight="1"/>
    <row r="158" ht="14.1" customHeight="1"/>
    <row r="159" ht="14.1" customHeight="1"/>
    <row r="160" ht="14.1" customHeight="1"/>
    <row r="161" ht="14.1" customHeight="1"/>
    <row r="162" ht="14.1" customHeight="1"/>
    <row r="163" ht="14.1" customHeight="1"/>
    <row r="164" ht="14.1" customHeight="1"/>
    <row r="165" ht="14.1" customHeight="1"/>
    <row r="166" ht="14.1" customHeight="1"/>
    <row r="167" ht="14.1" customHeight="1"/>
    <row r="168" ht="14.1" customHeight="1"/>
    <row r="169" ht="14.1" customHeight="1"/>
    <row r="170" ht="14.1" customHeight="1"/>
    <row r="171" ht="14.1" customHeight="1"/>
    <row r="172" ht="14.1" customHeight="1"/>
    <row r="173" ht="14.1" customHeight="1"/>
    <row r="174" ht="14.1" customHeight="1"/>
    <row r="175" ht="14.1" customHeight="1"/>
    <row r="176" ht="14.1" customHeight="1"/>
    <row r="177" ht="14.1" customHeight="1"/>
    <row r="178" ht="14.1" customHeight="1"/>
    <row r="179" ht="14.1" customHeight="1"/>
    <row r="180" ht="14.1" customHeight="1"/>
    <row r="181" ht="14.1" customHeight="1"/>
    <row r="182" ht="14.1" customHeight="1"/>
    <row r="183" ht="14.1" customHeight="1"/>
    <row r="184" ht="14.1" customHeight="1"/>
    <row r="185" ht="14.1" customHeight="1"/>
    <row r="186" ht="14.1" customHeight="1"/>
    <row r="187" ht="14.1" customHeight="1"/>
    <row r="188" ht="14.1" customHeight="1"/>
    <row r="189" ht="14.1" customHeight="1"/>
    <row r="190" ht="14.1" customHeight="1"/>
    <row r="191" ht="14.1" customHeight="1"/>
    <row r="192" ht="14.1" customHeight="1"/>
    <row r="193" ht="14.1" customHeight="1"/>
    <row r="194" ht="14.1" customHeight="1"/>
    <row r="195" ht="14.1" customHeight="1"/>
    <row r="196" ht="14.1" customHeight="1"/>
    <row r="197" ht="14.1" customHeight="1"/>
    <row r="198" ht="14.1" customHeight="1"/>
    <row r="199" ht="14.1" customHeight="1"/>
    <row r="200" ht="14.1" customHeight="1"/>
    <row r="201" ht="14.1" customHeight="1"/>
    <row r="202" ht="14.1" customHeight="1"/>
    <row r="203" ht="14.1" customHeight="1"/>
    <row r="204" ht="14.1" customHeight="1"/>
    <row r="205" ht="14.1" customHeight="1"/>
    <row r="206" ht="14.1" customHeight="1"/>
    <row r="207" ht="14.1" customHeight="1"/>
    <row r="208" ht="14.1" customHeight="1"/>
    <row r="209" ht="14.1" customHeight="1"/>
    <row r="210" ht="14.1" customHeight="1"/>
    <row r="211" ht="14.1" customHeight="1"/>
    <row r="212" ht="14.1" customHeight="1"/>
    <row r="213" ht="14.1" customHeight="1"/>
    <row r="214" ht="14.1" customHeight="1"/>
    <row r="215" ht="14.1" customHeight="1"/>
    <row r="216" ht="14.1" customHeight="1"/>
    <row r="217" ht="14.1" customHeight="1"/>
    <row r="218" ht="14.1" customHeight="1"/>
    <row r="219" ht="14.1" customHeight="1"/>
    <row r="220" ht="14.1" customHeight="1"/>
    <row r="221" ht="14.1" customHeight="1"/>
    <row r="222" ht="14.1" customHeight="1"/>
    <row r="223" ht="14.1" customHeight="1"/>
    <row r="224" ht="14.1" customHeight="1"/>
    <row r="225" ht="14.1" customHeight="1"/>
    <row r="226" ht="14.1" customHeight="1"/>
    <row r="227" ht="14.1" customHeight="1"/>
    <row r="228" ht="14.1" customHeight="1"/>
    <row r="229" ht="14.1" customHeight="1"/>
    <row r="230" ht="14.1" customHeight="1"/>
    <row r="231" ht="14.1" customHeight="1"/>
    <row r="232" ht="14.1" customHeight="1"/>
    <row r="233" ht="14.1" customHeight="1"/>
    <row r="234" ht="14.1" customHeight="1"/>
    <row r="235" ht="14.1" customHeight="1"/>
    <row r="236" ht="14.1" customHeight="1"/>
    <row r="237" ht="14.1" customHeight="1"/>
    <row r="238" ht="14.1" customHeight="1"/>
    <row r="239" ht="14.1" customHeight="1"/>
    <row r="240" ht="14.1" customHeight="1"/>
    <row r="241" ht="14.1" customHeight="1"/>
    <row r="242" ht="14.1" customHeight="1"/>
    <row r="243" ht="14.1" customHeight="1"/>
    <row r="244" ht="14.1" customHeight="1"/>
    <row r="245" ht="14.1" customHeight="1"/>
    <row r="246" ht="14.1" customHeight="1"/>
    <row r="247" ht="14.1" customHeight="1"/>
    <row r="248" ht="14.1" customHeight="1"/>
    <row r="249" ht="14.1" customHeight="1"/>
    <row r="250" ht="14.1" customHeight="1"/>
    <row r="251" ht="14.1" customHeight="1"/>
    <row r="252" ht="14.1" customHeight="1"/>
    <row r="253" ht="14.1" customHeight="1"/>
    <row r="254" ht="14.1" customHeight="1"/>
    <row r="255" ht="14.1" customHeight="1"/>
    <row r="256" ht="14.1" customHeight="1"/>
    <row r="257" ht="14.1" customHeight="1"/>
    <row r="258" ht="14.1" customHeight="1"/>
    <row r="259" ht="14.1" customHeight="1"/>
    <row r="260" ht="14.1" customHeight="1"/>
    <row r="261" ht="14.1" customHeight="1"/>
    <row r="262" ht="14.1" customHeight="1"/>
    <row r="263" ht="14.1" customHeight="1"/>
    <row r="264" ht="14.1" customHeight="1"/>
    <row r="265" ht="14.1" customHeight="1"/>
    <row r="266" ht="14.1" customHeight="1"/>
  </sheetData>
  <sheetProtection algorithmName="SHA-512" hashValue="0loLJCJhL4ad+e9W1BFBlntzNt2hf75qC+V2eugpQkoXMOcFlTwiL5DSpVRXAf1cyQ/kgBnOXO/4cSPzCUKn4A==" saltValue="4etb9yyOEqZ9UduJqdtb6g==" spinCount="100000" sheet="1" autoFilter="0"/>
  <mergeCells count="381">
    <mergeCell ref="A1:S3"/>
    <mergeCell ref="T1:Z3"/>
    <mergeCell ref="AD1:AI1"/>
    <mergeCell ref="AD2:AF4"/>
    <mergeCell ref="AG2:AI4"/>
    <mergeCell ref="A4:S5"/>
    <mergeCell ref="AK7:AP8"/>
    <mergeCell ref="AQ7:AQ8"/>
    <mergeCell ref="V8:X8"/>
    <mergeCell ref="A9:AI9"/>
    <mergeCell ref="AK9:AP9"/>
    <mergeCell ref="A10:H10"/>
    <mergeCell ref="I10:J10"/>
    <mergeCell ref="K10:L10"/>
    <mergeCell ref="M10:T10"/>
    <mergeCell ref="U10:V10"/>
    <mergeCell ref="O7:P8"/>
    <mergeCell ref="Q7:R8"/>
    <mergeCell ref="S7:T8"/>
    <mergeCell ref="V7:X7"/>
    <mergeCell ref="Y7:AA8"/>
    <mergeCell ref="AB7:AI8"/>
    <mergeCell ref="A7:E8"/>
    <mergeCell ref="F7:F8"/>
    <mergeCell ref="G7:I8"/>
    <mergeCell ref="J7:J8"/>
    <mergeCell ref="K7:M8"/>
    <mergeCell ref="N7:N8"/>
    <mergeCell ref="W10:X10"/>
    <mergeCell ref="Y10:AF10"/>
    <mergeCell ref="AG10:AH10"/>
    <mergeCell ref="AK10:AP10"/>
    <mergeCell ref="A11:H11"/>
    <mergeCell ref="I11:J11"/>
    <mergeCell ref="K11:L11"/>
    <mergeCell ref="M11:T11"/>
    <mergeCell ref="U11:V11"/>
    <mergeCell ref="W11:X11"/>
    <mergeCell ref="Y11:AF11"/>
    <mergeCell ref="AG11:AH11"/>
    <mergeCell ref="AK11:AP11"/>
    <mergeCell ref="A12:H12"/>
    <mergeCell ref="I12:J12"/>
    <mergeCell ref="K12:L12"/>
    <mergeCell ref="M12:T12"/>
    <mergeCell ref="U12:V12"/>
    <mergeCell ref="W12:X12"/>
    <mergeCell ref="Y12:AF12"/>
    <mergeCell ref="AG12:AH12"/>
    <mergeCell ref="AK12:AP12"/>
    <mergeCell ref="A13:H13"/>
    <mergeCell ref="I13:J13"/>
    <mergeCell ref="K13:L13"/>
    <mergeCell ref="M13:T13"/>
    <mergeCell ref="U13:V13"/>
    <mergeCell ref="W13:X13"/>
    <mergeCell ref="Y13:AF13"/>
    <mergeCell ref="AG13:AH13"/>
    <mergeCell ref="AK13:AP13"/>
    <mergeCell ref="A14:AI14"/>
    <mergeCell ref="AK14:AP14"/>
    <mergeCell ref="B15:I15"/>
    <mergeCell ref="J15:L15"/>
    <mergeCell ref="M15:N15"/>
    <mergeCell ref="O15:V15"/>
    <mergeCell ref="W15:Y15"/>
    <mergeCell ref="Z15:AA15"/>
    <mergeCell ref="AB15:AG15"/>
    <mergeCell ref="A18:E18"/>
    <mergeCell ref="F18:AI18"/>
    <mergeCell ref="AK18:AP18"/>
    <mergeCell ref="B19:E19"/>
    <mergeCell ref="F19:AI19"/>
    <mergeCell ref="AK19:AP19"/>
    <mergeCell ref="AH15:AI15"/>
    <mergeCell ref="AK15:AP15"/>
    <mergeCell ref="A16:AI16"/>
    <mergeCell ref="AK16:AP16"/>
    <mergeCell ref="A17:E17"/>
    <mergeCell ref="F17:AI17"/>
    <mergeCell ref="AK17:AP17"/>
    <mergeCell ref="B20:E20"/>
    <mergeCell ref="F20:AI20"/>
    <mergeCell ref="AK20:AP20"/>
    <mergeCell ref="AR20:AR23"/>
    <mergeCell ref="B21:E21"/>
    <mergeCell ref="F21:AI21"/>
    <mergeCell ref="AK21:AP21"/>
    <mergeCell ref="B22:E22"/>
    <mergeCell ref="F22:AI22"/>
    <mergeCell ref="AK22:AP22"/>
    <mergeCell ref="BA23:BB23"/>
    <mergeCell ref="B24:E24"/>
    <mergeCell ref="F24:AI24"/>
    <mergeCell ref="AK24:AP24"/>
    <mergeCell ref="AY24:AZ24"/>
    <mergeCell ref="BA24:BB24"/>
    <mergeCell ref="AS22:AT22"/>
    <mergeCell ref="AU22:AV22"/>
    <mergeCell ref="AY22:AZ22"/>
    <mergeCell ref="BA22:BB22"/>
    <mergeCell ref="B23:E23"/>
    <mergeCell ref="F23:AI23"/>
    <mergeCell ref="AK23:AP23"/>
    <mergeCell ref="AS23:AT23"/>
    <mergeCell ref="AU23:AV23"/>
    <mergeCell ref="AY23:AZ23"/>
    <mergeCell ref="B27:E27"/>
    <mergeCell ref="F27:AI27"/>
    <mergeCell ref="AK27:AP27"/>
    <mergeCell ref="AS27:AT27"/>
    <mergeCell ref="AU27:AW27"/>
    <mergeCell ref="AY27:BB27"/>
    <mergeCell ref="B25:E25"/>
    <mergeCell ref="F25:AI25"/>
    <mergeCell ref="AK25:AP25"/>
    <mergeCell ref="AY25:AZ25"/>
    <mergeCell ref="BA25:BB25"/>
    <mergeCell ref="B26:E26"/>
    <mergeCell ref="F26:AI26"/>
    <mergeCell ref="AK26:AP26"/>
    <mergeCell ref="AS26:AW26"/>
    <mergeCell ref="BA28:BB28"/>
    <mergeCell ref="B29:E29"/>
    <mergeCell ref="F29:AI29"/>
    <mergeCell ref="AK29:AP29"/>
    <mergeCell ref="AS29:AT29"/>
    <mergeCell ref="AU29:AW29"/>
    <mergeCell ref="AY29:AZ29"/>
    <mergeCell ref="BA29:BB29"/>
    <mergeCell ref="B28:E28"/>
    <mergeCell ref="F28:AI28"/>
    <mergeCell ref="AK28:AP28"/>
    <mergeCell ref="AS28:AT28"/>
    <mergeCell ref="AU28:AW28"/>
    <mergeCell ref="AY28:AZ28"/>
    <mergeCell ref="A32:AI32"/>
    <mergeCell ref="AK32:AP32"/>
    <mergeCell ref="AS32:AT32"/>
    <mergeCell ref="AU32:AW32"/>
    <mergeCell ref="AY32:AZ32"/>
    <mergeCell ref="BA32:BB32"/>
    <mergeCell ref="BA30:BB30"/>
    <mergeCell ref="B31:E31"/>
    <mergeCell ref="F31:AI31"/>
    <mergeCell ref="AK31:AP31"/>
    <mergeCell ref="AS31:AT31"/>
    <mergeCell ref="AU31:AW31"/>
    <mergeCell ref="AY31:AZ31"/>
    <mergeCell ref="BA31:BB31"/>
    <mergeCell ref="B30:E30"/>
    <mergeCell ref="F30:AI30"/>
    <mergeCell ref="AK30:AP30"/>
    <mergeCell ref="AS30:AT30"/>
    <mergeCell ref="AU30:AW30"/>
    <mergeCell ref="AY30:AZ30"/>
    <mergeCell ref="BA33:BB33"/>
    <mergeCell ref="B34:E34"/>
    <mergeCell ref="F34:AI34"/>
    <mergeCell ref="AK34:AP34"/>
    <mergeCell ref="AS34:AT34"/>
    <mergeCell ref="AU34:AW34"/>
    <mergeCell ref="AY34:AZ34"/>
    <mergeCell ref="BA34:BB34"/>
    <mergeCell ref="B33:E33"/>
    <mergeCell ref="F33:AI33"/>
    <mergeCell ref="AK33:AP33"/>
    <mergeCell ref="AS33:AT33"/>
    <mergeCell ref="AU33:AW33"/>
    <mergeCell ref="AY33:AZ33"/>
    <mergeCell ref="AY35:AZ35"/>
    <mergeCell ref="BA35:BB35"/>
    <mergeCell ref="A36:E36"/>
    <mergeCell ref="F36:K36"/>
    <mergeCell ref="L36:O36"/>
    <mergeCell ref="P36:R36"/>
    <mergeCell ref="T36:V36"/>
    <mergeCell ref="W36:AB36"/>
    <mergeCell ref="AC36:AI36"/>
    <mergeCell ref="B35:E35"/>
    <mergeCell ref="F35:V35"/>
    <mergeCell ref="W35:AB35"/>
    <mergeCell ref="AC35:AI35"/>
    <mergeCell ref="AK35:AP35"/>
    <mergeCell ref="AS35:AT35"/>
    <mergeCell ref="AK36:AP36"/>
    <mergeCell ref="AS36:AT36"/>
    <mergeCell ref="AU36:AW36"/>
    <mergeCell ref="AU35:AW35"/>
    <mergeCell ref="A39:AI39"/>
    <mergeCell ref="AK39:AP39"/>
    <mergeCell ref="AS39:AT39"/>
    <mergeCell ref="AV39:AW39"/>
    <mergeCell ref="A38:E38"/>
    <mergeCell ref="F38:K38"/>
    <mergeCell ref="L38:O38"/>
    <mergeCell ref="P38:V38"/>
    <mergeCell ref="W38:AB38"/>
    <mergeCell ref="AC38:AI38"/>
    <mergeCell ref="AD40:AI40"/>
    <mergeCell ref="A37:E37"/>
    <mergeCell ref="F37:AI37"/>
    <mergeCell ref="AK40:AP40"/>
    <mergeCell ref="AS40:AT40"/>
    <mergeCell ref="AV40:AW40"/>
    <mergeCell ref="A41:D41"/>
    <mergeCell ref="E41:G41"/>
    <mergeCell ref="I41:K41"/>
    <mergeCell ref="L41:R41"/>
    <mergeCell ref="S41:V41"/>
    <mergeCell ref="W41:Y41"/>
    <mergeCell ref="AA41:AC41"/>
    <mergeCell ref="AD41:AI41"/>
    <mergeCell ref="AK41:AP41"/>
    <mergeCell ref="A40:D40"/>
    <mergeCell ref="E40:K40"/>
    <mergeCell ref="L40:R40"/>
    <mergeCell ref="S40:V40"/>
    <mergeCell ref="W40:AC40"/>
    <mergeCell ref="AK37:AP37"/>
    <mergeCell ref="AS37:AT37"/>
    <mergeCell ref="AU37:AW37"/>
    <mergeCell ref="AK38:AP38"/>
    <mergeCell ref="A42:D42"/>
    <mergeCell ref="E42:G42"/>
    <mergeCell ref="I42:K42"/>
    <mergeCell ref="L42:R42"/>
    <mergeCell ref="S42:V42"/>
    <mergeCell ref="W42:Y42"/>
    <mergeCell ref="AA42:AC42"/>
    <mergeCell ref="AK42:AP42"/>
    <mergeCell ref="AS42:AW42"/>
    <mergeCell ref="A43:D43"/>
    <mergeCell ref="E43:G43"/>
    <mergeCell ref="I43:K43"/>
    <mergeCell ref="L43:R43"/>
    <mergeCell ref="S43:V43"/>
    <mergeCell ref="W43:Y43"/>
    <mergeCell ref="AA43:AC43"/>
    <mergeCell ref="A44:D44"/>
    <mergeCell ref="E44:G44"/>
    <mergeCell ref="I44:K44"/>
    <mergeCell ref="L44:R44"/>
    <mergeCell ref="S44:V44"/>
    <mergeCell ref="W44:Y44"/>
    <mergeCell ref="AA44:AC44"/>
    <mergeCell ref="AD44:AI44"/>
    <mergeCell ref="AD42:AI42"/>
    <mergeCell ref="AK44:AP44"/>
    <mergeCell ref="R45:U45"/>
    <mergeCell ref="W45:X45"/>
    <mergeCell ref="Z45:AA45"/>
    <mergeCell ref="AC45:AD45"/>
    <mergeCell ref="AE45:AF45"/>
    <mergeCell ref="AK45:AP45"/>
    <mergeCell ref="AD43:AI43"/>
    <mergeCell ref="AK43:AP43"/>
    <mergeCell ref="B49:E49"/>
    <mergeCell ref="F49:AI49"/>
    <mergeCell ref="AK49:AP49"/>
    <mergeCell ref="B50:E50"/>
    <mergeCell ref="F50:AI50"/>
    <mergeCell ref="AK50:AP50"/>
    <mergeCell ref="A46:AI46"/>
    <mergeCell ref="AK46:AP46"/>
    <mergeCell ref="B47:E47"/>
    <mergeCell ref="F47:AI47"/>
    <mergeCell ref="AK47:AP47"/>
    <mergeCell ref="B48:E48"/>
    <mergeCell ref="F48:AI48"/>
    <mergeCell ref="AK48:AP48"/>
    <mergeCell ref="B53:E53"/>
    <mergeCell ref="F53:AI53"/>
    <mergeCell ref="AK53:AP53"/>
    <mergeCell ref="B54:E54"/>
    <mergeCell ref="F54:AI54"/>
    <mergeCell ref="AK54:AP54"/>
    <mergeCell ref="B51:E51"/>
    <mergeCell ref="F51:AI51"/>
    <mergeCell ref="AK51:AP51"/>
    <mergeCell ref="B52:E52"/>
    <mergeCell ref="F52:AI52"/>
    <mergeCell ref="AK52:AP52"/>
    <mergeCell ref="B57:E57"/>
    <mergeCell ref="F57:AI57"/>
    <mergeCell ref="AK57:AP57"/>
    <mergeCell ref="B58:E58"/>
    <mergeCell ref="F58:AI58"/>
    <mergeCell ref="AK58:AP58"/>
    <mergeCell ref="B55:E55"/>
    <mergeCell ref="F55:AI55"/>
    <mergeCell ref="AK55:AP55"/>
    <mergeCell ref="B56:E56"/>
    <mergeCell ref="F56:AI56"/>
    <mergeCell ref="AK56:AP56"/>
    <mergeCell ref="B61:E61"/>
    <mergeCell ref="F61:AI61"/>
    <mergeCell ref="AK61:AP61"/>
    <mergeCell ref="B62:E62"/>
    <mergeCell ref="F62:AI62"/>
    <mergeCell ref="AK62:AP62"/>
    <mergeCell ref="B59:E59"/>
    <mergeCell ref="F59:AI59"/>
    <mergeCell ref="AK59:AP59"/>
    <mergeCell ref="B60:E60"/>
    <mergeCell ref="F60:AI60"/>
    <mergeCell ref="AK60:AP60"/>
    <mergeCell ref="B65:E65"/>
    <mergeCell ref="F65:AI65"/>
    <mergeCell ref="AK65:AP65"/>
    <mergeCell ref="B66:E66"/>
    <mergeCell ref="F66:AI66"/>
    <mergeCell ref="AK66:AP66"/>
    <mergeCell ref="B63:E63"/>
    <mergeCell ref="F63:AI63"/>
    <mergeCell ref="AK63:AP63"/>
    <mergeCell ref="B64:E64"/>
    <mergeCell ref="F64:AI64"/>
    <mergeCell ref="AK64:AP64"/>
    <mergeCell ref="B69:E69"/>
    <mergeCell ref="F69:AI69"/>
    <mergeCell ref="AK69:AP69"/>
    <mergeCell ref="B70:E70"/>
    <mergeCell ref="F70:AI70"/>
    <mergeCell ref="AK70:AP70"/>
    <mergeCell ref="B67:E67"/>
    <mergeCell ref="F67:AI67"/>
    <mergeCell ref="AK67:AP67"/>
    <mergeCell ref="B68:E68"/>
    <mergeCell ref="F68:AI68"/>
    <mergeCell ref="AK68:AP68"/>
    <mergeCell ref="B73:E73"/>
    <mergeCell ref="F73:AI73"/>
    <mergeCell ref="AK73:AP73"/>
    <mergeCell ref="B74:E74"/>
    <mergeCell ref="F74:AI74"/>
    <mergeCell ref="AK74:AP74"/>
    <mergeCell ref="B71:E71"/>
    <mergeCell ref="F71:AI71"/>
    <mergeCell ref="AK71:AP71"/>
    <mergeCell ref="B72:E72"/>
    <mergeCell ref="F72:AI72"/>
    <mergeCell ref="AK72:AP72"/>
    <mergeCell ref="B77:E77"/>
    <mergeCell ref="F77:AI77"/>
    <mergeCell ref="AK77:AP77"/>
    <mergeCell ref="B78:E78"/>
    <mergeCell ref="F78:AI78"/>
    <mergeCell ref="AK78:AP78"/>
    <mergeCell ref="B75:E75"/>
    <mergeCell ref="F75:AI75"/>
    <mergeCell ref="AK75:AP75"/>
    <mergeCell ref="B76:E76"/>
    <mergeCell ref="F76:AI76"/>
    <mergeCell ref="AK76:AP76"/>
    <mergeCell ref="A81:AI81"/>
    <mergeCell ref="AK81:AP81"/>
    <mergeCell ref="B82:E82"/>
    <mergeCell ref="F82:AI82"/>
    <mergeCell ref="AK82:AP82"/>
    <mergeCell ref="B83:E83"/>
    <mergeCell ref="F83:AI83"/>
    <mergeCell ref="AK83:AP83"/>
    <mergeCell ref="B79:E79"/>
    <mergeCell ref="F79:AI79"/>
    <mergeCell ref="AK79:AP79"/>
    <mergeCell ref="B80:E80"/>
    <mergeCell ref="F80:AI80"/>
    <mergeCell ref="AK80:AP80"/>
    <mergeCell ref="B86:E86"/>
    <mergeCell ref="F86:AI86"/>
    <mergeCell ref="AK86:AP86"/>
    <mergeCell ref="AK87:AP87"/>
    <mergeCell ref="AK88:AP88"/>
    <mergeCell ref="AK89:AP89"/>
    <mergeCell ref="B84:E84"/>
    <mergeCell ref="F84:AI84"/>
    <mergeCell ref="AK84:AP84"/>
    <mergeCell ref="B85:E85"/>
    <mergeCell ref="F85:AI85"/>
    <mergeCell ref="AK85:AP85"/>
  </mergeCells>
  <phoneticPr fontId="2"/>
  <conditionalFormatting sqref="AQ20:AQ28 AQ30:AQ31 AQ9 AQ11:AQ12 AQ14 AQ33:AQ34">
    <cfRule type="containsBlanks" dxfId="371" priority="12">
      <formula>LEN(TRIM(AQ9))=0</formula>
    </cfRule>
  </conditionalFormatting>
  <conditionalFormatting sqref="BC11:CF11">
    <cfRule type="containsText" dxfId="370" priority="8" operator="containsText" text="青">
      <formula>NOT(ISERROR(SEARCH("青",BC11)))</formula>
    </cfRule>
    <cfRule type="containsText" dxfId="369" priority="9" operator="containsText" text="緑">
      <formula>NOT(ISERROR(SEARCH("緑",BC11)))</formula>
    </cfRule>
    <cfRule type="containsText" dxfId="368" priority="10" operator="containsText" text="黄">
      <formula>NOT(ISERROR(SEARCH("黄",BC11)))</formula>
    </cfRule>
    <cfRule type="containsText" dxfId="367" priority="11" operator="containsText" text="赤">
      <formula>NOT(ISERROR(SEARCH("赤",BC11)))</formula>
    </cfRule>
  </conditionalFormatting>
  <conditionalFormatting sqref="V7:X8">
    <cfRule type="containsBlanks" dxfId="366" priority="7">
      <formula>LEN(TRIM(V7))=0</formula>
    </cfRule>
  </conditionalFormatting>
  <conditionalFormatting sqref="AB7:AI8">
    <cfRule type="containsBlanks" dxfId="365" priority="6">
      <formula>LEN(TRIM(AB7))=0</formula>
    </cfRule>
  </conditionalFormatting>
  <conditionalFormatting sqref="A7:E8 G7:I8 K7:M8 O7:P8">
    <cfRule type="containsBlanks" dxfId="364" priority="5">
      <formula>LEN(TRIM(A7))=0</formula>
    </cfRule>
  </conditionalFormatting>
  <conditionalFormatting sqref="W15:Y15 AH15:AI15 J15:L15">
    <cfRule type="containsBlanks" dxfId="363" priority="4">
      <formula>LEN(TRIM(J15))=0</formula>
    </cfRule>
  </conditionalFormatting>
  <conditionalFormatting sqref="L41:R44">
    <cfRule type="cellIs" dxfId="362" priority="1" operator="equal">
      <formula>0</formula>
    </cfRule>
  </conditionalFormatting>
  <conditionalFormatting sqref="P36:R36 T36:V36 L38:O38 AC38:AI38 AC36:AI36">
    <cfRule type="containsBlanks" dxfId="361" priority="3">
      <formula>LEN(TRIM(L36))=0</formula>
    </cfRule>
  </conditionalFormatting>
  <conditionalFormatting sqref="W41:Y44 AA41:AI44">
    <cfRule type="cellIs" dxfId="360" priority="2" operator="equal">
      <formula>0</formula>
    </cfRule>
  </conditionalFormatting>
  <printOptions horizontalCentered="1" verticalCentered="1"/>
  <pageMargins left="0.70866141732283472" right="0.59055118110236227" top="0.55118110236220474" bottom="0.55118110236220474" header="0.31496062992125984" footer="0.31496062992125984"/>
  <pageSetup paperSize="9" orientation="portrait" horizontalDpi="300" verticalDpi="300" r:id="rId1"/>
  <headerFooter scaleWithDoc="0" alignWithMargins="0">
    <oddFooter>&amp;C&amp;P&amp;Rヒトトヒト株式会社</oddFooter>
  </headerFooter>
  <rowBreaks count="1" manualBreakCount="1">
    <brk id="44" max="34" man="1"/>
  </rowBreaks>
  <drawing r:id="rId2"/>
  <extLst>
    <ext xmlns:x14="http://schemas.microsoft.com/office/spreadsheetml/2009/9/main" uri="{CCE6A557-97BC-4b89-ADB6-D9C93CAAB3DF}">
      <x14:dataValidations xmlns:xm="http://schemas.microsoft.com/office/excel/2006/main" count="6">
        <x14:dataValidation type="list" allowBlank="1" showInputMessage="1" showErrorMessage="1" xr:uid="{24CE32EC-A43F-426B-BEB4-28734384EE86}">
          <x14:formula1>
            <xm:f>初期値!$C$12:$C$27</xm:f>
          </x14:formula1>
          <xm:sqref>P36:R36 T36:V36</xm:sqref>
        </x14:dataValidation>
        <x14:dataValidation type="list" allowBlank="1" showInputMessage="1" showErrorMessage="1" xr:uid="{BE83D047-EE65-44E5-B23C-392D27B99FE5}">
          <x14:formula1>
            <xm:f>初期値!$G$12:$G$24</xm:f>
          </x14:formula1>
          <xm:sqref>V7:X8</xm:sqref>
        </x14:dataValidation>
        <x14:dataValidation type="list" allowBlank="1" showInputMessage="1" showErrorMessage="1" xr:uid="{5D9FBD81-1B9D-47A9-A230-4759FE15068C}">
          <x14:formula1>
            <xm:f>初期値!$E$12:$E$13</xm:f>
          </x14:formula1>
          <xm:sqref>L38:O38 AC38:AI38 AC36:AI36</xm:sqref>
        </x14:dataValidation>
        <x14:dataValidation type="list" allowBlank="1" showInputMessage="1" showErrorMessage="1" xr:uid="{858EFB14-7213-4ED0-8E5B-6D64486EFC03}">
          <x14:formula1>
            <xm:f>初期値!$N$22:$N$23</xm:f>
          </x14:formula1>
          <xm:sqref>AW23</xm:sqref>
        </x14:dataValidation>
        <x14:dataValidation type="list" allowBlank="1" showInputMessage="1" showErrorMessage="1" xr:uid="{F4471BC5-9AB3-4002-AD97-CBE999CDFFB8}">
          <x14:formula1>
            <xm:f>初期値!$P$12:$P$27</xm:f>
          </x14:formula1>
          <xm:sqref>BA24:BB24 BA22:BB22 BA28:BB28 BA30:BB30 BA32:BB32 BA34:BB34</xm:sqref>
        </x14:dataValidation>
        <x14:dataValidation type="list" allowBlank="1" showInputMessage="1" showErrorMessage="1" xr:uid="{5D8D8C00-FE05-46EC-90DB-05B1BAF836D7}">
          <x14:formula1>
            <xm:f>初期値!$N$12:$N$19</xm:f>
          </x14:formula1>
          <xm:sqref>AU22:AV22</xm:sqref>
        </x14:dataValidation>
      </x14:dataValidations>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0946AF9-4080-4046-BC62-2A9BE36C7B8A}">
  <sheetPr codeName="Sheet8"/>
  <dimension ref="A1:CG266"/>
  <sheetViews>
    <sheetView topLeftCell="A4" zoomScaleNormal="100" zoomScaleSheetLayoutView="100" workbookViewId="0">
      <selection activeCell="AK42" sqref="AK42:AP42"/>
    </sheetView>
  </sheetViews>
  <sheetFormatPr defaultColWidth="8.875" defaultRowHeight="13.5"/>
  <cols>
    <col min="1" max="42" width="2.25" style="23" customWidth="1"/>
    <col min="43" max="43" width="6" style="23" bestFit="1" customWidth="1"/>
    <col min="44" max="44" width="4.5" style="23" bestFit="1" customWidth="1"/>
    <col min="45" max="45" width="6" style="23" bestFit="1" customWidth="1"/>
    <col min="46" max="46" width="4.5" style="23" bestFit="1" customWidth="1"/>
    <col min="47" max="47" width="9" style="23" bestFit="1" customWidth="1"/>
    <col min="48" max="48" width="8.5" style="23" bestFit="1" customWidth="1"/>
    <col min="49" max="49" width="7.5" style="23" bestFit="1" customWidth="1"/>
    <col min="50" max="50" width="6.5" style="23" bestFit="1" customWidth="1"/>
    <col min="51" max="51" width="7.5" style="23" bestFit="1" customWidth="1"/>
    <col min="52" max="52" width="2.125" style="23" customWidth="1"/>
    <col min="53" max="54" width="7.375" style="23" customWidth="1"/>
    <col min="55" max="63" width="3.625" style="23" bestFit="1" customWidth="1"/>
    <col min="64" max="84" width="4" style="23" bestFit="1" customWidth="1"/>
    <col min="85" max="16384" width="8.875" style="23"/>
  </cols>
  <sheetData>
    <row r="1" spans="1:85" ht="14.1" customHeight="1">
      <c r="A1" s="510" t="s">
        <v>551</v>
      </c>
      <c r="B1" s="510"/>
      <c r="C1" s="510"/>
      <c r="D1" s="510"/>
      <c r="E1" s="510"/>
      <c r="F1" s="510"/>
      <c r="G1" s="510"/>
      <c r="H1" s="510"/>
      <c r="I1" s="510"/>
      <c r="J1" s="510"/>
      <c r="K1" s="510"/>
      <c r="L1" s="510"/>
      <c r="M1" s="510"/>
      <c r="N1" s="510"/>
      <c r="O1" s="510"/>
      <c r="P1" s="510"/>
      <c r="Q1" s="510"/>
      <c r="R1" s="510"/>
      <c r="S1" s="510"/>
      <c r="T1" s="388"/>
      <c r="U1" s="388"/>
      <c r="V1" s="388"/>
      <c r="W1" s="388"/>
      <c r="X1" s="388"/>
      <c r="Y1" s="388"/>
      <c r="Z1" s="388"/>
      <c r="AA1" s="24"/>
      <c r="AB1" s="32"/>
      <c r="AD1" s="252" t="s">
        <v>167</v>
      </c>
      <c r="AE1" s="252"/>
      <c r="AF1" s="252"/>
      <c r="AG1" s="252"/>
      <c r="AH1" s="252"/>
      <c r="AI1" s="252"/>
      <c r="AM1" s="123">
        <v>2</v>
      </c>
      <c r="BB1"/>
    </row>
    <row r="2" spans="1:85" ht="14.1" customHeight="1">
      <c r="A2" s="510"/>
      <c r="B2" s="510"/>
      <c r="C2" s="510"/>
      <c r="D2" s="510"/>
      <c r="E2" s="510"/>
      <c r="F2" s="510"/>
      <c r="G2" s="510"/>
      <c r="H2" s="510"/>
      <c r="I2" s="510"/>
      <c r="J2" s="510"/>
      <c r="K2" s="510"/>
      <c r="L2" s="510"/>
      <c r="M2" s="510"/>
      <c r="N2" s="510"/>
      <c r="O2" s="510"/>
      <c r="P2" s="510"/>
      <c r="Q2" s="510"/>
      <c r="R2" s="510"/>
      <c r="S2" s="510"/>
      <c r="T2" s="388"/>
      <c r="U2" s="388"/>
      <c r="V2" s="388"/>
      <c r="W2" s="388"/>
      <c r="X2" s="388"/>
      <c r="Y2" s="388"/>
      <c r="Z2" s="388"/>
      <c r="AA2" s="25"/>
      <c r="AB2" s="31"/>
      <c r="AD2" s="253"/>
      <c r="AE2" s="253"/>
      <c r="AF2" s="253"/>
      <c r="AG2" s="253"/>
      <c r="AH2" s="253"/>
      <c r="AI2" s="253"/>
      <c r="BA2"/>
    </row>
    <row r="3" spans="1:85" ht="14.1" customHeight="1">
      <c r="A3" s="510"/>
      <c r="B3" s="510"/>
      <c r="C3" s="510"/>
      <c r="D3" s="510"/>
      <c r="E3" s="510"/>
      <c r="F3" s="510"/>
      <c r="G3" s="510"/>
      <c r="H3" s="510"/>
      <c r="I3" s="510"/>
      <c r="J3" s="510"/>
      <c r="K3" s="510"/>
      <c r="L3" s="510"/>
      <c r="M3" s="510"/>
      <c r="N3" s="510"/>
      <c r="O3" s="510"/>
      <c r="P3" s="510"/>
      <c r="Q3" s="510"/>
      <c r="R3" s="510"/>
      <c r="S3" s="510"/>
      <c r="T3" s="388"/>
      <c r="U3" s="388"/>
      <c r="V3" s="388"/>
      <c r="W3" s="388"/>
      <c r="X3" s="388"/>
      <c r="Y3" s="388"/>
      <c r="Z3" s="388"/>
      <c r="AA3" s="25"/>
      <c r="AB3" s="31"/>
      <c r="AD3" s="253"/>
      <c r="AE3" s="253"/>
      <c r="AF3" s="253"/>
      <c r="AG3" s="253"/>
      <c r="AH3" s="253"/>
      <c r="AI3" s="253"/>
      <c r="BA3"/>
    </row>
    <row r="4" spans="1:85" ht="14.1" customHeight="1">
      <c r="A4" s="395" t="s">
        <v>552</v>
      </c>
      <c r="B4" s="395"/>
      <c r="C4" s="395"/>
      <c r="D4" s="395"/>
      <c r="E4" s="395"/>
      <c r="F4" s="395"/>
      <c r="G4" s="395"/>
      <c r="H4" s="395"/>
      <c r="I4" s="395"/>
      <c r="J4" s="395"/>
      <c r="K4" s="395"/>
      <c r="L4" s="395"/>
      <c r="M4" s="395"/>
      <c r="N4" s="395"/>
      <c r="O4" s="395"/>
      <c r="P4" s="395"/>
      <c r="Q4" s="395"/>
      <c r="R4" s="395"/>
      <c r="S4" s="395"/>
      <c r="T4" s="155"/>
      <c r="U4" s="155"/>
      <c r="V4" s="155"/>
      <c r="W4" s="155"/>
      <c r="X4" s="155"/>
      <c r="Y4" s="155"/>
      <c r="Z4" s="155"/>
      <c r="AA4" s="26"/>
      <c r="AB4" s="31"/>
      <c r="AD4" s="253"/>
      <c r="AE4" s="253"/>
      <c r="AF4" s="253"/>
      <c r="AG4" s="253"/>
      <c r="AH4" s="253"/>
      <c r="AI4" s="253"/>
      <c r="BA4"/>
    </row>
    <row r="5" spans="1:85" ht="14.1" customHeight="1">
      <c r="A5" s="395"/>
      <c r="B5" s="395"/>
      <c r="C5" s="395"/>
      <c r="D5" s="395"/>
      <c r="E5" s="395"/>
      <c r="F5" s="395"/>
      <c r="G5" s="395"/>
      <c r="H5" s="395"/>
      <c r="I5" s="395"/>
      <c r="J5" s="395"/>
      <c r="K5" s="395"/>
      <c r="L5" s="395"/>
      <c r="M5" s="395"/>
      <c r="N5" s="395"/>
      <c r="O5" s="395"/>
      <c r="P5" s="395"/>
      <c r="Q5" s="395"/>
      <c r="R5" s="395"/>
      <c r="S5" s="395"/>
      <c r="T5" s="155"/>
      <c r="U5" s="155"/>
      <c r="V5" s="155"/>
      <c r="W5" s="155"/>
      <c r="X5" s="155"/>
      <c r="Y5" s="155"/>
      <c r="Z5" s="155"/>
      <c r="AA5" s="26"/>
      <c r="AB5" s="31"/>
      <c r="AC5" s="31"/>
      <c r="AD5" s="31"/>
      <c r="AE5" s="31"/>
      <c r="AF5" s="31"/>
      <c r="AG5" s="31"/>
      <c r="AH5" s="31"/>
      <c r="AI5" s="31"/>
      <c r="BA5"/>
    </row>
    <row r="6" spans="1:85" ht="14.1" customHeight="1" thickBot="1">
      <c r="A6" s="27"/>
      <c r="B6" s="27"/>
      <c r="C6" s="27"/>
      <c r="D6" s="27"/>
      <c r="E6" s="27"/>
      <c r="F6" s="27"/>
      <c r="G6" s="27"/>
      <c r="H6" s="27"/>
      <c r="I6" s="27"/>
      <c r="BA6"/>
    </row>
    <row r="7" spans="1:85" ht="12" customHeight="1">
      <c r="A7" s="255">
        <f>DATE(初期値!A2,初期値!A3,AM1)</f>
        <v>46175</v>
      </c>
      <c r="B7" s="256"/>
      <c r="C7" s="256"/>
      <c r="D7" s="256"/>
      <c r="E7" s="256"/>
      <c r="F7" s="259" t="s">
        <v>169</v>
      </c>
      <c r="G7" s="236">
        <f>$A$7</f>
        <v>46175</v>
      </c>
      <c r="H7" s="236"/>
      <c r="I7" s="236"/>
      <c r="J7" s="239" t="s">
        <v>170</v>
      </c>
      <c r="K7" s="261">
        <f>$A$7</f>
        <v>46175</v>
      </c>
      <c r="L7" s="261"/>
      <c r="M7" s="261"/>
      <c r="N7" s="239" t="s">
        <v>3</v>
      </c>
      <c r="O7" s="520">
        <f>$A$7</f>
        <v>46175</v>
      </c>
      <c r="P7" s="520"/>
      <c r="Q7" s="239" t="s">
        <v>292</v>
      </c>
      <c r="R7" s="240"/>
      <c r="S7" s="522" t="s">
        <v>553</v>
      </c>
      <c r="T7" s="244"/>
      <c r="U7" s="29" t="s">
        <v>554</v>
      </c>
      <c r="V7" s="518" t="s">
        <v>37</v>
      </c>
      <c r="W7" s="518"/>
      <c r="X7" s="518"/>
      <c r="Y7" s="511" t="s">
        <v>555</v>
      </c>
      <c r="Z7" s="512"/>
      <c r="AA7" s="513"/>
      <c r="AB7" s="244" t="str">
        <f>L43</f>
        <v>片山薫</v>
      </c>
      <c r="AC7" s="244"/>
      <c r="AD7" s="244"/>
      <c r="AE7" s="244"/>
      <c r="AF7" s="244"/>
      <c r="AG7" s="244"/>
      <c r="AH7" s="244"/>
      <c r="AI7" s="245"/>
      <c r="AK7" s="425" t="s">
        <v>556</v>
      </c>
      <c r="AL7" s="425"/>
      <c r="AM7" s="425"/>
      <c r="AN7" s="425"/>
      <c r="AO7" s="425"/>
      <c r="AP7" s="425"/>
      <c r="AQ7" s="439" t="s">
        <v>557</v>
      </c>
      <c r="AR7" s="43"/>
      <c r="AS7" s="43"/>
      <c r="AT7" s="43"/>
      <c r="AU7" s="43"/>
      <c r="AV7" s="43"/>
      <c r="AW7" s="43"/>
      <c r="AX7" s="43"/>
      <c r="AY7" s="43"/>
      <c r="AZ7" s="43"/>
      <c r="BA7"/>
    </row>
    <row r="8" spans="1:85" ht="12" customHeight="1" thickBot="1">
      <c r="A8" s="257"/>
      <c r="B8" s="258"/>
      <c r="C8" s="258"/>
      <c r="D8" s="258"/>
      <c r="E8" s="258"/>
      <c r="F8" s="260"/>
      <c r="G8" s="237"/>
      <c r="H8" s="237"/>
      <c r="I8" s="237"/>
      <c r="J8" s="242"/>
      <c r="K8" s="262"/>
      <c r="L8" s="262"/>
      <c r="M8" s="262"/>
      <c r="N8" s="242"/>
      <c r="O8" s="521"/>
      <c r="P8" s="521"/>
      <c r="Q8" s="242"/>
      <c r="R8" s="243"/>
      <c r="S8" s="523"/>
      <c r="T8" s="246"/>
      <c r="U8" s="33" t="s">
        <v>558</v>
      </c>
      <c r="V8" s="519" t="s">
        <v>63</v>
      </c>
      <c r="W8" s="519"/>
      <c r="X8" s="519"/>
      <c r="Y8" s="514"/>
      <c r="Z8" s="515"/>
      <c r="AA8" s="516"/>
      <c r="AB8" s="246"/>
      <c r="AC8" s="246"/>
      <c r="AD8" s="246"/>
      <c r="AE8" s="246"/>
      <c r="AF8" s="246"/>
      <c r="AG8" s="246"/>
      <c r="AH8" s="246"/>
      <c r="AI8" s="247"/>
      <c r="AK8" s="425"/>
      <c r="AL8" s="425"/>
      <c r="AM8" s="425"/>
      <c r="AN8" s="425"/>
      <c r="AO8" s="425"/>
      <c r="AP8" s="425"/>
      <c r="AQ8" s="439"/>
      <c r="AR8" s="43"/>
      <c r="AS8" s="43"/>
      <c r="AT8" s="43"/>
      <c r="AU8" s="43"/>
      <c r="AV8" s="43"/>
      <c r="AW8" s="43"/>
      <c r="AX8" s="43"/>
      <c r="AY8" s="43"/>
      <c r="AZ8" s="43"/>
      <c r="BA8"/>
    </row>
    <row r="9" spans="1:85" ht="18" customHeight="1">
      <c r="A9" s="507" t="s">
        <v>559</v>
      </c>
      <c r="B9" s="508"/>
      <c r="C9" s="508"/>
      <c r="D9" s="508"/>
      <c r="E9" s="508"/>
      <c r="F9" s="508"/>
      <c r="G9" s="508"/>
      <c r="H9" s="508"/>
      <c r="I9" s="508"/>
      <c r="J9" s="508"/>
      <c r="K9" s="508"/>
      <c r="L9" s="508"/>
      <c r="M9" s="508"/>
      <c r="N9" s="508"/>
      <c r="O9" s="508"/>
      <c r="P9" s="508"/>
      <c r="Q9" s="508"/>
      <c r="R9" s="508"/>
      <c r="S9" s="508"/>
      <c r="T9" s="508"/>
      <c r="U9" s="508"/>
      <c r="V9" s="508"/>
      <c r="W9" s="508"/>
      <c r="X9" s="508"/>
      <c r="Y9" s="508"/>
      <c r="Z9" s="508"/>
      <c r="AA9" s="508"/>
      <c r="AB9" s="508"/>
      <c r="AC9" s="508"/>
      <c r="AD9" s="508"/>
      <c r="AE9" s="508"/>
      <c r="AF9" s="508"/>
      <c r="AG9" s="508"/>
      <c r="AH9" s="508"/>
      <c r="AI9" s="509"/>
      <c r="AK9" s="440" t="s">
        <v>560</v>
      </c>
      <c r="AL9" s="440"/>
      <c r="AM9" s="440"/>
      <c r="AN9" s="440"/>
      <c r="AO9" s="440"/>
      <c r="AP9" s="440"/>
      <c r="AQ9" s="42">
        <v>60</v>
      </c>
      <c r="AR9" s="43"/>
      <c r="AS9" s="44" t="s">
        <v>561</v>
      </c>
      <c r="AT9" s="44" t="s">
        <v>562</v>
      </c>
      <c r="AU9" s="44" t="s">
        <v>563</v>
      </c>
      <c r="AV9" s="44" t="s">
        <v>564</v>
      </c>
      <c r="AW9" s="45" t="s">
        <v>565</v>
      </c>
      <c r="AX9" s="45" t="s">
        <v>566</v>
      </c>
      <c r="AY9" s="44" t="s">
        <v>567</v>
      </c>
      <c r="AZ9" s="43"/>
      <c r="BB9" s="49" t="s">
        <v>568</v>
      </c>
      <c r="BC9" s="43"/>
      <c r="BD9" s="43"/>
      <c r="BE9" s="43"/>
      <c r="BF9" s="43"/>
      <c r="BG9" s="43"/>
      <c r="BH9" s="43"/>
      <c r="BI9" s="43"/>
      <c r="BJ9" s="43"/>
      <c r="BK9" s="43"/>
      <c r="BL9" s="43"/>
      <c r="BM9" s="43"/>
      <c r="BN9" s="43"/>
      <c r="BO9" s="43"/>
      <c r="BP9" s="43"/>
      <c r="BQ9" s="43"/>
      <c r="BR9" s="43"/>
      <c r="BS9" s="43"/>
      <c r="BT9" s="43"/>
      <c r="BU9" s="43"/>
      <c r="BV9" s="43"/>
      <c r="BW9" s="43"/>
      <c r="BX9" s="43"/>
      <c r="BY9" s="43"/>
      <c r="BZ9" s="43"/>
      <c r="CA9" s="43"/>
      <c r="CB9" s="43"/>
      <c r="CC9" s="43"/>
      <c r="CD9" s="43"/>
      <c r="CE9" s="43"/>
      <c r="CF9" s="43"/>
      <c r="CG9" s="43"/>
    </row>
    <row r="10" spans="1:85" ht="18" customHeight="1">
      <c r="A10" s="265" t="s">
        <v>569</v>
      </c>
      <c r="B10" s="266"/>
      <c r="C10" s="266"/>
      <c r="D10" s="266"/>
      <c r="E10" s="266"/>
      <c r="F10" s="266"/>
      <c r="G10" s="266"/>
      <c r="H10" s="266"/>
      <c r="I10" s="264">
        <f>AQ14</f>
        <v>0</v>
      </c>
      <c r="J10" s="264"/>
      <c r="K10" s="267" t="s">
        <v>176</v>
      </c>
      <c r="L10" s="268"/>
      <c r="M10" s="269" t="s">
        <v>570</v>
      </c>
      <c r="N10" s="266"/>
      <c r="O10" s="266"/>
      <c r="P10" s="266"/>
      <c r="Q10" s="266"/>
      <c r="R10" s="266"/>
      <c r="S10" s="266"/>
      <c r="T10" s="266"/>
      <c r="U10" s="264">
        <f>AQ37</f>
        <v>0</v>
      </c>
      <c r="V10" s="264"/>
      <c r="W10" s="267" t="s">
        <v>176</v>
      </c>
      <c r="X10" s="268"/>
      <c r="Y10" s="269" t="s">
        <v>571</v>
      </c>
      <c r="Z10" s="266"/>
      <c r="AA10" s="266"/>
      <c r="AB10" s="266"/>
      <c r="AC10" s="266"/>
      <c r="AD10" s="266"/>
      <c r="AE10" s="266"/>
      <c r="AF10" s="266"/>
      <c r="AG10" s="264">
        <f>AQ26+AQ25</f>
        <v>0</v>
      </c>
      <c r="AH10" s="264"/>
      <c r="AI10" s="28" t="s">
        <v>176</v>
      </c>
      <c r="AK10" s="440" t="s">
        <v>572</v>
      </c>
      <c r="AL10" s="440"/>
      <c r="AM10" s="440"/>
      <c r="AN10" s="440"/>
      <c r="AO10" s="440"/>
      <c r="AP10" s="440"/>
      <c r="AQ10" s="42"/>
      <c r="AR10" s="43"/>
      <c r="AS10" s="46">
        <v>1</v>
      </c>
      <c r="AT10" s="46"/>
      <c r="AU10" s="46" t="s">
        <v>119</v>
      </c>
      <c r="AV10" s="47" t="s">
        <v>573</v>
      </c>
      <c r="AW10" s="47" t="s">
        <v>574</v>
      </c>
      <c r="AX10" s="47">
        <v>0.33333333333333331</v>
      </c>
      <c r="AY10" s="47">
        <v>0.83333333333333337</v>
      </c>
      <c r="AZ10" s="43"/>
      <c r="BB10" s="49" t="s">
        <v>95</v>
      </c>
      <c r="BC10" s="120">
        <v>1</v>
      </c>
      <c r="BD10" s="120">
        <v>2</v>
      </c>
      <c r="BE10" s="120">
        <v>3</v>
      </c>
      <c r="BF10" s="120">
        <v>4</v>
      </c>
      <c r="BG10" s="120">
        <v>5</v>
      </c>
      <c r="BH10" s="120">
        <v>6</v>
      </c>
      <c r="BI10" s="120">
        <v>7</v>
      </c>
      <c r="BJ10" s="120">
        <v>8</v>
      </c>
      <c r="BK10" s="120">
        <v>9</v>
      </c>
      <c r="BL10" s="120">
        <v>10</v>
      </c>
      <c r="BM10" s="120">
        <v>11</v>
      </c>
      <c r="BN10" s="120">
        <v>12</v>
      </c>
      <c r="BO10" s="120">
        <v>13</v>
      </c>
      <c r="BP10" s="120">
        <v>14</v>
      </c>
      <c r="BQ10" s="120">
        <v>15</v>
      </c>
      <c r="BR10" s="120">
        <v>16</v>
      </c>
      <c r="BS10" s="120">
        <v>17</v>
      </c>
      <c r="BT10" s="120">
        <v>18</v>
      </c>
      <c r="BU10" s="120">
        <v>19</v>
      </c>
      <c r="BV10" s="120">
        <v>20</v>
      </c>
      <c r="BW10" s="120">
        <v>21</v>
      </c>
      <c r="BX10" s="120">
        <v>22</v>
      </c>
      <c r="BY10" s="120">
        <v>23</v>
      </c>
      <c r="BZ10" s="120">
        <v>24</v>
      </c>
      <c r="CA10" s="120">
        <v>25</v>
      </c>
      <c r="CB10" s="120">
        <v>26</v>
      </c>
      <c r="CC10" s="120">
        <v>27</v>
      </c>
      <c r="CD10" s="120">
        <v>28</v>
      </c>
      <c r="CE10" s="120">
        <v>29</v>
      </c>
      <c r="CF10" s="120">
        <v>30</v>
      </c>
      <c r="CG10" s="43"/>
    </row>
    <row r="11" spans="1:85" ht="18" customHeight="1">
      <c r="A11" s="265" t="s">
        <v>575</v>
      </c>
      <c r="B11" s="266"/>
      <c r="C11" s="266"/>
      <c r="D11" s="266"/>
      <c r="E11" s="266"/>
      <c r="F11" s="266"/>
      <c r="G11" s="266"/>
      <c r="H11" s="266"/>
      <c r="I11" s="264">
        <f>AQ27</f>
        <v>0</v>
      </c>
      <c r="J11" s="264"/>
      <c r="K11" s="267" t="s">
        <v>176</v>
      </c>
      <c r="L11" s="268"/>
      <c r="M11" s="269" t="s">
        <v>576</v>
      </c>
      <c r="N11" s="266"/>
      <c r="O11" s="266"/>
      <c r="P11" s="266"/>
      <c r="Q11" s="266"/>
      <c r="R11" s="266"/>
      <c r="S11" s="266"/>
      <c r="T11" s="266"/>
      <c r="U11" s="264">
        <f>AQ36</f>
        <v>0</v>
      </c>
      <c r="V11" s="264"/>
      <c r="W11" s="267" t="s">
        <v>176</v>
      </c>
      <c r="X11" s="268"/>
      <c r="Y11" s="269" t="s">
        <v>577</v>
      </c>
      <c r="Z11" s="266"/>
      <c r="AA11" s="266"/>
      <c r="AB11" s="266"/>
      <c r="AC11" s="266"/>
      <c r="AD11" s="266"/>
      <c r="AE11" s="266"/>
      <c r="AF11" s="266"/>
      <c r="AG11" s="264">
        <f>AQ34</f>
        <v>0</v>
      </c>
      <c r="AH11" s="264"/>
      <c r="AI11" s="28" t="s">
        <v>176</v>
      </c>
      <c r="AK11" s="441" t="s">
        <v>578</v>
      </c>
      <c r="AL11" s="442"/>
      <c r="AM11" s="442"/>
      <c r="AN11" s="442"/>
      <c r="AO11" s="442"/>
      <c r="AP11" s="443"/>
      <c r="AQ11" s="42">
        <v>26</v>
      </c>
      <c r="AR11" s="43"/>
      <c r="AS11" s="46">
        <v>2</v>
      </c>
      <c r="AT11" s="46"/>
      <c r="AU11" s="46"/>
      <c r="AV11" s="47" t="s">
        <v>579</v>
      </c>
      <c r="AW11" s="47" t="s">
        <v>580</v>
      </c>
      <c r="AX11" s="47">
        <v>0.33333333333333331</v>
      </c>
      <c r="AY11" s="47">
        <v>0.58333333333333337</v>
      </c>
      <c r="AZ11" s="43"/>
      <c r="BB11" s="121" t="s">
        <v>581</v>
      </c>
      <c r="BC11" s="138" t="s">
        <v>582</v>
      </c>
      <c r="BD11" s="138" t="s">
        <v>583</v>
      </c>
      <c r="BE11" s="138" t="s">
        <v>584</v>
      </c>
      <c r="BF11" s="138" t="s">
        <v>585</v>
      </c>
      <c r="BG11" s="139" t="s">
        <v>584</v>
      </c>
      <c r="BH11" s="138" t="s">
        <v>582</v>
      </c>
      <c r="BI11" s="138" t="s">
        <v>585</v>
      </c>
      <c r="BJ11" s="138" t="s">
        <v>583</v>
      </c>
      <c r="BK11" s="138" t="s">
        <v>584</v>
      </c>
      <c r="BL11" s="138" t="s">
        <v>583</v>
      </c>
      <c r="BM11" s="138" t="s">
        <v>585</v>
      </c>
      <c r="BN11" s="138" t="s">
        <v>582</v>
      </c>
      <c r="BO11" s="138" t="s">
        <v>584</v>
      </c>
      <c r="BP11" s="138" t="s">
        <v>585</v>
      </c>
      <c r="BQ11" s="138" t="s">
        <v>583</v>
      </c>
      <c r="BR11" s="138" t="s">
        <v>585</v>
      </c>
      <c r="BS11" s="138" t="s">
        <v>584</v>
      </c>
      <c r="BT11" s="138" t="s">
        <v>582</v>
      </c>
      <c r="BU11" s="138" t="s">
        <v>583</v>
      </c>
      <c r="BV11" s="138" t="s">
        <v>585</v>
      </c>
      <c r="BW11" s="138" t="s">
        <v>582</v>
      </c>
      <c r="BX11" s="138" t="s">
        <v>584</v>
      </c>
      <c r="BY11" s="138" t="s">
        <v>585</v>
      </c>
      <c r="BZ11" s="138" t="s">
        <v>583</v>
      </c>
      <c r="CA11" s="138" t="s">
        <v>582</v>
      </c>
      <c r="CB11" s="138" t="s">
        <v>585</v>
      </c>
      <c r="CC11" s="138" t="s">
        <v>584</v>
      </c>
      <c r="CD11" s="138" t="s">
        <v>582</v>
      </c>
      <c r="CE11" s="138" t="s">
        <v>585</v>
      </c>
      <c r="CF11" s="138" t="s">
        <v>583</v>
      </c>
      <c r="CG11" s="43"/>
    </row>
    <row r="12" spans="1:85" ht="18" customHeight="1">
      <c r="A12" s="265" t="s">
        <v>586</v>
      </c>
      <c r="B12" s="266"/>
      <c r="C12" s="266"/>
      <c r="D12" s="266"/>
      <c r="E12" s="266"/>
      <c r="F12" s="266"/>
      <c r="G12" s="266"/>
      <c r="H12" s="266"/>
      <c r="I12" s="264">
        <f>AQ33</f>
        <v>0</v>
      </c>
      <c r="J12" s="264"/>
      <c r="K12" s="267" t="s">
        <v>176</v>
      </c>
      <c r="L12" s="268"/>
      <c r="M12" s="269" t="s">
        <v>587</v>
      </c>
      <c r="N12" s="266"/>
      <c r="O12" s="266"/>
      <c r="P12" s="266"/>
      <c r="Q12" s="266"/>
      <c r="R12" s="266"/>
      <c r="S12" s="266"/>
      <c r="T12" s="266"/>
      <c r="U12" s="264">
        <f>AQ24</f>
        <v>0</v>
      </c>
      <c r="V12" s="264"/>
      <c r="W12" s="267" t="s">
        <v>176</v>
      </c>
      <c r="X12" s="268"/>
      <c r="Y12" s="269" t="s">
        <v>588</v>
      </c>
      <c r="Z12" s="266"/>
      <c r="AA12" s="266"/>
      <c r="AB12" s="266"/>
      <c r="AC12" s="266"/>
      <c r="AD12" s="266"/>
      <c r="AE12" s="266"/>
      <c r="AF12" s="266"/>
      <c r="AG12" s="264">
        <f>AQ20+AQ21+AQ22+AQ23</f>
        <v>0</v>
      </c>
      <c r="AH12" s="264"/>
      <c r="AI12" s="28" t="s">
        <v>176</v>
      </c>
      <c r="AK12" s="441" t="s">
        <v>589</v>
      </c>
      <c r="AL12" s="442"/>
      <c r="AM12" s="442"/>
      <c r="AN12" s="442"/>
      <c r="AO12" s="442"/>
      <c r="AP12" s="443"/>
      <c r="AQ12" s="42">
        <v>8</v>
      </c>
      <c r="AR12" s="43"/>
      <c r="AS12" s="46">
        <v>3</v>
      </c>
      <c r="AT12" s="46"/>
      <c r="AU12" s="46"/>
      <c r="AV12" s="47" t="s">
        <v>590</v>
      </c>
      <c r="AW12" s="47" t="s">
        <v>574</v>
      </c>
      <c r="AX12" s="47">
        <v>0.58333333333333337</v>
      </c>
      <c r="AY12" s="47">
        <v>0.83333333333333337</v>
      </c>
      <c r="AZ12" s="43"/>
      <c r="BB12" s="49"/>
      <c r="BC12" s="43"/>
      <c r="BD12" s="43"/>
      <c r="BE12" s="43"/>
      <c r="BF12" s="43"/>
      <c r="BG12" s="43"/>
      <c r="BH12" s="43"/>
      <c r="BI12" s="43"/>
      <c r="BJ12" s="43"/>
      <c r="BK12" s="43"/>
      <c r="BL12" s="43"/>
      <c r="BM12" s="43"/>
      <c r="BN12" s="43"/>
      <c r="BO12" s="43"/>
      <c r="BP12" s="43"/>
      <c r="BQ12" s="43"/>
      <c r="BR12" s="43"/>
      <c r="BS12" s="43"/>
      <c r="BT12" s="43"/>
      <c r="BU12" s="43"/>
      <c r="BV12" s="43"/>
      <c r="BW12" s="43"/>
      <c r="BX12" s="43"/>
      <c r="BY12" s="43"/>
      <c r="BZ12" s="43"/>
      <c r="CA12" s="43"/>
      <c r="CB12" s="43"/>
      <c r="CC12" s="43"/>
      <c r="CD12" s="43"/>
      <c r="CE12" s="43"/>
      <c r="CF12" s="43"/>
      <c r="CG12" s="43"/>
    </row>
    <row r="13" spans="1:85" ht="18" customHeight="1" thickBot="1">
      <c r="A13" s="517" t="s">
        <v>591</v>
      </c>
      <c r="B13" s="277"/>
      <c r="C13" s="277"/>
      <c r="D13" s="277"/>
      <c r="E13" s="277"/>
      <c r="F13" s="277"/>
      <c r="G13" s="277"/>
      <c r="H13" s="277"/>
      <c r="I13" s="272">
        <f>AQ30+AQ31</f>
        <v>0</v>
      </c>
      <c r="J13" s="272"/>
      <c r="K13" s="273" t="s">
        <v>176</v>
      </c>
      <c r="L13" s="274"/>
      <c r="M13" s="276" t="s">
        <v>592</v>
      </c>
      <c r="N13" s="277"/>
      <c r="O13" s="277"/>
      <c r="P13" s="277"/>
      <c r="Q13" s="277"/>
      <c r="R13" s="277"/>
      <c r="S13" s="277"/>
      <c r="T13" s="277"/>
      <c r="U13" s="272">
        <f>AQ28</f>
        <v>0</v>
      </c>
      <c r="V13" s="272"/>
      <c r="W13" s="273" t="s">
        <v>176</v>
      </c>
      <c r="X13" s="274"/>
      <c r="Y13" s="276" t="s">
        <v>593</v>
      </c>
      <c r="Z13" s="277"/>
      <c r="AA13" s="277"/>
      <c r="AB13" s="277"/>
      <c r="AC13" s="277"/>
      <c r="AD13" s="277"/>
      <c r="AE13" s="277"/>
      <c r="AF13" s="277"/>
      <c r="AG13" s="272">
        <f>AQ13</f>
        <v>0</v>
      </c>
      <c r="AH13" s="272"/>
      <c r="AI13" s="34" t="s">
        <v>176</v>
      </c>
      <c r="AK13" s="425" t="s">
        <v>594</v>
      </c>
      <c r="AL13" s="425"/>
      <c r="AM13" s="425"/>
      <c r="AN13" s="425"/>
      <c r="AO13" s="425"/>
      <c r="AP13" s="425"/>
      <c r="AQ13" s="42"/>
      <c r="AR13" s="43"/>
      <c r="AS13" s="46">
        <v>4</v>
      </c>
      <c r="AT13" s="46"/>
      <c r="AU13" s="46" t="s">
        <v>602</v>
      </c>
      <c r="AV13" s="47" t="s">
        <v>595</v>
      </c>
      <c r="AW13" s="47" t="s">
        <v>596</v>
      </c>
      <c r="AX13" s="47">
        <v>0.33333333333333331</v>
      </c>
      <c r="AY13" s="47">
        <v>0.83333333333333337</v>
      </c>
      <c r="AZ13" s="43"/>
      <c r="BB13" s="121" t="s">
        <v>597</v>
      </c>
      <c r="BC13" s="140" t="s">
        <v>20</v>
      </c>
      <c r="BD13" s="140" t="s">
        <v>119</v>
      </c>
      <c r="BE13" s="140" t="s">
        <v>20</v>
      </c>
      <c r="BF13" s="140" t="s">
        <v>20</v>
      </c>
      <c r="BG13" s="140" t="s">
        <v>20</v>
      </c>
      <c r="BH13" s="140" t="s">
        <v>20</v>
      </c>
      <c r="BI13" s="140" t="s">
        <v>80</v>
      </c>
      <c r="BJ13" s="140" t="s">
        <v>20</v>
      </c>
      <c r="BK13" s="140" t="s">
        <v>20</v>
      </c>
      <c r="BL13" s="140" t="s">
        <v>20</v>
      </c>
      <c r="BM13" s="140" t="s">
        <v>20</v>
      </c>
      <c r="BN13" s="140" t="s">
        <v>20</v>
      </c>
      <c r="BO13" s="140" t="s">
        <v>119</v>
      </c>
      <c r="BP13" s="140" t="s">
        <v>119</v>
      </c>
      <c r="BQ13" s="140" t="s">
        <v>20</v>
      </c>
      <c r="BR13" s="140" t="s">
        <v>119</v>
      </c>
      <c r="BS13" s="140" t="s">
        <v>20</v>
      </c>
      <c r="BT13" s="140" t="s">
        <v>20</v>
      </c>
      <c r="BU13" s="140" t="s">
        <v>20</v>
      </c>
      <c r="BV13" s="140" t="s">
        <v>119</v>
      </c>
      <c r="BW13" s="140" t="s">
        <v>119</v>
      </c>
      <c r="BX13" s="140" t="s">
        <v>20</v>
      </c>
      <c r="BY13" s="140" t="s">
        <v>119</v>
      </c>
      <c r="BZ13" s="140" t="s">
        <v>20</v>
      </c>
      <c r="CA13" s="140" t="s">
        <v>119</v>
      </c>
      <c r="CB13" s="140" t="s">
        <v>20</v>
      </c>
      <c r="CC13" s="140" t="s">
        <v>20</v>
      </c>
      <c r="CD13" s="140" t="s">
        <v>119</v>
      </c>
      <c r="CE13" s="140" t="s">
        <v>20</v>
      </c>
      <c r="CF13" s="140" t="s">
        <v>119</v>
      </c>
      <c r="CG13" s="43"/>
    </row>
    <row r="14" spans="1:85" ht="18" customHeight="1" thickBot="1">
      <c r="A14" s="452" t="s">
        <v>598</v>
      </c>
      <c r="B14" s="453"/>
      <c r="C14" s="453"/>
      <c r="D14" s="453"/>
      <c r="E14" s="453"/>
      <c r="F14" s="453"/>
      <c r="G14" s="453"/>
      <c r="H14" s="453"/>
      <c r="I14" s="453"/>
      <c r="J14" s="453"/>
      <c r="K14" s="453"/>
      <c r="L14" s="453"/>
      <c r="M14" s="453"/>
      <c r="N14" s="453"/>
      <c r="O14" s="453"/>
      <c r="P14" s="453"/>
      <c r="Q14" s="453"/>
      <c r="R14" s="453"/>
      <c r="S14" s="453"/>
      <c r="T14" s="453"/>
      <c r="U14" s="453"/>
      <c r="V14" s="453"/>
      <c r="W14" s="453"/>
      <c r="X14" s="453"/>
      <c r="Y14" s="453"/>
      <c r="Z14" s="453"/>
      <c r="AA14" s="453"/>
      <c r="AB14" s="453"/>
      <c r="AC14" s="453"/>
      <c r="AD14" s="453"/>
      <c r="AE14" s="453"/>
      <c r="AF14" s="453"/>
      <c r="AG14" s="453"/>
      <c r="AH14" s="453"/>
      <c r="AI14" s="454"/>
      <c r="AK14" s="440" t="s">
        <v>599</v>
      </c>
      <c r="AL14" s="440"/>
      <c r="AM14" s="440"/>
      <c r="AN14" s="440"/>
      <c r="AO14" s="440"/>
      <c r="AP14" s="440"/>
      <c r="AQ14" s="42"/>
      <c r="AR14" s="43"/>
      <c r="AS14" s="46">
        <v>5</v>
      </c>
      <c r="AT14" s="46"/>
      <c r="AU14" s="46" t="s">
        <v>20</v>
      </c>
      <c r="AV14" s="47" t="s">
        <v>600</v>
      </c>
      <c r="AW14" s="47" t="s">
        <v>596</v>
      </c>
      <c r="AX14" s="47">
        <v>0.33333333333333331</v>
      </c>
      <c r="AY14" s="47">
        <v>0.83333333333333337</v>
      </c>
      <c r="AZ14" s="43"/>
      <c r="BB14" s="121" t="s">
        <v>601</v>
      </c>
      <c r="BC14" s="162" t="s">
        <v>28</v>
      </c>
      <c r="BD14" s="162" t="s">
        <v>602</v>
      </c>
      <c r="BE14" s="162" t="s">
        <v>602</v>
      </c>
      <c r="BF14" s="162" t="s">
        <v>28</v>
      </c>
      <c r="BG14" s="162" t="s">
        <v>602</v>
      </c>
      <c r="BH14" s="162" t="s">
        <v>602</v>
      </c>
      <c r="BI14" s="162" t="s">
        <v>28</v>
      </c>
      <c r="BJ14" s="162" t="s">
        <v>28</v>
      </c>
      <c r="BK14" s="162" t="s">
        <v>602</v>
      </c>
      <c r="BL14" s="162" t="s">
        <v>28</v>
      </c>
      <c r="BM14" s="162" t="s">
        <v>602</v>
      </c>
      <c r="BN14" s="162" t="s">
        <v>28</v>
      </c>
      <c r="BO14" s="162" t="s">
        <v>28</v>
      </c>
      <c r="BP14" s="162" t="s">
        <v>76</v>
      </c>
      <c r="BQ14" s="162" t="s">
        <v>28</v>
      </c>
      <c r="BR14" s="162" t="s">
        <v>602</v>
      </c>
      <c r="BS14" s="162" t="s">
        <v>28</v>
      </c>
      <c r="BT14" s="162" t="s">
        <v>602</v>
      </c>
      <c r="BU14" s="162" t="s">
        <v>28</v>
      </c>
      <c r="BV14" s="162" t="s">
        <v>602</v>
      </c>
      <c r="BW14" s="162" t="s">
        <v>28</v>
      </c>
      <c r="BX14" s="162" t="s">
        <v>28</v>
      </c>
      <c r="BY14" s="162" t="s">
        <v>602</v>
      </c>
      <c r="BZ14" s="162" t="s">
        <v>28</v>
      </c>
      <c r="CA14" s="162" t="s">
        <v>602</v>
      </c>
      <c r="CB14" s="162" t="s">
        <v>28</v>
      </c>
      <c r="CC14" s="162" t="s">
        <v>28</v>
      </c>
      <c r="CD14" s="162" t="s">
        <v>76</v>
      </c>
      <c r="CE14" s="162" t="s">
        <v>28</v>
      </c>
      <c r="CF14" s="162" t="s">
        <v>602</v>
      </c>
      <c r="CG14" s="43"/>
    </row>
    <row r="15" spans="1:85" ht="18" customHeight="1" thickBot="1">
      <c r="A15" s="30" t="s">
        <v>189</v>
      </c>
      <c r="B15" s="264" t="s">
        <v>603</v>
      </c>
      <c r="C15" s="264"/>
      <c r="D15" s="264"/>
      <c r="E15" s="264"/>
      <c r="F15" s="264"/>
      <c r="G15" s="264"/>
      <c r="H15" s="264"/>
      <c r="I15" s="264"/>
      <c r="J15" s="278">
        <f>AQ9+AQ10</f>
        <v>60</v>
      </c>
      <c r="K15" s="278"/>
      <c r="L15" s="278"/>
      <c r="M15" s="264" t="s">
        <v>176</v>
      </c>
      <c r="N15" s="264"/>
      <c r="O15" s="264" t="s">
        <v>604</v>
      </c>
      <c r="P15" s="264"/>
      <c r="Q15" s="264"/>
      <c r="R15" s="264"/>
      <c r="S15" s="264"/>
      <c r="T15" s="264"/>
      <c r="U15" s="264"/>
      <c r="V15" s="264"/>
      <c r="W15" s="278">
        <f>AQ11+AQ12</f>
        <v>34</v>
      </c>
      <c r="X15" s="278"/>
      <c r="Y15" s="278"/>
      <c r="Z15" s="264" t="s">
        <v>176</v>
      </c>
      <c r="AA15" s="264"/>
      <c r="AB15" s="503" t="s">
        <v>605</v>
      </c>
      <c r="AC15" s="503"/>
      <c r="AD15" s="503"/>
      <c r="AE15" s="503"/>
      <c r="AF15" s="503"/>
      <c r="AG15" s="503"/>
      <c r="AH15" s="281" t="s">
        <v>583</v>
      </c>
      <c r="AI15" s="282"/>
      <c r="AK15" s="425" t="s">
        <v>606</v>
      </c>
      <c r="AL15" s="425"/>
      <c r="AM15" s="425"/>
      <c r="AN15" s="425"/>
      <c r="AO15" s="425"/>
      <c r="AP15" s="425"/>
      <c r="AQ15" s="42"/>
      <c r="AR15" s="43"/>
      <c r="AS15" s="46">
        <v>6</v>
      </c>
      <c r="AT15" s="46"/>
      <c r="AU15" s="46"/>
      <c r="AV15" s="47" t="s">
        <v>607</v>
      </c>
      <c r="AW15" s="47" t="s">
        <v>596</v>
      </c>
      <c r="AX15" s="47">
        <v>0.33333333333333331</v>
      </c>
      <c r="AY15" s="47">
        <v>0.83333333333333337</v>
      </c>
      <c r="AZ15" s="43"/>
      <c r="BB15" s="121" t="s">
        <v>31</v>
      </c>
      <c r="BC15" s="163" t="s">
        <v>119</v>
      </c>
      <c r="BD15" s="164"/>
      <c r="BE15" s="165" t="s">
        <v>28</v>
      </c>
      <c r="BF15" s="165" t="s">
        <v>119</v>
      </c>
      <c r="BG15" s="164"/>
      <c r="BH15" s="164"/>
      <c r="BI15" s="164"/>
      <c r="BJ15" s="164"/>
      <c r="BK15" s="165" t="s">
        <v>119</v>
      </c>
      <c r="BL15" s="165" t="s">
        <v>602</v>
      </c>
      <c r="BM15" s="165" t="s">
        <v>119</v>
      </c>
      <c r="BN15" s="165" t="s">
        <v>602</v>
      </c>
      <c r="BO15" s="164"/>
      <c r="BP15" s="164"/>
      <c r="BQ15" s="165" t="s">
        <v>608</v>
      </c>
      <c r="BR15" s="165" t="s">
        <v>20</v>
      </c>
      <c r="BS15" s="165" t="s">
        <v>602</v>
      </c>
      <c r="BT15" s="165" t="s">
        <v>119</v>
      </c>
      <c r="BU15" s="165" t="s">
        <v>602</v>
      </c>
      <c r="BV15" s="164"/>
      <c r="BW15" s="164"/>
      <c r="BX15" s="165" t="s">
        <v>119</v>
      </c>
      <c r="BY15" s="165" t="s">
        <v>20</v>
      </c>
      <c r="BZ15" s="165" t="s">
        <v>602</v>
      </c>
      <c r="CA15" s="165" t="s">
        <v>20</v>
      </c>
      <c r="CB15" s="165" t="s">
        <v>602</v>
      </c>
      <c r="CC15" s="165" t="s">
        <v>602</v>
      </c>
      <c r="CD15" s="164"/>
      <c r="CE15" s="165" t="s">
        <v>119</v>
      </c>
      <c r="CF15" s="165" t="s">
        <v>20</v>
      </c>
      <c r="CG15" s="43"/>
    </row>
    <row r="16" spans="1:85" ht="18" customHeight="1">
      <c r="A16" s="504" t="s">
        <v>609</v>
      </c>
      <c r="B16" s="505"/>
      <c r="C16" s="505"/>
      <c r="D16" s="505"/>
      <c r="E16" s="505"/>
      <c r="F16" s="505"/>
      <c r="G16" s="505"/>
      <c r="H16" s="505"/>
      <c r="I16" s="505"/>
      <c r="J16" s="505"/>
      <c r="K16" s="505"/>
      <c r="L16" s="505"/>
      <c r="M16" s="505"/>
      <c r="N16" s="505"/>
      <c r="O16" s="505"/>
      <c r="P16" s="505"/>
      <c r="Q16" s="505"/>
      <c r="R16" s="505"/>
      <c r="S16" s="505"/>
      <c r="T16" s="505"/>
      <c r="U16" s="505"/>
      <c r="V16" s="505"/>
      <c r="W16" s="505"/>
      <c r="X16" s="505"/>
      <c r="Y16" s="505"/>
      <c r="Z16" s="505"/>
      <c r="AA16" s="505"/>
      <c r="AB16" s="505"/>
      <c r="AC16" s="505"/>
      <c r="AD16" s="505"/>
      <c r="AE16" s="505"/>
      <c r="AF16" s="505"/>
      <c r="AG16" s="505"/>
      <c r="AH16" s="505"/>
      <c r="AI16" s="506"/>
      <c r="AK16" s="425" t="s">
        <v>610</v>
      </c>
      <c r="AL16" s="425"/>
      <c r="AM16" s="425"/>
      <c r="AN16" s="425"/>
      <c r="AO16" s="425"/>
      <c r="AP16" s="425"/>
      <c r="AQ16" s="42"/>
      <c r="AR16" s="43"/>
      <c r="AS16" s="46">
        <v>7</v>
      </c>
      <c r="AT16" s="46"/>
      <c r="AU16" s="46" t="s">
        <v>67</v>
      </c>
      <c r="AV16" s="47" t="s">
        <v>611</v>
      </c>
      <c r="AW16" s="47" t="s">
        <v>612</v>
      </c>
      <c r="AX16" s="47">
        <v>0.83333333333333337</v>
      </c>
      <c r="AY16" s="47" t="s">
        <v>613</v>
      </c>
      <c r="AZ16" s="43"/>
      <c r="BB16" s="121" t="s">
        <v>614</v>
      </c>
      <c r="BC16" s="142" t="s">
        <v>20</v>
      </c>
      <c r="BD16" s="140" t="s">
        <v>67</v>
      </c>
      <c r="BE16" s="142" t="s">
        <v>42</v>
      </c>
      <c r="BF16" s="142" t="s">
        <v>20</v>
      </c>
      <c r="BG16" s="142" t="s">
        <v>42</v>
      </c>
      <c r="BH16" s="142" t="s">
        <v>61</v>
      </c>
      <c r="BI16" s="142" t="s">
        <v>67</v>
      </c>
      <c r="BJ16" s="142" t="s">
        <v>67</v>
      </c>
      <c r="BK16" s="142" t="s">
        <v>42</v>
      </c>
      <c r="BL16" s="142" t="s">
        <v>42</v>
      </c>
      <c r="BM16" s="142" t="s">
        <v>67</v>
      </c>
      <c r="BN16" s="142" t="s">
        <v>67</v>
      </c>
      <c r="BO16" s="142" t="s">
        <v>42</v>
      </c>
      <c r="BP16" s="142" t="s">
        <v>67</v>
      </c>
      <c r="BQ16" s="142" t="s">
        <v>20</v>
      </c>
      <c r="BR16" s="142" t="s">
        <v>71</v>
      </c>
      <c r="BS16" s="142" t="s">
        <v>67</v>
      </c>
      <c r="BT16" s="142" t="s">
        <v>67</v>
      </c>
      <c r="BU16" s="142" t="s">
        <v>61</v>
      </c>
      <c r="BV16" s="142" t="s">
        <v>42</v>
      </c>
      <c r="BW16" s="142" t="s">
        <v>49</v>
      </c>
      <c r="BX16" s="142" t="s">
        <v>20</v>
      </c>
      <c r="BY16" s="142" t="s">
        <v>71</v>
      </c>
      <c r="BZ16" s="142" t="s">
        <v>42</v>
      </c>
      <c r="CA16" s="142" t="s">
        <v>20</v>
      </c>
      <c r="CB16" s="142" t="s">
        <v>61</v>
      </c>
      <c r="CC16" s="142" t="s">
        <v>42</v>
      </c>
      <c r="CD16" s="142" t="s">
        <v>49</v>
      </c>
      <c r="CE16" s="142" t="s">
        <v>20</v>
      </c>
      <c r="CF16" s="143" t="s">
        <v>71</v>
      </c>
      <c r="CG16" s="43"/>
    </row>
    <row r="17" spans="1:85" ht="18" customHeight="1">
      <c r="A17" s="396" t="s">
        <v>615</v>
      </c>
      <c r="B17" s="397"/>
      <c r="C17" s="397"/>
      <c r="D17" s="397"/>
      <c r="E17" s="397"/>
      <c r="F17" s="398" t="s">
        <v>616</v>
      </c>
      <c r="G17" s="398"/>
      <c r="H17" s="398"/>
      <c r="I17" s="398"/>
      <c r="J17" s="398"/>
      <c r="K17" s="398"/>
      <c r="L17" s="398"/>
      <c r="M17" s="398"/>
      <c r="N17" s="398"/>
      <c r="O17" s="398"/>
      <c r="P17" s="398"/>
      <c r="Q17" s="398"/>
      <c r="R17" s="398"/>
      <c r="S17" s="398"/>
      <c r="T17" s="398"/>
      <c r="U17" s="398"/>
      <c r="V17" s="398"/>
      <c r="W17" s="398"/>
      <c r="X17" s="398"/>
      <c r="Y17" s="398"/>
      <c r="Z17" s="398"/>
      <c r="AA17" s="398"/>
      <c r="AB17" s="398"/>
      <c r="AC17" s="398"/>
      <c r="AD17" s="398"/>
      <c r="AE17" s="398"/>
      <c r="AF17" s="398"/>
      <c r="AG17" s="398"/>
      <c r="AH17" s="398"/>
      <c r="AI17" s="399"/>
      <c r="AK17" s="425" t="s">
        <v>617</v>
      </c>
      <c r="AL17" s="425"/>
      <c r="AM17" s="425"/>
      <c r="AN17" s="425"/>
      <c r="AO17" s="425"/>
      <c r="AP17" s="425"/>
      <c r="AQ17" s="42"/>
      <c r="AR17" s="43"/>
      <c r="AS17" s="46">
        <v>8</v>
      </c>
      <c r="AT17" s="46"/>
      <c r="AU17" s="46" t="s">
        <v>42</v>
      </c>
      <c r="AV17" s="47" t="s">
        <v>618</v>
      </c>
      <c r="AW17" s="47" t="s">
        <v>612</v>
      </c>
      <c r="AX17" s="47">
        <v>0.83333333333333337</v>
      </c>
      <c r="AY17" s="47" t="s">
        <v>613</v>
      </c>
      <c r="AZ17" s="43"/>
      <c r="BB17" s="121" t="s">
        <v>619</v>
      </c>
      <c r="BC17" s="141" t="s">
        <v>67</v>
      </c>
      <c r="BD17" s="140" t="s">
        <v>42</v>
      </c>
      <c r="BE17" s="141" t="s">
        <v>71</v>
      </c>
      <c r="BF17" s="140" t="s">
        <v>67</v>
      </c>
      <c r="BG17" s="140" t="s">
        <v>61</v>
      </c>
      <c r="BH17" s="140" t="s">
        <v>42</v>
      </c>
      <c r="BI17" s="140" t="s">
        <v>49</v>
      </c>
      <c r="BJ17" s="140" t="s">
        <v>61</v>
      </c>
      <c r="BK17" s="140" t="s">
        <v>71</v>
      </c>
      <c r="BL17" s="140" t="s">
        <v>67</v>
      </c>
      <c r="BM17" s="140" t="s">
        <v>49</v>
      </c>
      <c r="BN17" s="140" t="s">
        <v>49</v>
      </c>
      <c r="BO17" s="140" t="s">
        <v>61</v>
      </c>
      <c r="BP17" s="140" t="s">
        <v>49</v>
      </c>
      <c r="BQ17" s="140" t="s">
        <v>67</v>
      </c>
      <c r="BR17" s="140" t="s">
        <v>42</v>
      </c>
      <c r="BS17" s="140" t="s">
        <v>42</v>
      </c>
      <c r="BT17" s="140" t="s">
        <v>49</v>
      </c>
      <c r="BU17" s="140" t="s">
        <v>42</v>
      </c>
      <c r="BV17" s="140" t="s">
        <v>61</v>
      </c>
      <c r="BW17" s="140" t="s">
        <v>71</v>
      </c>
      <c r="BX17" s="140" t="s">
        <v>67</v>
      </c>
      <c r="BY17" s="140" t="s">
        <v>42</v>
      </c>
      <c r="BZ17" s="140" t="s">
        <v>67</v>
      </c>
      <c r="CA17" s="140" t="s">
        <v>67</v>
      </c>
      <c r="CB17" s="140" t="s">
        <v>49</v>
      </c>
      <c r="CC17" s="140" t="s">
        <v>61</v>
      </c>
      <c r="CD17" s="140" t="s">
        <v>71</v>
      </c>
      <c r="CE17" s="140" t="s">
        <v>67</v>
      </c>
      <c r="CF17" s="140" t="s">
        <v>42</v>
      </c>
      <c r="CG17" s="43"/>
    </row>
    <row r="18" spans="1:85" ht="18" customHeight="1">
      <c r="A18" s="501" t="s">
        <v>620</v>
      </c>
      <c r="B18" s="502"/>
      <c r="C18" s="502"/>
      <c r="D18" s="502"/>
      <c r="E18" s="502"/>
      <c r="F18" s="400" t="s">
        <v>616</v>
      </c>
      <c r="G18" s="400"/>
      <c r="H18" s="400"/>
      <c r="I18" s="400"/>
      <c r="J18" s="400"/>
      <c r="K18" s="400"/>
      <c r="L18" s="400"/>
      <c r="M18" s="400"/>
      <c r="N18" s="400"/>
      <c r="O18" s="400"/>
      <c r="P18" s="400"/>
      <c r="Q18" s="400"/>
      <c r="R18" s="400"/>
      <c r="S18" s="400"/>
      <c r="T18" s="400"/>
      <c r="U18" s="400"/>
      <c r="V18" s="400"/>
      <c r="W18" s="400"/>
      <c r="X18" s="400"/>
      <c r="Y18" s="400"/>
      <c r="Z18" s="400"/>
      <c r="AA18" s="400"/>
      <c r="AB18" s="400"/>
      <c r="AC18" s="400"/>
      <c r="AD18" s="400"/>
      <c r="AE18" s="400"/>
      <c r="AF18" s="400"/>
      <c r="AG18" s="400"/>
      <c r="AH18" s="400"/>
      <c r="AI18" s="401"/>
      <c r="AK18" s="425" t="s">
        <v>621</v>
      </c>
      <c r="AL18" s="425"/>
      <c r="AM18" s="425"/>
      <c r="AN18" s="425"/>
      <c r="AO18" s="425"/>
      <c r="AP18" s="425"/>
      <c r="AQ18" s="42"/>
      <c r="AR18" s="43"/>
      <c r="AS18" s="46">
        <v>9</v>
      </c>
      <c r="AT18" s="46"/>
      <c r="AU18" s="46"/>
      <c r="AV18" s="47" t="s">
        <v>622</v>
      </c>
      <c r="AW18" s="47" t="s">
        <v>612</v>
      </c>
      <c r="AX18" s="47">
        <v>0.83333333333333337</v>
      </c>
      <c r="AY18" s="47" t="s">
        <v>613</v>
      </c>
      <c r="AZ18" s="43"/>
    </row>
    <row r="19" spans="1:85" ht="18" customHeight="1" thickBot="1">
      <c r="A19" s="35" t="s">
        <v>189</v>
      </c>
      <c r="B19" s="405">
        <v>0.5625</v>
      </c>
      <c r="C19" s="405"/>
      <c r="D19" s="405"/>
      <c r="E19" s="405"/>
      <c r="F19" s="402" t="s">
        <v>724</v>
      </c>
      <c r="G19" s="402"/>
      <c r="H19" s="402"/>
      <c r="I19" s="402"/>
      <c r="J19" s="402"/>
      <c r="K19" s="402"/>
      <c r="L19" s="402"/>
      <c r="M19" s="402"/>
      <c r="N19" s="402"/>
      <c r="O19" s="402"/>
      <c r="P19" s="402"/>
      <c r="Q19" s="402"/>
      <c r="R19" s="402"/>
      <c r="S19" s="402"/>
      <c r="T19" s="402"/>
      <c r="U19" s="402"/>
      <c r="V19" s="402"/>
      <c r="W19" s="402"/>
      <c r="X19" s="402"/>
      <c r="Y19" s="402"/>
      <c r="Z19" s="402"/>
      <c r="AA19" s="402"/>
      <c r="AB19" s="402"/>
      <c r="AC19" s="402"/>
      <c r="AD19" s="402"/>
      <c r="AE19" s="402"/>
      <c r="AF19" s="402"/>
      <c r="AG19" s="402"/>
      <c r="AH19" s="402"/>
      <c r="AI19" s="403"/>
      <c r="AK19" s="524" t="s">
        <v>623</v>
      </c>
      <c r="AL19" s="524"/>
      <c r="AM19" s="524"/>
      <c r="AN19" s="524"/>
      <c r="AO19" s="524"/>
      <c r="AP19" s="524"/>
      <c r="AQ19" s="58"/>
      <c r="AR19" s="43"/>
      <c r="AS19" s="46">
        <v>10</v>
      </c>
      <c r="AT19" s="46"/>
      <c r="AU19" s="46"/>
      <c r="AV19" s="47" t="s">
        <v>111</v>
      </c>
      <c r="AW19" s="47" t="s">
        <v>612</v>
      </c>
      <c r="AX19" s="47">
        <v>0.83333333333333337</v>
      </c>
      <c r="AY19" s="47" t="s">
        <v>613</v>
      </c>
      <c r="AZ19" s="43"/>
    </row>
    <row r="20" spans="1:85" ht="18" customHeight="1">
      <c r="A20" s="36" t="s">
        <v>189</v>
      </c>
      <c r="B20" s="404">
        <v>0.56944444444444442</v>
      </c>
      <c r="C20" s="404"/>
      <c r="D20" s="404"/>
      <c r="E20" s="404"/>
      <c r="F20" s="288" t="s">
        <v>725</v>
      </c>
      <c r="G20" s="288"/>
      <c r="H20" s="288"/>
      <c r="I20" s="288"/>
      <c r="J20" s="288"/>
      <c r="K20" s="288"/>
      <c r="L20" s="288"/>
      <c r="M20" s="288"/>
      <c r="N20" s="288"/>
      <c r="O20" s="288"/>
      <c r="P20" s="288"/>
      <c r="Q20" s="288"/>
      <c r="R20" s="288"/>
      <c r="S20" s="288"/>
      <c r="T20" s="288"/>
      <c r="U20" s="288"/>
      <c r="V20" s="288"/>
      <c r="W20" s="288"/>
      <c r="X20" s="288"/>
      <c r="Y20" s="288"/>
      <c r="Z20" s="288"/>
      <c r="AA20" s="288"/>
      <c r="AB20" s="288"/>
      <c r="AC20" s="288"/>
      <c r="AD20" s="288"/>
      <c r="AE20" s="288"/>
      <c r="AF20" s="288"/>
      <c r="AG20" s="288"/>
      <c r="AH20" s="288"/>
      <c r="AI20" s="289"/>
      <c r="AK20" s="447" t="s">
        <v>624</v>
      </c>
      <c r="AL20" s="448"/>
      <c r="AM20" s="448"/>
      <c r="AN20" s="448"/>
      <c r="AO20" s="448"/>
      <c r="AP20" s="448"/>
      <c r="AQ20" s="62"/>
      <c r="AR20" s="426" t="s">
        <v>625</v>
      </c>
      <c r="AS20" s="146">
        <v>11</v>
      </c>
      <c r="AT20" s="46"/>
      <c r="AU20" s="46"/>
      <c r="AV20" s="47" t="s">
        <v>111</v>
      </c>
      <c r="AW20" s="47" t="s">
        <v>612</v>
      </c>
      <c r="AX20" s="47">
        <v>0.83333333333333337</v>
      </c>
      <c r="AY20" s="47" t="s">
        <v>613</v>
      </c>
      <c r="AZ20" s="43"/>
    </row>
    <row r="21" spans="1:85" ht="18" customHeight="1" thickBot="1">
      <c r="A21" s="36" t="s">
        <v>189</v>
      </c>
      <c r="B21" s="404">
        <v>0.89097222222222228</v>
      </c>
      <c r="C21" s="404"/>
      <c r="D21" s="404"/>
      <c r="E21" s="404"/>
      <c r="F21" s="288" t="s">
        <v>714</v>
      </c>
      <c r="G21" s="288"/>
      <c r="H21" s="288"/>
      <c r="I21" s="288"/>
      <c r="J21" s="288"/>
      <c r="K21" s="288"/>
      <c r="L21" s="288"/>
      <c r="M21" s="288"/>
      <c r="N21" s="288"/>
      <c r="O21" s="288"/>
      <c r="P21" s="288"/>
      <c r="Q21" s="288"/>
      <c r="R21" s="288"/>
      <c r="S21" s="288"/>
      <c r="T21" s="288"/>
      <c r="U21" s="288"/>
      <c r="V21" s="288"/>
      <c r="W21" s="288"/>
      <c r="X21" s="288"/>
      <c r="Y21" s="288"/>
      <c r="Z21" s="288"/>
      <c r="AA21" s="288"/>
      <c r="AB21" s="288"/>
      <c r="AC21" s="288"/>
      <c r="AD21" s="288"/>
      <c r="AE21" s="288"/>
      <c r="AF21" s="288"/>
      <c r="AG21" s="288"/>
      <c r="AH21" s="288"/>
      <c r="AI21" s="289"/>
      <c r="AK21" s="429" t="s">
        <v>626</v>
      </c>
      <c r="AL21" s="430"/>
      <c r="AM21" s="430"/>
      <c r="AN21" s="430"/>
      <c r="AO21" s="430"/>
      <c r="AP21" s="430"/>
      <c r="AQ21" s="63"/>
      <c r="AR21" s="427"/>
      <c r="AW21" s="43"/>
      <c r="AX21" s="43"/>
      <c r="AY21" s="43"/>
      <c r="AZ21" s="43"/>
    </row>
    <row r="22" spans="1:85" ht="18" customHeight="1">
      <c r="A22" s="36" t="s">
        <v>189</v>
      </c>
      <c r="B22" s="404">
        <v>0.29236111111111113</v>
      </c>
      <c r="C22" s="404"/>
      <c r="D22" s="404"/>
      <c r="E22" s="404"/>
      <c r="F22" s="288" t="s">
        <v>689</v>
      </c>
      <c r="G22" s="288"/>
      <c r="H22" s="288"/>
      <c r="I22" s="288"/>
      <c r="J22" s="288"/>
      <c r="K22" s="288"/>
      <c r="L22" s="288"/>
      <c r="M22" s="288"/>
      <c r="N22" s="288"/>
      <c r="O22" s="288"/>
      <c r="P22" s="288"/>
      <c r="Q22" s="288"/>
      <c r="R22" s="288"/>
      <c r="S22" s="288"/>
      <c r="T22" s="288"/>
      <c r="U22" s="288"/>
      <c r="V22" s="288"/>
      <c r="W22" s="288"/>
      <c r="X22" s="288"/>
      <c r="Y22" s="288"/>
      <c r="Z22" s="288"/>
      <c r="AA22" s="288"/>
      <c r="AB22" s="288"/>
      <c r="AC22" s="288"/>
      <c r="AD22" s="288"/>
      <c r="AE22" s="288"/>
      <c r="AF22" s="288"/>
      <c r="AG22" s="288"/>
      <c r="AH22" s="288"/>
      <c r="AI22" s="289"/>
      <c r="AK22" s="429" t="s">
        <v>627</v>
      </c>
      <c r="AL22" s="430"/>
      <c r="AM22" s="430"/>
      <c r="AN22" s="430"/>
      <c r="AO22" s="430"/>
      <c r="AP22" s="430"/>
      <c r="AQ22" s="63"/>
      <c r="AR22" s="427"/>
      <c r="AS22" s="433" t="s">
        <v>628</v>
      </c>
      <c r="AT22" s="434"/>
      <c r="AU22" s="435"/>
      <c r="AV22" s="435"/>
      <c r="AW22" s="60" t="s">
        <v>74</v>
      </c>
      <c r="AY22" s="413" t="s">
        <v>629</v>
      </c>
      <c r="AZ22" s="413"/>
      <c r="BA22" s="412"/>
      <c r="BB22" s="412"/>
    </row>
    <row r="23" spans="1:85" ht="18" customHeight="1" thickBot="1">
      <c r="A23" s="36"/>
      <c r="B23" s="404"/>
      <c r="C23" s="404"/>
      <c r="D23" s="404"/>
      <c r="E23" s="404"/>
      <c r="F23" s="288" t="s">
        <v>726</v>
      </c>
      <c r="G23" s="288"/>
      <c r="H23" s="288"/>
      <c r="I23" s="288"/>
      <c r="J23" s="288"/>
      <c r="K23" s="288"/>
      <c r="L23" s="288"/>
      <c r="M23" s="288"/>
      <c r="N23" s="288"/>
      <c r="O23" s="288"/>
      <c r="P23" s="288"/>
      <c r="Q23" s="288"/>
      <c r="R23" s="288"/>
      <c r="S23" s="288"/>
      <c r="T23" s="288"/>
      <c r="U23" s="288"/>
      <c r="V23" s="288"/>
      <c r="W23" s="288"/>
      <c r="X23" s="288"/>
      <c r="Y23" s="288"/>
      <c r="Z23" s="288"/>
      <c r="AA23" s="288"/>
      <c r="AB23" s="288"/>
      <c r="AC23" s="288"/>
      <c r="AD23" s="288"/>
      <c r="AE23" s="288"/>
      <c r="AF23" s="288"/>
      <c r="AG23" s="288"/>
      <c r="AH23" s="288"/>
      <c r="AI23" s="289"/>
      <c r="AK23" s="431" t="s">
        <v>630</v>
      </c>
      <c r="AL23" s="432"/>
      <c r="AM23" s="432"/>
      <c r="AN23" s="432"/>
      <c r="AO23" s="432"/>
      <c r="AP23" s="432"/>
      <c r="AQ23" s="64"/>
      <c r="AR23" s="428"/>
      <c r="AS23" s="536" t="s">
        <v>631</v>
      </c>
      <c r="AT23" s="246"/>
      <c r="AU23" s="537"/>
      <c r="AV23" s="537"/>
      <c r="AW23" s="56" t="s">
        <v>632</v>
      </c>
      <c r="AY23" s="413" t="s">
        <v>633</v>
      </c>
      <c r="AZ23" s="413"/>
      <c r="BA23" s="412"/>
      <c r="BB23" s="412"/>
    </row>
    <row r="24" spans="1:85" ht="18" customHeight="1" thickBot="1">
      <c r="A24" s="36"/>
      <c r="B24" s="404"/>
      <c r="C24" s="404"/>
      <c r="D24" s="404"/>
      <c r="E24" s="404"/>
      <c r="F24" s="288" t="s">
        <v>727</v>
      </c>
      <c r="G24" s="288"/>
      <c r="H24" s="288"/>
      <c r="I24" s="288"/>
      <c r="J24" s="288"/>
      <c r="K24" s="288"/>
      <c r="L24" s="288"/>
      <c r="M24" s="288"/>
      <c r="N24" s="288"/>
      <c r="O24" s="288"/>
      <c r="P24" s="288"/>
      <c r="Q24" s="288"/>
      <c r="R24" s="288"/>
      <c r="S24" s="288"/>
      <c r="T24" s="288"/>
      <c r="U24" s="288"/>
      <c r="V24" s="288"/>
      <c r="W24" s="288"/>
      <c r="X24" s="288"/>
      <c r="Y24" s="288"/>
      <c r="Z24" s="288"/>
      <c r="AA24" s="288"/>
      <c r="AB24" s="288"/>
      <c r="AC24" s="288"/>
      <c r="AD24" s="288"/>
      <c r="AE24" s="288"/>
      <c r="AF24" s="288"/>
      <c r="AG24" s="288"/>
      <c r="AH24" s="288"/>
      <c r="AI24" s="289"/>
      <c r="AK24" s="527" t="s">
        <v>634</v>
      </c>
      <c r="AL24" s="528"/>
      <c r="AM24" s="528"/>
      <c r="AN24" s="528"/>
      <c r="AO24" s="528"/>
      <c r="AP24" s="528"/>
      <c r="AQ24" s="65"/>
      <c r="AR24" s="43"/>
      <c r="AY24" s="413" t="s">
        <v>635</v>
      </c>
      <c r="AZ24" s="413"/>
      <c r="BA24" s="412"/>
      <c r="BB24" s="412"/>
    </row>
    <row r="25" spans="1:85" ht="18" customHeight="1">
      <c r="A25" s="36"/>
      <c r="B25" s="404"/>
      <c r="C25" s="404"/>
      <c r="D25" s="404"/>
      <c r="E25" s="404"/>
      <c r="F25" s="288"/>
      <c r="G25" s="288"/>
      <c r="H25" s="288"/>
      <c r="I25" s="288"/>
      <c r="J25" s="288"/>
      <c r="K25" s="288"/>
      <c r="L25" s="288"/>
      <c r="M25" s="288"/>
      <c r="N25" s="288"/>
      <c r="O25" s="288"/>
      <c r="P25" s="288"/>
      <c r="Q25" s="288"/>
      <c r="R25" s="288"/>
      <c r="S25" s="288"/>
      <c r="T25" s="288"/>
      <c r="U25" s="288"/>
      <c r="V25" s="288"/>
      <c r="W25" s="288"/>
      <c r="X25" s="288"/>
      <c r="Y25" s="288"/>
      <c r="Z25" s="288"/>
      <c r="AA25" s="288"/>
      <c r="AB25" s="288"/>
      <c r="AC25" s="288"/>
      <c r="AD25" s="288"/>
      <c r="AE25" s="288"/>
      <c r="AF25" s="288"/>
      <c r="AG25" s="288"/>
      <c r="AH25" s="288"/>
      <c r="AI25" s="289"/>
      <c r="AK25" s="529" t="s">
        <v>636</v>
      </c>
      <c r="AL25" s="529"/>
      <c r="AM25" s="529"/>
      <c r="AN25" s="529"/>
      <c r="AO25" s="529"/>
      <c r="AP25" s="529"/>
      <c r="AQ25" s="66"/>
      <c r="AR25" s="43"/>
      <c r="AY25" s="413" t="s">
        <v>637</v>
      </c>
      <c r="AZ25" s="413"/>
      <c r="BA25" s="412"/>
      <c r="BB25" s="412"/>
    </row>
    <row r="26" spans="1:85" ht="18" customHeight="1">
      <c r="A26" s="36"/>
      <c r="B26" s="404"/>
      <c r="C26" s="404"/>
      <c r="D26" s="404"/>
      <c r="E26" s="404"/>
      <c r="F26" s="288"/>
      <c r="G26" s="288"/>
      <c r="H26" s="288"/>
      <c r="I26" s="288"/>
      <c r="J26" s="288"/>
      <c r="K26" s="288"/>
      <c r="L26" s="288"/>
      <c r="M26" s="288"/>
      <c r="N26" s="288"/>
      <c r="O26" s="288"/>
      <c r="P26" s="288"/>
      <c r="Q26" s="288"/>
      <c r="R26" s="288"/>
      <c r="S26" s="288"/>
      <c r="T26" s="288"/>
      <c r="U26" s="288"/>
      <c r="V26" s="288"/>
      <c r="W26" s="288"/>
      <c r="X26" s="288"/>
      <c r="Y26" s="288"/>
      <c r="Z26" s="288"/>
      <c r="AA26" s="288"/>
      <c r="AB26" s="288"/>
      <c r="AC26" s="288"/>
      <c r="AD26" s="288"/>
      <c r="AE26" s="288"/>
      <c r="AF26" s="288"/>
      <c r="AG26" s="288"/>
      <c r="AH26" s="288"/>
      <c r="AI26" s="289"/>
      <c r="AK26" s="436" t="s">
        <v>638</v>
      </c>
      <c r="AL26" s="436"/>
      <c r="AM26" s="436"/>
      <c r="AN26" s="436"/>
      <c r="AO26" s="436"/>
      <c r="AP26" s="436"/>
      <c r="AQ26" s="67"/>
      <c r="AR26" s="43"/>
      <c r="AS26" s="548" t="s">
        <v>639</v>
      </c>
      <c r="AT26" s="549"/>
      <c r="AU26" s="549"/>
      <c r="AV26" s="549"/>
      <c r="AW26" s="550"/>
      <c r="AY26" s="147"/>
      <c r="AZ26" s="147"/>
      <c r="BA26" s="147"/>
      <c r="BB26" s="147"/>
    </row>
    <row r="27" spans="1:85" ht="18" customHeight="1">
      <c r="A27" s="36"/>
      <c r="B27" s="404"/>
      <c r="C27" s="404"/>
      <c r="D27" s="404"/>
      <c r="E27" s="404"/>
      <c r="F27" s="288"/>
      <c r="G27" s="288"/>
      <c r="H27" s="288"/>
      <c r="I27" s="288"/>
      <c r="J27" s="288"/>
      <c r="K27" s="288"/>
      <c r="L27" s="288"/>
      <c r="M27" s="288"/>
      <c r="N27" s="288"/>
      <c r="O27" s="288"/>
      <c r="P27" s="288"/>
      <c r="Q27" s="288"/>
      <c r="R27" s="288"/>
      <c r="S27" s="288"/>
      <c r="T27" s="288"/>
      <c r="U27" s="288"/>
      <c r="V27" s="288"/>
      <c r="W27" s="288"/>
      <c r="X27" s="288"/>
      <c r="Y27" s="288"/>
      <c r="Z27" s="288"/>
      <c r="AA27" s="288"/>
      <c r="AB27" s="288"/>
      <c r="AC27" s="288"/>
      <c r="AD27" s="288"/>
      <c r="AE27" s="288"/>
      <c r="AF27" s="288"/>
      <c r="AG27" s="288"/>
      <c r="AH27" s="288"/>
      <c r="AI27" s="289"/>
      <c r="AK27" s="436" t="s">
        <v>640</v>
      </c>
      <c r="AL27" s="436"/>
      <c r="AM27" s="436"/>
      <c r="AN27" s="436"/>
      <c r="AO27" s="436"/>
      <c r="AP27" s="436"/>
      <c r="AQ27" s="67"/>
      <c r="AR27" s="43"/>
      <c r="AS27" s="458" t="s">
        <v>641</v>
      </c>
      <c r="AT27" s="460"/>
      <c r="AU27" s="458" t="s">
        <v>642</v>
      </c>
      <c r="AV27" s="459"/>
      <c r="AW27" s="460"/>
      <c r="AY27" s="411" t="s">
        <v>643</v>
      </c>
      <c r="AZ27" s="411"/>
      <c r="BA27" s="411"/>
      <c r="BB27" s="411"/>
    </row>
    <row r="28" spans="1:85" ht="18" customHeight="1" thickBot="1">
      <c r="A28" s="36"/>
      <c r="B28" s="404"/>
      <c r="C28" s="404"/>
      <c r="D28" s="404"/>
      <c r="E28" s="404"/>
      <c r="F28" s="288"/>
      <c r="G28" s="288"/>
      <c r="H28" s="288"/>
      <c r="I28" s="288"/>
      <c r="J28" s="288"/>
      <c r="K28" s="288"/>
      <c r="L28" s="288"/>
      <c r="M28" s="288"/>
      <c r="N28" s="288"/>
      <c r="O28" s="288"/>
      <c r="P28" s="288"/>
      <c r="Q28" s="288"/>
      <c r="R28" s="288"/>
      <c r="S28" s="288"/>
      <c r="T28" s="288"/>
      <c r="U28" s="288"/>
      <c r="V28" s="288"/>
      <c r="W28" s="288"/>
      <c r="X28" s="288"/>
      <c r="Y28" s="288"/>
      <c r="Z28" s="288"/>
      <c r="AA28" s="288"/>
      <c r="AB28" s="288"/>
      <c r="AC28" s="288"/>
      <c r="AD28" s="288"/>
      <c r="AE28" s="288"/>
      <c r="AF28" s="288"/>
      <c r="AG28" s="288"/>
      <c r="AH28" s="288"/>
      <c r="AI28" s="289"/>
      <c r="AK28" s="436" t="s">
        <v>644</v>
      </c>
      <c r="AL28" s="436"/>
      <c r="AM28" s="436"/>
      <c r="AN28" s="436"/>
      <c r="AO28" s="436"/>
      <c r="AP28" s="436"/>
      <c r="AQ28" s="67"/>
      <c r="AR28" s="43"/>
      <c r="AS28" s="538" t="s">
        <v>645</v>
      </c>
      <c r="AT28" s="539"/>
      <c r="AU28" s="533" t="s">
        <v>646</v>
      </c>
      <c r="AV28" s="534"/>
      <c r="AW28" s="535"/>
      <c r="AY28" s="413" t="s">
        <v>647</v>
      </c>
      <c r="AZ28" s="413"/>
      <c r="BA28" s="412"/>
      <c r="BB28" s="412"/>
    </row>
    <row r="29" spans="1:85" ht="18" customHeight="1" thickBot="1">
      <c r="A29" s="36"/>
      <c r="B29" s="404"/>
      <c r="C29" s="404"/>
      <c r="D29" s="404"/>
      <c r="E29" s="404"/>
      <c r="F29" s="288"/>
      <c r="G29" s="288"/>
      <c r="H29" s="288"/>
      <c r="I29" s="288"/>
      <c r="J29" s="288"/>
      <c r="K29" s="288"/>
      <c r="L29" s="288"/>
      <c r="M29" s="288"/>
      <c r="N29" s="288"/>
      <c r="O29" s="288"/>
      <c r="P29" s="288"/>
      <c r="Q29" s="288"/>
      <c r="R29" s="288"/>
      <c r="S29" s="288"/>
      <c r="T29" s="288"/>
      <c r="U29" s="288"/>
      <c r="V29" s="288"/>
      <c r="W29" s="288"/>
      <c r="X29" s="288"/>
      <c r="Y29" s="288"/>
      <c r="Z29" s="288"/>
      <c r="AA29" s="288"/>
      <c r="AB29" s="288"/>
      <c r="AC29" s="288"/>
      <c r="AD29" s="288"/>
      <c r="AE29" s="288"/>
      <c r="AF29" s="288"/>
      <c r="AG29" s="288"/>
      <c r="AH29" s="288"/>
      <c r="AI29" s="289"/>
      <c r="AK29" s="524"/>
      <c r="AL29" s="524"/>
      <c r="AM29" s="524"/>
      <c r="AN29" s="524"/>
      <c r="AO29" s="524"/>
      <c r="AP29" s="524"/>
      <c r="AQ29" s="58"/>
      <c r="AR29" s="43"/>
      <c r="AS29" s="551"/>
      <c r="AT29" s="552"/>
      <c r="AU29" s="434"/>
      <c r="AV29" s="434"/>
      <c r="AW29" s="553"/>
      <c r="AY29" s="413" t="s">
        <v>633</v>
      </c>
      <c r="AZ29" s="413"/>
      <c r="BA29" s="412"/>
      <c r="BB29" s="412"/>
    </row>
    <row r="30" spans="1:85" ht="18" customHeight="1">
      <c r="A30" s="36"/>
      <c r="B30" s="404"/>
      <c r="C30" s="404"/>
      <c r="D30" s="404"/>
      <c r="E30" s="404"/>
      <c r="F30" s="288"/>
      <c r="G30" s="288"/>
      <c r="H30" s="288"/>
      <c r="I30" s="288"/>
      <c r="J30" s="288"/>
      <c r="K30" s="288"/>
      <c r="L30" s="288"/>
      <c r="M30" s="288"/>
      <c r="N30" s="288"/>
      <c r="O30" s="288"/>
      <c r="P30" s="288"/>
      <c r="Q30" s="288"/>
      <c r="R30" s="288"/>
      <c r="S30" s="288"/>
      <c r="T30" s="288"/>
      <c r="U30" s="288"/>
      <c r="V30" s="288"/>
      <c r="W30" s="288"/>
      <c r="X30" s="288"/>
      <c r="Y30" s="288"/>
      <c r="Z30" s="288"/>
      <c r="AA30" s="288"/>
      <c r="AB30" s="288"/>
      <c r="AC30" s="288"/>
      <c r="AD30" s="288"/>
      <c r="AE30" s="288"/>
      <c r="AF30" s="288"/>
      <c r="AG30" s="288"/>
      <c r="AH30" s="288"/>
      <c r="AI30" s="289"/>
      <c r="AK30" s="449" t="s">
        <v>648</v>
      </c>
      <c r="AL30" s="450"/>
      <c r="AM30" s="450"/>
      <c r="AN30" s="450"/>
      <c r="AO30" s="450"/>
      <c r="AP30" s="450"/>
      <c r="AQ30" s="62"/>
      <c r="AR30" s="43"/>
      <c r="AS30" s="554"/>
      <c r="AT30" s="532"/>
      <c r="AU30" s="439"/>
      <c r="AV30" s="439"/>
      <c r="AW30" s="555"/>
      <c r="AY30" s="413" t="s">
        <v>649</v>
      </c>
      <c r="AZ30" s="413"/>
      <c r="BA30" s="412"/>
      <c r="BB30" s="412"/>
    </row>
    <row r="31" spans="1:85" ht="18" customHeight="1" thickBot="1">
      <c r="A31" s="37"/>
      <c r="B31" s="466"/>
      <c r="C31" s="466"/>
      <c r="D31" s="466"/>
      <c r="E31" s="466"/>
      <c r="F31" s="467"/>
      <c r="G31" s="467"/>
      <c r="H31" s="467"/>
      <c r="I31" s="467"/>
      <c r="J31" s="467"/>
      <c r="K31" s="467"/>
      <c r="L31" s="467"/>
      <c r="M31" s="467"/>
      <c r="N31" s="467"/>
      <c r="O31" s="467"/>
      <c r="P31" s="467"/>
      <c r="Q31" s="467"/>
      <c r="R31" s="467"/>
      <c r="S31" s="467"/>
      <c r="T31" s="467"/>
      <c r="U31" s="467"/>
      <c r="V31" s="467"/>
      <c r="W31" s="467"/>
      <c r="X31" s="467"/>
      <c r="Y31" s="467"/>
      <c r="Z31" s="467"/>
      <c r="AA31" s="467"/>
      <c r="AB31" s="467"/>
      <c r="AC31" s="467"/>
      <c r="AD31" s="467"/>
      <c r="AE31" s="467"/>
      <c r="AF31" s="467"/>
      <c r="AG31" s="467"/>
      <c r="AH31" s="467"/>
      <c r="AI31" s="468"/>
      <c r="AK31" s="451" t="s">
        <v>650</v>
      </c>
      <c r="AL31" s="416"/>
      <c r="AM31" s="416"/>
      <c r="AN31" s="416"/>
      <c r="AO31" s="416"/>
      <c r="AP31" s="416"/>
      <c r="AQ31" s="64"/>
      <c r="AR31" s="48"/>
      <c r="AS31" s="556"/>
      <c r="AT31" s="557"/>
      <c r="AU31" s="424"/>
      <c r="AV31" s="424"/>
      <c r="AW31" s="491"/>
      <c r="AY31" s="413" t="s">
        <v>637</v>
      </c>
      <c r="AZ31" s="413"/>
      <c r="BA31" s="412"/>
      <c r="BB31" s="412"/>
    </row>
    <row r="32" spans="1:85" ht="18" customHeight="1" thickBot="1">
      <c r="A32" s="406" t="s">
        <v>651</v>
      </c>
      <c r="B32" s="407"/>
      <c r="C32" s="407"/>
      <c r="D32" s="407"/>
      <c r="E32" s="407"/>
      <c r="F32" s="407"/>
      <c r="G32" s="407"/>
      <c r="H32" s="407"/>
      <c r="I32" s="407"/>
      <c r="J32" s="407"/>
      <c r="K32" s="407"/>
      <c r="L32" s="407"/>
      <c r="M32" s="407"/>
      <c r="N32" s="407"/>
      <c r="O32" s="407"/>
      <c r="P32" s="407"/>
      <c r="Q32" s="407"/>
      <c r="R32" s="407"/>
      <c r="S32" s="407"/>
      <c r="T32" s="407"/>
      <c r="U32" s="407"/>
      <c r="V32" s="407"/>
      <c r="W32" s="407"/>
      <c r="X32" s="407"/>
      <c r="Y32" s="407"/>
      <c r="Z32" s="407"/>
      <c r="AA32" s="407"/>
      <c r="AB32" s="407"/>
      <c r="AC32" s="407"/>
      <c r="AD32" s="407"/>
      <c r="AE32" s="407"/>
      <c r="AF32" s="407"/>
      <c r="AG32" s="407"/>
      <c r="AH32" s="407"/>
      <c r="AI32" s="408"/>
      <c r="AK32" s="531"/>
      <c r="AL32" s="531"/>
      <c r="AM32" s="531"/>
      <c r="AN32" s="531"/>
      <c r="AO32" s="531"/>
      <c r="AP32" s="531"/>
      <c r="AQ32" s="61"/>
      <c r="AR32" s="48"/>
      <c r="AS32" s="558"/>
      <c r="AT32" s="558"/>
      <c r="AU32" s="559"/>
      <c r="AV32" s="559"/>
      <c r="AW32" s="559"/>
      <c r="AY32" s="413" t="s">
        <v>652</v>
      </c>
      <c r="AZ32" s="413"/>
      <c r="BA32" s="412"/>
      <c r="BB32" s="412"/>
    </row>
    <row r="33" spans="1:80" ht="18" customHeight="1">
      <c r="A33" s="39"/>
      <c r="B33" s="546" t="s">
        <v>653</v>
      </c>
      <c r="C33" s="546"/>
      <c r="D33" s="546"/>
      <c r="E33" s="546"/>
      <c r="F33" s="417" t="str" cm="1">
        <f t="array" ref="F33">_xlfn.TEXTJOIN("/",TRUE,IF(AS29:AS31&lt;&gt;"",TEXT(AS29:AS31,"h:mm")&amp;" "&amp;AU29:AU31,""))</f>
        <v/>
      </c>
      <c r="G33" s="418"/>
      <c r="H33" s="418"/>
      <c r="I33" s="418"/>
      <c r="J33" s="418"/>
      <c r="K33" s="418"/>
      <c r="L33" s="418"/>
      <c r="M33" s="418"/>
      <c r="N33" s="418"/>
      <c r="O33" s="418"/>
      <c r="P33" s="418"/>
      <c r="Q33" s="418"/>
      <c r="R33" s="418"/>
      <c r="S33" s="418"/>
      <c r="T33" s="418"/>
      <c r="U33" s="418"/>
      <c r="V33" s="418"/>
      <c r="W33" s="418"/>
      <c r="X33" s="418"/>
      <c r="Y33" s="418"/>
      <c r="Z33" s="418"/>
      <c r="AA33" s="418"/>
      <c r="AB33" s="418"/>
      <c r="AC33" s="418"/>
      <c r="AD33" s="418"/>
      <c r="AE33" s="418"/>
      <c r="AF33" s="418"/>
      <c r="AG33" s="418"/>
      <c r="AH33" s="418"/>
      <c r="AI33" s="419"/>
      <c r="AK33" s="449" t="s">
        <v>654</v>
      </c>
      <c r="AL33" s="450"/>
      <c r="AM33" s="450"/>
      <c r="AN33" s="450"/>
      <c r="AO33" s="450"/>
      <c r="AP33" s="450"/>
      <c r="AQ33" s="60"/>
      <c r="AR33" s="48"/>
      <c r="AS33" s="532"/>
      <c r="AT33" s="532"/>
      <c r="AU33" s="439"/>
      <c r="AV33" s="439"/>
      <c r="AW33" s="439"/>
      <c r="AY33" s="413" t="s">
        <v>655</v>
      </c>
      <c r="AZ33" s="413"/>
      <c r="BA33" s="412"/>
      <c r="BB33" s="412"/>
    </row>
    <row r="34" spans="1:80" ht="18" customHeight="1" thickBot="1">
      <c r="A34" s="39"/>
      <c r="B34" s="546" t="s">
        <v>656</v>
      </c>
      <c r="C34" s="546"/>
      <c r="D34" s="546"/>
      <c r="E34" s="546"/>
      <c r="F34" s="420" t="s">
        <v>79</v>
      </c>
      <c r="G34" s="420"/>
      <c r="H34" s="420"/>
      <c r="I34" s="420"/>
      <c r="J34" s="420"/>
      <c r="K34" s="420"/>
      <c r="L34" s="420"/>
      <c r="M34" s="420"/>
      <c r="N34" s="420"/>
      <c r="O34" s="420"/>
      <c r="P34" s="420"/>
      <c r="Q34" s="420"/>
      <c r="R34" s="420"/>
      <c r="S34" s="420"/>
      <c r="T34" s="420"/>
      <c r="U34" s="420"/>
      <c r="V34" s="420"/>
      <c r="W34" s="420"/>
      <c r="X34" s="420"/>
      <c r="Y34" s="420"/>
      <c r="Z34" s="420"/>
      <c r="AA34" s="420"/>
      <c r="AB34" s="420"/>
      <c r="AC34" s="421"/>
      <c r="AD34" s="421"/>
      <c r="AE34" s="421"/>
      <c r="AF34" s="421"/>
      <c r="AG34" s="421"/>
      <c r="AH34" s="421"/>
      <c r="AI34" s="422"/>
      <c r="AK34" s="451" t="s">
        <v>657</v>
      </c>
      <c r="AL34" s="416"/>
      <c r="AM34" s="416"/>
      <c r="AN34" s="416"/>
      <c r="AO34" s="416"/>
      <c r="AP34" s="416"/>
      <c r="AQ34" s="56"/>
      <c r="AR34" s="48"/>
      <c r="AS34" s="532"/>
      <c r="AT34" s="532"/>
      <c r="AU34" s="439"/>
      <c r="AV34" s="439"/>
      <c r="AW34" s="439"/>
      <c r="AY34" s="413" t="s">
        <v>658</v>
      </c>
      <c r="AZ34" s="413"/>
      <c r="BA34" s="412"/>
      <c r="BB34" s="412"/>
    </row>
    <row r="35" spans="1:80" ht="18" customHeight="1" thickBot="1">
      <c r="A35" s="57"/>
      <c r="B35" s="547" t="s">
        <v>659</v>
      </c>
      <c r="C35" s="547"/>
      <c r="D35" s="547"/>
      <c r="E35" s="547"/>
      <c r="F35" s="389" t="s">
        <v>660</v>
      </c>
      <c r="G35" s="389"/>
      <c r="H35" s="389"/>
      <c r="I35" s="389"/>
      <c r="J35" s="389"/>
      <c r="K35" s="389"/>
      <c r="L35" s="389"/>
      <c r="M35" s="389"/>
      <c r="N35" s="389"/>
      <c r="O35" s="389"/>
      <c r="P35" s="389"/>
      <c r="Q35" s="389"/>
      <c r="R35" s="389"/>
      <c r="S35" s="389"/>
      <c r="T35" s="389"/>
      <c r="U35" s="389"/>
      <c r="V35" s="389"/>
      <c r="W35" s="390" t="s">
        <v>661</v>
      </c>
      <c r="X35" s="391"/>
      <c r="Y35" s="391"/>
      <c r="Z35" s="391"/>
      <c r="AA35" s="391"/>
      <c r="AB35" s="391"/>
      <c r="AC35" s="392" t="s">
        <v>662</v>
      </c>
      <c r="AD35" s="393"/>
      <c r="AE35" s="393"/>
      <c r="AF35" s="393"/>
      <c r="AG35" s="393"/>
      <c r="AH35" s="393"/>
      <c r="AI35" s="394"/>
      <c r="AK35" s="531"/>
      <c r="AL35" s="531"/>
      <c r="AM35" s="531"/>
      <c r="AN35" s="531"/>
      <c r="AO35" s="531"/>
      <c r="AP35" s="531"/>
      <c r="AQ35" s="61"/>
      <c r="AR35" s="48"/>
      <c r="AS35" s="532"/>
      <c r="AT35" s="532"/>
      <c r="AU35" s="439"/>
      <c r="AV35" s="439"/>
      <c r="AW35" s="439"/>
      <c r="AY35" s="413" t="s">
        <v>663</v>
      </c>
      <c r="AZ35" s="413"/>
      <c r="BA35" s="412"/>
      <c r="BB35" s="412"/>
    </row>
    <row r="36" spans="1:80" ht="18" customHeight="1" thickBot="1">
      <c r="A36" s="492" t="s">
        <v>664</v>
      </c>
      <c r="B36" s="493"/>
      <c r="C36" s="493"/>
      <c r="D36" s="493"/>
      <c r="E36" s="493"/>
      <c r="F36" s="498">
        <v>4.1666666666666664E-2</v>
      </c>
      <c r="G36" s="439"/>
      <c r="H36" s="439"/>
      <c r="I36" s="439"/>
      <c r="J36" s="439"/>
      <c r="K36" s="439"/>
      <c r="L36" s="499" t="s">
        <v>665</v>
      </c>
      <c r="M36" s="489"/>
      <c r="N36" s="489"/>
      <c r="O36" s="500"/>
      <c r="P36" s="410" t="s">
        <v>72</v>
      </c>
      <c r="Q36" s="410"/>
      <c r="R36" s="410"/>
      <c r="S36" s="55" t="s">
        <v>666</v>
      </c>
      <c r="T36" s="410" t="s">
        <v>43</v>
      </c>
      <c r="U36" s="410"/>
      <c r="V36" s="530"/>
      <c r="W36" s="489" t="s">
        <v>667</v>
      </c>
      <c r="X36" s="489"/>
      <c r="Y36" s="489"/>
      <c r="Z36" s="489"/>
      <c r="AA36" s="489"/>
      <c r="AB36" s="489"/>
      <c r="AC36" s="490" t="s">
        <v>722</v>
      </c>
      <c r="AD36" s="487"/>
      <c r="AE36" s="487"/>
      <c r="AF36" s="487"/>
      <c r="AG36" s="487"/>
      <c r="AH36" s="487"/>
      <c r="AI36" s="488"/>
      <c r="AK36" s="525" t="s">
        <v>668</v>
      </c>
      <c r="AL36" s="526"/>
      <c r="AM36" s="526"/>
      <c r="AN36" s="526"/>
      <c r="AO36" s="526"/>
      <c r="AP36" s="526"/>
      <c r="AQ36" s="117"/>
      <c r="AR36" s="48"/>
      <c r="AS36" s="532"/>
      <c r="AT36" s="532"/>
      <c r="AU36" s="439"/>
      <c r="AV36" s="439"/>
      <c r="AW36" s="439"/>
      <c r="BH36" s="50"/>
      <c r="BI36" s="51"/>
    </row>
    <row r="37" spans="1:80" ht="18" customHeight="1" thickBot="1">
      <c r="A37" s="494" t="s">
        <v>669</v>
      </c>
      <c r="B37" s="495"/>
      <c r="C37" s="495"/>
      <c r="D37" s="495"/>
      <c r="E37" s="495"/>
      <c r="F37" s="487"/>
      <c r="G37" s="487"/>
      <c r="H37" s="487"/>
      <c r="I37" s="487"/>
      <c r="J37" s="487"/>
      <c r="K37" s="487"/>
      <c r="L37" s="487"/>
      <c r="M37" s="487"/>
      <c r="N37" s="487"/>
      <c r="O37" s="487"/>
      <c r="P37" s="487"/>
      <c r="Q37" s="487"/>
      <c r="R37" s="487"/>
      <c r="S37" s="487"/>
      <c r="T37" s="487"/>
      <c r="U37" s="487"/>
      <c r="V37" s="487"/>
      <c r="W37" s="487"/>
      <c r="X37" s="487"/>
      <c r="Y37" s="487"/>
      <c r="Z37" s="487"/>
      <c r="AA37" s="487"/>
      <c r="AB37" s="487"/>
      <c r="AC37" s="487"/>
      <c r="AD37" s="487"/>
      <c r="AE37" s="487"/>
      <c r="AF37" s="487"/>
      <c r="AG37" s="487"/>
      <c r="AH37" s="487"/>
      <c r="AI37" s="488"/>
      <c r="AK37" s="544" t="s">
        <v>240</v>
      </c>
      <c r="AL37" s="545"/>
      <c r="AM37" s="545"/>
      <c r="AN37" s="545"/>
      <c r="AO37" s="545"/>
      <c r="AP37" s="545"/>
      <c r="AQ37" s="122"/>
      <c r="AR37" s="48"/>
      <c r="AS37" s="532"/>
      <c r="AT37" s="532"/>
      <c r="AU37" s="439"/>
      <c r="AV37" s="439"/>
      <c r="AW37" s="439"/>
      <c r="BH37" s="50"/>
      <c r="BI37" s="51"/>
    </row>
    <row r="38" spans="1:80" ht="18" customHeight="1" thickBot="1">
      <c r="A38" s="496" t="s">
        <v>670</v>
      </c>
      <c r="B38" s="497"/>
      <c r="C38" s="497"/>
      <c r="D38" s="497"/>
      <c r="E38" s="497"/>
      <c r="F38" s="416" t="s">
        <v>667</v>
      </c>
      <c r="G38" s="416"/>
      <c r="H38" s="416"/>
      <c r="I38" s="416"/>
      <c r="J38" s="416"/>
      <c r="K38" s="416"/>
      <c r="L38" s="424" t="s">
        <v>722</v>
      </c>
      <c r="M38" s="424"/>
      <c r="N38" s="424"/>
      <c r="O38" s="424"/>
      <c r="P38" s="416" t="s">
        <v>671</v>
      </c>
      <c r="Q38" s="416"/>
      <c r="R38" s="416"/>
      <c r="S38" s="416"/>
      <c r="T38" s="416"/>
      <c r="U38" s="416"/>
      <c r="V38" s="416"/>
      <c r="W38" s="416" t="s">
        <v>667</v>
      </c>
      <c r="X38" s="416"/>
      <c r="Y38" s="416"/>
      <c r="Z38" s="416"/>
      <c r="AA38" s="416"/>
      <c r="AB38" s="416"/>
      <c r="AC38" s="424" t="s">
        <v>722</v>
      </c>
      <c r="AD38" s="424"/>
      <c r="AE38" s="424"/>
      <c r="AF38" s="424"/>
      <c r="AG38" s="424"/>
      <c r="AH38" s="424"/>
      <c r="AI38" s="491"/>
      <c r="AK38" s="543"/>
      <c r="AL38" s="543"/>
      <c r="AM38" s="543"/>
      <c r="AN38" s="543"/>
      <c r="AO38" s="543"/>
      <c r="AP38" s="543"/>
      <c r="AQ38" s="59"/>
      <c r="AR38" s="48"/>
      <c r="BC38" s="50"/>
      <c r="BD38" s="51"/>
    </row>
    <row r="39" spans="1:80" ht="18" customHeight="1">
      <c r="A39" s="452" t="s">
        <v>672</v>
      </c>
      <c r="B39" s="453"/>
      <c r="C39" s="453"/>
      <c r="D39" s="453"/>
      <c r="E39" s="453"/>
      <c r="F39" s="453"/>
      <c r="G39" s="453"/>
      <c r="H39" s="453"/>
      <c r="I39" s="453"/>
      <c r="J39" s="453"/>
      <c r="K39" s="453"/>
      <c r="L39" s="453"/>
      <c r="M39" s="453"/>
      <c r="N39" s="453"/>
      <c r="O39" s="453"/>
      <c r="P39" s="453"/>
      <c r="Q39" s="453"/>
      <c r="R39" s="453"/>
      <c r="S39" s="453"/>
      <c r="T39" s="453"/>
      <c r="U39" s="453"/>
      <c r="V39" s="453"/>
      <c r="W39" s="453"/>
      <c r="X39" s="453"/>
      <c r="Y39" s="453"/>
      <c r="Z39" s="453"/>
      <c r="AA39" s="453"/>
      <c r="AB39" s="453"/>
      <c r="AC39" s="453"/>
      <c r="AD39" s="453"/>
      <c r="AE39" s="453"/>
      <c r="AF39" s="453"/>
      <c r="AG39" s="453"/>
      <c r="AH39" s="453"/>
      <c r="AI39" s="454"/>
      <c r="AK39" s="444" t="s">
        <v>673</v>
      </c>
      <c r="AL39" s="444"/>
      <c r="AM39" s="444"/>
      <c r="AN39" s="444"/>
      <c r="AO39" s="444"/>
      <c r="AP39" s="444"/>
      <c r="AQ39" s="42"/>
      <c r="AR39" s="48"/>
      <c r="AS39" s="423" t="s">
        <v>526</v>
      </c>
      <c r="AT39" s="423"/>
      <c r="AU39" s="148">
        <v>33</v>
      </c>
      <c r="AV39" s="423" t="s">
        <v>528</v>
      </c>
      <c r="AW39" s="423"/>
      <c r="BC39" s="50"/>
      <c r="BD39" s="51"/>
    </row>
    <row r="40" spans="1:80" ht="18" customHeight="1">
      <c r="A40" s="464" t="s">
        <v>674</v>
      </c>
      <c r="B40" s="459"/>
      <c r="C40" s="459"/>
      <c r="D40" s="459"/>
      <c r="E40" s="470" t="s">
        <v>675</v>
      </c>
      <c r="F40" s="471"/>
      <c r="G40" s="471"/>
      <c r="H40" s="471"/>
      <c r="I40" s="471"/>
      <c r="J40" s="471"/>
      <c r="K40" s="472"/>
      <c r="L40" s="458" t="s">
        <v>676</v>
      </c>
      <c r="M40" s="459"/>
      <c r="N40" s="459"/>
      <c r="O40" s="459"/>
      <c r="P40" s="459"/>
      <c r="Q40" s="459"/>
      <c r="R40" s="460"/>
      <c r="S40" s="458" t="s">
        <v>677</v>
      </c>
      <c r="T40" s="459"/>
      <c r="U40" s="459"/>
      <c r="V40" s="459"/>
      <c r="W40" s="470" t="s">
        <v>675</v>
      </c>
      <c r="X40" s="471"/>
      <c r="Y40" s="471"/>
      <c r="Z40" s="471"/>
      <c r="AA40" s="471"/>
      <c r="AB40" s="471"/>
      <c r="AC40" s="472"/>
      <c r="AD40" s="458" t="s">
        <v>678</v>
      </c>
      <c r="AE40" s="459"/>
      <c r="AF40" s="459"/>
      <c r="AG40" s="459"/>
      <c r="AH40" s="459"/>
      <c r="AI40" s="463"/>
      <c r="AK40" s="444" t="s">
        <v>679</v>
      </c>
      <c r="AL40" s="444"/>
      <c r="AM40" s="444"/>
      <c r="AN40" s="444"/>
      <c r="AO40" s="444"/>
      <c r="AP40" s="444"/>
      <c r="AQ40" s="42"/>
      <c r="AR40" s="48"/>
      <c r="AS40" s="423" t="s">
        <v>527</v>
      </c>
      <c r="AT40" s="423"/>
      <c r="AU40" s="148">
        <v>21</v>
      </c>
      <c r="AV40" s="560">
        <v>0.72450000000000003</v>
      </c>
      <c r="AW40" s="560"/>
      <c r="BC40" s="50"/>
      <c r="BD40" s="51"/>
    </row>
    <row r="41" spans="1:80" ht="18" customHeight="1">
      <c r="A41" s="464" t="s">
        <v>16</v>
      </c>
      <c r="B41" s="459"/>
      <c r="C41" s="459"/>
      <c r="D41" s="459"/>
      <c r="E41" s="469">
        <f>AX10</f>
        <v>0.33333333333333331</v>
      </c>
      <c r="F41" s="456"/>
      <c r="G41" s="456"/>
      <c r="H41" s="144" t="s">
        <v>680</v>
      </c>
      <c r="I41" s="456">
        <f>AY10</f>
        <v>0.83333333333333337</v>
      </c>
      <c r="J41" s="456"/>
      <c r="K41" s="457"/>
      <c r="L41" s="458" t="str">
        <f>AU10</f>
        <v>藤井隆幸</v>
      </c>
      <c r="M41" s="459"/>
      <c r="N41" s="459"/>
      <c r="O41" s="459"/>
      <c r="P41" s="459"/>
      <c r="Q41" s="459"/>
      <c r="R41" s="460"/>
      <c r="S41" s="409" t="s">
        <v>31</v>
      </c>
      <c r="T41" s="410"/>
      <c r="U41" s="410"/>
      <c r="V41" s="410"/>
      <c r="W41" s="414">
        <v>0.39583333333333331</v>
      </c>
      <c r="X41" s="415"/>
      <c r="Y41" s="415"/>
      <c r="Z41" s="40" t="s">
        <v>680</v>
      </c>
      <c r="AA41" s="415">
        <v>0.77083333333333337</v>
      </c>
      <c r="AB41" s="415"/>
      <c r="AC41" s="461"/>
      <c r="AD41" s="409" t="str">
        <f>AU14</f>
        <v>三角龍彦</v>
      </c>
      <c r="AE41" s="410"/>
      <c r="AF41" s="410"/>
      <c r="AG41" s="410"/>
      <c r="AH41" s="410"/>
      <c r="AI41" s="462"/>
      <c r="AK41" s="444" t="s">
        <v>681</v>
      </c>
      <c r="AL41" s="444"/>
      <c r="AM41" s="444"/>
      <c r="AN41" s="444"/>
      <c r="AO41" s="444"/>
      <c r="AP41" s="444"/>
      <c r="AQ41" s="42"/>
      <c r="AR41" s="48"/>
      <c r="BC41" s="50"/>
      <c r="BD41" s="51"/>
    </row>
    <row r="42" spans="1:80" ht="18" customHeight="1">
      <c r="A42" s="464" t="s">
        <v>24</v>
      </c>
      <c r="B42" s="459"/>
      <c r="C42" s="459"/>
      <c r="D42" s="459"/>
      <c r="E42" s="469">
        <f>AX13</f>
        <v>0.33333333333333331</v>
      </c>
      <c r="F42" s="456"/>
      <c r="G42" s="456"/>
      <c r="H42" s="144" t="s">
        <v>680</v>
      </c>
      <c r="I42" s="456">
        <f>AY12</f>
        <v>0.83333333333333337</v>
      </c>
      <c r="J42" s="456"/>
      <c r="K42" s="457"/>
      <c r="L42" s="458" t="str">
        <f>AU13</f>
        <v>木村重明</v>
      </c>
      <c r="M42" s="459"/>
      <c r="N42" s="459"/>
      <c r="O42" s="459"/>
      <c r="P42" s="459"/>
      <c r="Q42" s="459"/>
      <c r="R42" s="460"/>
      <c r="S42" s="409"/>
      <c r="T42" s="410"/>
      <c r="U42" s="410"/>
      <c r="V42" s="410"/>
      <c r="W42" s="414"/>
      <c r="X42" s="415"/>
      <c r="Y42" s="415"/>
      <c r="Z42" s="136"/>
      <c r="AA42" s="415"/>
      <c r="AB42" s="415"/>
      <c r="AC42" s="461"/>
      <c r="AD42" s="409">
        <f>AU15</f>
        <v>0</v>
      </c>
      <c r="AE42" s="410"/>
      <c r="AF42" s="410"/>
      <c r="AG42" s="410"/>
      <c r="AH42" s="410"/>
      <c r="AI42" s="462"/>
      <c r="AK42" s="445" t="s">
        <v>682</v>
      </c>
      <c r="AL42" s="445"/>
      <c r="AM42" s="445"/>
      <c r="AN42" s="445"/>
      <c r="AO42" s="445"/>
      <c r="AP42" s="445"/>
      <c r="AQ42" s="42"/>
      <c r="AR42" s="48"/>
      <c r="AS42" s="561" t="s">
        <v>683</v>
      </c>
      <c r="AT42" s="561"/>
      <c r="AU42" s="561"/>
      <c r="AV42" s="561"/>
      <c r="AW42" s="561"/>
      <c r="BC42" s="50"/>
      <c r="BD42" s="51"/>
    </row>
    <row r="43" spans="1:80" ht="18" customHeight="1">
      <c r="A43" s="464" t="s">
        <v>38</v>
      </c>
      <c r="B43" s="459"/>
      <c r="C43" s="459"/>
      <c r="D43" s="459"/>
      <c r="E43" s="469">
        <f>AX16</f>
        <v>0.83333333333333337</v>
      </c>
      <c r="F43" s="456"/>
      <c r="G43" s="456"/>
      <c r="H43" s="144" t="s">
        <v>680</v>
      </c>
      <c r="I43" s="456" t="str">
        <f>AY16</f>
        <v>翌8:00</v>
      </c>
      <c r="J43" s="456"/>
      <c r="K43" s="457"/>
      <c r="L43" s="458" t="str">
        <f>AU16</f>
        <v>片山薫</v>
      </c>
      <c r="M43" s="459"/>
      <c r="N43" s="459"/>
      <c r="O43" s="459"/>
      <c r="P43" s="459"/>
      <c r="Q43" s="459"/>
      <c r="R43" s="460"/>
      <c r="S43" s="409"/>
      <c r="T43" s="410"/>
      <c r="U43" s="410"/>
      <c r="V43" s="410"/>
      <c r="W43" s="414"/>
      <c r="X43" s="415"/>
      <c r="Y43" s="415"/>
      <c r="Z43" s="136"/>
      <c r="AA43" s="415"/>
      <c r="AB43" s="415"/>
      <c r="AC43" s="461"/>
      <c r="AD43" s="486">
        <f>AU18</f>
        <v>0</v>
      </c>
      <c r="AE43" s="410"/>
      <c r="AF43" s="410"/>
      <c r="AG43" s="410"/>
      <c r="AH43" s="410"/>
      <c r="AI43" s="462"/>
      <c r="AK43" s="444" t="s">
        <v>684</v>
      </c>
      <c r="AL43" s="444"/>
      <c r="AM43" s="444"/>
      <c r="AN43" s="444"/>
      <c r="AO43" s="444"/>
      <c r="AP43" s="444"/>
      <c r="AQ43" s="42"/>
      <c r="AR43" s="43"/>
      <c r="AW43"/>
      <c r="AX43"/>
      <c r="AY43"/>
      <c r="AZ43"/>
      <c r="BA43"/>
      <c r="BB43"/>
      <c r="BC43" s="50"/>
      <c r="BD43" s="51"/>
      <c r="BE43"/>
      <c r="BF43"/>
      <c r="BG43"/>
      <c r="BH43"/>
      <c r="BI43"/>
      <c r="BJ43"/>
      <c r="BK43"/>
      <c r="BL43"/>
      <c r="BM43"/>
      <c r="BN43"/>
      <c r="BO43"/>
      <c r="BP43"/>
      <c r="BQ43"/>
      <c r="BR43"/>
      <c r="BS43"/>
      <c r="BT43"/>
      <c r="BU43"/>
      <c r="BV43"/>
      <c r="BW43"/>
      <c r="BX43"/>
      <c r="BY43"/>
      <c r="BZ43"/>
      <c r="CA43"/>
      <c r="CB43"/>
    </row>
    <row r="44" spans="1:80" ht="18" customHeight="1" thickBot="1">
      <c r="A44" s="473" t="s">
        <v>45</v>
      </c>
      <c r="B44" s="474"/>
      <c r="C44" s="474"/>
      <c r="D44" s="474"/>
      <c r="E44" s="475">
        <f>AX17</f>
        <v>0.83333333333333337</v>
      </c>
      <c r="F44" s="476"/>
      <c r="G44" s="476"/>
      <c r="H44" s="145" t="s">
        <v>680</v>
      </c>
      <c r="I44" s="476" t="str">
        <f>AY17</f>
        <v>翌8:00</v>
      </c>
      <c r="J44" s="476"/>
      <c r="K44" s="477"/>
      <c r="L44" s="478" t="str">
        <f>AU17</f>
        <v>山本喜久</v>
      </c>
      <c r="M44" s="478"/>
      <c r="N44" s="478"/>
      <c r="O44" s="478"/>
      <c r="P44" s="478"/>
      <c r="Q44" s="478"/>
      <c r="R44" s="478"/>
      <c r="S44" s="479"/>
      <c r="T44" s="480"/>
      <c r="U44" s="480"/>
      <c r="V44" s="480"/>
      <c r="W44" s="481"/>
      <c r="X44" s="482"/>
      <c r="Y44" s="482"/>
      <c r="Z44" s="137"/>
      <c r="AA44" s="482"/>
      <c r="AB44" s="482"/>
      <c r="AC44" s="483"/>
      <c r="AD44" s="484">
        <f>AU19</f>
        <v>0</v>
      </c>
      <c r="AE44" s="480"/>
      <c r="AF44" s="480"/>
      <c r="AG44" s="480"/>
      <c r="AH44" s="480"/>
      <c r="AI44" s="485"/>
      <c r="AK44" s="446" t="s">
        <v>685</v>
      </c>
      <c r="AL44" s="446"/>
      <c r="AM44" s="446"/>
      <c r="AN44" s="446"/>
      <c r="AO44" s="446"/>
      <c r="AP44" s="446"/>
      <c r="AQ44" s="42"/>
      <c r="AR44" s="43"/>
      <c r="BC44" s="50"/>
      <c r="BD44" s="51"/>
    </row>
    <row r="45" spans="1:80" ht="18" customHeight="1" thickBot="1">
      <c r="A45" s="27"/>
      <c r="B45" s="27"/>
      <c r="C45" s="27"/>
      <c r="D45" s="27"/>
      <c r="E45" s="27"/>
      <c r="F45" s="27"/>
      <c r="G45" s="27"/>
      <c r="H45" s="27"/>
      <c r="I45" s="27"/>
      <c r="R45" s="307">
        <f>A7</f>
        <v>46175</v>
      </c>
      <c r="S45" s="308"/>
      <c r="T45" s="308"/>
      <c r="U45" s="308"/>
      <c r="V45" s="23" t="s">
        <v>169</v>
      </c>
      <c r="W45" s="309">
        <f>G7</f>
        <v>46175</v>
      </c>
      <c r="X45" s="308"/>
      <c r="Y45" s="23" t="s">
        <v>170</v>
      </c>
      <c r="Z45" s="310">
        <f>K7</f>
        <v>46175</v>
      </c>
      <c r="AA45" s="308"/>
      <c r="AB45" s="23" t="s">
        <v>3</v>
      </c>
      <c r="AC45" s="455">
        <f>O7</f>
        <v>46175</v>
      </c>
      <c r="AD45" s="308"/>
      <c r="AE45" s="308" t="s">
        <v>292</v>
      </c>
      <c r="AF45" s="308"/>
      <c r="AK45" s="425" t="s">
        <v>686</v>
      </c>
      <c r="AL45" s="425"/>
      <c r="AM45" s="425"/>
      <c r="AN45" s="425"/>
      <c r="AO45" s="425"/>
      <c r="AP45" s="425"/>
      <c r="AQ45" s="42"/>
      <c r="AR45" s="43"/>
      <c r="BC45" s="50"/>
      <c r="BD45" s="51"/>
    </row>
    <row r="46" spans="1:80" customFormat="1" ht="18" customHeight="1">
      <c r="A46" s="452" t="s">
        <v>598</v>
      </c>
      <c r="B46" s="453"/>
      <c r="C46" s="453"/>
      <c r="D46" s="453"/>
      <c r="E46" s="453"/>
      <c r="F46" s="453"/>
      <c r="G46" s="453"/>
      <c r="H46" s="453"/>
      <c r="I46" s="453"/>
      <c r="J46" s="453"/>
      <c r="K46" s="453"/>
      <c r="L46" s="453"/>
      <c r="M46" s="453"/>
      <c r="N46" s="453"/>
      <c r="O46" s="453"/>
      <c r="P46" s="453"/>
      <c r="Q46" s="453"/>
      <c r="R46" s="453"/>
      <c r="S46" s="453"/>
      <c r="T46" s="453"/>
      <c r="U46" s="453"/>
      <c r="V46" s="453"/>
      <c r="W46" s="453"/>
      <c r="X46" s="453"/>
      <c r="Y46" s="453"/>
      <c r="Z46" s="453"/>
      <c r="AA46" s="453"/>
      <c r="AB46" s="453"/>
      <c r="AC46" s="453"/>
      <c r="AD46" s="453"/>
      <c r="AE46" s="453"/>
      <c r="AF46" s="453"/>
      <c r="AG46" s="453"/>
      <c r="AH46" s="453"/>
      <c r="AI46" s="454"/>
      <c r="AK46" s="425" t="s">
        <v>687</v>
      </c>
      <c r="AL46" s="425"/>
      <c r="AM46" s="425"/>
      <c r="AN46" s="425"/>
      <c r="AO46" s="425"/>
      <c r="AP46" s="425"/>
      <c r="AQ46" s="42"/>
      <c r="AR46" s="43"/>
      <c r="AW46" s="23"/>
      <c r="AX46" s="23"/>
      <c r="AY46" s="23"/>
      <c r="AZ46" s="23"/>
      <c r="BA46" s="23"/>
      <c r="BB46" s="23"/>
      <c r="BC46" s="50"/>
      <c r="BD46" s="51"/>
      <c r="BE46" s="23"/>
      <c r="BF46" s="23"/>
      <c r="BG46" s="23"/>
      <c r="BH46" s="23"/>
      <c r="BI46" s="23"/>
      <c r="BJ46" s="23"/>
      <c r="BK46" s="23"/>
      <c r="BL46" s="23"/>
      <c r="BM46" s="23"/>
      <c r="BN46" s="23"/>
      <c r="BO46" s="23"/>
      <c r="BP46" s="23"/>
      <c r="BQ46" s="23"/>
      <c r="BR46" s="23"/>
      <c r="BS46" s="23"/>
      <c r="BT46" s="23"/>
      <c r="BU46" s="23"/>
      <c r="BV46" s="23"/>
      <c r="BW46" s="23"/>
      <c r="BX46" s="23"/>
      <c r="BY46" s="23"/>
      <c r="BZ46" s="23"/>
      <c r="CA46" s="23"/>
      <c r="CB46" s="23"/>
    </row>
    <row r="47" spans="1:80" ht="18" customHeight="1">
      <c r="A47" s="36"/>
      <c r="B47" s="404"/>
      <c r="C47" s="404"/>
      <c r="D47" s="404"/>
      <c r="E47" s="404"/>
      <c r="F47" s="288"/>
      <c r="G47" s="288"/>
      <c r="H47" s="288"/>
      <c r="I47" s="288"/>
      <c r="J47" s="288"/>
      <c r="K47" s="288"/>
      <c r="L47" s="288"/>
      <c r="M47" s="288"/>
      <c r="N47" s="288"/>
      <c r="O47" s="288"/>
      <c r="P47" s="288"/>
      <c r="Q47" s="288"/>
      <c r="R47" s="288"/>
      <c r="S47" s="288"/>
      <c r="T47" s="288"/>
      <c r="U47" s="288"/>
      <c r="V47" s="288"/>
      <c r="W47" s="288"/>
      <c r="X47" s="288"/>
      <c r="Y47" s="288"/>
      <c r="Z47" s="288"/>
      <c r="AA47" s="288"/>
      <c r="AB47" s="288"/>
      <c r="AC47" s="288"/>
      <c r="AD47" s="288"/>
      <c r="AE47" s="288"/>
      <c r="AF47" s="288"/>
      <c r="AG47" s="288"/>
      <c r="AH47" s="288"/>
      <c r="AI47" s="289"/>
      <c r="AK47" s="425" t="s">
        <v>688</v>
      </c>
      <c r="AL47" s="425"/>
      <c r="AM47" s="425"/>
      <c r="AN47" s="425"/>
      <c r="AO47" s="425"/>
      <c r="AP47" s="425"/>
      <c r="AQ47" s="42"/>
      <c r="AR47" s="43"/>
      <c r="AS47" s="120" t="s">
        <v>189</v>
      </c>
      <c r="AT47" s="43" t="s">
        <v>728</v>
      </c>
      <c r="AU47" s="43"/>
      <c r="BC47" s="50"/>
      <c r="BD47" s="51"/>
    </row>
    <row r="48" spans="1:80" ht="18" customHeight="1">
      <c r="A48" s="36"/>
      <c r="B48" s="404"/>
      <c r="C48" s="404"/>
      <c r="D48" s="404"/>
      <c r="E48" s="404"/>
      <c r="F48" s="288"/>
      <c r="G48" s="288"/>
      <c r="H48" s="288"/>
      <c r="I48" s="288"/>
      <c r="J48" s="288"/>
      <c r="K48" s="288"/>
      <c r="L48" s="288"/>
      <c r="M48" s="288"/>
      <c r="N48" s="288"/>
      <c r="O48" s="288"/>
      <c r="P48" s="288"/>
      <c r="Q48" s="288"/>
      <c r="R48" s="288"/>
      <c r="S48" s="288"/>
      <c r="T48" s="288"/>
      <c r="U48" s="288"/>
      <c r="V48" s="288"/>
      <c r="W48" s="288"/>
      <c r="X48" s="288"/>
      <c r="Y48" s="288"/>
      <c r="Z48" s="288"/>
      <c r="AA48" s="288"/>
      <c r="AB48" s="288"/>
      <c r="AC48" s="288"/>
      <c r="AD48" s="288"/>
      <c r="AE48" s="288"/>
      <c r="AF48" s="288"/>
      <c r="AG48" s="288"/>
      <c r="AH48" s="288"/>
      <c r="AI48" s="289"/>
      <c r="AK48" s="425" t="s">
        <v>690</v>
      </c>
      <c r="AL48" s="425"/>
      <c r="AM48" s="425"/>
      <c r="AN48" s="425"/>
      <c r="AO48" s="425"/>
      <c r="AP48" s="425"/>
      <c r="AQ48" s="42"/>
      <c r="AR48" s="43"/>
      <c r="AS48" s="43"/>
      <c r="AT48" s="43"/>
      <c r="AU48" s="43"/>
      <c r="BC48" s="50"/>
      <c r="BD48" s="51"/>
    </row>
    <row r="49" spans="1:61" ht="18" customHeight="1">
      <c r="A49" s="36"/>
      <c r="B49" s="404"/>
      <c r="C49" s="404"/>
      <c r="D49" s="404"/>
      <c r="E49" s="404"/>
      <c r="F49" s="288"/>
      <c r="G49" s="288"/>
      <c r="H49" s="288"/>
      <c r="I49" s="288"/>
      <c r="J49" s="288"/>
      <c r="K49" s="288"/>
      <c r="L49" s="288"/>
      <c r="M49" s="288"/>
      <c r="N49" s="288"/>
      <c r="O49" s="288"/>
      <c r="P49" s="288"/>
      <c r="Q49" s="288"/>
      <c r="R49" s="288"/>
      <c r="S49" s="288"/>
      <c r="T49" s="288"/>
      <c r="U49" s="288"/>
      <c r="V49" s="288"/>
      <c r="W49" s="288"/>
      <c r="X49" s="288"/>
      <c r="Y49" s="288"/>
      <c r="Z49" s="288"/>
      <c r="AA49" s="288"/>
      <c r="AB49" s="288"/>
      <c r="AC49" s="288"/>
      <c r="AD49" s="288"/>
      <c r="AE49" s="288"/>
      <c r="AF49" s="288"/>
      <c r="AG49" s="288"/>
      <c r="AH49" s="288"/>
      <c r="AI49" s="289"/>
      <c r="AK49" s="425" t="s">
        <v>691</v>
      </c>
      <c r="AL49" s="425"/>
      <c r="AM49" s="425"/>
      <c r="AN49" s="425"/>
      <c r="AO49" s="425"/>
      <c r="AP49" s="425"/>
      <c r="AQ49" s="42"/>
      <c r="AR49" s="43"/>
      <c r="AS49" s="43"/>
      <c r="AT49" s="43"/>
      <c r="AU49" s="43"/>
      <c r="BC49" s="50"/>
      <c r="BD49" s="51"/>
    </row>
    <row r="50" spans="1:61" ht="18" customHeight="1">
      <c r="A50" s="36"/>
      <c r="B50" s="404"/>
      <c r="C50" s="404"/>
      <c r="D50" s="404"/>
      <c r="E50" s="404"/>
      <c r="F50" s="288"/>
      <c r="G50" s="288"/>
      <c r="H50" s="288"/>
      <c r="I50" s="288"/>
      <c r="J50" s="288"/>
      <c r="K50" s="288"/>
      <c r="L50" s="288"/>
      <c r="M50" s="288"/>
      <c r="N50" s="288"/>
      <c r="O50" s="288"/>
      <c r="P50" s="288"/>
      <c r="Q50" s="288"/>
      <c r="R50" s="288"/>
      <c r="S50" s="288"/>
      <c r="T50" s="288"/>
      <c r="U50" s="288"/>
      <c r="V50" s="288"/>
      <c r="W50" s="288"/>
      <c r="X50" s="288"/>
      <c r="Y50" s="288"/>
      <c r="Z50" s="288"/>
      <c r="AA50" s="288"/>
      <c r="AB50" s="288"/>
      <c r="AC50" s="288"/>
      <c r="AD50" s="288"/>
      <c r="AE50" s="288"/>
      <c r="AF50" s="288"/>
      <c r="AG50" s="288"/>
      <c r="AH50" s="288"/>
      <c r="AI50" s="289"/>
      <c r="AK50" s="425" t="s">
        <v>692</v>
      </c>
      <c r="AL50" s="425"/>
      <c r="AM50" s="425"/>
      <c r="AN50" s="425"/>
      <c r="AO50" s="425"/>
      <c r="AP50" s="425"/>
      <c r="AQ50" s="42"/>
      <c r="AR50" s="43"/>
      <c r="AS50" s="43"/>
      <c r="AT50" s="43"/>
      <c r="AU50" s="43"/>
      <c r="BC50" s="50"/>
      <c r="BD50" s="51"/>
    </row>
    <row r="51" spans="1:61" ht="18" customHeight="1">
      <c r="A51" s="36"/>
      <c r="B51" s="404"/>
      <c r="C51" s="404"/>
      <c r="D51" s="404"/>
      <c r="E51" s="404"/>
      <c r="F51" s="288"/>
      <c r="G51" s="288"/>
      <c r="H51" s="288"/>
      <c r="I51" s="288"/>
      <c r="J51" s="288"/>
      <c r="K51" s="288"/>
      <c r="L51" s="288"/>
      <c r="M51" s="288"/>
      <c r="N51" s="288"/>
      <c r="O51" s="288"/>
      <c r="P51" s="288"/>
      <c r="Q51" s="288"/>
      <c r="R51" s="288"/>
      <c r="S51" s="288"/>
      <c r="T51" s="288"/>
      <c r="U51" s="288"/>
      <c r="V51" s="288"/>
      <c r="W51" s="288"/>
      <c r="X51" s="288"/>
      <c r="Y51" s="288"/>
      <c r="Z51" s="288"/>
      <c r="AA51" s="288"/>
      <c r="AB51" s="288"/>
      <c r="AC51" s="288"/>
      <c r="AD51" s="288"/>
      <c r="AE51" s="288"/>
      <c r="AF51" s="288"/>
      <c r="AG51" s="288"/>
      <c r="AH51" s="288"/>
      <c r="AI51" s="289"/>
      <c r="AK51" s="425" t="s">
        <v>693</v>
      </c>
      <c r="AL51" s="425"/>
      <c r="AM51" s="425"/>
      <c r="AN51" s="425"/>
      <c r="AO51" s="425"/>
      <c r="AP51" s="425"/>
      <c r="AQ51" s="42"/>
      <c r="AR51" s="43"/>
      <c r="AS51" s="43"/>
      <c r="AT51" s="43"/>
      <c r="AU51" s="43"/>
      <c r="BC51" s="50"/>
      <c r="BD51" s="51"/>
    </row>
    <row r="52" spans="1:61" ht="18" customHeight="1">
      <c r="A52" s="36"/>
      <c r="B52" s="404"/>
      <c r="C52" s="404"/>
      <c r="D52" s="404"/>
      <c r="E52" s="404"/>
      <c r="F52" s="288"/>
      <c r="G52" s="288"/>
      <c r="H52" s="288"/>
      <c r="I52" s="288"/>
      <c r="J52" s="288"/>
      <c r="K52" s="288"/>
      <c r="L52" s="288"/>
      <c r="M52" s="288"/>
      <c r="N52" s="288"/>
      <c r="O52" s="288"/>
      <c r="P52" s="288"/>
      <c r="Q52" s="288"/>
      <c r="R52" s="288"/>
      <c r="S52" s="288"/>
      <c r="T52" s="288"/>
      <c r="U52" s="288"/>
      <c r="V52" s="288"/>
      <c r="W52" s="288"/>
      <c r="X52" s="288"/>
      <c r="Y52" s="288"/>
      <c r="Z52" s="288"/>
      <c r="AA52" s="288"/>
      <c r="AB52" s="288"/>
      <c r="AC52" s="288"/>
      <c r="AD52" s="288"/>
      <c r="AE52" s="288"/>
      <c r="AF52" s="288"/>
      <c r="AG52" s="288"/>
      <c r="AH52" s="288"/>
      <c r="AI52" s="289"/>
      <c r="AK52" s="425" t="s">
        <v>694</v>
      </c>
      <c r="AL52" s="425"/>
      <c r="AM52" s="425"/>
      <c r="AN52" s="425"/>
      <c r="AO52" s="425"/>
      <c r="AP52" s="425"/>
      <c r="AQ52" s="42"/>
      <c r="AR52" s="43"/>
      <c r="AS52" s="43"/>
      <c r="AV52" s="43"/>
      <c r="AW52" s="43"/>
      <c r="AX52" s="43"/>
      <c r="AY52" s="43"/>
      <c r="AZ52" s="43"/>
      <c r="BA52" s="43"/>
      <c r="BH52" s="52"/>
      <c r="BI52" s="51"/>
    </row>
    <row r="53" spans="1:61" ht="18" customHeight="1">
      <c r="A53" s="36"/>
      <c r="B53" s="404"/>
      <c r="C53" s="404"/>
      <c r="D53" s="404"/>
      <c r="E53" s="404"/>
      <c r="F53" s="288"/>
      <c r="G53" s="288"/>
      <c r="H53" s="288"/>
      <c r="I53" s="288"/>
      <c r="J53" s="288"/>
      <c r="K53" s="288"/>
      <c r="L53" s="288"/>
      <c r="M53" s="288"/>
      <c r="N53" s="288"/>
      <c r="O53" s="288"/>
      <c r="P53" s="288"/>
      <c r="Q53" s="288"/>
      <c r="R53" s="288"/>
      <c r="S53" s="288"/>
      <c r="T53" s="288"/>
      <c r="U53" s="288"/>
      <c r="V53" s="288"/>
      <c r="W53" s="288"/>
      <c r="X53" s="288"/>
      <c r="Y53" s="288"/>
      <c r="Z53" s="288"/>
      <c r="AA53" s="288"/>
      <c r="AB53" s="288"/>
      <c r="AC53" s="288"/>
      <c r="AD53" s="288"/>
      <c r="AE53" s="288"/>
      <c r="AF53" s="288"/>
      <c r="AG53" s="288"/>
      <c r="AH53" s="288"/>
      <c r="AI53" s="289"/>
      <c r="AK53" s="425" t="s">
        <v>695</v>
      </c>
      <c r="AL53" s="425"/>
      <c r="AM53" s="425"/>
      <c r="AN53" s="425"/>
      <c r="AO53" s="425"/>
      <c r="AP53" s="425"/>
      <c r="AQ53" s="42"/>
      <c r="AR53" s="43"/>
      <c r="AS53" s="43"/>
      <c r="AT53" s="43"/>
      <c r="AU53" s="43"/>
      <c r="AV53" s="43"/>
      <c r="AW53" s="43"/>
      <c r="AX53" s="43"/>
      <c r="AY53" s="43"/>
      <c r="AZ53" s="43"/>
      <c r="BH53" s="50"/>
      <c r="BI53" s="51"/>
    </row>
    <row r="54" spans="1:61" ht="18" customHeight="1">
      <c r="A54" s="36"/>
      <c r="B54" s="404"/>
      <c r="C54" s="404"/>
      <c r="D54" s="404"/>
      <c r="E54" s="404"/>
      <c r="F54" s="288"/>
      <c r="G54" s="288"/>
      <c r="H54" s="288"/>
      <c r="I54" s="288"/>
      <c r="J54" s="288"/>
      <c r="K54" s="288"/>
      <c r="L54" s="288"/>
      <c r="M54" s="288"/>
      <c r="N54" s="288"/>
      <c r="O54" s="288"/>
      <c r="P54" s="288"/>
      <c r="Q54" s="288"/>
      <c r="R54" s="288"/>
      <c r="S54" s="288"/>
      <c r="T54" s="288"/>
      <c r="U54" s="288"/>
      <c r="V54" s="288"/>
      <c r="W54" s="288"/>
      <c r="X54" s="288"/>
      <c r="Y54" s="288"/>
      <c r="Z54" s="288"/>
      <c r="AA54" s="288"/>
      <c r="AB54" s="288"/>
      <c r="AC54" s="288"/>
      <c r="AD54" s="288"/>
      <c r="AE54" s="288"/>
      <c r="AF54" s="288"/>
      <c r="AG54" s="288"/>
      <c r="AH54" s="288"/>
      <c r="AI54" s="289"/>
      <c r="AK54" s="425" t="s">
        <v>696</v>
      </c>
      <c r="AL54" s="425"/>
      <c r="AM54" s="425"/>
      <c r="AN54" s="425"/>
      <c r="AO54" s="425"/>
      <c r="AP54" s="425"/>
      <c r="AQ54" s="42"/>
      <c r="AR54" s="43"/>
      <c r="AS54" s="43"/>
      <c r="AT54" s="43"/>
      <c r="AU54" s="43"/>
      <c r="AV54" s="43"/>
      <c r="AW54" s="43"/>
      <c r="AX54" s="43"/>
      <c r="AY54" s="43"/>
      <c r="AZ54" s="43"/>
      <c r="BH54" s="50"/>
      <c r="BI54" s="51"/>
    </row>
    <row r="55" spans="1:61" ht="18" customHeight="1">
      <c r="A55" s="36"/>
      <c r="B55" s="404"/>
      <c r="C55" s="404"/>
      <c r="D55" s="404"/>
      <c r="E55" s="404"/>
      <c r="F55" s="288"/>
      <c r="G55" s="288"/>
      <c r="H55" s="288"/>
      <c r="I55" s="288"/>
      <c r="J55" s="288"/>
      <c r="K55" s="288"/>
      <c r="L55" s="288"/>
      <c r="M55" s="288"/>
      <c r="N55" s="288"/>
      <c r="O55" s="288"/>
      <c r="P55" s="288"/>
      <c r="Q55" s="288"/>
      <c r="R55" s="288"/>
      <c r="S55" s="288"/>
      <c r="T55" s="288"/>
      <c r="U55" s="288"/>
      <c r="V55" s="288"/>
      <c r="W55" s="288"/>
      <c r="X55" s="288"/>
      <c r="Y55" s="288"/>
      <c r="Z55" s="288"/>
      <c r="AA55" s="288"/>
      <c r="AB55" s="288"/>
      <c r="AC55" s="288"/>
      <c r="AD55" s="288"/>
      <c r="AE55" s="288"/>
      <c r="AF55" s="288"/>
      <c r="AG55" s="288"/>
      <c r="AH55" s="288"/>
      <c r="AI55" s="289"/>
      <c r="AK55" s="425" t="s">
        <v>697</v>
      </c>
      <c r="AL55" s="425"/>
      <c r="AM55" s="425"/>
      <c r="AN55" s="425"/>
      <c r="AO55" s="425"/>
      <c r="AP55" s="425"/>
      <c r="AQ55" s="42"/>
      <c r="AR55" s="43"/>
      <c r="AS55" s="43"/>
      <c r="AT55" s="43"/>
      <c r="AU55" s="43"/>
      <c r="AV55" s="43"/>
      <c r="AW55" s="43"/>
      <c r="AX55" s="43"/>
      <c r="AY55" s="43"/>
      <c r="AZ55" s="43"/>
      <c r="BH55" s="50"/>
      <c r="BI55" s="51"/>
    </row>
    <row r="56" spans="1:61" ht="18" customHeight="1">
      <c r="A56" s="36"/>
      <c r="B56" s="404"/>
      <c r="C56" s="404"/>
      <c r="D56" s="404"/>
      <c r="E56" s="404"/>
      <c r="F56" s="288"/>
      <c r="G56" s="288"/>
      <c r="H56" s="288"/>
      <c r="I56" s="288"/>
      <c r="J56" s="288"/>
      <c r="K56" s="288"/>
      <c r="L56" s="288"/>
      <c r="M56" s="288"/>
      <c r="N56" s="288"/>
      <c r="O56" s="288"/>
      <c r="P56" s="288"/>
      <c r="Q56" s="288"/>
      <c r="R56" s="288"/>
      <c r="S56" s="288"/>
      <c r="T56" s="288"/>
      <c r="U56" s="288"/>
      <c r="V56" s="288"/>
      <c r="W56" s="288"/>
      <c r="X56" s="288"/>
      <c r="Y56" s="288"/>
      <c r="Z56" s="288"/>
      <c r="AA56" s="288"/>
      <c r="AB56" s="288"/>
      <c r="AC56" s="288"/>
      <c r="AD56" s="288"/>
      <c r="AE56" s="288"/>
      <c r="AF56" s="288"/>
      <c r="AG56" s="288"/>
      <c r="AH56" s="288"/>
      <c r="AI56" s="289"/>
      <c r="AK56" s="425" t="s">
        <v>698</v>
      </c>
      <c r="AL56" s="425"/>
      <c r="AM56" s="425"/>
      <c r="AN56" s="425"/>
      <c r="AO56" s="425"/>
      <c r="AP56" s="425"/>
      <c r="AQ56" s="42"/>
      <c r="AR56" s="43"/>
      <c r="AS56" s="43"/>
      <c r="AT56" s="43"/>
      <c r="AU56" s="43"/>
      <c r="AV56" s="43"/>
      <c r="AW56" s="43"/>
      <c r="AX56" s="43"/>
      <c r="AY56" s="43"/>
      <c r="AZ56" s="43"/>
      <c r="BH56" s="52"/>
      <c r="BI56" s="51"/>
    </row>
    <row r="57" spans="1:61" ht="18" customHeight="1">
      <c r="A57" s="36"/>
      <c r="B57" s="404"/>
      <c r="C57" s="404"/>
      <c r="D57" s="404"/>
      <c r="E57" s="404"/>
      <c r="F57" s="288"/>
      <c r="G57" s="288"/>
      <c r="H57" s="288"/>
      <c r="I57" s="288"/>
      <c r="J57" s="288"/>
      <c r="K57" s="288"/>
      <c r="L57" s="288"/>
      <c r="M57" s="288"/>
      <c r="N57" s="288"/>
      <c r="O57" s="288"/>
      <c r="P57" s="288"/>
      <c r="Q57" s="288"/>
      <c r="R57" s="288"/>
      <c r="S57" s="288"/>
      <c r="T57" s="288"/>
      <c r="U57" s="288"/>
      <c r="V57" s="288"/>
      <c r="W57" s="288"/>
      <c r="X57" s="288"/>
      <c r="Y57" s="288"/>
      <c r="Z57" s="288"/>
      <c r="AA57" s="288"/>
      <c r="AB57" s="288"/>
      <c r="AC57" s="288"/>
      <c r="AD57" s="288"/>
      <c r="AE57" s="288"/>
      <c r="AF57" s="288"/>
      <c r="AG57" s="288"/>
      <c r="AH57" s="288"/>
      <c r="AI57" s="289"/>
      <c r="AK57" s="425" t="s">
        <v>699</v>
      </c>
      <c r="AL57" s="425"/>
      <c r="AM57" s="425"/>
      <c r="AN57" s="425"/>
      <c r="AO57" s="425"/>
      <c r="AP57" s="425"/>
      <c r="AQ57" s="42"/>
      <c r="AR57" s="43"/>
      <c r="AS57" s="43"/>
      <c r="AT57" s="43"/>
      <c r="AU57" s="43"/>
      <c r="AV57" s="43"/>
      <c r="AW57" s="43"/>
      <c r="AX57" s="43"/>
      <c r="AY57" s="43"/>
      <c r="AZ57" s="43"/>
      <c r="BH57" s="50"/>
      <c r="BI57" s="51"/>
    </row>
    <row r="58" spans="1:61" ht="18" customHeight="1">
      <c r="A58" s="36"/>
      <c r="B58" s="404"/>
      <c r="C58" s="404"/>
      <c r="D58" s="404"/>
      <c r="E58" s="404"/>
      <c r="F58" s="288"/>
      <c r="G58" s="288"/>
      <c r="H58" s="288"/>
      <c r="I58" s="288"/>
      <c r="J58" s="288"/>
      <c r="K58" s="288"/>
      <c r="L58" s="288"/>
      <c r="M58" s="288"/>
      <c r="N58" s="288"/>
      <c r="O58" s="288"/>
      <c r="P58" s="288"/>
      <c r="Q58" s="288"/>
      <c r="R58" s="288"/>
      <c r="S58" s="288"/>
      <c r="T58" s="288"/>
      <c r="U58" s="288"/>
      <c r="V58" s="288"/>
      <c r="W58" s="288"/>
      <c r="X58" s="288"/>
      <c r="Y58" s="288"/>
      <c r="Z58" s="288"/>
      <c r="AA58" s="288"/>
      <c r="AB58" s="288"/>
      <c r="AC58" s="288"/>
      <c r="AD58" s="288"/>
      <c r="AE58" s="288"/>
      <c r="AF58" s="288"/>
      <c r="AG58" s="288"/>
      <c r="AH58" s="288"/>
      <c r="AI58" s="289"/>
      <c r="AK58" s="425" t="s">
        <v>700</v>
      </c>
      <c r="AL58" s="425"/>
      <c r="AM58" s="425"/>
      <c r="AN58" s="425"/>
      <c r="AO58" s="425"/>
      <c r="AP58" s="425"/>
      <c r="AQ58" s="42"/>
      <c r="AR58" s="43"/>
      <c r="AS58" s="43"/>
      <c r="AT58" s="43"/>
      <c r="AU58" s="43"/>
      <c r="AV58" s="43"/>
      <c r="AW58" s="43"/>
      <c r="AX58" s="43"/>
      <c r="AY58" s="43"/>
      <c r="AZ58" s="43"/>
      <c r="BH58" s="50"/>
      <c r="BI58" s="51"/>
    </row>
    <row r="59" spans="1:61" ht="18" customHeight="1">
      <c r="A59" s="36"/>
      <c r="B59" s="404"/>
      <c r="C59" s="404"/>
      <c r="D59" s="404"/>
      <c r="E59" s="404"/>
      <c r="F59" s="288"/>
      <c r="G59" s="288"/>
      <c r="H59" s="288"/>
      <c r="I59" s="288"/>
      <c r="J59" s="288"/>
      <c r="K59" s="288"/>
      <c r="L59" s="288"/>
      <c r="M59" s="288"/>
      <c r="N59" s="288"/>
      <c r="O59" s="288"/>
      <c r="P59" s="288"/>
      <c r="Q59" s="288"/>
      <c r="R59" s="288"/>
      <c r="S59" s="288"/>
      <c r="T59" s="288"/>
      <c r="U59" s="288"/>
      <c r="V59" s="288"/>
      <c r="W59" s="288"/>
      <c r="X59" s="288"/>
      <c r="Y59" s="288"/>
      <c r="Z59" s="288"/>
      <c r="AA59" s="288"/>
      <c r="AB59" s="288"/>
      <c r="AC59" s="288"/>
      <c r="AD59" s="288"/>
      <c r="AE59" s="288"/>
      <c r="AF59" s="288"/>
      <c r="AG59" s="288"/>
      <c r="AH59" s="288"/>
      <c r="AI59" s="289"/>
      <c r="AK59" s="425" t="s">
        <v>701</v>
      </c>
      <c r="AL59" s="425"/>
      <c r="AM59" s="425"/>
      <c r="AN59" s="425"/>
      <c r="AO59" s="425"/>
      <c r="AP59" s="425"/>
      <c r="AQ59" s="42"/>
      <c r="AR59" s="43"/>
      <c r="AS59" s="43"/>
      <c r="AT59" s="43"/>
      <c r="AU59" s="43"/>
      <c r="AV59" s="43"/>
      <c r="AW59" s="43"/>
      <c r="AX59" s="43"/>
      <c r="AY59" s="43"/>
      <c r="AZ59" s="43"/>
      <c r="BH59" s="50"/>
      <c r="BI59" s="51"/>
    </row>
    <row r="60" spans="1:61" ht="18" customHeight="1">
      <c r="A60" s="36"/>
      <c r="B60" s="404"/>
      <c r="C60" s="404"/>
      <c r="D60" s="404"/>
      <c r="E60" s="404"/>
      <c r="F60" s="288"/>
      <c r="G60" s="288"/>
      <c r="H60" s="288"/>
      <c r="I60" s="288"/>
      <c r="J60" s="288"/>
      <c r="K60" s="288"/>
      <c r="L60" s="288"/>
      <c r="M60" s="288"/>
      <c r="N60" s="288"/>
      <c r="O60" s="288"/>
      <c r="P60" s="288"/>
      <c r="Q60" s="288"/>
      <c r="R60" s="288"/>
      <c r="S60" s="288"/>
      <c r="T60" s="288"/>
      <c r="U60" s="288"/>
      <c r="V60" s="288"/>
      <c r="W60" s="288"/>
      <c r="X60" s="288"/>
      <c r="Y60" s="288"/>
      <c r="Z60" s="288"/>
      <c r="AA60" s="288"/>
      <c r="AB60" s="288"/>
      <c r="AC60" s="288"/>
      <c r="AD60" s="288"/>
      <c r="AE60" s="288"/>
      <c r="AF60" s="288"/>
      <c r="AG60" s="288"/>
      <c r="AH60" s="288"/>
      <c r="AI60" s="289"/>
      <c r="AK60" s="425" t="s">
        <v>702</v>
      </c>
      <c r="AL60" s="425"/>
      <c r="AM60" s="425"/>
      <c r="AN60" s="425"/>
      <c r="AO60" s="425"/>
      <c r="AP60" s="425"/>
      <c r="AQ60" s="42"/>
      <c r="AR60" s="43"/>
      <c r="AS60" s="43"/>
      <c r="AT60" s="43"/>
      <c r="AU60" s="43"/>
      <c r="AV60" s="43"/>
      <c r="AW60" s="43"/>
      <c r="AX60" s="43"/>
      <c r="AY60" s="43"/>
      <c r="AZ60" s="43"/>
      <c r="BH60" s="52"/>
      <c r="BI60" s="51"/>
    </row>
    <row r="61" spans="1:61" ht="18" customHeight="1">
      <c r="A61" s="36"/>
      <c r="B61" s="404"/>
      <c r="C61" s="404"/>
      <c r="D61" s="404"/>
      <c r="E61" s="404"/>
      <c r="F61" s="288"/>
      <c r="G61" s="288"/>
      <c r="H61" s="288"/>
      <c r="I61" s="288"/>
      <c r="J61" s="288"/>
      <c r="K61" s="288"/>
      <c r="L61" s="288"/>
      <c r="M61" s="288"/>
      <c r="N61" s="288"/>
      <c r="O61" s="288"/>
      <c r="P61" s="288"/>
      <c r="Q61" s="288"/>
      <c r="R61" s="288"/>
      <c r="S61" s="288"/>
      <c r="T61" s="288"/>
      <c r="U61" s="288"/>
      <c r="V61" s="288"/>
      <c r="W61" s="288"/>
      <c r="X61" s="288"/>
      <c r="Y61" s="288"/>
      <c r="Z61" s="288"/>
      <c r="AA61" s="288"/>
      <c r="AB61" s="288"/>
      <c r="AC61" s="288"/>
      <c r="AD61" s="288"/>
      <c r="AE61" s="288"/>
      <c r="AF61" s="288"/>
      <c r="AG61" s="288"/>
      <c r="AH61" s="288"/>
      <c r="AI61" s="289"/>
      <c r="AK61" s="425" t="s">
        <v>703</v>
      </c>
      <c r="AL61" s="425"/>
      <c r="AM61" s="425"/>
      <c r="AN61" s="425"/>
      <c r="AO61" s="425"/>
      <c r="AP61" s="425"/>
      <c r="AQ61" s="42"/>
      <c r="AR61" s="43"/>
      <c r="AS61" s="43"/>
      <c r="AT61" s="43"/>
      <c r="AU61" s="43"/>
      <c r="AV61" s="43"/>
      <c r="AW61" s="43"/>
      <c r="AX61" s="43"/>
      <c r="AY61" s="43"/>
      <c r="AZ61" s="43"/>
      <c r="BH61" s="50"/>
      <c r="BI61" s="51"/>
    </row>
    <row r="62" spans="1:61" ht="18" customHeight="1">
      <c r="A62" s="36"/>
      <c r="B62" s="404"/>
      <c r="C62" s="404"/>
      <c r="D62" s="404"/>
      <c r="E62" s="404"/>
      <c r="F62" s="288"/>
      <c r="G62" s="288"/>
      <c r="H62" s="288"/>
      <c r="I62" s="288"/>
      <c r="J62" s="288"/>
      <c r="K62" s="288"/>
      <c r="L62" s="288"/>
      <c r="M62" s="288"/>
      <c r="N62" s="288"/>
      <c r="O62" s="288"/>
      <c r="P62" s="288"/>
      <c r="Q62" s="288"/>
      <c r="R62" s="288"/>
      <c r="S62" s="288"/>
      <c r="T62" s="288"/>
      <c r="U62" s="288"/>
      <c r="V62" s="288"/>
      <c r="W62" s="288"/>
      <c r="X62" s="288"/>
      <c r="Y62" s="288"/>
      <c r="Z62" s="288"/>
      <c r="AA62" s="288"/>
      <c r="AB62" s="288"/>
      <c r="AC62" s="288"/>
      <c r="AD62" s="288"/>
      <c r="AE62" s="288"/>
      <c r="AF62" s="288"/>
      <c r="AG62" s="288"/>
      <c r="AH62" s="288"/>
      <c r="AI62" s="289"/>
      <c r="AK62" s="425"/>
      <c r="AL62" s="425"/>
      <c r="AM62" s="425"/>
      <c r="AN62" s="425"/>
      <c r="AO62" s="425"/>
      <c r="AP62" s="425"/>
      <c r="AQ62" s="42"/>
      <c r="AR62" s="43"/>
      <c r="AS62" s="43"/>
      <c r="AT62" s="43"/>
      <c r="AU62" s="43"/>
      <c r="AV62" s="43"/>
      <c r="AW62" s="43"/>
      <c r="AX62" s="43"/>
      <c r="AY62" s="43"/>
      <c r="AZ62" s="43"/>
      <c r="BH62" s="50"/>
      <c r="BI62" s="51"/>
    </row>
    <row r="63" spans="1:61" ht="18" customHeight="1">
      <c r="A63" s="36"/>
      <c r="B63" s="404"/>
      <c r="C63" s="404"/>
      <c r="D63" s="404"/>
      <c r="E63" s="404"/>
      <c r="F63" s="288"/>
      <c r="G63" s="288"/>
      <c r="H63" s="288"/>
      <c r="I63" s="288"/>
      <c r="J63" s="288"/>
      <c r="K63" s="288"/>
      <c r="L63" s="288"/>
      <c r="M63" s="288"/>
      <c r="N63" s="288"/>
      <c r="O63" s="288"/>
      <c r="P63" s="288"/>
      <c r="Q63" s="288"/>
      <c r="R63" s="288"/>
      <c r="S63" s="288"/>
      <c r="T63" s="288"/>
      <c r="U63" s="288"/>
      <c r="V63" s="288"/>
      <c r="W63" s="288"/>
      <c r="X63" s="288"/>
      <c r="Y63" s="288"/>
      <c r="Z63" s="288"/>
      <c r="AA63" s="288"/>
      <c r="AB63" s="288"/>
      <c r="AC63" s="288"/>
      <c r="AD63" s="288"/>
      <c r="AE63" s="288"/>
      <c r="AF63" s="288"/>
      <c r="AG63" s="288"/>
      <c r="AH63" s="288"/>
      <c r="AI63" s="289"/>
      <c r="AK63" s="425"/>
      <c r="AL63" s="425"/>
      <c r="AM63" s="425"/>
      <c r="AN63" s="425"/>
      <c r="AO63" s="425"/>
      <c r="AP63" s="425"/>
      <c r="AQ63" s="42"/>
      <c r="AR63" s="43"/>
      <c r="AS63" s="43"/>
      <c r="AT63" s="43"/>
      <c r="AU63" s="43"/>
      <c r="AV63" s="43"/>
      <c r="AW63" s="43"/>
      <c r="AX63" s="43"/>
      <c r="AY63" s="43"/>
      <c r="AZ63" s="43"/>
      <c r="BH63" s="52"/>
      <c r="BI63" s="51"/>
    </row>
    <row r="64" spans="1:61" ht="18" customHeight="1">
      <c r="A64" s="36"/>
      <c r="B64" s="404"/>
      <c r="C64" s="404"/>
      <c r="D64" s="404"/>
      <c r="E64" s="404"/>
      <c r="F64" s="288"/>
      <c r="G64" s="288"/>
      <c r="H64" s="288"/>
      <c r="I64" s="288"/>
      <c r="J64" s="288"/>
      <c r="K64" s="288"/>
      <c r="L64" s="288"/>
      <c r="M64" s="288"/>
      <c r="N64" s="288"/>
      <c r="O64" s="288"/>
      <c r="P64" s="288"/>
      <c r="Q64" s="288"/>
      <c r="R64" s="288"/>
      <c r="S64" s="288"/>
      <c r="T64" s="288"/>
      <c r="U64" s="288"/>
      <c r="V64" s="288"/>
      <c r="W64" s="288"/>
      <c r="X64" s="288"/>
      <c r="Y64" s="288"/>
      <c r="Z64" s="288"/>
      <c r="AA64" s="288"/>
      <c r="AB64" s="288"/>
      <c r="AC64" s="288"/>
      <c r="AD64" s="288"/>
      <c r="AE64" s="288"/>
      <c r="AF64" s="288"/>
      <c r="AG64" s="288"/>
      <c r="AH64" s="288"/>
      <c r="AI64" s="289"/>
      <c r="AK64" s="425"/>
      <c r="AL64" s="425"/>
      <c r="AM64" s="425"/>
      <c r="AN64" s="425"/>
      <c r="AO64" s="425"/>
      <c r="AP64" s="425"/>
      <c r="AQ64" s="42"/>
      <c r="AR64" s="43"/>
      <c r="AS64" s="43"/>
      <c r="AT64" s="43"/>
      <c r="AU64" s="43"/>
      <c r="AV64" s="43"/>
      <c r="AW64" s="43"/>
      <c r="AX64" s="43"/>
      <c r="AY64" s="43"/>
      <c r="AZ64" s="43"/>
      <c r="BH64" s="52"/>
      <c r="BI64" s="51"/>
    </row>
    <row r="65" spans="1:61" ht="18" customHeight="1">
      <c r="A65" s="36"/>
      <c r="B65" s="404"/>
      <c r="C65" s="404"/>
      <c r="D65" s="404"/>
      <c r="E65" s="404"/>
      <c r="F65" s="288"/>
      <c r="G65" s="288"/>
      <c r="H65" s="288"/>
      <c r="I65" s="288"/>
      <c r="J65" s="288"/>
      <c r="K65" s="288"/>
      <c r="L65" s="288"/>
      <c r="M65" s="288"/>
      <c r="N65" s="288"/>
      <c r="O65" s="288"/>
      <c r="P65" s="288"/>
      <c r="Q65" s="288"/>
      <c r="R65" s="288"/>
      <c r="S65" s="288"/>
      <c r="T65" s="288"/>
      <c r="U65" s="288"/>
      <c r="V65" s="288"/>
      <c r="W65" s="288"/>
      <c r="X65" s="288"/>
      <c r="Y65" s="288"/>
      <c r="Z65" s="288"/>
      <c r="AA65" s="288"/>
      <c r="AB65" s="288"/>
      <c r="AC65" s="288"/>
      <c r="AD65" s="288"/>
      <c r="AE65" s="288"/>
      <c r="AF65" s="288"/>
      <c r="AG65" s="288"/>
      <c r="AH65" s="288"/>
      <c r="AI65" s="289"/>
      <c r="AK65" s="425"/>
      <c r="AL65" s="425"/>
      <c r="AM65" s="425"/>
      <c r="AN65" s="425"/>
      <c r="AO65" s="425"/>
      <c r="AP65" s="425"/>
      <c r="AQ65" s="42"/>
      <c r="AR65" s="43"/>
      <c r="AS65" s="43"/>
      <c r="AT65" s="43"/>
      <c r="AU65" s="43"/>
      <c r="AV65" s="43"/>
      <c r="AW65" s="43"/>
      <c r="AX65" s="43"/>
      <c r="AY65" s="43"/>
      <c r="AZ65" s="43"/>
      <c r="BH65" s="50"/>
      <c r="BI65" s="51"/>
    </row>
    <row r="66" spans="1:61" ht="18" customHeight="1">
      <c r="A66" s="36"/>
      <c r="B66" s="404"/>
      <c r="C66" s="404"/>
      <c r="D66" s="404"/>
      <c r="E66" s="404"/>
      <c r="F66" s="288"/>
      <c r="G66" s="288"/>
      <c r="H66" s="288"/>
      <c r="I66" s="288"/>
      <c r="J66" s="288"/>
      <c r="K66" s="288"/>
      <c r="L66" s="288"/>
      <c r="M66" s="288"/>
      <c r="N66" s="288"/>
      <c r="O66" s="288"/>
      <c r="P66" s="288"/>
      <c r="Q66" s="288"/>
      <c r="R66" s="288"/>
      <c r="S66" s="288"/>
      <c r="T66" s="288"/>
      <c r="U66" s="288"/>
      <c r="V66" s="288"/>
      <c r="W66" s="288"/>
      <c r="X66" s="288"/>
      <c r="Y66" s="288"/>
      <c r="Z66" s="288"/>
      <c r="AA66" s="288"/>
      <c r="AB66" s="288"/>
      <c r="AC66" s="288"/>
      <c r="AD66" s="288"/>
      <c r="AE66" s="288"/>
      <c r="AF66" s="288"/>
      <c r="AG66" s="288"/>
      <c r="AH66" s="288"/>
      <c r="AI66" s="289"/>
      <c r="AK66" s="425"/>
      <c r="AL66" s="425"/>
      <c r="AM66" s="425"/>
      <c r="AN66" s="425"/>
      <c r="AO66" s="425"/>
      <c r="AP66" s="425"/>
      <c r="AQ66" s="42"/>
      <c r="AR66" s="43"/>
      <c r="AS66" s="43"/>
      <c r="AT66" s="43"/>
      <c r="AU66" s="43"/>
      <c r="AV66" s="43"/>
      <c r="AW66" s="43"/>
      <c r="AX66" s="43"/>
      <c r="AY66" s="43"/>
      <c r="AZ66" s="43"/>
      <c r="BH66" s="50"/>
      <c r="BI66" s="51"/>
    </row>
    <row r="67" spans="1:61" ht="18" customHeight="1">
      <c r="A67" s="36"/>
      <c r="B67" s="404"/>
      <c r="C67" s="404"/>
      <c r="D67" s="404"/>
      <c r="E67" s="404"/>
      <c r="F67" s="288"/>
      <c r="G67" s="288"/>
      <c r="H67" s="288"/>
      <c r="I67" s="288"/>
      <c r="J67" s="288"/>
      <c r="K67" s="288"/>
      <c r="L67" s="288"/>
      <c r="M67" s="288"/>
      <c r="N67" s="288"/>
      <c r="O67" s="288"/>
      <c r="P67" s="288"/>
      <c r="Q67" s="288"/>
      <c r="R67" s="288"/>
      <c r="S67" s="288"/>
      <c r="T67" s="288"/>
      <c r="U67" s="288"/>
      <c r="V67" s="288"/>
      <c r="W67" s="288"/>
      <c r="X67" s="288"/>
      <c r="Y67" s="288"/>
      <c r="Z67" s="288"/>
      <c r="AA67" s="288"/>
      <c r="AB67" s="288"/>
      <c r="AC67" s="288"/>
      <c r="AD67" s="288"/>
      <c r="AE67" s="288"/>
      <c r="AF67" s="288"/>
      <c r="AG67" s="288"/>
      <c r="AH67" s="288"/>
      <c r="AI67" s="289"/>
      <c r="AK67" s="425"/>
      <c r="AL67" s="425"/>
      <c r="AM67" s="425"/>
      <c r="AN67" s="425"/>
      <c r="AO67" s="425"/>
      <c r="AP67" s="425"/>
      <c r="AQ67" s="67"/>
      <c r="AR67" s="43"/>
      <c r="AS67" s="43"/>
      <c r="AT67" s="43"/>
      <c r="AU67" s="43"/>
      <c r="AV67" s="43"/>
      <c r="AW67" s="43"/>
      <c r="AX67" s="43"/>
      <c r="AY67" s="43"/>
      <c r="AZ67" s="43"/>
      <c r="BH67" s="50"/>
      <c r="BI67" s="51"/>
    </row>
    <row r="68" spans="1:61" ht="18" customHeight="1">
      <c r="A68" s="36"/>
      <c r="B68" s="404"/>
      <c r="C68" s="404"/>
      <c r="D68" s="404"/>
      <c r="E68" s="404"/>
      <c r="F68" s="288"/>
      <c r="G68" s="288"/>
      <c r="H68" s="288"/>
      <c r="I68" s="288"/>
      <c r="J68" s="288"/>
      <c r="K68" s="288"/>
      <c r="L68" s="288"/>
      <c r="M68" s="288"/>
      <c r="N68" s="288"/>
      <c r="O68" s="288"/>
      <c r="P68" s="288"/>
      <c r="Q68" s="288"/>
      <c r="R68" s="288"/>
      <c r="S68" s="288"/>
      <c r="T68" s="288"/>
      <c r="U68" s="288"/>
      <c r="V68" s="288"/>
      <c r="W68" s="288"/>
      <c r="X68" s="288"/>
      <c r="Y68" s="288"/>
      <c r="Z68" s="288"/>
      <c r="AA68" s="288"/>
      <c r="AB68" s="288"/>
      <c r="AC68" s="288"/>
      <c r="AD68" s="288"/>
      <c r="AE68" s="288"/>
      <c r="AF68" s="288"/>
      <c r="AG68" s="288"/>
      <c r="AH68" s="288"/>
      <c r="AI68" s="289"/>
      <c r="AK68" s="425"/>
      <c r="AL68" s="425"/>
      <c r="AM68" s="425"/>
      <c r="AN68" s="425"/>
      <c r="AO68" s="425"/>
      <c r="AP68" s="425"/>
      <c r="AQ68" s="67"/>
      <c r="AR68" s="43"/>
      <c r="AS68" s="43"/>
      <c r="AT68" s="43"/>
      <c r="AU68" s="43"/>
      <c r="AV68" s="43"/>
      <c r="AW68" s="43"/>
      <c r="AX68" s="43"/>
      <c r="AY68" s="43"/>
      <c r="AZ68" s="43"/>
      <c r="BH68" s="50"/>
      <c r="BI68" s="51"/>
    </row>
    <row r="69" spans="1:61" ht="18" customHeight="1">
      <c r="A69" s="36"/>
      <c r="B69" s="404"/>
      <c r="C69" s="404"/>
      <c r="D69" s="404"/>
      <c r="E69" s="404"/>
      <c r="F69" s="288"/>
      <c r="G69" s="288"/>
      <c r="H69" s="288"/>
      <c r="I69" s="288"/>
      <c r="J69" s="288"/>
      <c r="K69" s="288"/>
      <c r="L69" s="288"/>
      <c r="M69" s="288"/>
      <c r="N69" s="288"/>
      <c r="O69" s="288"/>
      <c r="P69" s="288"/>
      <c r="Q69" s="288"/>
      <c r="R69" s="288"/>
      <c r="S69" s="288"/>
      <c r="T69" s="288"/>
      <c r="U69" s="288"/>
      <c r="V69" s="288"/>
      <c r="W69" s="288"/>
      <c r="X69" s="288"/>
      <c r="Y69" s="288"/>
      <c r="Z69" s="288"/>
      <c r="AA69" s="288"/>
      <c r="AB69" s="288"/>
      <c r="AC69" s="288"/>
      <c r="AD69" s="288"/>
      <c r="AE69" s="288"/>
      <c r="AF69" s="288"/>
      <c r="AG69" s="288"/>
      <c r="AH69" s="288"/>
      <c r="AI69" s="289"/>
      <c r="AK69" s="425"/>
      <c r="AL69" s="425"/>
      <c r="AM69" s="425"/>
      <c r="AN69" s="425"/>
      <c r="AO69" s="425"/>
      <c r="AP69" s="425"/>
      <c r="AQ69" s="42"/>
      <c r="AR69" s="43"/>
      <c r="AS69" s="43"/>
      <c r="AT69" s="43"/>
      <c r="AU69" s="43"/>
      <c r="AV69" s="43"/>
      <c r="AW69" s="43"/>
      <c r="AX69" s="43"/>
      <c r="AY69" s="43"/>
      <c r="AZ69" s="43"/>
      <c r="BH69" s="50"/>
      <c r="BI69" s="51"/>
    </row>
    <row r="70" spans="1:61" ht="18" customHeight="1">
      <c r="A70" s="36"/>
      <c r="B70" s="404"/>
      <c r="C70" s="404"/>
      <c r="D70" s="404"/>
      <c r="E70" s="404"/>
      <c r="F70" s="288"/>
      <c r="G70" s="288"/>
      <c r="H70" s="288"/>
      <c r="I70" s="288"/>
      <c r="J70" s="288"/>
      <c r="K70" s="288"/>
      <c r="L70" s="288"/>
      <c r="M70" s="288"/>
      <c r="N70" s="288"/>
      <c r="O70" s="288"/>
      <c r="P70" s="288"/>
      <c r="Q70" s="288"/>
      <c r="R70" s="288"/>
      <c r="S70" s="288"/>
      <c r="T70" s="288"/>
      <c r="U70" s="288"/>
      <c r="V70" s="288"/>
      <c r="W70" s="288"/>
      <c r="X70" s="288"/>
      <c r="Y70" s="288"/>
      <c r="Z70" s="288"/>
      <c r="AA70" s="288"/>
      <c r="AB70" s="288"/>
      <c r="AC70" s="288"/>
      <c r="AD70" s="288"/>
      <c r="AE70" s="288"/>
      <c r="AF70" s="288"/>
      <c r="AG70" s="288"/>
      <c r="AH70" s="288"/>
      <c r="AI70" s="289"/>
      <c r="AK70" s="425"/>
      <c r="AL70" s="425"/>
      <c r="AM70" s="425"/>
      <c r="AN70" s="425"/>
      <c r="AO70" s="425"/>
      <c r="AP70" s="425"/>
      <c r="AQ70" s="42"/>
      <c r="AR70" s="43"/>
      <c r="AS70" s="43"/>
      <c r="AT70" s="43"/>
      <c r="AU70" s="43"/>
      <c r="AV70" s="43"/>
      <c r="AW70" s="43"/>
      <c r="AX70" s="43"/>
      <c r="AY70" s="43"/>
      <c r="AZ70" s="43"/>
      <c r="BH70" s="50"/>
      <c r="BI70" s="51"/>
    </row>
    <row r="71" spans="1:61" ht="18" customHeight="1">
      <c r="A71" s="36"/>
      <c r="B71" s="404"/>
      <c r="C71" s="404"/>
      <c r="D71" s="404"/>
      <c r="E71" s="404"/>
      <c r="F71" s="288"/>
      <c r="G71" s="288"/>
      <c r="H71" s="288"/>
      <c r="I71" s="288"/>
      <c r="J71" s="288"/>
      <c r="K71" s="288"/>
      <c r="L71" s="288"/>
      <c r="M71" s="288"/>
      <c r="N71" s="288"/>
      <c r="O71" s="288"/>
      <c r="P71" s="288"/>
      <c r="Q71" s="288"/>
      <c r="R71" s="288"/>
      <c r="S71" s="288"/>
      <c r="T71" s="288"/>
      <c r="U71" s="288"/>
      <c r="V71" s="288"/>
      <c r="W71" s="288"/>
      <c r="X71" s="288"/>
      <c r="Y71" s="288"/>
      <c r="Z71" s="288"/>
      <c r="AA71" s="288"/>
      <c r="AB71" s="288"/>
      <c r="AC71" s="288"/>
      <c r="AD71" s="288"/>
      <c r="AE71" s="288"/>
      <c r="AF71" s="288"/>
      <c r="AG71" s="288"/>
      <c r="AH71" s="288"/>
      <c r="AI71" s="289"/>
      <c r="AK71" s="425"/>
      <c r="AL71" s="425"/>
      <c r="AM71" s="425"/>
      <c r="AN71" s="425"/>
      <c r="AO71" s="425"/>
      <c r="AP71" s="425"/>
      <c r="AQ71" s="42"/>
      <c r="AR71" s="43"/>
      <c r="AS71" s="43"/>
      <c r="AT71" s="43"/>
      <c r="AU71" s="43"/>
      <c r="AV71" s="43"/>
      <c r="AW71" s="43"/>
      <c r="AX71" s="43"/>
      <c r="AY71" s="43"/>
      <c r="AZ71" s="43"/>
      <c r="BH71" s="52"/>
      <c r="BI71" s="51"/>
    </row>
    <row r="72" spans="1:61" ht="18" customHeight="1">
      <c r="A72" s="36"/>
      <c r="B72" s="404"/>
      <c r="C72" s="404"/>
      <c r="D72" s="404"/>
      <c r="E72" s="404"/>
      <c r="F72" s="288"/>
      <c r="G72" s="288"/>
      <c r="H72" s="288"/>
      <c r="I72" s="288"/>
      <c r="J72" s="288"/>
      <c r="K72" s="288"/>
      <c r="L72" s="288"/>
      <c r="M72" s="288"/>
      <c r="N72" s="288"/>
      <c r="O72" s="288"/>
      <c r="P72" s="288"/>
      <c r="Q72" s="288"/>
      <c r="R72" s="288"/>
      <c r="S72" s="288"/>
      <c r="T72" s="288"/>
      <c r="U72" s="288"/>
      <c r="V72" s="288"/>
      <c r="W72" s="288"/>
      <c r="X72" s="288"/>
      <c r="Y72" s="288"/>
      <c r="Z72" s="288"/>
      <c r="AA72" s="288"/>
      <c r="AB72" s="288"/>
      <c r="AC72" s="288"/>
      <c r="AD72" s="288"/>
      <c r="AE72" s="288"/>
      <c r="AF72" s="288"/>
      <c r="AG72" s="288"/>
      <c r="AH72" s="288"/>
      <c r="AI72" s="289"/>
      <c r="AK72" s="425"/>
      <c r="AL72" s="425"/>
      <c r="AM72" s="425"/>
      <c r="AN72" s="425"/>
      <c r="AO72" s="425"/>
      <c r="AP72" s="425"/>
      <c r="AQ72" s="42"/>
      <c r="AR72" s="43"/>
      <c r="AS72" s="43"/>
      <c r="AT72" s="43"/>
      <c r="AU72" s="43"/>
      <c r="AV72" s="43"/>
      <c r="AW72" s="43"/>
      <c r="AX72" s="43"/>
      <c r="AY72" s="43"/>
      <c r="AZ72" s="43"/>
      <c r="BH72" s="53"/>
      <c r="BI72" s="51"/>
    </row>
    <row r="73" spans="1:61" ht="18" customHeight="1">
      <c r="A73" s="36"/>
      <c r="B73" s="404"/>
      <c r="C73" s="404"/>
      <c r="D73" s="404"/>
      <c r="E73" s="404"/>
      <c r="F73" s="288"/>
      <c r="G73" s="288"/>
      <c r="H73" s="288"/>
      <c r="I73" s="288"/>
      <c r="J73" s="288"/>
      <c r="K73" s="288"/>
      <c r="L73" s="288"/>
      <c r="M73" s="288"/>
      <c r="N73" s="288"/>
      <c r="O73" s="288"/>
      <c r="P73" s="288"/>
      <c r="Q73" s="288"/>
      <c r="R73" s="288"/>
      <c r="S73" s="288"/>
      <c r="T73" s="288"/>
      <c r="U73" s="288"/>
      <c r="V73" s="288"/>
      <c r="W73" s="288"/>
      <c r="X73" s="288"/>
      <c r="Y73" s="288"/>
      <c r="Z73" s="288"/>
      <c r="AA73" s="288"/>
      <c r="AB73" s="288"/>
      <c r="AC73" s="288"/>
      <c r="AD73" s="288"/>
      <c r="AE73" s="288"/>
      <c r="AF73" s="288"/>
      <c r="AG73" s="288"/>
      <c r="AH73" s="288"/>
      <c r="AI73" s="289"/>
      <c r="AK73" s="425"/>
      <c r="AL73" s="425"/>
      <c r="AM73" s="425"/>
      <c r="AN73" s="425"/>
      <c r="AO73" s="425"/>
      <c r="AP73" s="425"/>
      <c r="AQ73" s="42"/>
      <c r="AR73" s="43"/>
      <c r="AS73" s="43"/>
      <c r="AT73" s="43"/>
      <c r="AU73" s="43"/>
      <c r="AV73" s="43"/>
      <c r="AW73" s="43"/>
      <c r="AX73" s="43"/>
      <c r="AY73" s="43"/>
      <c r="AZ73" s="43"/>
      <c r="BH73" s="54"/>
      <c r="BI73" s="51"/>
    </row>
    <row r="74" spans="1:61" ht="18" customHeight="1">
      <c r="A74" s="36"/>
      <c r="B74" s="404"/>
      <c r="C74" s="404"/>
      <c r="D74" s="404"/>
      <c r="E74" s="404"/>
      <c r="F74" s="288"/>
      <c r="G74" s="288"/>
      <c r="H74" s="288"/>
      <c r="I74" s="288"/>
      <c r="J74" s="288"/>
      <c r="K74" s="288"/>
      <c r="L74" s="288"/>
      <c r="M74" s="288"/>
      <c r="N74" s="288"/>
      <c r="O74" s="288"/>
      <c r="P74" s="288"/>
      <c r="Q74" s="288"/>
      <c r="R74" s="288"/>
      <c r="S74" s="288"/>
      <c r="T74" s="288"/>
      <c r="U74" s="288"/>
      <c r="V74" s="288"/>
      <c r="W74" s="288"/>
      <c r="X74" s="288"/>
      <c r="Y74" s="288"/>
      <c r="Z74" s="288"/>
      <c r="AA74" s="288"/>
      <c r="AB74" s="288"/>
      <c r="AC74" s="288"/>
      <c r="AD74" s="288"/>
      <c r="AE74" s="288"/>
      <c r="AF74" s="288"/>
      <c r="AG74" s="288"/>
      <c r="AH74" s="288"/>
      <c r="AI74" s="289"/>
      <c r="AK74" s="425"/>
      <c r="AL74" s="425"/>
      <c r="AM74" s="425"/>
      <c r="AN74" s="425"/>
      <c r="AO74" s="425"/>
      <c r="AP74" s="425"/>
      <c r="AQ74" s="42"/>
      <c r="AR74" s="43"/>
      <c r="AS74" s="43"/>
      <c r="AT74" s="43"/>
      <c r="AU74" s="43"/>
      <c r="AV74" s="43"/>
      <c r="AW74" s="43"/>
      <c r="AX74" s="43"/>
      <c r="AY74" s="43"/>
      <c r="AZ74" s="43"/>
      <c r="BH74" s="54"/>
      <c r="BI74" s="51"/>
    </row>
    <row r="75" spans="1:61" ht="18" customHeight="1">
      <c r="A75" s="36"/>
      <c r="B75" s="404"/>
      <c r="C75" s="404"/>
      <c r="D75" s="404"/>
      <c r="E75" s="404"/>
      <c r="F75" s="288"/>
      <c r="G75" s="288"/>
      <c r="H75" s="288"/>
      <c r="I75" s="288"/>
      <c r="J75" s="288"/>
      <c r="K75" s="288"/>
      <c r="L75" s="288"/>
      <c r="M75" s="288"/>
      <c r="N75" s="288"/>
      <c r="O75" s="288"/>
      <c r="P75" s="288"/>
      <c r="Q75" s="288"/>
      <c r="R75" s="288"/>
      <c r="S75" s="288"/>
      <c r="T75" s="288"/>
      <c r="U75" s="288"/>
      <c r="V75" s="288"/>
      <c r="W75" s="288"/>
      <c r="X75" s="288"/>
      <c r="Y75" s="288"/>
      <c r="Z75" s="288"/>
      <c r="AA75" s="288"/>
      <c r="AB75" s="288"/>
      <c r="AC75" s="288"/>
      <c r="AD75" s="288"/>
      <c r="AE75" s="288"/>
      <c r="AF75" s="288"/>
      <c r="AG75" s="288"/>
      <c r="AH75" s="288"/>
      <c r="AI75" s="289"/>
      <c r="AK75" s="425"/>
      <c r="AL75" s="425"/>
      <c r="AM75" s="425"/>
      <c r="AN75" s="425"/>
      <c r="AO75" s="425"/>
      <c r="AP75" s="425"/>
      <c r="AQ75" s="42"/>
      <c r="AR75" s="43"/>
      <c r="AS75" s="43"/>
      <c r="AT75" s="43"/>
      <c r="AU75" s="43"/>
      <c r="AV75" s="43"/>
      <c r="AW75" s="43"/>
      <c r="AX75" s="43"/>
      <c r="AY75" s="43"/>
      <c r="AZ75" s="43"/>
      <c r="BH75" s="53"/>
      <c r="BI75" s="51"/>
    </row>
    <row r="76" spans="1:61" ht="18" customHeight="1">
      <c r="A76" s="36"/>
      <c r="B76" s="404"/>
      <c r="C76" s="404"/>
      <c r="D76" s="404"/>
      <c r="E76" s="404"/>
      <c r="F76" s="288"/>
      <c r="G76" s="288"/>
      <c r="H76" s="288"/>
      <c r="I76" s="288"/>
      <c r="J76" s="288"/>
      <c r="K76" s="288"/>
      <c r="L76" s="288"/>
      <c r="M76" s="288"/>
      <c r="N76" s="288"/>
      <c r="O76" s="288"/>
      <c r="P76" s="288"/>
      <c r="Q76" s="288"/>
      <c r="R76" s="288"/>
      <c r="S76" s="288"/>
      <c r="T76" s="288"/>
      <c r="U76" s="288"/>
      <c r="V76" s="288"/>
      <c r="W76" s="288"/>
      <c r="X76" s="288"/>
      <c r="Y76" s="288"/>
      <c r="Z76" s="288"/>
      <c r="AA76" s="288"/>
      <c r="AB76" s="288"/>
      <c r="AC76" s="288"/>
      <c r="AD76" s="288"/>
      <c r="AE76" s="288"/>
      <c r="AF76" s="288"/>
      <c r="AG76" s="288"/>
      <c r="AH76" s="288"/>
      <c r="AI76" s="289"/>
      <c r="AK76" s="425"/>
      <c r="AL76" s="425"/>
      <c r="AM76" s="425"/>
      <c r="AN76" s="425"/>
      <c r="AO76" s="425"/>
      <c r="AP76" s="425"/>
      <c r="AQ76" s="42"/>
      <c r="AR76" s="43"/>
      <c r="AS76" s="43"/>
      <c r="AT76" s="43"/>
      <c r="AU76" s="43"/>
      <c r="AV76" s="43"/>
      <c r="AW76" s="43"/>
      <c r="AX76" s="43"/>
      <c r="AY76" s="43"/>
      <c r="AZ76" s="43"/>
      <c r="BH76" s="53"/>
      <c r="BI76" s="51"/>
    </row>
    <row r="77" spans="1:61" ht="18" customHeight="1">
      <c r="A77" s="36"/>
      <c r="B77" s="404"/>
      <c r="C77" s="404"/>
      <c r="D77" s="404"/>
      <c r="E77" s="404"/>
      <c r="F77" s="288"/>
      <c r="G77" s="288"/>
      <c r="H77" s="288"/>
      <c r="I77" s="288"/>
      <c r="J77" s="288"/>
      <c r="K77" s="288"/>
      <c r="L77" s="288"/>
      <c r="M77" s="288"/>
      <c r="N77" s="288"/>
      <c r="O77" s="288"/>
      <c r="P77" s="288"/>
      <c r="Q77" s="288"/>
      <c r="R77" s="288"/>
      <c r="S77" s="288"/>
      <c r="T77" s="288"/>
      <c r="U77" s="288"/>
      <c r="V77" s="288"/>
      <c r="W77" s="288"/>
      <c r="X77" s="288"/>
      <c r="Y77" s="288"/>
      <c r="Z77" s="288"/>
      <c r="AA77" s="288"/>
      <c r="AB77" s="288"/>
      <c r="AC77" s="288"/>
      <c r="AD77" s="288"/>
      <c r="AE77" s="288"/>
      <c r="AF77" s="288"/>
      <c r="AG77" s="288"/>
      <c r="AH77" s="288"/>
      <c r="AI77" s="289"/>
      <c r="AK77" s="425"/>
      <c r="AL77" s="425"/>
      <c r="AM77" s="425"/>
      <c r="AN77" s="425"/>
      <c r="AO77" s="425"/>
      <c r="AP77" s="425"/>
      <c r="AQ77" s="42"/>
      <c r="AR77" s="43"/>
      <c r="AS77" s="43"/>
      <c r="AT77" s="43"/>
      <c r="AU77" s="43"/>
      <c r="AV77" s="43"/>
      <c r="AW77" s="43"/>
      <c r="AX77" s="43"/>
      <c r="AY77" s="43"/>
      <c r="AZ77" s="43"/>
      <c r="BH77" s="54"/>
      <c r="BI77" s="51"/>
    </row>
    <row r="78" spans="1:61" ht="18" customHeight="1">
      <c r="A78" s="36"/>
      <c r="B78" s="404"/>
      <c r="C78" s="404"/>
      <c r="D78" s="404"/>
      <c r="E78" s="404"/>
      <c r="F78" s="288"/>
      <c r="G78" s="288"/>
      <c r="H78" s="288"/>
      <c r="I78" s="288"/>
      <c r="J78" s="288"/>
      <c r="K78" s="288"/>
      <c r="L78" s="288"/>
      <c r="M78" s="288"/>
      <c r="N78" s="288"/>
      <c r="O78" s="288"/>
      <c r="P78" s="288"/>
      <c r="Q78" s="288"/>
      <c r="R78" s="288"/>
      <c r="S78" s="288"/>
      <c r="T78" s="288"/>
      <c r="U78" s="288"/>
      <c r="V78" s="288"/>
      <c r="W78" s="288"/>
      <c r="X78" s="288"/>
      <c r="Y78" s="288"/>
      <c r="Z78" s="288"/>
      <c r="AA78" s="288"/>
      <c r="AB78" s="288"/>
      <c r="AC78" s="288"/>
      <c r="AD78" s="288"/>
      <c r="AE78" s="288"/>
      <c r="AF78" s="288"/>
      <c r="AG78" s="288"/>
      <c r="AH78" s="288"/>
      <c r="AI78" s="289"/>
      <c r="AK78" s="425"/>
      <c r="AL78" s="425"/>
      <c r="AM78" s="425"/>
      <c r="AN78" s="425"/>
      <c r="AO78" s="425"/>
      <c r="AP78" s="425"/>
      <c r="AQ78" s="42"/>
      <c r="AR78" s="43"/>
      <c r="AS78" s="43"/>
      <c r="AT78" s="43"/>
      <c r="AU78" s="43"/>
      <c r="AV78" s="43"/>
      <c r="AW78" s="43"/>
      <c r="AX78" s="43"/>
      <c r="AY78" s="43"/>
      <c r="AZ78" s="43"/>
      <c r="BH78" s="54"/>
      <c r="BI78" s="51"/>
    </row>
    <row r="79" spans="1:61" ht="18" customHeight="1">
      <c r="A79" s="36"/>
      <c r="B79" s="404"/>
      <c r="C79" s="404"/>
      <c r="D79" s="404"/>
      <c r="E79" s="404"/>
      <c r="F79" s="288"/>
      <c r="G79" s="288"/>
      <c r="H79" s="288"/>
      <c r="I79" s="288"/>
      <c r="J79" s="288"/>
      <c r="K79" s="288"/>
      <c r="L79" s="288"/>
      <c r="M79" s="288"/>
      <c r="N79" s="288"/>
      <c r="O79" s="288"/>
      <c r="P79" s="288"/>
      <c r="Q79" s="288"/>
      <c r="R79" s="288"/>
      <c r="S79" s="288"/>
      <c r="T79" s="288"/>
      <c r="U79" s="288"/>
      <c r="V79" s="288"/>
      <c r="W79" s="288"/>
      <c r="X79" s="288"/>
      <c r="Y79" s="288"/>
      <c r="Z79" s="288"/>
      <c r="AA79" s="288"/>
      <c r="AB79" s="288"/>
      <c r="AC79" s="288"/>
      <c r="AD79" s="288"/>
      <c r="AE79" s="288"/>
      <c r="AF79" s="288"/>
      <c r="AG79" s="288"/>
      <c r="AH79" s="288"/>
      <c r="AI79" s="289"/>
      <c r="AK79" s="425"/>
      <c r="AL79" s="425"/>
      <c r="AM79" s="425"/>
      <c r="AN79" s="425"/>
      <c r="AO79" s="425"/>
      <c r="AP79" s="425"/>
      <c r="AQ79" s="42"/>
      <c r="AR79" s="43"/>
      <c r="AS79" s="43"/>
      <c r="AT79" s="43"/>
      <c r="AU79" s="43"/>
      <c r="AV79" s="43"/>
      <c r="AW79" s="43"/>
      <c r="AX79" s="43"/>
      <c r="AY79" s="43"/>
      <c r="AZ79" s="43"/>
      <c r="BH79" s="54"/>
      <c r="BI79" s="51"/>
    </row>
    <row r="80" spans="1:61" ht="18" customHeight="1">
      <c r="A80" s="37"/>
      <c r="B80" s="466"/>
      <c r="C80" s="466"/>
      <c r="D80" s="466"/>
      <c r="E80" s="466"/>
      <c r="F80" s="467"/>
      <c r="G80" s="467"/>
      <c r="H80" s="467"/>
      <c r="I80" s="467"/>
      <c r="J80" s="467"/>
      <c r="K80" s="467"/>
      <c r="L80" s="467"/>
      <c r="M80" s="467"/>
      <c r="N80" s="467"/>
      <c r="O80" s="467"/>
      <c r="P80" s="467"/>
      <c r="Q80" s="467"/>
      <c r="R80" s="467"/>
      <c r="S80" s="467"/>
      <c r="T80" s="467"/>
      <c r="U80" s="467"/>
      <c r="V80" s="467"/>
      <c r="W80" s="467"/>
      <c r="X80" s="467"/>
      <c r="Y80" s="467"/>
      <c r="Z80" s="467"/>
      <c r="AA80" s="467"/>
      <c r="AB80" s="467"/>
      <c r="AC80" s="467"/>
      <c r="AD80" s="467"/>
      <c r="AE80" s="467"/>
      <c r="AF80" s="467"/>
      <c r="AG80" s="467"/>
      <c r="AH80" s="467"/>
      <c r="AI80" s="468"/>
      <c r="AK80" s="425"/>
      <c r="AL80" s="425"/>
      <c r="AM80" s="425"/>
      <c r="AN80" s="425"/>
      <c r="AO80" s="425"/>
      <c r="AP80" s="425"/>
      <c r="AQ80" s="42"/>
      <c r="AR80" s="43"/>
      <c r="AS80" s="43"/>
      <c r="AT80" s="43"/>
      <c r="AU80" s="43"/>
      <c r="AV80" s="43"/>
      <c r="AW80" s="43"/>
      <c r="AX80" s="43"/>
      <c r="AY80" s="43"/>
      <c r="AZ80" s="43"/>
      <c r="BH80" s="54"/>
      <c r="BI80" s="51"/>
    </row>
    <row r="81" spans="1:61" ht="18" customHeight="1">
      <c r="A81" s="406" t="s">
        <v>704</v>
      </c>
      <c r="B81" s="407"/>
      <c r="C81" s="407"/>
      <c r="D81" s="407"/>
      <c r="E81" s="407"/>
      <c r="F81" s="407"/>
      <c r="G81" s="407"/>
      <c r="H81" s="407"/>
      <c r="I81" s="407"/>
      <c r="J81" s="407"/>
      <c r="K81" s="407"/>
      <c r="L81" s="407"/>
      <c r="M81" s="407"/>
      <c r="N81" s="407"/>
      <c r="O81" s="407"/>
      <c r="P81" s="407"/>
      <c r="Q81" s="407"/>
      <c r="R81" s="407"/>
      <c r="S81" s="407"/>
      <c r="T81" s="407"/>
      <c r="U81" s="407"/>
      <c r="V81" s="407"/>
      <c r="W81" s="407"/>
      <c r="X81" s="407"/>
      <c r="Y81" s="407"/>
      <c r="Z81" s="407"/>
      <c r="AA81" s="407"/>
      <c r="AB81" s="407"/>
      <c r="AC81" s="407"/>
      <c r="AD81" s="407"/>
      <c r="AE81" s="407"/>
      <c r="AF81" s="407"/>
      <c r="AG81" s="407"/>
      <c r="AH81" s="407"/>
      <c r="AI81" s="408"/>
      <c r="AK81" s="425"/>
      <c r="AL81" s="425"/>
      <c r="AM81" s="425"/>
      <c r="AN81" s="425"/>
      <c r="AO81" s="425"/>
      <c r="AP81" s="425"/>
      <c r="AQ81" s="42"/>
      <c r="AR81" s="43"/>
      <c r="AS81" s="43"/>
      <c r="AT81" s="43"/>
      <c r="AU81" s="43"/>
      <c r="AV81" s="43"/>
      <c r="AW81" s="43"/>
      <c r="AX81" s="43"/>
      <c r="AY81" s="43"/>
      <c r="AZ81" s="43"/>
      <c r="BH81" s="53"/>
      <c r="BI81" s="51"/>
    </row>
    <row r="82" spans="1:61" ht="18" customHeight="1">
      <c r="A82" s="38"/>
      <c r="B82" s="465">
        <v>46168</v>
      </c>
      <c r="C82" s="465"/>
      <c r="D82" s="465"/>
      <c r="E82" s="465"/>
      <c r="F82" s="288" t="s">
        <v>723</v>
      </c>
      <c r="G82" s="288"/>
      <c r="H82" s="288"/>
      <c r="I82" s="288"/>
      <c r="J82" s="288"/>
      <c r="K82" s="288"/>
      <c r="L82" s="288"/>
      <c r="M82" s="288"/>
      <c r="N82" s="288"/>
      <c r="O82" s="288"/>
      <c r="P82" s="288"/>
      <c r="Q82" s="288"/>
      <c r="R82" s="288"/>
      <c r="S82" s="288"/>
      <c r="T82" s="288"/>
      <c r="U82" s="288"/>
      <c r="V82" s="288"/>
      <c r="W82" s="288"/>
      <c r="X82" s="288"/>
      <c r="Y82" s="288"/>
      <c r="Z82" s="288"/>
      <c r="AA82" s="288"/>
      <c r="AB82" s="288"/>
      <c r="AC82" s="288"/>
      <c r="AD82" s="288"/>
      <c r="AE82" s="288"/>
      <c r="AF82" s="288"/>
      <c r="AG82" s="288"/>
      <c r="AH82" s="288"/>
      <c r="AI82" s="289"/>
      <c r="AK82" s="425"/>
      <c r="AL82" s="425"/>
      <c r="AM82" s="425"/>
      <c r="AN82" s="425"/>
      <c r="AO82" s="425"/>
      <c r="AP82" s="425"/>
      <c r="AQ82" s="42"/>
      <c r="AR82" s="43"/>
      <c r="AS82" s="43"/>
      <c r="AT82" s="43"/>
      <c r="AU82" s="43"/>
      <c r="AV82" s="43"/>
      <c r="AW82" s="43"/>
      <c r="AX82" s="43"/>
      <c r="AY82" s="43"/>
      <c r="AZ82" s="43"/>
      <c r="BH82" s="53"/>
      <c r="BI82" s="51"/>
    </row>
    <row r="83" spans="1:61" ht="18" customHeight="1">
      <c r="A83" s="38"/>
      <c r="B83" s="465"/>
      <c r="C83" s="465"/>
      <c r="D83" s="465"/>
      <c r="E83" s="465"/>
      <c r="F83" s="288"/>
      <c r="G83" s="288"/>
      <c r="H83" s="288"/>
      <c r="I83" s="288"/>
      <c r="J83" s="288"/>
      <c r="K83" s="288"/>
      <c r="L83" s="288"/>
      <c r="M83" s="288"/>
      <c r="N83" s="288"/>
      <c r="O83" s="288"/>
      <c r="P83" s="288"/>
      <c r="Q83" s="288"/>
      <c r="R83" s="288"/>
      <c r="S83" s="288"/>
      <c r="T83" s="288"/>
      <c r="U83" s="288"/>
      <c r="V83" s="288"/>
      <c r="W83" s="288"/>
      <c r="X83" s="288"/>
      <c r="Y83" s="288"/>
      <c r="Z83" s="288"/>
      <c r="AA83" s="288"/>
      <c r="AB83" s="288"/>
      <c r="AC83" s="288"/>
      <c r="AD83" s="288"/>
      <c r="AE83" s="288"/>
      <c r="AF83" s="288"/>
      <c r="AG83" s="288"/>
      <c r="AH83" s="288"/>
      <c r="AI83" s="289"/>
      <c r="AK83" s="425"/>
      <c r="AL83" s="425"/>
      <c r="AM83" s="425"/>
      <c r="AN83" s="425"/>
      <c r="AO83" s="425"/>
      <c r="AP83" s="425"/>
      <c r="AQ83" s="42"/>
      <c r="AR83" s="43"/>
      <c r="AS83" s="43"/>
      <c r="AT83" s="43"/>
      <c r="AU83" s="43"/>
      <c r="AV83" s="43"/>
      <c r="AW83" s="43"/>
      <c r="AX83" s="43"/>
      <c r="AY83" s="43"/>
      <c r="AZ83" s="43"/>
      <c r="BH83" s="53"/>
      <c r="BI83" s="51"/>
    </row>
    <row r="84" spans="1:61" ht="18" customHeight="1">
      <c r="A84" s="38"/>
      <c r="B84" s="465"/>
      <c r="C84" s="465"/>
      <c r="D84" s="465"/>
      <c r="E84" s="465"/>
      <c r="F84" s="288"/>
      <c r="G84" s="288"/>
      <c r="H84" s="288"/>
      <c r="I84" s="288"/>
      <c r="J84" s="288"/>
      <c r="K84" s="288"/>
      <c r="L84" s="288"/>
      <c r="M84" s="288"/>
      <c r="N84" s="288"/>
      <c r="O84" s="288"/>
      <c r="P84" s="288"/>
      <c r="Q84" s="288"/>
      <c r="R84" s="288"/>
      <c r="S84" s="288"/>
      <c r="T84" s="288"/>
      <c r="U84" s="288"/>
      <c r="V84" s="288"/>
      <c r="W84" s="288"/>
      <c r="X84" s="288"/>
      <c r="Y84" s="288"/>
      <c r="Z84" s="288"/>
      <c r="AA84" s="288"/>
      <c r="AB84" s="288"/>
      <c r="AC84" s="288"/>
      <c r="AD84" s="288"/>
      <c r="AE84" s="288"/>
      <c r="AF84" s="288"/>
      <c r="AG84" s="288"/>
      <c r="AH84" s="288"/>
      <c r="AI84" s="289"/>
      <c r="AK84" s="425"/>
      <c r="AL84" s="425"/>
      <c r="AM84" s="425"/>
      <c r="AN84" s="425"/>
      <c r="AO84" s="425"/>
      <c r="AP84" s="425"/>
      <c r="AQ84" s="42"/>
      <c r="AR84" s="43"/>
      <c r="AS84" s="43"/>
      <c r="AT84" s="43"/>
      <c r="AU84" s="43"/>
      <c r="AV84" s="43"/>
      <c r="AW84" s="43"/>
      <c r="AX84" s="43"/>
      <c r="AY84" s="43"/>
      <c r="AZ84" s="43"/>
    </row>
    <row r="85" spans="1:61" ht="18" customHeight="1">
      <c r="A85" s="38"/>
      <c r="B85" s="465"/>
      <c r="C85" s="465"/>
      <c r="D85" s="465"/>
      <c r="E85" s="465"/>
      <c r="F85" s="288"/>
      <c r="G85" s="288"/>
      <c r="H85" s="288"/>
      <c r="I85" s="288"/>
      <c r="J85" s="288"/>
      <c r="K85" s="288"/>
      <c r="L85" s="288"/>
      <c r="M85" s="288"/>
      <c r="N85" s="288"/>
      <c r="O85" s="288"/>
      <c r="P85" s="288"/>
      <c r="Q85" s="288"/>
      <c r="R85" s="288"/>
      <c r="S85" s="288"/>
      <c r="T85" s="288"/>
      <c r="U85" s="288"/>
      <c r="V85" s="288"/>
      <c r="W85" s="288"/>
      <c r="X85" s="288"/>
      <c r="Y85" s="288"/>
      <c r="Z85" s="288"/>
      <c r="AA85" s="288"/>
      <c r="AB85" s="288"/>
      <c r="AC85" s="288"/>
      <c r="AD85" s="288"/>
      <c r="AE85" s="288"/>
      <c r="AF85" s="288"/>
      <c r="AG85" s="288"/>
      <c r="AH85" s="288"/>
      <c r="AI85" s="289"/>
      <c r="AK85" s="425"/>
      <c r="AL85" s="425"/>
      <c r="AM85" s="425"/>
      <c r="AN85" s="425"/>
      <c r="AO85" s="425"/>
      <c r="AP85" s="425"/>
      <c r="AQ85" s="42"/>
      <c r="AR85" s="43"/>
      <c r="AS85" s="43"/>
      <c r="AT85" s="43"/>
      <c r="AU85" s="43"/>
      <c r="AV85" s="43"/>
      <c r="AW85" s="43"/>
      <c r="AX85" s="43"/>
      <c r="AY85" s="43"/>
      <c r="AZ85" s="43"/>
    </row>
    <row r="86" spans="1:61" ht="18" customHeight="1" thickBot="1">
      <c r="A86" s="41"/>
      <c r="B86" s="540"/>
      <c r="C86" s="540"/>
      <c r="D86" s="540"/>
      <c r="E86" s="540"/>
      <c r="F86" s="541"/>
      <c r="G86" s="541"/>
      <c r="H86" s="541"/>
      <c r="I86" s="541"/>
      <c r="J86" s="541"/>
      <c r="K86" s="541"/>
      <c r="L86" s="541"/>
      <c r="M86" s="541"/>
      <c r="N86" s="541"/>
      <c r="O86" s="541"/>
      <c r="P86" s="541"/>
      <c r="Q86" s="541"/>
      <c r="R86" s="541"/>
      <c r="S86" s="541"/>
      <c r="T86" s="541"/>
      <c r="U86" s="541"/>
      <c r="V86" s="541"/>
      <c r="W86" s="541"/>
      <c r="X86" s="541"/>
      <c r="Y86" s="541"/>
      <c r="Z86" s="541"/>
      <c r="AA86" s="541"/>
      <c r="AB86" s="541"/>
      <c r="AC86" s="541"/>
      <c r="AD86" s="541"/>
      <c r="AE86" s="541"/>
      <c r="AF86" s="541"/>
      <c r="AG86" s="541"/>
      <c r="AH86" s="541"/>
      <c r="AI86" s="542"/>
      <c r="AK86" s="425"/>
      <c r="AL86" s="425"/>
      <c r="AM86" s="425"/>
      <c r="AN86" s="425"/>
      <c r="AO86" s="425"/>
      <c r="AP86" s="425"/>
      <c r="AQ86" s="42"/>
      <c r="AR86" s="43"/>
      <c r="AS86" s="43"/>
      <c r="AT86" s="43"/>
      <c r="AU86" s="43"/>
      <c r="AV86" s="43"/>
      <c r="AW86" s="43"/>
      <c r="AX86" s="43"/>
      <c r="AY86" s="43"/>
      <c r="AZ86" s="43"/>
    </row>
    <row r="87" spans="1:61" ht="14.1" customHeight="1">
      <c r="AK87" s="438"/>
      <c r="AL87" s="438"/>
      <c r="AM87" s="438"/>
      <c r="AN87" s="438"/>
      <c r="AO87" s="438"/>
      <c r="AP87" s="438"/>
      <c r="AQ87" s="119"/>
    </row>
    <row r="88" spans="1:61" ht="14.1" customHeight="1">
      <c r="AK88" s="437"/>
      <c r="AL88" s="437"/>
      <c r="AM88" s="437"/>
      <c r="AN88" s="437"/>
      <c r="AO88" s="437"/>
      <c r="AP88" s="437"/>
      <c r="AQ88" s="120"/>
    </row>
    <row r="89" spans="1:61" ht="14.1" customHeight="1">
      <c r="AK89" s="437"/>
      <c r="AL89" s="437"/>
      <c r="AM89" s="437"/>
      <c r="AN89" s="437"/>
      <c r="AO89" s="437"/>
      <c r="AP89" s="437"/>
      <c r="AQ89" s="120"/>
    </row>
    <row r="90" spans="1:61" ht="14.1" customHeight="1"/>
    <row r="91" spans="1:61" ht="14.1" customHeight="1"/>
    <row r="92" spans="1:61" ht="14.1" customHeight="1"/>
    <row r="93" spans="1:61" ht="14.1" customHeight="1"/>
    <row r="94" spans="1:61" ht="14.1" customHeight="1"/>
    <row r="95" spans="1:61" ht="14.1" customHeight="1"/>
    <row r="96" spans="1:61" ht="14.1" customHeight="1"/>
    <row r="97" ht="14.1" customHeight="1"/>
    <row r="98" ht="14.1" customHeight="1"/>
    <row r="99" ht="14.1" customHeight="1"/>
    <row r="100" ht="14.1" customHeight="1"/>
    <row r="101" ht="14.1" customHeight="1"/>
    <row r="102" ht="14.1" customHeight="1"/>
    <row r="103" ht="14.1" customHeight="1"/>
    <row r="104" ht="14.1" customHeight="1"/>
    <row r="105" ht="14.1" customHeight="1"/>
    <row r="106" ht="14.1" customHeight="1"/>
    <row r="107" ht="14.1" customHeight="1"/>
    <row r="108" ht="14.1" customHeight="1"/>
    <row r="109" ht="14.1" customHeight="1"/>
    <row r="110" ht="14.1" customHeight="1"/>
    <row r="111" ht="14.1" customHeight="1"/>
    <row r="112" ht="14.1" customHeight="1"/>
    <row r="113" ht="14.1" customHeight="1"/>
    <row r="114" ht="14.1" customHeight="1"/>
    <row r="115" ht="14.1" customHeight="1"/>
    <row r="116" ht="14.1" customHeight="1"/>
    <row r="117" ht="14.1" customHeight="1"/>
    <row r="118" ht="14.1" customHeight="1"/>
    <row r="119" ht="14.1" customHeight="1"/>
    <row r="120" ht="14.1" customHeight="1"/>
    <row r="121" ht="14.1" customHeight="1"/>
    <row r="122" ht="14.1" customHeight="1"/>
    <row r="123" ht="14.1" customHeight="1"/>
    <row r="124" ht="14.1" customHeight="1"/>
    <row r="125" ht="14.1" customHeight="1"/>
    <row r="126" ht="14.1" customHeight="1"/>
    <row r="127" ht="14.1" customHeight="1"/>
    <row r="128" ht="14.1" customHeight="1"/>
    <row r="129" ht="14.1" customHeight="1"/>
    <row r="130" ht="14.1" customHeight="1"/>
    <row r="131" ht="14.1" customHeight="1"/>
    <row r="132" ht="14.1" customHeight="1"/>
    <row r="133" ht="14.1" customHeight="1"/>
    <row r="134" ht="14.1" customHeight="1"/>
    <row r="135" ht="14.1" customHeight="1"/>
    <row r="136" ht="14.1" customHeight="1"/>
    <row r="137" ht="14.1" customHeight="1"/>
    <row r="138" ht="14.1" customHeight="1"/>
    <row r="139" ht="14.1" customHeight="1"/>
    <row r="140" ht="14.1" customHeight="1"/>
    <row r="141" ht="14.1" customHeight="1"/>
    <row r="142" ht="14.1" customHeight="1"/>
    <row r="143" ht="14.1" customHeight="1"/>
    <row r="144" ht="14.1" customHeight="1"/>
    <row r="145" ht="14.1" customHeight="1"/>
    <row r="146" ht="14.1" customHeight="1"/>
    <row r="147" ht="14.1" customHeight="1"/>
    <row r="148" ht="14.1" customHeight="1"/>
    <row r="149" ht="14.1" customHeight="1"/>
    <row r="150" ht="14.1" customHeight="1"/>
    <row r="151" ht="14.1" customHeight="1"/>
    <row r="152" ht="14.1" customHeight="1"/>
    <row r="153" ht="14.1" customHeight="1"/>
    <row r="154" ht="14.1" customHeight="1"/>
    <row r="155" ht="14.1" customHeight="1"/>
    <row r="156" ht="14.1" customHeight="1"/>
    <row r="157" ht="14.1" customHeight="1"/>
    <row r="158" ht="14.1" customHeight="1"/>
    <row r="159" ht="14.1" customHeight="1"/>
    <row r="160" ht="14.1" customHeight="1"/>
    <row r="161" ht="14.1" customHeight="1"/>
    <row r="162" ht="14.1" customHeight="1"/>
    <row r="163" ht="14.1" customHeight="1"/>
    <row r="164" ht="14.1" customHeight="1"/>
    <row r="165" ht="14.1" customHeight="1"/>
    <row r="166" ht="14.1" customHeight="1"/>
    <row r="167" ht="14.1" customHeight="1"/>
    <row r="168" ht="14.1" customHeight="1"/>
    <row r="169" ht="14.1" customHeight="1"/>
    <row r="170" ht="14.1" customHeight="1"/>
    <row r="171" ht="14.1" customHeight="1"/>
    <row r="172" ht="14.1" customHeight="1"/>
    <row r="173" ht="14.1" customHeight="1"/>
    <row r="174" ht="14.1" customHeight="1"/>
    <row r="175" ht="14.1" customHeight="1"/>
    <row r="176" ht="14.1" customHeight="1"/>
    <row r="177" ht="14.1" customHeight="1"/>
    <row r="178" ht="14.1" customHeight="1"/>
    <row r="179" ht="14.1" customHeight="1"/>
    <row r="180" ht="14.1" customHeight="1"/>
    <row r="181" ht="14.1" customHeight="1"/>
    <row r="182" ht="14.1" customHeight="1"/>
    <row r="183" ht="14.1" customHeight="1"/>
    <row r="184" ht="14.1" customHeight="1"/>
    <row r="185" ht="14.1" customHeight="1"/>
    <row r="186" ht="14.1" customHeight="1"/>
    <row r="187" ht="14.1" customHeight="1"/>
    <row r="188" ht="14.1" customHeight="1"/>
    <row r="189" ht="14.1" customHeight="1"/>
    <row r="190" ht="14.1" customHeight="1"/>
    <row r="191" ht="14.1" customHeight="1"/>
    <row r="192" ht="14.1" customHeight="1"/>
    <row r="193" ht="14.1" customHeight="1"/>
    <row r="194" ht="14.1" customHeight="1"/>
    <row r="195" ht="14.1" customHeight="1"/>
    <row r="196" ht="14.1" customHeight="1"/>
    <row r="197" ht="14.1" customHeight="1"/>
    <row r="198" ht="14.1" customHeight="1"/>
    <row r="199" ht="14.1" customHeight="1"/>
    <row r="200" ht="14.1" customHeight="1"/>
    <row r="201" ht="14.1" customHeight="1"/>
    <row r="202" ht="14.1" customHeight="1"/>
    <row r="203" ht="14.1" customHeight="1"/>
    <row r="204" ht="14.1" customHeight="1"/>
    <row r="205" ht="14.1" customHeight="1"/>
    <row r="206" ht="14.1" customHeight="1"/>
    <row r="207" ht="14.1" customHeight="1"/>
    <row r="208" ht="14.1" customHeight="1"/>
    <row r="209" ht="14.1" customHeight="1"/>
    <row r="210" ht="14.1" customHeight="1"/>
    <row r="211" ht="14.1" customHeight="1"/>
    <row r="212" ht="14.1" customHeight="1"/>
    <row r="213" ht="14.1" customHeight="1"/>
    <row r="214" ht="14.1" customHeight="1"/>
    <row r="215" ht="14.1" customHeight="1"/>
    <row r="216" ht="14.1" customHeight="1"/>
    <row r="217" ht="14.1" customHeight="1"/>
    <row r="218" ht="14.1" customHeight="1"/>
    <row r="219" ht="14.1" customHeight="1"/>
    <row r="220" ht="14.1" customHeight="1"/>
    <row r="221" ht="14.1" customHeight="1"/>
    <row r="222" ht="14.1" customHeight="1"/>
    <row r="223" ht="14.1" customHeight="1"/>
    <row r="224" ht="14.1" customHeight="1"/>
    <row r="225" ht="14.1" customHeight="1"/>
    <row r="226" ht="14.1" customHeight="1"/>
    <row r="227" ht="14.1" customHeight="1"/>
    <row r="228" ht="14.1" customHeight="1"/>
    <row r="229" ht="14.1" customHeight="1"/>
    <row r="230" ht="14.1" customHeight="1"/>
    <row r="231" ht="14.1" customHeight="1"/>
    <row r="232" ht="14.1" customHeight="1"/>
    <row r="233" ht="14.1" customHeight="1"/>
    <row r="234" ht="14.1" customHeight="1"/>
    <row r="235" ht="14.1" customHeight="1"/>
    <row r="236" ht="14.1" customHeight="1"/>
    <row r="237" ht="14.1" customHeight="1"/>
    <row r="238" ht="14.1" customHeight="1"/>
    <row r="239" ht="14.1" customHeight="1"/>
    <row r="240" ht="14.1" customHeight="1"/>
    <row r="241" ht="14.1" customHeight="1"/>
    <row r="242" ht="14.1" customHeight="1"/>
    <row r="243" ht="14.1" customHeight="1"/>
    <row r="244" ht="14.1" customHeight="1"/>
    <row r="245" ht="14.1" customHeight="1"/>
    <row r="246" ht="14.1" customHeight="1"/>
    <row r="247" ht="14.1" customHeight="1"/>
    <row r="248" ht="14.1" customHeight="1"/>
    <row r="249" ht="14.1" customHeight="1"/>
    <row r="250" ht="14.1" customHeight="1"/>
    <row r="251" ht="14.1" customHeight="1"/>
    <row r="252" ht="14.1" customHeight="1"/>
    <row r="253" ht="14.1" customHeight="1"/>
    <row r="254" ht="14.1" customHeight="1"/>
    <row r="255" ht="14.1" customHeight="1"/>
    <row r="256" ht="14.1" customHeight="1"/>
    <row r="257" ht="14.1" customHeight="1"/>
    <row r="258" ht="14.1" customHeight="1"/>
    <row r="259" ht="14.1" customHeight="1"/>
    <row r="260" ht="14.1" customHeight="1"/>
    <row r="261" ht="14.1" customHeight="1"/>
    <row r="262" ht="14.1" customHeight="1"/>
    <row r="263" ht="14.1" customHeight="1"/>
    <row r="264" ht="14.1" customHeight="1"/>
    <row r="265" ht="14.1" customHeight="1"/>
    <row r="266" ht="14.1" customHeight="1"/>
  </sheetData>
  <sheetProtection algorithmName="SHA-512" hashValue="0loLJCJhL4ad+e9W1BFBlntzNt2hf75qC+V2eugpQkoXMOcFlTwiL5DSpVRXAf1cyQ/kgBnOXO/4cSPzCUKn4A==" saltValue="4etb9yyOEqZ9UduJqdtb6g==" spinCount="100000" sheet="1" autoFilter="0"/>
  <mergeCells count="381">
    <mergeCell ref="A1:S3"/>
    <mergeCell ref="T1:Z3"/>
    <mergeCell ref="AD1:AI1"/>
    <mergeCell ref="AD2:AF4"/>
    <mergeCell ref="AG2:AI4"/>
    <mergeCell ref="A4:S5"/>
    <mergeCell ref="AK7:AP8"/>
    <mergeCell ref="AQ7:AQ8"/>
    <mergeCell ref="V8:X8"/>
    <mergeCell ref="A9:AI9"/>
    <mergeCell ref="AK9:AP9"/>
    <mergeCell ref="A10:H10"/>
    <mergeCell ref="I10:J10"/>
    <mergeCell ref="K10:L10"/>
    <mergeCell ref="M10:T10"/>
    <mergeCell ref="U10:V10"/>
    <mergeCell ref="O7:P8"/>
    <mergeCell ref="Q7:R8"/>
    <mergeCell ref="S7:T8"/>
    <mergeCell ref="V7:X7"/>
    <mergeCell ref="Y7:AA8"/>
    <mergeCell ref="AB7:AI8"/>
    <mergeCell ref="A7:E8"/>
    <mergeCell ref="F7:F8"/>
    <mergeCell ref="G7:I8"/>
    <mergeCell ref="J7:J8"/>
    <mergeCell ref="K7:M8"/>
    <mergeCell ref="N7:N8"/>
    <mergeCell ref="W10:X10"/>
    <mergeCell ref="Y10:AF10"/>
    <mergeCell ref="AG10:AH10"/>
    <mergeCell ref="AK10:AP10"/>
    <mergeCell ref="A11:H11"/>
    <mergeCell ref="I11:J11"/>
    <mergeCell ref="K11:L11"/>
    <mergeCell ref="M11:T11"/>
    <mergeCell ref="U11:V11"/>
    <mergeCell ref="W11:X11"/>
    <mergeCell ref="Y11:AF11"/>
    <mergeCell ref="AG11:AH11"/>
    <mergeCell ref="AK11:AP11"/>
    <mergeCell ref="A12:H12"/>
    <mergeCell ref="I12:J12"/>
    <mergeCell ref="K12:L12"/>
    <mergeCell ref="M12:T12"/>
    <mergeCell ref="U12:V12"/>
    <mergeCell ref="W12:X12"/>
    <mergeCell ref="Y12:AF12"/>
    <mergeCell ref="AG12:AH12"/>
    <mergeCell ref="AK12:AP12"/>
    <mergeCell ref="A13:H13"/>
    <mergeCell ref="I13:J13"/>
    <mergeCell ref="K13:L13"/>
    <mergeCell ref="M13:T13"/>
    <mergeCell ref="U13:V13"/>
    <mergeCell ref="W13:X13"/>
    <mergeCell ref="Y13:AF13"/>
    <mergeCell ref="AG13:AH13"/>
    <mergeCell ref="AK13:AP13"/>
    <mergeCell ref="A14:AI14"/>
    <mergeCell ref="AK14:AP14"/>
    <mergeCell ref="B15:I15"/>
    <mergeCell ref="J15:L15"/>
    <mergeCell ref="M15:N15"/>
    <mergeCell ref="O15:V15"/>
    <mergeCell ref="W15:Y15"/>
    <mergeCell ref="Z15:AA15"/>
    <mergeCell ref="AB15:AG15"/>
    <mergeCell ref="A18:E18"/>
    <mergeCell ref="F18:AI18"/>
    <mergeCell ref="AK18:AP18"/>
    <mergeCell ref="B19:E19"/>
    <mergeCell ref="F19:AI19"/>
    <mergeCell ref="AK19:AP19"/>
    <mergeCell ref="AH15:AI15"/>
    <mergeCell ref="AK15:AP15"/>
    <mergeCell ref="A16:AI16"/>
    <mergeCell ref="AK16:AP16"/>
    <mergeCell ref="A17:E17"/>
    <mergeCell ref="F17:AI17"/>
    <mergeCell ref="AK17:AP17"/>
    <mergeCell ref="B20:E20"/>
    <mergeCell ref="F20:AI20"/>
    <mergeCell ref="AK20:AP20"/>
    <mergeCell ref="AR20:AR23"/>
    <mergeCell ref="B21:E21"/>
    <mergeCell ref="F21:AI21"/>
    <mergeCell ref="AK21:AP21"/>
    <mergeCell ref="B22:E22"/>
    <mergeCell ref="F22:AI22"/>
    <mergeCell ref="AK22:AP22"/>
    <mergeCell ref="BA23:BB23"/>
    <mergeCell ref="B24:E24"/>
    <mergeCell ref="F24:AI24"/>
    <mergeCell ref="AK24:AP24"/>
    <mergeCell ref="AY24:AZ24"/>
    <mergeCell ref="BA24:BB24"/>
    <mergeCell ref="AS22:AT22"/>
    <mergeCell ref="AU22:AV22"/>
    <mergeCell ref="AY22:AZ22"/>
    <mergeCell ref="BA22:BB22"/>
    <mergeCell ref="B23:E23"/>
    <mergeCell ref="F23:AI23"/>
    <mergeCell ref="AK23:AP23"/>
    <mergeCell ref="AS23:AT23"/>
    <mergeCell ref="AU23:AV23"/>
    <mergeCell ref="AY23:AZ23"/>
    <mergeCell ref="B27:E27"/>
    <mergeCell ref="F27:AI27"/>
    <mergeCell ref="AK27:AP27"/>
    <mergeCell ref="AS27:AT27"/>
    <mergeCell ref="AU27:AW27"/>
    <mergeCell ref="AY27:BB27"/>
    <mergeCell ref="B25:E25"/>
    <mergeCell ref="F25:AI25"/>
    <mergeCell ref="AK25:AP25"/>
    <mergeCell ref="AY25:AZ25"/>
    <mergeCell ref="BA25:BB25"/>
    <mergeCell ref="B26:E26"/>
    <mergeCell ref="F26:AI26"/>
    <mergeCell ref="AK26:AP26"/>
    <mergeCell ref="AS26:AW26"/>
    <mergeCell ref="BA28:BB28"/>
    <mergeCell ref="B29:E29"/>
    <mergeCell ref="F29:AI29"/>
    <mergeCell ref="AK29:AP29"/>
    <mergeCell ref="AS29:AT29"/>
    <mergeCell ref="AU29:AW29"/>
    <mergeCell ref="AY29:AZ29"/>
    <mergeCell ref="BA29:BB29"/>
    <mergeCell ref="B28:E28"/>
    <mergeCell ref="F28:AI28"/>
    <mergeCell ref="AK28:AP28"/>
    <mergeCell ref="AS28:AT28"/>
    <mergeCell ref="AU28:AW28"/>
    <mergeCell ref="AY28:AZ28"/>
    <mergeCell ref="A32:AI32"/>
    <mergeCell ref="AK32:AP32"/>
    <mergeCell ref="AS32:AT32"/>
    <mergeCell ref="AU32:AW32"/>
    <mergeCell ref="AY32:AZ32"/>
    <mergeCell ref="BA32:BB32"/>
    <mergeCell ref="BA30:BB30"/>
    <mergeCell ref="B31:E31"/>
    <mergeCell ref="F31:AI31"/>
    <mergeCell ref="AK31:AP31"/>
    <mergeCell ref="AS31:AT31"/>
    <mergeCell ref="AU31:AW31"/>
    <mergeCell ref="AY31:AZ31"/>
    <mergeCell ref="BA31:BB31"/>
    <mergeCell ref="B30:E30"/>
    <mergeCell ref="F30:AI30"/>
    <mergeCell ref="AK30:AP30"/>
    <mergeCell ref="AS30:AT30"/>
    <mergeCell ref="AU30:AW30"/>
    <mergeCell ref="AY30:AZ30"/>
    <mergeCell ref="BA33:BB33"/>
    <mergeCell ref="B34:E34"/>
    <mergeCell ref="F34:AI34"/>
    <mergeCell ref="AK34:AP34"/>
    <mergeCell ref="AS34:AT34"/>
    <mergeCell ref="AU34:AW34"/>
    <mergeCell ref="AY34:AZ34"/>
    <mergeCell ref="BA34:BB34"/>
    <mergeCell ref="B33:E33"/>
    <mergeCell ref="F33:AI33"/>
    <mergeCell ref="AK33:AP33"/>
    <mergeCell ref="AS33:AT33"/>
    <mergeCell ref="AU33:AW33"/>
    <mergeCell ref="AY33:AZ33"/>
    <mergeCell ref="AY35:AZ35"/>
    <mergeCell ref="BA35:BB35"/>
    <mergeCell ref="A36:E36"/>
    <mergeCell ref="F36:K36"/>
    <mergeCell ref="L36:O36"/>
    <mergeCell ref="P36:R36"/>
    <mergeCell ref="T36:V36"/>
    <mergeCell ref="W36:AB36"/>
    <mergeCell ref="AC36:AI36"/>
    <mergeCell ref="B35:E35"/>
    <mergeCell ref="F35:V35"/>
    <mergeCell ref="W35:AB35"/>
    <mergeCell ref="AC35:AI35"/>
    <mergeCell ref="AK35:AP35"/>
    <mergeCell ref="AS35:AT35"/>
    <mergeCell ref="AK36:AP36"/>
    <mergeCell ref="AS36:AT36"/>
    <mergeCell ref="AU36:AW36"/>
    <mergeCell ref="AU35:AW35"/>
    <mergeCell ref="A39:AI39"/>
    <mergeCell ref="AK39:AP39"/>
    <mergeCell ref="AS39:AT39"/>
    <mergeCell ref="AV39:AW39"/>
    <mergeCell ref="A38:E38"/>
    <mergeCell ref="F38:K38"/>
    <mergeCell ref="L38:O38"/>
    <mergeCell ref="P38:V38"/>
    <mergeCell ref="W38:AB38"/>
    <mergeCell ref="AC38:AI38"/>
    <mergeCell ref="AD40:AI40"/>
    <mergeCell ref="A37:E37"/>
    <mergeCell ref="F37:AI37"/>
    <mergeCell ref="AK40:AP40"/>
    <mergeCell ref="AS40:AT40"/>
    <mergeCell ref="AV40:AW40"/>
    <mergeCell ref="A41:D41"/>
    <mergeCell ref="E41:G41"/>
    <mergeCell ref="I41:K41"/>
    <mergeCell ref="L41:R41"/>
    <mergeCell ref="S41:V41"/>
    <mergeCell ref="W41:Y41"/>
    <mergeCell ref="AA41:AC41"/>
    <mergeCell ref="AD41:AI41"/>
    <mergeCell ref="AK41:AP41"/>
    <mergeCell ref="A40:D40"/>
    <mergeCell ref="E40:K40"/>
    <mergeCell ref="L40:R40"/>
    <mergeCell ref="S40:V40"/>
    <mergeCell ref="W40:AC40"/>
    <mergeCell ref="AK37:AP37"/>
    <mergeCell ref="AS37:AT37"/>
    <mergeCell ref="AU37:AW37"/>
    <mergeCell ref="AK38:AP38"/>
    <mergeCell ref="A42:D42"/>
    <mergeCell ref="E42:G42"/>
    <mergeCell ref="I42:K42"/>
    <mergeCell ref="L42:R42"/>
    <mergeCell ref="S42:V42"/>
    <mergeCell ref="W42:Y42"/>
    <mergeCell ref="AA42:AC42"/>
    <mergeCell ref="AK42:AP42"/>
    <mergeCell ref="AS42:AW42"/>
    <mergeCell ref="A43:D43"/>
    <mergeCell ref="E43:G43"/>
    <mergeCell ref="I43:K43"/>
    <mergeCell ref="L43:R43"/>
    <mergeCell ref="S43:V43"/>
    <mergeCell ref="W43:Y43"/>
    <mergeCell ref="AA43:AC43"/>
    <mergeCell ref="A44:D44"/>
    <mergeCell ref="E44:G44"/>
    <mergeCell ref="I44:K44"/>
    <mergeCell ref="L44:R44"/>
    <mergeCell ref="S44:V44"/>
    <mergeCell ref="W44:Y44"/>
    <mergeCell ref="AA44:AC44"/>
    <mergeCell ref="AD44:AI44"/>
    <mergeCell ref="AD42:AI42"/>
    <mergeCell ref="AK44:AP44"/>
    <mergeCell ref="R45:U45"/>
    <mergeCell ref="W45:X45"/>
    <mergeCell ref="Z45:AA45"/>
    <mergeCell ref="AC45:AD45"/>
    <mergeCell ref="AE45:AF45"/>
    <mergeCell ref="AK45:AP45"/>
    <mergeCell ref="AD43:AI43"/>
    <mergeCell ref="AK43:AP43"/>
    <mergeCell ref="B49:E49"/>
    <mergeCell ref="F49:AI49"/>
    <mergeCell ref="AK49:AP49"/>
    <mergeCell ref="B50:E50"/>
    <mergeCell ref="F50:AI50"/>
    <mergeCell ref="AK50:AP50"/>
    <mergeCell ref="A46:AI46"/>
    <mergeCell ref="AK46:AP46"/>
    <mergeCell ref="B47:E47"/>
    <mergeCell ref="F47:AI47"/>
    <mergeCell ref="AK47:AP47"/>
    <mergeCell ref="B48:E48"/>
    <mergeCell ref="F48:AI48"/>
    <mergeCell ref="AK48:AP48"/>
    <mergeCell ref="B53:E53"/>
    <mergeCell ref="F53:AI53"/>
    <mergeCell ref="AK53:AP53"/>
    <mergeCell ref="B54:E54"/>
    <mergeCell ref="F54:AI54"/>
    <mergeCell ref="AK54:AP54"/>
    <mergeCell ref="B51:E51"/>
    <mergeCell ref="F51:AI51"/>
    <mergeCell ref="AK51:AP51"/>
    <mergeCell ref="B52:E52"/>
    <mergeCell ref="F52:AI52"/>
    <mergeCell ref="AK52:AP52"/>
    <mergeCell ref="B57:E57"/>
    <mergeCell ref="F57:AI57"/>
    <mergeCell ref="AK57:AP57"/>
    <mergeCell ref="B58:E58"/>
    <mergeCell ref="F58:AI58"/>
    <mergeCell ref="AK58:AP58"/>
    <mergeCell ref="B55:E55"/>
    <mergeCell ref="F55:AI55"/>
    <mergeCell ref="AK55:AP55"/>
    <mergeCell ref="B56:E56"/>
    <mergeCell ref="F56:AI56"/>
    <mergeCell ref="AK56:AP56"/>
    <mergeCell ref="B61:E61"/>
    <mergeCell ref="F61:AI61"/>
    <mergeCell ref="AK61:AP61"/>
    <mergeCell ref="B62:E62"/>
    <mergeCell ref="F62:AI62"/>
    <mergeCell ref="AK62:AP62"/>
    <mergeCell ref="B59:E59"/>
    <mergeCell ref="F59:AI59"/>
    <mergeCell ref="AK59:AP59"/>
    <mergeCell ref="B60:E60"/>
    <mergeCell ref="F60:AI60"/>
    <mergeCell ref="AK60:AP60"/>
    <mergeCell ref="B65:E65"/>
    <mergeCell ref="F65:AI65"/>
    <mergeCell ref="AK65:AP65"/>
    <mergeCell ref="B66:E66"/>
    <mergeCell ref="F66:AI66"/>
    <mergeCell ref="AK66:AP66"/>
    <mergeCell ref="B63:E63"/>
    <mergeCell ref="F63:AI63"/>
    <mergeCell ref="AK63:AP63"/>
    <mergeCell ref="B64:E64"/>
    <mergeCell ref="F64:AI64"/>
    <mergeCell ref="AK64:AP64"/>
    <mergeCell ref="B69:E69"/>
    <mergeCell ref="F69:AI69"/>
    <mergeCell ref="AK69:AP69"/>
    <mergeCell ref="B70:E70"/>
    <mergeCell ref="F70:AI70"/>
    <mergeCell ref="AK70:AP70"/>
    <mergeCell ref="B67:E67"/>
    <mergeCell ref="F67:AI67"/>
    <mergeCell ref="AK67:AP67"/>
    <mergeCell ref="B68:E68"/>
    <mergeCell ref="F68:AI68"/>
    <mergeCell ref="AK68:AP68"/>
    <mergeCell ref="B73:E73"/>
    <mergeCell ref="F73:AI73"/>
    <mergeCell ref="AK73:AP73"/>
    <mergeCell ref="B74:E74"/>
    <mergeCell ref="F74:AI74"/>
    <mergeCell ref="AK74:AP74"/>
    <mergeCell ref="B71:E71"/>
    <mergeCell ref="F71:AI71"/>
    <mergeCell ref="AK71:AP71"/>
    <mergeCell ref="B72:E72"/>
    <mergeCell ref="F72:AI72"/>
    <mergeCell ref="AK72:AP72"/>
    <mergeCell ref="B77:E77"/>
    <mergeCell ref="F77:AI77"/>
    <mergeCell ref="AK77:AP77"/>
    <mergeCell ref="B78:E78"/>
    <mergeCell ref="F78:AI78"/>
    <mergeCell ref="AK78:AP78"/>
    <mergeCell ref="B75:E75"/>
    <mergeCell ref="F75:AI75"/>
    <mergeCell ref="AK75:AP75"/>
    <mergeCell ref="B76:E76"/>
    <mergeCell ref="F76:AI76"/>
    <mergeCell ref="AK76:AP76"/>
    <mergeCell ref="A81:AI81"/>
    <mergeCell ref="AK81:AP81"/>
    <mergeCell ref="B82:E82"/>
    <mergeCell ref="F82:AI82"/>
    <mergeCell ref="AK82:AP82"/>
    <mergeCell ref="B83:E83"/>
    <mergeCell ref="F83:AI83"/>
    <mergeCell ref="AK83:AP83"/>
    <mergeCell ref="B79:E79"/>
    <mergeCell ref="F79:AI79"/>
    <mergeCell ref="AK79:AP79"/>
    <mergeCell ref="B80:E80"/>
    <mergeCell ref="F80:AI80"/>
    <mergeCell ref="AK80:AP80"/>
    <mergeCell ref="B86:E86"/>
    <mergeCell ref="F86:AI86"/>
    <mergeCell ref="AK86:AP86"/>
    <mergeCell ref="AK87:AP87"/>
    <mergeCell ref="AK88:AP88"/>
    <mergeCell ref="AK89:AP89"/>
    <mergeCell ref="B84:E84"/>
    <mergeCell ref="F84:AI84"/>
    <mergeCell ref="AK84:AP84"/>
    <mergeCell ref="B85:E85"/>
    <mergeCell ref="F85:AI85"/>
    <mergeCell ref="AK85:AP85"/>
  </mergeCells>
  <phoneticPr fontId="2"/>
  <conditionalFormatting sqref="AQ20:AQ28 AQ30:AQ31 AQ9 AQ11:AQ12 AQ14 AQ33:AQ34">
    <cfRule type="containsBlanks" dxfId="359" priority="12">
      <formula>LEN(TRIM(AQ9))=0</formula>
    </cfRule>
  </conditionalFormatting>
  <conditionalFormatting sqref="BC11:CF11">
    <cfRule type="containsText" dxfId="358" priority="8" operator="containsText" text="青">
      <formula>NOT(ISERROR(SEARCH("青",BC11)))</formula>
    </cfRule>
    <cfRule type="containsText" dxfId="357" priority="9" operator="containsText" text="緑">
      <formula>NOT(ISERROR(SEARCH("緑",BC11)))</formula>
    </cfRule>
    <cfRule type="containsText" dxfId="356" priority="10" operator="containsText" text="黄">
      <formula>NOT(ISERROR(SEARCH("黄",BC11)))</formula>
    </cfRule>
    <cfRule type="containsText" dxfId="355" priority="11" operator="containsText" text="赤">
      <formula>NOT(ISERROR(SEARCH("赤",BC11)))</formula>
    </cfRule>
  </conditionalFormatting>
  <conditionalFormatting sqref="V7:X8">
    <cfRule type="containsBlanks" dxfId="354" priority="7">
      <formula>LEN(TRIM(V7))=0</formula>
    </cfRule>
  </conditionalFormatting>
  <conditionalFormatting sqref="AB7:AI8">
    <cfRule type="containsBlanks" dxfId="353" priority="6">
      <formula>LEN(TRIM(AB7))=0</formula>
    </cfRule>
  </conditionalFormatting>
  <conditionalFormatting sqref="A7:E8 G7:I8 K7:M8 O7:P8">
    <cfRule type="containsBlanks" dxfId="352" priority="5">
      <formula>LEN(TRIM(A7))=0</formula>
    </cfRule>
  </conditionalFormatting>
  <conditionalFormatting sqref="W15:Y15 AH15:AI15 J15:L15">
    <cfRule type="containsBlanks" dxfId="351" priority="4">
      <formula>LEN(TRIM(J15))=0</formula>
    </cfRule>
  </conditionalFormatting>
  <conditionalFormatting sqref="L41:R44">
    <cfRule type="cellIs" dxfId="350" priority="1" operator="equal">
      <formula>0</formula>
    </cfRule>
  </conditionalFormatting>
  <conditionalFormatting sqref="P36:R36 T36:V36 L38:O38 AC38:AI38 AC36:AI36">
    <cfRule type="containsBlanks" dxfId="349" priority="3">
      <formula>LEN(TRIM(L36))=0</formula>
    </cfRule>
  </conditionalFormatting>
  <conditionalFormatting sqref="W41:Y44 AA41:AI44">
    <cfRule type="cellIs" dxfId="348" priority="2" operator="equal">
      <formula>0</formula>
    </cfRule>
  </conditionalFormatting>
  <printOptions horizontalCentered="1" verticalCentered="1"/>
  <pageMargins left="0.70866141732283472" right="0.59055118110236227" top="0.55118110236220474" bottom="0.55118110236220474" header="0.31496062992125984" footer="0.31496062992125984"/>
  <pageSetup paperSize="9" orientation="portrait" horizontalDpi="300" verticalDpi="300" r:id="rId1"/>
  <headerFooter scaleWithDoc="0" alignWithMargins="0">
    <oddFooter>&amp;C&amp;P&amp;Rヒトトヒト株式会社</oddFooter>
  </headerFooter>
  <rowBreaks count="1" manualBreakCount="1">
    <brk id="44" max="34" man="1"/>
  </rowBreaks>
  <drawing r:id="rId2"/>
  <extLst>
    <ext xmlns:x14="http://schemas.microsoft.com/office/spreadsheetml/2009/9/main" uri="{CCE6A557-97BC-4b89-ADB6-D9C93CAAB3DF}">
      <x14:dataValidations xmlns:xm="http://schemas.microsoft.com/office/excel/2006/main" count="6">
        <x14:dataValidation type="list" allowBlank="1" showInputMessage="1" showErrorMessage="1" xr:uid="{6EF5AAD2-3ADA-4146-8DDC-DBFFD38C8FCA}">
          <x14:formula1>
            <xm:f>初期値!$C$12:$C$27</xm:f>
          </x14:formula1>
          <xm:sqref>P36:R36 T36:V36</xm:sqref>
        </x14:dataValidation>
        <x14:dataValidation type="list" allowBlank="1" showInputMessage="1" showErrorMessage="1" xr:uid="{8A27AAD4-B5A0-4E61-88FC-A360BFC10B96}">
          <x14:formula1>
            <xm:f>初期値!$G$12:$G$24</xm:f>
          </x14:formula1>
          <xm:sqref>V7:X8</xm:sqref>
        </x14:dataValidation>
        <x14:dataValidation type="list" allowBlank="1" showInputMessage="1" showErrorMessage="1" xr:uid="{4339B6B9-21D8-40DD-8D05-F4996335D247}">
          <x14:formula1>
            <xm:f>初期値!$E$12:$E$13</xm:f>
          </x14:formula1>
          <xm:sqref>L38:O38 AC38:AI38 AC36:AI36</xm:sqref>
        </x14:dataValidation>
        <x14:dataValidation type="list" allowBlank="1" showInputMessage="1" showErrorMessage="1" xr:uid="{2D4E02A0-667A-4B24-B4A7-B85C64C520CF}">
          <x14:formula1>
            <xm:f>初期値!$N$22:$N$23</xm:f>
          </x14:formula1>
          <xm:sqref>AW23</xm:sqref>
        </x14:dataValidation>
        <x14:dataValidation type="list" allowBlank="1" showInputMessage="1" showErrorMessage="1" xr:uid="{BAAA297A-C09F-4068-ABF0-62F50C0633B1}">
          <x14:formula1>
            <xm:f>初期値!$P$12:$P$27</xm:f>
          </x14:formula1>
          <xm:sqref>BA24:BB24 BA22:BB22 BA28:BB28 BA30:BB30 BA32:BB32 BA34:BB34</xm:sqref>
        </x14:dataValidation>
        <x14:dataValidation type="list" allowBlank="1" showInputMessage="1" showErrorMessage="1" xr:uid="{E463109A-0D54-4752-B025-8195C54F7A12}">
          <x14:formula1>
            <xm:f>初期値!$N$12:$N$19</xm:f>
          </x14:formula1>
          <xm:sqref>AU22:AV22</xm:sqref>
        </x14:dataValidation>
      </x14:dataValidations>
    </ext>
  </extLs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99EF238-1C29-4A3E-A584-DA2E17159E6C}">
  <sheetPr codeName="Sheet9"/>
  <dimension ref="A1:CG266"/>
  <sheetViews>
    <sheetView topLeftCell="R17" zoomScaleNormal="100" zoomScaleSheetLayoutView="100" workbookViewId="0">
      <selection activeCell="AU29" sqref="AU29:AW29"/>
    </sheetView>
  </sheetViews>
  <sheetFormatPr defaultColWidth="8.875" defaultRowHeight="13.5"/>
  <cols>
    <col min="1" max="42" width="2.25" style="23" customWidth="1"/>
    <col min="43" max="43" width="6" style="23" bestFit="1" customWidth="1"/>
    <col min="44" max="44" width="4.5" style="23" bestFit="1" customWidth="1"/>
    <col min="45" max="45" width="6" style="23" bestFit="1" customWidth="1"/>
    <col min="46" max="46" width="4.5" style="23" bestFit="1" customWidth="1"/>
    <col min="47" max="47" width="9" style="23" bestFit="1" customWidth="1"/>
    <col min="48" max="48" width="8.5" style="23" bestFit="1" customWidth="1"/>
    <col min="49" max="49" width="7.5" style="23" bestFit="1" customWidth="1"/>
    <col min="50" max="50" width="6.5" style="23" bestFit="1" customWidth="1"/>
    <col min="51" max="51" width="7.5" style="23" bestFit="1" customWidth="1"/>
    <col min="52" max="52" width="2.125" style="23" customWidth="1"/>
    <col min="53" max="54" width="7.375" style="23" customWidth="1"/>
    <col min="55" max="63" width="3.625" style="23" bestFit="1" customWidth="1"/>
    <col min="64" max="84" width="4" style="23" bestFit="1" customWidth="1"/>
    <col min="85" max="16384" width="8.875" style="23"/>
  </cols>
  <sheetData>
    <row r="1" spans="1:85" ht="14.1" customHeight="1">
      <c r="A1" s="510" t="s">
        <v>551</v>
      </c>
      <c r="B1" s="510"/>
      <c r="C1" s="510"/>
      <c r="D1" s="510"/>
      <c r="E1" s="510"/>
      <c r="F1" s="510"/>
      <c r="G1" s="510"/>
      <c r="H1" s="510"/>
      <c r="I1" s="510"/>
      <c r="J1" s="510"/>
      <c r="K1" s="510"/>
      <c r="L1" s="510"/>
      <c r="M1" s="510"/>
      <c r="N1" s="510"/>
      <c r="O1" s="510"/>
      <c r="P1" s="510"/>
      <c r="Q1" s="510"/>
      <c r="R1" s="510"/>
      <c r="S1" s="510"/>
      <c r="T1" s="388"/>
      <c r="U1" s="388"/>
      <c r="V1" s="388"/>
      <c r="W1" s="388"/>
      <c r="X1" s="388"/>
      <c r="Y1" s="388"/>
      <c r="Z1" s="388"/>
      <c r="AA1" s="24"/>
      <c r="AB1" s="32"/>
      <c r="AD1" s="252" t="s">
        <v>167</v>
      </c>
      <c r="AE1" s="252"/>
      <c r="AF1" s="252"/>
      <c r="AG1" s="252"/>
      <c r="AH1" s="252"/>
      <c r="AI1" s="252"/>
      <c r="AM1" s="123">
        <v>3</v>
      </c>
      <c r="BB1"/>
    </row>
    <row r="2" spans="1:85" ht="14.1" customHeight="1">
      <c r="A2" s="510"/>
      <c r="B2" s="510"/>
      <c r="C2" s="510"/>
      <c r="D2" s="510"/>
      <c r="E2" s="510"/>
      <c r="F2" s="510"/>
      <c r="G2" s="510"/>
      <c r="H2" s="510"/>
      <c r="I2" s="510"/>
      <c r="J2" s="510"/>
      <c r="K2" s="510"/>
      <c r="L2" s="510"/>
      <c r="M2" s="510"/>
      <c r="N2" s="510"/>
      <c r="O2" s="510"/>
      <c r="P2" s="510"/>
      <c r="Q2" s="510"/>
      <c r="R2" s="510"/>
      <c r="S2" s="510"/>
      <c r="T2" s="388"/>
      <c r="U2" s="388"/>
      <c r="V2" s="388"/>
      <c r="W2" s="388"/>
      <c r="X2" s="388"/>
      <c r="Y2" s="388"/>
      <c r="Z2" s="388"/>
      <c r="AA2" s="25"/>
      <c r="AB2" s="31"/>
      <c r="AD2" s="253"/>
      <c r="AE2" s="253"/>
      <c r="AF2" s="253"/>
      <c r="AG2" s="253"/>
      <c r="AH2" s="253"/>
      <c r="AI2" s="253"/>
      <c r="BA2"/>
    </row>
    <row r="3" spans="1:85" ht="14.1" customHeight="1">
      <c r="A3" s="510"/>
      <c r="B3" s="510"/>
      <c r="C3" s="510"/>
      <c r="D3" s="510"/>
      <c r="E3" s="510"/>
      <c r="F3" s="510"/>
      <c r="G3" s="510"/>
      <c r="H3" s="510"/>
      <c r="I3" s="510"/>
      <c r="J3" s="510"/>
      <c r="K3" s="510"/>
      <c r="L3" s="510"/>
      <c r="M3" s="510"/>
      <c r="N3" s="510"/>
      <c r="O3" s="510"/>
      <c r="P3" s="510"/>
      <c r="Q3" s="510"/>
      <c r="R3" s="510"/>
      <c r="S3" s="510"/>
      <c r="T3" s="388"/>
      <c r="U3" s="388"/>
      <c r="V3" s="388"/>
      <c r="W3" s="388"/>
      <c r="X3" s="388"/>
      <c r="Y3" s="388"/>
      <c r="Z3" s="388"/>
      <c r="AA3" s="25"/>
      <c r="AB3" s="31"/>
      <c r="AD3" s="253"/>
      <c r="AE3" s="253"/>
      <c r="AF3" s="253"/>
      <c r="AG3" s="253"/>
      <c r="AH3" s="253"/>
      <c r="AI3" s="253"/>
      <c r="BA3"/>
    </row>
    <row r="4" spans="1:85" ht="14.1" customHeight="1">
      <c r="A4" s="395" t="s">
        <v>552</v>
      </c>
      <c r="B4" s="395"/>
      <c r="C4" s="395"/>
      <c r="D4" s="395"/>
      <c r="E4" s="395"/>
      <c r="F4" s="395"/>
      <c r="G4" s="395"/>
      <c r="H4" s="395"/>
      <c r="I4" s="395"/>
      <c r="J4" s="395"/>
      <c r="K4" s="395"/>
      <c r="L4" s="395"/>
      <c r="M4" s="395"/>
      <c r="N4" s="395"/>
      <c r="O4" s="395"/>
      <c r="P4" s="395"/>
      <c r="Q4" s="395"/>
      <c r="R4" s="395"/>
      <c r="S4" s="395"/>
      <c r="T4" s="155"/>
      <c r="U4" s="155"/>
      <c r="V4" s="155"/>
      <c r="W4" s="155"/>
      <c r="X4" s="155"/>
      <c r="Y4" s="155"/>
      <c r="Z4" s="155"/>
      <c r="AA4" s="26"/>
      <c r="AB4" s="31"/>
      <c r="AD4" s="253"/>
      <c r="AE4" s="253"/>
      <c r="AF4" s="253"/>
      <c r="AG4" s="253"/>
      <c r="AH4" s="253"/>
      <c r="AI4" s="253"/>
      <c r="BA4"/>
    </row>
    <row r="5" spans="1:85" ht="14.1" customHeight="1">
      <c r="A5" s="395"/>
      <c r="B5" s="395"/>
      <c r="C5" s="395"/>
      <c r="D5" s="395"/>
      <c r="E5" s="395"/>
      <c r="F5" s="395"/>
      <c r="G5" s="395"/>
      <c r="H5" s="395"/>
      <c r="I5" s="395"/>
      <c r="J5" s="395"/>
      <c r="K5" s="395"/>
      <c r="L5" s="395"/>
      <c r="M5" s="395"/>
      <c r="N5" s="395"/>
      <c r="O5" s="395"/>
      <c r="P5" s="395"/>
      <c r="Q5" s="395"/>
      <c r="R5" s="395"/>
      <c r="S5" s="395"/>
      <c r="T5" s="155"/>
      <c r="U5" s="155"/>
      <c r="V5" s="155"/>
      <c r="W5" s="155"/>
      <c r="X5" s="155"/>
      <c r="Y5" s="155"/>
      <c r="Z5" s="155"/>
      <c r="AA5" s="26"/>
      <c r="AB5" s="31"/>
      <c r="AC5" s="31"/>
      <c r="AD5" s="31"/>
      <c r="AE5" s="31"/>
      <c r="AF5" s="31"/>
      <c r="AG5" s="31"/>
      <c r="AH5" s="31"/>
      <c r="AI5" s="31"/>
      <c r="BA5"/>
    </row>
    <row r="6" spans="1:85" ht="14.1" customHeight="1" thickBot="1">
      <c r="A6" s="27"/>
      <c r="B6" s="27"/>
      <c r="C6" s="27"/>
      <c r="D6" s="27"/>
      <c r="E6" s="27"/>
      <c r="F6" s="27"/>
      <c r="G6" s="27"/>
      <c r="H6" s="27"/>
      <c r="I6" s="27"/>
      <c r="BA6"/>
    </row>
    <row r="7" spans="1:85" ht="12" customHeight="1">
      <c r="A7" s="255">
        <f>DATE(初期値!A2,初期値!A3,AM1)</f>
        <v>46176</v>
      </c>
      <c r="B7" s="256"/>
      <c r="C7" s="256"/>
      <c r="D7" s="256"/>
      <c r="E7" s="256"/>
      <c r="F7" s="259" t="s">
        <v>169</v>
      </c>
      <c r="G7" s="236">
        <f>$A$7</f>
        <v>46176</v>
      </c>
      <c r="H7" s="236"/>
      <c r="I7" s="236"/>
      <c r="J7" s="239" t="s">
        <v>170</v>
      </c>
      <c r="K7" s="261">
        <f>$A$7</f>
        <v>46176</v>
      </c>
      <c r="L7" s="261"/>
      <c r="M7" s="261"/>
      <c r="N7" s="239" t="s">
        <v>3</v>
      </c>
      <c r="O7" s="520">
        <f>$A$7</f>
        <v>46176</v>
      </c>
      <c r="P7" s="520"/>
      <c r="Q7" s="239" t="s">
        <v>292</v>
      </c>
      <c r="R7" s="240"/>
      <c r="S7" s="522" t="s">
        <v>553</v>
      </c>
      <c r="T7" s="244"/>
      <c r="U7" s="29" t="s">
        <v>554</v>
      </c>
      <c r="V7" s="518" t="s">
        <v>63</v>
      </c>
      <c r="W7" s="518"/>
      <c r="X7" s="518"/>
      <c r="Y7" s="511" t="s">
        <v>555</v>
      </c>
      <c r="Z7" s="512"/>
      <c r="AA7" s="513"/>
      <c r="AB7" s="244" t="str">
        <f>L43</f>
        <v>山本喜久</v>
      </c>
      <c r="AC7" s="244"/>
      <c r="AD7" s="244"/>
      <c r="AE7" s="244"/>
      <c r="AF7" s="244"/>
      <c r="AG7" s="244"/>
      <c r="AH7" s="244"/>
      <c r="AI7" s="245"/>
      <c r="AK7" s="425" t="s">
        <v>556</v>
      </c>
      <c r="AL7" s="425"/>
      <c r="AM7" s="425"/>
      <c r="AN7" s="425"/>
      <c r="AO7" s="425"/>
      <c r="AP7" s="425"/>
      <c r="AQ7" s="439" t="s">
        <v>557</v>
      </c>
      <c r="AR7" s="43"/>
      <c r="AS7" s="43"/>
      <c r="AT7" s="43"/>
      <c r="AU7" s="43"/>
      <c r="AV7" s="43"/>
      <c r="AW7" s="43"/>
      <c r="AX7" s="43"/>
      <c r="AY7" s="43"/>
      <c r="AZ7" s="43"/>
      <c r="BA7"/>
    </row>
    <row r="8" spans="1:85" ht="12" customHeight="1" thickBot="1">
      <c r="A8" s="257"/>
      <c r="B8" s="258"/>
      <c r="C8" s="258"/>
      <c r="D8" s="258"/>
      <c r="E8" s="258"/>
      <c r="F8" s="260"/>
      <c r="G8" s="237"/>
      <c r="H8" s="237"/>
      <c r="I8" s="237"/>
      <c r="J8" s="242"/>
      <c r="K8" s="262"/>
      <c r="L8" s="262"/>
      <c r="M8" s="262"/>
      <c r="N8" s="242"/>
      <c r="O8" s="521"/>
      <c r="P8" s="521"/>
      <c r="Q8" s="242"/>
      <c r="R8" s="243"/>
      <c r="S8" s="523"/>
      <c r="T8" s="246"/>
      <c r="U8" s="33" t="s">
        <v>558</v>
      </c>
      <c r="V8" s="519" t="s">
        <v>23</v>
      </c>
      <c r="W8" s="519"/>
      <c r="X8" s="519"/>
      <c r="Y8" s="514"/>
      <c r="Z8" s="515"/>
      <c r="AA8" s="516"/>
      <c r="AB8" s="246"/>
      <c r="AC8" s="246"/>
      <c r="AD8" s="246"/>
      <c r="AE8" s="246"/>
      <c r="AF8" s="246"/>
      <c r="AG8" s="246"/>
      <c r="AH8" s="246"/>
      <c r="AI8" s="247"/>
      <c r="AK8" s="425"/>
      <c r="AL8" s="425"/>
      <c r="AM8" s="425"/>
      <c r="AN8" s="425"/>
      <c r="AO8" s="425"/>
      <c r="AP8" s="425"/>
      <c r="AQ8" s="439"/>
      <c r="AR8" s="43"/>
      <c r="AS8" s="43"/>
      <c r="AT8" s="43"/>
      <c r="AU8" s="43"/>
      <c r="AV8" s="43"/>
      <c r="AW8" s="43"/>
      <c r="AX8" s="43"/>
      <c r="AY8" s="43"/>
      <c r="AZ8" s="43"/>
      <c r="BA8"/>
    </row>
    <row r="9" spans="1:85" ht="18" customHeight="1">
      <c r="A9" s="507" t="s">
        <v>559</v>
      </c>
      <c r="B9" s="508"/>
      <c r="C9" s="508"/>
      <c r="D9" s="508"/>
      <c r="E9" s="508"/>
      <c r="F9" s="508"/>
      <c r="G9" s="508"/>
      <c r="H9" s="508"/>
      <c r="I9" s="508"/>
      <c r="J9" s="508"/>
      <c r="K9" s="508"/>
      <c r="L9" s="508"/>
      <c r="M9" s="508"/>
      <c r="N9" s="508"/>
      <c r="O9" s="508"/>
      <c r="P9" s="508"/>
      <c r="Q9" s="508"/>
      <c r="R9" s="508"/>
      <c r="S9" s="508"/>
      <c r="T9" s="508"/>
      <c r="U9" s="508"/>
      <c r="V9" s="508"/>
      <c r="W9" s="508"/>
      <c r="X9" s="508"/>
      <c r="Y9" s="508"/>
      <c r="Z9" s="508"/>
      <c r="AA9" s="508"/>
      <c r="AB9" s="508"/>
      <c r="AC9" s="508"/>
      <c r="AD9" s="508"/>
      <c r="AE9" s="508"/>
      <c r="AF9" s="508"/>
      <c r="AG9" s="508"/>
      <c r="AH9" s="508"/>
      <c r="AI9" s="509"/>
      <c r="AK9" s="440" t="s">
        <v>560</v>
      </c>
      <c r="AL9" s="440"/>
      <c r="AM9" s="440"/>
      <c r="AN9" s="440"/>
      <c r="AO9" s="440"/>
      <c r="AP9" s="440"/>
      <c r="AQ9" s="42">
        <v>35</v>
      </c>
      <c r="AR9" s="43"/>
      <c r="AS9" s="44" t="s">
        <v>561</v>
      </c>
      <c r="AT9" s="44" t="s">
        <v>562</v>
      </c>
      <c r="AU9" s="44" t="s">
        <v>563</v>
      </c>
      <c r="AV9" s="44" t="s">
        <v>564</v>
      </c>
      <c r="AW9" s="45" t="s">
        <v>565</v>
      </c>
      <c r="AX9" s="45" t="s">
        <v>566</v>
      </c>
      <c r="AY9" s="44" t="s">
        <v>567</v>
      </c>
      <c r="AZ9" s="43"/>
      <c r="BB9" s="49" t="s">
        <v>568</v>
      </c>
      <c r="BC9" s="43"/>
      <c r="BD9" s="43"/>
      <c r="BE9" s="43"/>
      <c r="BF9" s="43"/>
      <c r="BG9" s="43"/>
      <c r="BH9" s="43"/>
      <c r="BI9" s="43"/>
      <c r="BJ9" s="43"/>
      <c r="BK9" s="43"/>
      <c r="BL9" s="43"/>
      <c r="BM9" s="43"/>
      <c r="BN9" s="43"/>
      <c r="BO9" s="43"/>
      <c r="BP9" s="43"/>
      <c r="BQ9" s="43"/>
      <c r="BR9" s="43"/>
      <c r="BS9" s="43"/>
      <c r="BT9" s="43"/>
      <c r="BU9" s="43"/>
      <c r="BV9" s="43"/>
      <c r="BW9" s="43"/>
      <c r="BX9" s="43"/>
      <c r="BY9" s="43"/>
      <c r="BZ9" s="43"/>
      <c r="CA9" s="43"/>
      <c r="CB9" s="43"/>
      <c r="CC9" s="43"/>
      <c r="CD9" s="43"/>
      <c r="CE9" s="43"/>
      <c r="CF9" s="43"/>
      <c r="CG9" s="43"/>
    </row>
    <row r="10" spans="1:85" ht="18" customHeight="1">
      <c r="A10" s="265" t="s">
        <v>569</v>
      </c>
      <c r="B10" s="266"/>
      <c r="C10" s="266"/>
      <c r="D10" s="266"/>
      <c r="E10" s="266"/>
      <c r="F10" s="266"/>
      <c r="G10" s="266"/>
      <c r="H10" s="266"/>
      <c r="I10" s="264">
        <f>AQ14</f>
        <v>4</v>
      </c>
      <c r="J10" s="264"/>
      <c r="K10" s="267" t="s">
        <v>176</v>
      </c>
      <c r="L10" s="268"/>
      <c r="M10" s="269" t="s">
        <v>570</v>
      </c>
      <c r="N10" s="266"/>
      <c r="O10" s="266"/>
      <c r="P10" s="266"/>
      <c r="Q10" s="266"/>
      <c r="R10" s="266"/>
      <c r="S10" s="266"/>
      <c r="T10" s="266"/>
      <c r="U10" s="264">
        <f>AQ37</f>
        <v>0</v>
      </c>
      <c r="V10" s="264"/>
      <c r="W10" s="267" t="s">
        <v>176</v>
      </c>
      <c r="X10" s="268"/>
      <c r="Y10" s="269" t="s">
        <v>571</v>
      </c>
      <c r="Z10" s="266"/>
      <c r="AA10" s="266"/>
      <c r="AB10" s="266"/>
      <c r="AC10" s="266"/>
      <c r="AD10" s="266"/>
      <c r="AE10" s="266"/>
      <c r="AF10" s="266"/>
      <c r="AG10" s="264">
        <f>AQ26+AQ25</f>
        <v>1</v>
      </c>
      <c r="AH10" s="264"/>
      <c r="AI10" s="28" t="s">
        <v>176</v>
      </c>
      <c r="AK10" s="440" t="s">
        <v>572</v>
      </c>
      <c r="AL10" s="440"/>
      <c r="AM10" s="440"/>
      <c r="AN10" s="440"/>
      <c r="AO10" s="440"/>
      <c r="AP10" s="440"/>
      <c r="AQ10" s="42"/>
      <c r="AR10" s="43"/>
      <c r="AS10" s="46">
        <v>1</v>
      </c>
      <c r="AT10" s="46"/>
      <c r="AU10" s="46" t="s">
        <v>20</v>
      </c>
      <c r="AV10" s="47" t="s">
        <v>573</v>
      </c>
      <c r="AW10" s="47" t="s">
        <v>574</v>
      </c>
      <c r="AX10" s="47">
        <v>0.33333333333333331</v>
      </c>
      <c r="AY10" s="47">
        <v>0.83333333333333337</v>
      </c>
      <c r="AZ10" s="43"/>
      <c r="BB10" s="49" t="s">
        <v>95</v>
      </c>
      <c r="BC10" s="120">
        <v>1</v>
      </c>
      <c r="BD10" s="120">
        <v>2</v>
      </c>
      <c r="BE10" s="120">
        <v>3</v>
      </c>
      <c r="BF10" s="120">
        <v>4</v>
      </c>
      <c r="BG10" s="120">
        <v>5</v>
      </c>
      <c r="BH10" s="120">
        <v>6</v>
      </c>
      <c r="BI10" s="120">
        <v>7</v>
      </c>
      <c r="BJ10" s="120">
        <v>8</v>
      </c>
      <c r="BK10" s="120">
        <v>9</v>
      </c>
      <c r="BL10" s="120">
        <v>10</v>
      </c>
      <c r="BM10" s="120">
        <v>11</v>
      </c>
      <c r="BN10" s="120">
        <v>12</v>
      </c>
      <c r="BO10" s="120">
        <v>13</v>
      </c>
      <c r="BP10" s="120">
        <v>14</v>
      </c>
      <c r="BQ10" s="120">
        <v>15</v>
      </c>
      <c r="BR10" s="120">
        <v>16</v>
      </c>
      <c r="BS10" s="120">
        <v>17</v>
      </c>
      <c r="BT10" s="120">
        <v>18</v>
      </c>
      <c r="BU10" s="120">
        <v>19</v>
      </c>
      <c r="BV10" s="120">
        <v>20</v>
      </c>
      <c r="BW10" s="120">
        <v>21</v>
      </c>
      <c r="BX10" s="120">
        <v>22</v>
      </c>
      <c r="BY10" s="120">
        <v>23</v>
      </c>
      <c r="BZ10" s="120">
        <v>24</v>
      </c>
      <c r="CA10" s="120">
        <v>25</v>
      </c>
      <c r="CB10" s="120">
        <v>26</v>
      </c>
      <c r="CC10" s="120">
        <v>27</v>
      </c>
      <c r="CD10" s="120">
        <v>28</v>
      </c>
      <c r="CE10" s="120">
        <v>29</v>
      </c>
      <c r="CF10" s="120">
        <v>30</v>
      </c>
      <c r="CG10" s="43"/>
    </row>
    <row r="11" spans="1:85" ht="18" customHeight="1">
      <c r="A11" s="265" t="s">
        <v>575</v>
      </c>
      <c r="B11" s="266"/>
      <c r="C11" s="266"/>
      <c r="D11" s="266"/>
      <c r="E11" s="266"/>
      <c r="F11" s="266"/>
      <c r="G11" s="266"/>
      <c r="H11" s="266"/>
      <c r="I11" s="264">
        <f>AQ27</f>
        <v>0</v>
      </c>
      <c r="J11" s="264"/>
      <c r="K11" s="267" t="s">
        <v>176</v>
      </c>
      <c r="L11" s="268"/>
      <c r="M11" s="269" t="s">
        <v>576</v>
      </c>
      <c r="N11" s="266"/>
      <c r="O11" s="266"/>
      <c r="P11" s="266"/>
      <c r="Q11" s="266"/>
      <c r="R11" s="266"/>
      <c r="S11" s="266"/>
      <c r="T11" s="266"/>
      <c r="U11" s="264">
        <f>AQ36</f>
        <v>0</v>
      </c>
      <c r="V11" s="264"/>
      <c r="W11" s="267" t="s">
        <v>176</v>
      </c>
      <c r="X11" s="268"/>
      <c r="Y11" s="269" t="s">
        <v>577</v>
      </c>
      <c r="Z11" s="266"/>
      <c r="AA11" s="266"/>
      <c r="AB11" s="266"/>
      <c r="AC11" s="266"/>
      <c r="AD11" s="266"/>
      <c r="AE11" s="266"/>
      <c r="AF11" s="266"/>
      <c r="AG11" s="264">
        <f>AQ34</f>
        <v>0</v>
      </c>
      <c r="AH11" s="264"/>
      <c r="AI11" s="28" t="s">
        <v>176</v>
      </c>
      <c r="AK11" s="441" t="s">
        <v>578</v>
      </c>
      <c r="AL11" s="442"/>
      <c r="AM11" s="442"/>
      <c r="AN11" s="442"/>
      <c r="AO11" s="442"/>
      <c r="AP11" s="443"/>
      <c r="AQ11" s="42">
        <v>29</v>
      </c>
      <c r="AR11" s="43"/>
      <c r="AS11" s="46">
        <v>2</v>
      </c>
      <c r="AT11" s="46"/>
      <c r="AU11" s="46"/>
      <c r="AV11" s="47" t="s">
        <v>579</v>
      </c>
      <c r="AW11" s="47" t="s">
        <v>580</v>
      </c>
      <c r="AX11" s="47">
        <v>0.33333333333333331</v>
      </c>
      <c r="AY11" s="47">
        <v>0.58333333333333337</v>
      </c>
      <c r="AZ11" s="43"/>
      <c r="BB11" s="121" t="s">
        <v>581</v>
      </c>
      <c r="BC11" s="138" t="s">
        <v>582</v>
      </c>
      <c r="BD11" s="138" t="s">
        <v>583</v>
      </c>
      <c r="BE11" s="138" t="s">
        <v>584</v>
      </c>
      <c r="BF11" s="138" t="s">
        <v>585</v>
      </c>
      <c r="BG11" s="139" t="s">
        <v>584</v>
      </c>
      <c r="BH11" s="138" t="s">
        <v>582</v>
      </c>
      <c r="BI11" s="138" t="s">
        <v>585</v>
      </c>
      <c r="BJ11" s="138" t="s">
        <v>583</v>
      </c>
      <c r="BK11" s="138" t="s">
        <v>584</v>
      </c>
      <c r="BL11" s="138" t="s">
        <v>583</v>
      </c>
      <c r="BM11" s="138" t="s">
        <v>585</v>
      </c>
      <c r="BN11" s="138" t="s">
        <v>582</v>
      </c>
      <c r="BO11" s="138" t="s">
        <v>584</v>
      </c>
      <c r="BP11" s="138" t="s">
        <v>585</v>
      </c>
      <c r="BQ11" s="138" t="s">
        <v>583</v>
      </c>
      <c r="BR11" s="138" t="s">
        <v>585</v>
      </c>
      <c r="BS11" s="138" t="s">
        <v>584</v>
      </c>
      <c r="BT11" s="138" t="s">
        <v>582</v>
      </c>
      <c r="BU11" s="138" t="s">
        <v>583</v>
      </c>
      <c r="BV11" s="138" t="s">
        <v>585</v>
      </c>
      <c r="BW11" s="138" t="s">
        <v>582</v>
      </c>
      <c r="BX11" s="138" t="s">
        <v>584</v>
      </c>
      <c r="BY11" s="138" t="s">
        <v>585</v>
      </c>
      <c r="BZ11" s="138" t="s">
        <v>583</v>
      </c>
      <c r="CA11" s="138" t="s">
        <v>582</v>
      </c>
      <c r="CB11" s="138" t="s">
        <v>585</v>
      </c>
      <c r="CC11" s="138" t="s">
        <v>584</v>
      </c>
      <c r="CD11" s="138" t="s">
        <v>582</v>
      </c>
      <c r="CE11" s="138" t="s">
        <v>585</v>
      </c>
      <c r="CF11" s="138" t="s">
        <v>583</v>
      </c>
      <c r="CG11" s="43"/>
    </row>
    <row r="12" spans="1:85" ht="18" customHeight="1">
      <c r="A12" s="265" t="s">
        <v>586</v>
      </c>
      <c r="B12" s="266"/>
      <c r="C12" s="266"/>
      <c r="D12" s="266"/>
      <c r="E12" s="266"/>
      <c r="F12" s="266"/>
      <c r="G12" s="266"/>
      <c r="H12" s="266"/>
      <c r="I12" s="264">
        <f>AQ33</f>
        <v>0</v>
      </c>
      <c r="J12" s="264"/>
      <c r="K12" s="267" t="s">
        <v>176</v>
      </c>
      <c r="L12" s="268"/>
      <c r="M12" s="269" t="s">
        <v>587</v>
      </c>
      <c r="N12" s="266"/>
      <c r="O12" s="266"/>
      <c r="P12" s="266"/>
      <c r="Q12" s="266"/>
      <c r="R12" s="266"/>
      <c r="S12" s="266"/>
      <c r="T12" s="266"/>
      <c r="U12" s="264">
        <f>AQ24</f>
        <v>0</v>
      </c>
      <c r="V12" s="264"/>
      <c r="W12" s="267" t="s">
        <v>176</v>
      </c>
      <c r="X12" s="268"/>
      <c r="Y12" s="269" t="s">
        <v>588</v>
      </c>
      <c r="Z12" s="266"/>
      <c r="AA12" s="266"/>
      <c r="AB12" s="266"/>
      <c r="AC12" s="266"/>
      <c r="AD12" s="266"/>
      <c r="AE12" s="266"/>
      <c r="AF12" s="266"/>
      <c r="AG12" s="264">
        <f>AQ20+AQ21+AQ22+AQ23</f>
        <v>0</v>
      </c>
      <c r="AH12" s="264"/>
      <c r="AI12" s="28" t="s">
        <v>176</v>
      </c>
      <c r="AK12" s="441" t="s">
        <v>589</v>
      </c>
      <c r="AL12" s="442"/>
      <c r="AM12" s="442"/>
      <c r="AN12" s="442"/>
      <c r="AO12" s="442"/>
      <c r="AP12" s="443"/>
      <c r="AQ12" s="42">
        <v>20</v>
      </c>
      <c r="AR12" s="43"/>
      <c r="AS12" s="46">
        <v>3</v>
      </c>
      <c r="AT12" s="46"/>
      <c r="AU12" s="46"/>
      <c r="AV12" s="47" t="s">
        <v>590</v>
      </c>
      <c r="AW12" s="47" t="s">
        <v>574</v>
      </c>
      <c r="AX12" s="47">
        <v>0.58333333333333337</v>
      </c>
      <c r="AY12" s="47">
        <v>0.83333333333333337</v>
      </c>
      <c r="AZ12" s="43"/>
      <c r="BB12" s="49"/>
      <c r="BC12" s="43"/>
      <c r="BD12" s="43"/>
      <c r="BE12" s="43"/>
      <c r="BF12" s="43"/>
      <c r="BG12" s="43"/>
      <c r="BH12" s="43"/>
      <c r="BI12" s="43"/>
      <c r="BJ12" s="43"/>
      <c r="BK12" s="43"/>
      <c r="BL12" s="43"/>
      <c r="BM12" s="43"/>
      <c r="BN12" s="43"/>
      <c r="BO12" s="43"/>
      <c r="BP12" s="43"/>
      <c r="BQ12" s="43"/>
      <c r="BR12" s="43"/>
      <c r="BS12" s="43"/>
      <c r="BT12" s="43"/>
      <c r="BU12" s="43"/>
      <c r="BV12" s="43"/>
      <c r="BW12" s="43"/>
      <c r="BX12" s="43"/>
      <c r="BY12" s="43"/>
      <c r="BZ12" s="43"/>
      <c r="CA12" s="43"/>
      <c r="CB12" s="43"/>
      <c r="CC12" s="43"/>
      <c r="CD12" s="43"/>
      <c r="CE12" s="43"/>
      <c r="CF12" s="43"/>
      <c r="CG12" s="43"/>
    </row>
    <row r="13" spans="1:85" ht="18" customHeight="1" thickBot="1">
      <c r="A13" s="517" t="s">
        <v>591</v>
      </c>
      <c r="B13" s="277"/>
      <c r="C13" s="277"/>
      <c r="D13" s="277"/>
      <c r="E13" s="277"/>
      <c r="F13" s="277"/>
      <c r="G13" s="277"/>
      <c r="H13" s="277"/>
      <c r="I13" s="272">
        <f>AQ30+AQ31</f>
        <v>0</v>
      </c>
      <c r="J13" s="272"/>
      <c r="K13" s="273" t="s">
        <v>176</v>
      </c>
      <c r="L13" s="274"/>
      <c r="M13" s="276" t="s">
        <v>592</v>
      </c>
      <c r="N13" s="277"/>
      <c r="O13" s="277"/>
      <c r="P13" s="277"/>
      <c r="Q13" s="277"/>
      <c r="R13" s="277"/>
      <c r="S13" s="277"/>
      <c r="T13" s="277"/>
      <c r="U13" s="272">
        <f>AQ28</f>
        <v>0</v>
      </c>
      <c r="V13" s="272"/>
      <c r="W13" s="273" t="s">
        <v>176</v>
      </c>
      <c r="X13" s="274"/>
      <c r="Y13" s="276" t="s">
        <v>593</v>
      </c>
      <c r="Z13" s="277"/>
      <c r="AA13" s="277"/>
      <c r="AB13" s="277"/>
      <c r="AC13" s="277"/>
      <c r="AD13" s="277"/>
      <c r="AE13" s="277"/>
      <c r="AF13" s="277"/>
      <c r="AG13" s="272">
        <f>AQ13</f>
        <v>0</v>
      </c>
      <c r="AH13" s="272"/>
      <c r="AI13" s="34" t="s">
        <v>176</v>
      </c>
      <c r="AK13" s="425" t="s">
        <v>594</v>
      </c>
      <c r="AL13" s="425"/>
      <c r="AM13" s="425"/>
      <c r="AN13" s="425"/>
      <c r="AO13" s="425"/>
      <c r="AP13" s="425"/>
      <c r="AQ13" s="42"/>
      <c r="AR13" s="43"/>
      <c r="AS13" s="46">
        <v>4</v>
      </c>
      <c r="AT13" s="46"/>
      <c r="AU13" s="46" t="s">
        <v>602</v>
      </c>
      <c r="AV13" s="47" t="s">
        <v>595</v>
      </c>
      <c r="AW13" s="47" t="s">
        <v>596</v>
      </c>
      <c r="AX13" s="47">
        <v>0.33333333333333331</v>
      </c>
      <c r="AY13" s="47">
        <v>0.83333333333333337</v>
      </c>
      <c r="AZ13" s="43"/>
      <c r="BB13" s="121" t="s">
        <v>597</v>
      </c>
      <c r="BC13" s="140" t="s">
        <v>20</v>
      </c>
      <c r="BD13" s="140" t="s">
        <v>119</v>
      </c>
      <c r="BE13" s="140" t="s">
        <v>20</v>
      </c>
      <c r="BF13" s="140" t="s">
        <v>20</v>
      </c>
      <c r="BG13" s="140" t="s">
        <v>20</v>
      </c>
      <c r="BH13" s="140" t="s">
        <v>20</v>
      </c>
      <c r="BI13" s="140" t="s">
        <v>80</v>
      </c>
      <c r="BJ13" s="140" t="s">
        <v>20</v>
      </c>
      <c r="BK13" s="140" t="s">
        <v>20</v>
      </c>
      <c r="BL13" s="140" t="s">
        <v>20</v>
      </c>
      <c r="BM13" s="140" t="s">
        <v>20</v>
      </c>
      <c r="BN13" s="140" t="s">
        <v>20</v>
      </c>
      <c r="BO13" s="140" t="s">
        <v>119</v>
      </c>
      <c r="BP13" s="140" t="s">
        <v>119</v>
      </c>
      <c r="BQ13" s="140" t="s">
        <v>20</v>
      </c>
      <c r="BR13" s="140" t="s">
        <v>119</v>
      </c>
      <c r="BS13" s="140" t="s">
        <v>20</v>
      </c>
      <c r="BT13" s="140" t="s">
        <v>20</v>
      </c>
      <c r="BU13" s="140" t="s">
        <v>20</v>
      </c>
      <c r="BV13" s="140" t="s">
        <v>119</v>
      </c>
      <c r="BW13" s="140" t="s">
        <v>119</v>
      </c>
      <c r="BX13" s="140" t="s">
        <v>20</v>
      </c>
      <c r="BY13" s="140" t="s">
        <v>119</v>
      </c>
      <c r="BZ13" s="140" t="s">
        <v>20</v>
      </c>
      <c r="CA13" s="140" t="s">
        <v>119</v>
      </c>
      <c r="CB13" s="140" t="s">
        <v>20</v>
      </c>
      <c r="CC13" s="140" t="s">
        <v>20</v>
      </c>
      <c r="CD13" s="140" t="s">
        <v>119</v>
      </c>
      <c r="CE13" s="140" t="s">
        <v>20</v>
      </c>
      <c r="CF13" s="140" t="s">
        <v>119</v>
      </c>
      <c r="CG13" s="43"/>
    </row>
    <row r="14" spans="1:85" ht="18" customHeight="1" thickBot="1">
      <c r="A14" s="452" t="s">
        <v>598</v>
      </c>
      <c r="B14" s="453"/>
      <c r="C14" s="453"/>
      <c r="D14" s="453"/>
      <c r="E14" s="453"/>
      <c r="F14" s="453"/>
      <c r="G14" s="453"/>
      <c r="H14" s="453"/>
      <c r="I14" s="453"/>
      <c r="J14" s="453"/>
      <c r="K14" s="453"/>
      <c r="L14" s="453"/>
      <c r="M14" s="453"/>
      <c r="N14" s="453"/>
      <c r="O14" s="453"/>
      <c r="P14" s="453"/>
      <c r="Q14" s="453"/>
      <c r="R14" s="453"/>
      <c r="S14" s="453"/>
      <c r="T14" s="453"/>
      <c r="U14" s="453"/>
      <c r="V14" s="453"/>
      <c r="W14" s="453"/>
      <c r="X14" s="453"/>
      <c r="Y14" s="453"/>
      <c r="Z14" s="453"/>
      <c r="AA14" s="453"/>
      <c r="AB14" s="453"/>
      <c r="AC14" s="453"/>
      <c r="AD14" s="453"/>
      <c r="AE14" s="453"/>
      <c r="AF14" s="453"/>
      <c r="AG14" s="453"/>
      <c r="AH14" s="453"/>
      <c r="AI14" s="454"/>
      <c r="AK14" s="440" t="s">
        <v>599</v>
      </c>
      <c r="AL14" s="440"/>
      <c r="AM14" s="440"/>
      <c r="AN14" s="440"/>
      <c r="AO14" s="440"/>
      <c r="AP14" s="440"/>
      <c r="AQ14" s="42">
        <v>4</v>
      </c>
      <c r="AR14" s="43"/>
      <c r="AS14" s="46">
        <v>5</v>
      </c>
      <c r="AT14" s="46"/>
      <c r="AU14" s="46" t="s">
        <v>28</v>
      </c>
      <c r="AV14" s="47" t="s">
        <v>600</v>
      </c>
      <c r="AW14" s="47" t="s">
        <v>596</v>
      </c>
      <c r="AX14" s="47">
        <v>0.33333333333333331</v>
      </c>
      <c r="AY14" s="47">
        <v>0.83333333333333337</v>
      </c>
      <c r="AZ14" s="43"/>
      <c r="BB14" s="121" t="s">
        <v>601</v>
      </c>
      <c r="BC14" s="162" t="s">
        <v>28</v>
      </c>
      <c r="BD14" s="162" t="s">
        <v>602</v>
      </c>
      <c r="BE14" s="162" t="s">
        <v>602</v>
      </c>
      <c r="BF14" s="162" t="s">
        <v>28</v>
      </c>
      <c r="BG14" s="162" t="s">
        <v>602</v>
      </c>
      <c r="BH14" s="162" t="s">
        <v>602</v>
      </c>
      <c r="BI14" s="162" t="s">
        <v>28</v>
      </c>
      <c r="BJ14" s="162" t="s">
        <v>28</v>
      </c>
      <c r="BK14" s="162" t="s">
        <v>602</v>
      </c>
      <c r="BL14" s="162" t="s">
        <v>28</v>
      </c>
      <c r="BM14" s="162" t="s">
        <v>602</v>
      </c>
      <c r="BN14" s="162" t="s">
        <v>28</v>
      </c>
      <c r="BO14" s="162" t="s">
        <v>28</v>
      </c>
      <c r="BP14" s="162" t="s">
        <v>76</v>
      </c>
      <c r="BQ14" s="162" t="s">
        <v>28</v>
      </c>
      <c r="BR14" s="162" t="s">
        <v>602</v>
      </c>
      <c r="BS14" s="162" t="s">
        <v>28</v>
      </c>
      <c r="BT14" s="162" t="s">
        <v>602</v>
      </c>
      <c r="BU14" s="162" t="s">
        <v>28</v>
      </c>
      <c r="BV14" s="162" t="s">
        <v>602</v>
      </c>
      <c r="BW14" s="162" t="s">
        <v>28</v>
      </c>
      <c r="BX14" s="162" t="s">
        <v>28</v>
      </c>
      <c r="BY14" s="162" t="s">
        <v>602</v>
      </c>
      <c r="BZ14" s="162" t="s">
        <v>28</v>
      </c>
      <c r="CA14" s="162" t="s">
        <v>602</v>
      </c>
      <c r="CB14" s="162" t="s">
        <v>28</v>
      </c>
      <c r="CC14" s="162" t="s">
        <v>28</v>
      </c>
      <c r="CD14" s="162" t="s">
        <v>76</v>
      </c>
      <c r="CE14" s="162" t="s">
        <v>28</v>
      </c>
      <c r="CF14" s="162" t="s">
        <v>602</v>
      </c>
      <c r="CG14" s="43"/>
    </row>
    <row r="15" spans="1:85" ht="18" customHeight="1" thickBot="1">
      <c r="A15" s="30" t="s">
        <v>189</v>
      </c>
      <c r="B15" s="264" t="s">
        <v>603</v>
      </c>
      <c r="C15" s="264"/>
      <c r="D15" s="264"/>
      <c r="E15" s="264"/>
      <c r="F15" s="264"/>
      <c r="G15" s="264"/>
      <c r="H15" s="264"/>
      <c r="I15" s="264"/>
      <c r="J15" s="278">
        <f>AQ9+AQ10</f>
        <v>35</v>
      </c>
      <c r="K15" s="278"/>
      <c r="L15" s="278"/>
      <c r="M15" s="264" t="s">
        <v>176</v>
      </c>
      <c r="N15" s="264"/>
      <c r="O15" s="264" t="s">
        <v>604</v>
      </c>
      <c r="P15" s="264"/>
      <c r="Q15" s="264"/>
      <c r="R15" s="264"/>
      <c r="S15" s="264"/>
      <c r="T15" s="264"/>
      <c r="U15" s="264"/>
      <c r="V15" s="264"/>
      <c r="W15" s="278">
        <f>AQ11+AQ12</f>
        <v>49</v>
      </c>
      <c r="X15" s="278"/>
      <c r="Y15" s="278"/>
      <c r="Z15" s="264" t="s">
        <v>176</v>
      </c>
      <c r="AA15" s="264"/>
      <c r="AB15" s="503" t="s">
        <v>605</v>
      </c>
      <c r="AC15" s="503"/>
      <c r="AD15" s="503"/>
      <c r="AE15" s="503"/>
      <c r="AF15" s="503"/>
      <c r="AG15" s="503"/>
      <c r="AH15" s="281" t="s">
        <v>584</v>
      </c>
      <c r="AI15" s="282"/>
      <c r="AK15" s="425" t="s">
        <v>606</v>
      </c>
      <c r="AL15" s="425"/>
      <c r="AM15" s="425"/>
      <c r="AN15" s="425"/>
      <c r="AO15" s="425"/>
      <c r="AP15" s="425"/>
      <c r="AQ15" s="42"/>
      <c r="AR15" s="43"/>
      <c r="AS15" s="46">
        <v>6</v>
      </c>
      <c r="AT15" s="46"/>
      <c r="AU15" s="46"/>
      <c r="AV15" s="47" t="s">
        <v>607</v>
      </c>
      <c r="AW15" s="47" t="s">
        <v>596</v>
      </c>
      <c r="AX15" s="47">
        <v>0.33333333333333331</v>
      </c>
      <c r="AY15" s="47">
        <v>0.83333333333333337</v>
      </c>
      <c r="AZ15" s="43"/>
      <c r="BB15" s="121" t="s">
        <v>31</v>
      </c>
      <c r="BC15" s="163" t="s">
        <v>119</v>
      </c>
      <c r="BD15" s="164"/>
      <c r="BE15" s="165" t="s">
        <v>28</v>
      </c>
      <c r="BF15" s="165" t="s">
        <v>119</v>
      </c>
      <c r="BG15" s="164"/>
      <c r="BH15" s="164"/>
      <c r="BI15" s="164"/>
      <c r="BJ15" s="164"/>
      <c r="BK15" s="165" t="s">
        <v>119</v>
      </c>
      <c r="BL15" s="165" t="s">
        <v>602</v>
      </c>
      <c r="BM15" s="165" t="s">
        <v>119</v>
      </c>
      <c r="BN15" s="165" t="s">
        <v>602</v>
      </c>
      <c r="BO15" s="164"/>
      <c r="BP15" s="164"/>
      <c r="BQ15" s="165" t="s">
        <v>608</v>
      </c>
      <c r="BR15" s="165" t="s">
        <v>20</v>
      </c>
      <c r="BS15" s="165" t="s">
        <v>602</v>
      </c>
      <c r="BT15" s="165" t="s">
        <v>119</v>
      </c>
      <c r="BU15" s="165" t="s">
        <v>602</v>
      </c>
      <c r="BV15" s="164"/>
      <c r="BW15" s="164"/>
      <c r="BX15" s="165" t="s">
        <v>119</v>
      </c>
      <c r="BY15" s="165" t="s">
        <v>20</v>
      </c>
      <c r="BZ15" s="165" t="s">
        <v>602</v>
      </c>
      <c r="CA15" s="165" t="s">
        <v>20</v>
      </c>
      <c r="CB15" s="165" t="s">
        <v>602</v>
      </c>
      <c r="CC15" s="165" t="s">
        <v>602</v>
      </c>
      <c r="CD15" s="164"/>
      <c r="CE15" s="165" t="s">
        <v>119</v>
      </c>
      <c r="CF15" s="165" t="s">
        <v>20</v>
      </c>
      <c r="CG15" s="43"/>
    </row>
    <row r="16" spans="1:85" ht="18" customHeight="1">
      <c r="A16" s="504" t="s">
        <v>609</v>
      </c>
      <c r="B16" s="505"/>
      <c r="C16" s="505"/>
      <c r="D16" s="505"/>
      <c r="E16" s="505"/>
      <c r="F16" s="505"/>
      <c r="G16" s="505"/>
      <c r="H16" s="505"/>
      <c r="I16" s="505"/>
      <c r="J16" s="505"/>
      <c r="K16" s="505"/>
      <c r="L16" s="505"/>
      <c r="M16" s="505"/>
      <c r="N16" s="505"/>
      <c r="O16" s="505"/>
      <c r="P16" s="505"/>
      <c r="Q16" s="505"/>
      <c r="R16" s="505"/>
      <c r="S16" s="505"/>
      <c r="T16" s="505"/>
      <c r="U16" s="505"/>
      <c r="V16" s="505"/>
      <c r="W16" s="505"/>
      <c r="X16" s="505"/>
      <c r="Y16" s="505"/>
      <c r="Z16" s="505"/>
      <c r="AA16" s="505"/>
      <c r="AB16" s="505"/>
      <c r="AC16" s="505"/>
      <c r="AD16" s="505"/>
      <c r="AE16" s="505"/>
      <c r="AF16" s="505"/>
      <c r="AG16" s="505"/>
      <c r="AH16" s="505"/>
      <c r="AI16" s="506"/>
      <c r="AK16" s="425" t="s">
        <v>610</v>
      </c>
      <c r="AL16" s="425"/>
      <c r="AM16" s="425"/>
      <c r="AN16" s="425"/>
      <c r="AO16" s="425"/>
      <c r="AP16" s="425"/>
      <c r="AQ16" s="42"/>
      <c r="AR16" s="43"/>
      <c r="AS16" s="46">
        <v>7</v>
      </c>
      <c r="AT16" s="46"/>
      <c r="AU16" s="46" t="s">
        <v>42</v>
      </c>
      <c r="AV16" s="47" t="s">
        <v>611</v>
      </c>
      <c r="AW16" s="47" t="s">
        <v>612</v>
      </c>
      <c r="AX16" s="47">
        <v>0.83333333333333337</v>
      </c>
      <c r="AY16" s="47" t="s">
        <v>613</v>
      </c>
      <c r="AZ16" s="43"/>
      <c r="BB16" s="121" t="s">
        <v>614</v>
      </c>
      <c r="BC16" s="142" t="s">
        <v>20</v>
      </c>
      <c r="BD16" s="140" t="s">
        <v>67</v>
      </c>
      <c r="BE16" s="142" t="s">
        <v>42</v>
      </c>
      <c r="BF16" s="142" t="s">
        <v>20</v>
      </c>
      <c r="BG16" s="142" t="s">
        <v>42</v>
      </c>
      <c r="BH16" s="142" t="s">
        <v>61</v>
      </c>
      <c r="BI16" s="142" t="s">
        <v>67</v>
      </c>
      <c r="BJ16" s="142" t="s">
        <v>67</v>
      </c>
      <c r="BK16" s="142" t="s">
        <v>42</v>
      </c>
      <c r="BL16" s="142" t="s">
        <v>42</v>
      </c>
      <c r="BM16" s="142" t="s">
        <v>67</v>
      </c>
      <c r="BN16" s="142" t="s">
        <v>67</v>
      </c>
      <c r="BO16" s="142" t="s">
        <v>42</v>
      </c>
      <c r="BP16" s="142" t="s">
        <v>67</v>
      </c>
      <c r="BQ16" s="142" t="s">
        <v>20</v>
      </c>
      <c r="BR16" s="142" t="s">
        <v>71</v>
      </c>
      <c r="BS16" s="142" t="s">
        <v>67</v>
      </c>
      <c r="BT16" s="142" t="s">
        <v>67</v>
      </c>
      <c r="BU16" s="142" t="s">
        <v>61</v>
      </c>
      <c r="BV16" s="142" t="s">
        <v>42</v>
      </c>
      <c r="BW16" s="142" t="s">
        <v>49</v>
      </c>
      <c r="BX16" s="142" t="s">
        <v>20</v>
      </c>
      <c r="BY16" s="142" t="s">
        <v>71</v>
      </c>
      <c r="BZ16" s="142" t="s">
        <v>42</v>
      </c>
      <c r="CA16" s="142" t="s">
        <v>20</v>
      </c>
      <c r="CB16" s="142" t="s">
        <v>61</v>
      </c>
      <c r="CC16" s="142" t="s">
        <v>42</v>
      </c>
      <c r="CD16" s="142" t="s">
        <v>49</v>
      </c>
      <c r="CE16" s="142" t="s">
        <v>20</v>
      </c>
      <c r="CF16" s="143" t="s">
        <v>71</v>
      </c>
      <c r="CG16" s="43"/>
    </row>
    <row r="17" spans="1:85" ht="18" customHeight="1">
      <c r="A17" s="396" t="s">
        <v>615</v>
      </c>
      <c r="B17" s="397"/>
      <c r="C17" s="397"/>
      <c r="D17" s="397"/>
      <c r="E17" s="397"/>
      <c r="F17" s="398" t="s">
        <v>616</v>
      </c>
      <c r="G17" s="398"/>
      <c r="H17" s="398"/>
      <c r="I17" s="398"/>
      <c r="J17" s="398"/>
      <c r="K17" s="398"/>
      <c r="L17" s="398"/>
      <c r="M17" s="398"/>
      <c r="N17" s="398"/>
      <c r="O17" s="398"/>
      <c r="P17" s="398"/>
      <c r="Q17" s="398"/>
      <c r="R17" s="398"/>
      <c r="S17" s="398"/>
      <c r="T17" s="398"/>
      <c r="U17" s="398"/>
      <c r="V17" s="398"/>
      <c r="W17" s="398"/>
      <c r="X17" s="398"/>
      <c r="Y17" s="398"/>
      <c r="Z17" s="398"/>
      <c r="AA17" s="398"/>
      <c r="AB17" s="398"/>
      <c r="AC17" s="398"/>
      <c r="AD17" s="398"/>
      <c r="AE17" s="398"/>
      <c r="AF17" s="398"/>
      <c r="AG17" s="398"/>
      <c r="AH17" s="398"/>
      <c r="AI17" s="399"/>
      <c r="AK17" s="425" t="s">
        <v>617</v>
      </c>
      <c r="AL17" s="425"/>
      <c r="AM17" s="425"/>
      <c r="AN17" s="425"/>
      <c r="AO17" s="425"/>
      <c r="AP17" s="425"/>
      <c r="AQ17" s="42"/>
      <c r="AR17" s="43"/>
      <c r="AS17" s="46">
        <v>8</v>
      </c>
      <c r="AT17" s="46"/>
      <c r="AU17" s="46" t="s">
        <v>71</v>
      </c>
      <c r="AV17" s="47" t="s">
        <v>618</v>
      </c>
      <c r="AW17" s="47" t="s">
        <v>612</v>
      </c>
      <c r="AX17" s="47">
        <v>0.83333333333333337</v>
      </c>
      <c r="AY17" s="47" t="s">
        <v>613</v>
      </c>
      <c r="AZ17" s="43"/>
      <c r="BB17" s="121" t="s">
        <v>619</v>
      </c>
      <c r="BC17" s="141" t="s">
        <v>67</v>
      </c>
      <c r="BD17" s="140" t="s">
        <v>42</v>
      </c>
      <c r="BE17" s="141" t="s">
        <v>71</v>
      </c>
      <c r="BF17" s="140" t="s">
        <v>67</v>
      </c>
      <c r="BG17" s="140" t="s">
        <v>61</v>
      </c>
      <c r="BH17" s="140" t="s">
        <v>42</v>
      </c>
      <c r="BI17" s="140" t="s">
        <v>49</v>
      </c>
      <c r="BJ17" s="140" t="s">
        <v>61</v>
      </c>
      <c r="BK17" s="140" t="s">
        <v>71</v>
      </c>
      <c r="BL17" s="140" t="s">
        <v>67</v>
      </c>
      <c r="BM17" s="140" t="s">
        <v>49</v>
      </c>
      <c r="BN17" s="140" t="s">
        <v>49</v>
      </c>
      <c r="BO17" s="140" t="s">
        <v>61</v>
      </c>
      <c r="BP17" s="140" t="s">
        <v>49</v>
      </c>
      <c r="BQ17" s="140" t="s">
        <v>67</v>
      </c>
      <c r="BR17" s="140" t="s">
        <v>42</v>
      </c>
      <c r="BS17" s="140" t="s">
        <v>42</v>
      </c>
      <c r="BT17" s="140" t="s">
        <v>49</v>
      </c>
      <c r="BU17" s="140" t="s">
        <v>42</v>
      </c>
      <c r="BV17" s="140" t="s">
        <v>61</v>
      </c>
      <c r="BW17" s="140" t="s">
        <v>71</v>
      </c>
      <c r="BX17" s="140" t="s">
        <v>67</v>
      </c>
      <c r="BY17" s="140" t="s">
        <v>42</v>
      </c>
      <c r="BZ17" s="140" t="s">
        <v>67</v>
      </c>
      <c r="CA17" s="140" t="s">
        <v>67</v>
      </c>
      <c r="CB17" s="140" t="s">
        <v>49</v>
      </c>
      <c r="CC17" s="140" t="s">
        <v>61</v>
      </c>
      <c r="CD17" s="140" t="s">
        <v>71</v>
      </c>
      <c r="CE17" s="140" t="s">
        <v>67</v>
      </c>
      <c r="CF17" s="140" t="s">
        <v>42</v>
      </c>
      <c r="CG17" s="43"/>
    </row>
    <row r="18" spans="1:85" ht="18" customHeight="1">
      <c r="A18" s="501" t="s">
        <v>620</v>
      </c>
      <c r="B18" s="502"/>
      <c r="C18" s="502"/>
      <c r="D18" s="502"/>
      <c r="E18" s="502"/>
      <c r="F18" s="400" t="s">
        <v>616</v>
      </c>
      <c r="G18" s="400"/>
      <c r="H18" s="400"/>
      <c r="I18" s="400"/>
      <c r="J18" s="400"/>
      <c r="K18" s="400"/>
      <c r="L18" s="400"/>
      <c r="M18" s="400"/>
      <c r="N18" s="400"/>
      <c r="O18" s="400"/>
      <c r="P18" s="400"/>
      <c r="Q18" s="400"/>
      <c r="R18" s="400"/>
      <c r="S18" s="400"/>
      <c r="T18" s="400"/>
      <c r="U18" s="400"/>
      <c r="V18" s="400"/>
      <c r="W18" s="400"/>
      <c r="X18" s="400"/>
      <c r="Y18" s="400"/>
      <c r="Z18" s="400"/>
      <c r="AA18" s="400"/>
      <c r="AB18" s="400"/>
      <c r="AC18" s="400"/>
      <c r="AD18" s="400"/>
      <c r="AE18" s="400"/>
      <c r="AF18" s="400"/>
      <c r="AG18" s="400"/>
      <c r="AH18" s="400"/>
      <c r="AI18" s="401"/>
      <c r="AK18" s="425" t="s">
        <v>621</v>
      </c>
      <c r="AL18" s="425"/>
      <c r="AM18" s="425"/>
      <c r="AN18" s="425"/>
      <c r="AO18" s="425"/>
      <c r="AP18" s="425"/>
      <c r="AQ18" s="42"/>
      <c r="AR18" s="43"/>
      <c r="AS18" s="46">
        <v>9</v>
      </c>
      <c r="AT18" s="46"/>
      <c r="AU18" s="46"/>
      <c r="AV18" s="47" t="s">
        <v>622</v>
      </c>
      <c r="AW18" s="47" t="s">
        <v>612</v>
      </c>
      <c r="AX18" s="47">
        <v>0.83333333333333337</v>
      </c>
      <c r="AY18" s="47" t="s">
        <v>613</v>
      </c>
      <c r="AZ18" s="43"/>
    </row>
    <row r="19" spans="1:85" ht="18" customHeight="1" thickBot="1">
      <c r="A19" s="35" t="s">
        <v>189</v>
      </c>
      <c r="B19" s="405">
        <v>0.57291666666666663</v>
      </c>
      <c r="C19" s="405"/>
      <c r="D19" s="405"/>
      <c r="E19" s="405"/>
      <c r="F19" s="402" t="s">
        <v>729</v>
      </c>
      <c r="G19" s="402"/>
      <c r="H19" s="402"/>
      <c r="I19" s="402"/>
      <c r="J19" s="402"/>
      <c r="K19" s="402"/>
      <c r="L19" s="402"/>
      <c r="M19" s="402"/>
      <c r="N19" s="402"/>
      <c r="O19" s="402"/>
      <c r="P19" s="402"/>
      <c r="Q19" s="402"/>
      <c r="R19" s="402"/>
      <c r="S19" s="402"/>
      <c r="T19" s="402"/>
      <c r="U19" s="402"/>
      <c r="V19" s="402"/>
      <c r="W19" s="402"/>
      <c r="X19" s="402"/>
      <c r="Y19" s="402"/>
      <c r="Z19" s="402"/>
      <c r="AA19" s="402"/>
      <c r="AB19" s="402"/>
      <c r="AC19" s="402"/>
      <c r="AD19" s="402"/>
      <c r="AE19" s="402"/>
      <c r="AF19" s="402"/>
      <c r="AG19" s="402"/>
      <c r="AH19" s="402"/>
      <c r="AI19" s="403"/>
      <c r="AK19" s="524" t="s">
        <v>623</v>
      </c>
      <c r="AL19" s="524"/>
      <c r="AM19" s="524"/>
      <c r="AN19" s="524"/>
      <c r="AO19" s="524"/>
      <c r="AP19" s="524"/>
      <c r="AQ19" s="58"/>
      <c r="AR19" s="43"/>
      <c r="AS19" s="46">
        <v>10</v>
      </c>
      <c r="AT19" s="46"/>
      <c r="AU19" s="46"/>
      <c r="AV19" s="47" t="s">
        <v>111</v>
      </c>
      <c r="AW19" s="47" t="s">
        <v>612</v>
      </c>
      <c r="AX19" s="47">
        <v>0.83333333333333337</v>
      </c>
      <c r="AY19" s="47" t="s">
        <v>613</v>
      </c>
      <c r="AZ19" s="43"/>
    </row>
    <row r="20" spans="1:85" ht="18" customHeight="1">
      <c r="A20" s="36" t="s">
        <v>189</v>
      </c>
      <c r="B20" s="404">
        <v>0.6020833333333333</v>
      </c>
      <c r="C20" s="404"/>
      <c r="D20" s="404"/>
      <c r="E20" s="404"/>
      <c r="F20" s="288" t="s">
        <v>730</v>
      </c>
      <c r="G20" s="288"/>
      <c r="H20" s="288"/>
      <c r="I20" s="288"/>
      <c r="J20" s="288"/>
      <c r="K20" s="288"/>
      <c r="L20" s="288"/>
      <c r="M20" s="288"/>
      <c r="N20" s="288"/>
      <c r="O20" s="288"/>
      <c r="P20" s="288"/>
      <c r="Q20" s="288"/>
      <c r="R20" s="288"/>
      <c r="S20" s="288"/>
      <c r="T20" s="288"/>
      <c r="U20" s="288"/>
      <c r="V20" s="288"/>
      <c r="W20" s="288"/>
      <c r="X20" s="288"/>
      <c r="Y20" s="288"/>
      <c r="Z20" s="288"/>
      <c r="AA20" s="288"/>
      <c r="AB20" s="288"/>
      <c r="AC20" s="288"/>
      <c r="AD20" s="288"/>
      <c r="AE20" s="288"/>
      <c r="AF20" s="288"/>
      <c r="AG20" s="288"/>
      <c r="AH20" s="288"/>
      <c r="AI20" s="289"/>
      <c r="AK20" s="447" t="s">
        <v>624</v>
      </c>
      <c r="AL20" s="448"/>
      <c r="AM20" s="448"/>
      <c r="AN20" s="448"/>
      <c r="AO20" s="448"/>
      <c r="AP20" s="448"/>
      <c r="AQ20" s="62"/>
      <c r="AR20" s="426" t="s">
        <v>625</v>
      </c>
      <c r="AS20" s="146">
        <v>11</v>
      </c>
      <c r="AT20" s="46"/>
      <c r="AU20" s="46"/>
      <c r="AV20" s="47" t="s">
        <v>111</v>
      </c>
      <c r="AW20" s="47" t="s">
        <v>612</v>
      </c>
      <c r="AX20" s="47">
        <v>0.83333333333333337</v>
      </c>
      <c r="AY20" s="47" t="s">
        <v>613</v>
      </c>
      <c r="AZ20" s="43"/>
    </row>
    <row r="21" spans="1:85" ht="18" customHeight="1" thickBot="1">
      <c r="A21" s="36"/>
      <c r="B21" s="404"/>
      <c r="C21" s="404"/>
      <c r="D21" s="404"/>
      <c r="E21" s="404"/>
      <c r="F21" s="288" t="s">
        <v>731</v>
      </c>
      <c r="G21" s="288"/>
      <c r="H21" s="288"/>
      <c r="I21" s="288"/>
      <c r="J21" s="288"/>
      <c r="K21" s="288"/>
      <c r="L21" s="288"/>
      <c r="M21" s="288"/>
      <c r="N21" s="288"/>
      <c r="O21" s="288"/>
      <c r="P21" s="288"/>
      <c r="Q21" s="288"/>
      <c r="R21" s="288"/>
      <c r="S21" s="288"/>
      <c r="T21" s="288"/>
      <c r="U21" s="288"/>
      <c r="V21" s="288"/>
      <c r="W21" s="288"/>
      <c r="X21" s="288"/>
      <c r="Y21" s="288"/>
      <c r="Z21" s="288"/>
      <c r="AA21" s="288"/>
      <c r="AB21" s="288"/>
      <c r="AC21" s="288"/>
      <c r="AD21" s="288"/>
      <c r="AE21" s="288"/>
      <c r="AF21" s="288"/>
      <c r="AG21" s="288"/>
      <c r="AH21" s="288"/>
      <c r="AI21" s="289"/>
      <c r="AK21" s="429" t="s">
        <v>626</v>
      </c>
      <c r="AL21" s="430"/>
      <c r="AM21" s="430"/>
      <c r="AN21" s="430"/>
      <c r="AO21" s="430"/>
      <c r="AP21" s="430"/>
      <c r="AQ21" s="63"/>
      <c r="AR21" s="427"/>
      <c r="AW21" s="43"/>
      <c r="AX21" s="43"/>
      <c r="AY21" s="43"/>
      <c r="AZ21" s="43"/>
    </row>
    <row r="22" spans="1:85" ht="18" customHeight="1">
      <c r="A22" s="36"/>
      <c r="B22" s="404">
        <v>0.60347222222222219</v>
      </c>
      <c r="C22" s="404"/>
      <c r="D22" s="404"/>
      <c r="E22" s="404"/>
      <c r="F22" s="562" t="s">
        <v>732</v>
      </c>
      <c r="G22" s="288"/>
      <c r="H22" s="288"/>
      <c r="I22" s="288"/>
      <c r="J22" s="288"/>
      <c r="K22" s="288"/>
      <c r="L22" s="288"/>
      <c r="M22" s="288"/>
      <c r="N22" s="288"/>
      <c r="O22" s="288"/>
      <c r="P22" s="288"/>
      <c r="Q22" s="288"/>
      <c r="R22" s="288"/>
      <c r="S22" s="288"/>
      <c r="T22" s="288"/>
      <c r="U22" s="288"/>
      <c r="V22" s="288"/>
      <c r="W22" s="288"/>
      <c r="X22" s="288"/>
      <c r="Y22" s="288"/>
      <c r="Z22" s="288"/>
      <c r="AA22" s="288"/>
      <c r="AB22" s="288"/>
      <c r="AC22" s="288"/>
      <c r="AD22" s="288"/>
      <c r="AE22" s="288"/>
      <c r="AF22" s="288"/>
      <c r="AG22" s="288"/>
      <c r="AH22" s="288"/>
      <c r="AI22" s="289"/>
      <c r="AK22" s="429" t="s">
        <v>627</v>
      </c>
      <c r="AL22" s="430"/>
      <c r="AM22" s="430"/>
      <c r="AN22" s="430"/>
      <c r="AO22" s="430"/>
      <c r="AP22" s="430"/>
      <c r="AQ22" s="63"/>
      <c r="AR22" s="427"/>
      <c r="AS22" s="433" t="s">
        <v>628</v>
      </c>
      <c r="AT22" s="434"/>
      <c r="AU22" s="435"/>
      <c r="AV22" s="435"/>
      <c r="AW22" s="60" t="s">
        <v>74</v>
      </c>
      <c r="AY22" s="413" t="s">
        <v>629</v>
      </c>
      <c r="AZ22" s="413"/>
      <c r="BA22" s="412"/>
      <c r="BB22" s="412"/>
    </row>
    <row r="23" spans="1:85" ht="18" customHeight="1" thickBot="1">
      <c r="A23" s="36"/>
      <c r="B23" s="404">
        <v>0.60416666666666663</v>
      </c>
      <c r="C23" s="404"/>
      <c r="D23" s="404"/>
      <c r="E23" s="404"/>
      <c r="F23" s="288" t="s">
        <v>733</v>
      </c>
      <c r="G23" s="288"/>
      <c r="H23" s="288"/>
      <c r="I23" s="288"/>
      <c r="J23" s="288"/>
      <c r="K23" s="288"/>
      <c r="L23" s="288"/>
      <c r="M23" s="288"/>
      <c r="N23" s="288"/>
      <c r="O23" s="288"/>
      <c r="P23" s="288"/>
      <c r="Q23" s="288"/>
      <c r="R23" s="288"/>
      <c r="S23" s="288"/>
      <c r="T23" s="288"/>
      <c r="U23" s="288"/>
      <c r="V23" s="288"/>
      <c r="W23" s="288"/>
      <c r="X23" s="288"/>
      <c r="Y23" s="288"/>
      <c r="Z23" s="288"/>
      <c r="AA23" s="288"/>
      <c r="AB23" s="288"/>
      <c r="AC23" s="288"/>
      <c r="AD23" s="288"/>
      <c r="AE23" s="288"/>
      <c r="AF23" s="288"/>
      <c r="AG23" s="288"/>
      <c r="AH23" s="288"/>
      <c r="AI23" s="289"/>
      <c r="AK23" s="431" t="s">
        <v>630</v>
      </c>
      <c r="AL23" s="432"/>
      <c r="AM23" s="432"/>
      <c r="AN23" s="432"/>
      <c r="AO23" s="432"/>
      <c r="AP23" s="432"/>
      <c r="AQ23" s="64"/>
      <c r="AR23" s="428"/>
      <c r="AS23" s="536" t="s">
        <v>631</v>
      </c>
      <c r="AT23" s="246"/>
      <c r="AU23" s="537"/>
      <c r="AV23" s="537"/>
      <c r="AW23" s="56" t="s">
        <v>632</v>
      </c>
      <c r="AY23" s="413" t="s">
        <v>633</v>
      </c>
      <c r="AZ23" s="413"/>
      <c r="BA23" s="412"/>
      <c r="BB23" s="412"/>
    </row>
    <row r="24" spans="1:85" ht="18" customHeight="1" thickBot="1">
      <c r="A24" s="36" t="s">
        <v>189</v>
      </c>
      <c r="B24" s="404">
        <v>0.79166666666666663</v>
      </c>
      <c r="C24" s="404"/>
      <c r="D24" s="404"/>
      <c r="E24" s="404"/>
      <c r="F24" s="288" t="s">
        <v>734</v>
      </c>
      <c r="G24" s="288"/>
      <c r="H24" s="288"/>
      <c r="I24" s="288"/>
      <c r="J24" s="288"/>
      <c r="K24" s="288"/>
      <c r="L24" s="288"/>
      <c r="M24" s="288"/>
      <c r="N24" s="288"/>
      <c r="O24" s="288"/>
      <c r="P24" s="288"/>
      <c r="Q24" s="288"/>
      <c r="R24" s="288"/>
      <c r="S24" s="288"/>
      <c r="T24" s="288"/>
      <c r="U24" s="288"/>
      <c r="V24" s="288"/>
      <c r="W24" s="288"/>
      <c r="X24" s="288"/>
      <c r="Y24" s="288"/>
      <c r="Z24" s="288"/>
      <c r="AA24" s="288"/>
      <c r="AB24" s="288"/>
      <c r="AC24" s="288"/>
      <c r="AD24" s="288"/>
      <c r="AE24" s="288"/>
      <c r="AF24" s="288"/>
      <c r="AG24" s="288"/>
      <c r="AH24" s="288"/>
      <c r="AI24" s="289"/>
      <c r="AK24" s="527" t="s">
        <v>634</v>
      </c>
      <c r="AL24" s="528"/>
      <c r="AM24" s="528"/>
      <c r="AN24" s="528"/>
      <c r="AO24" s="528"/>
      <c r="AP24" s="528"/>
      <c r="AQ24" s="65"/>
      <c r="AR24" s="43"/>
      <c r="AY24" s="413" t="s">
        <v>635</v>
      </c>
      <c r="AZ24" s="413"/>
      <c r="BA24" s="412"/>
      <c r="BB24" s="412"/>
    </row>
    <row r="25" spans="1:85" ht="18" customHeight="1">
      <c r="A25" s="36" t="s">
        <v>189</v>
      </c>
      <c r="B25" s="404">
        <v>0.89375000000000004</v>
      </c>
      <c r="C25" s="404"/>
      <c r="D25" s="404"/>
      <c r="E25" s="404"/>
      <c r="F25" s="288" t="s">
        <v>714</v>
      </c>
      <c r="G25" s="288"/>
      <c r="H25" s="288"/>
      <c r="I25" s="288"/>
      <c r="J25" s="288"/>
      <c r="K25" s="288"/>
      <c r="L25" s="288"/>
      <c r="M25" s="288"/>
      <c r="N25" s="288"/>
      <c r="O25" s="288"/>
      <c r="P25" s="288"/>
      <c r="Q25" s="288"/>
      <c r="R25" s="288"/>
      <c r="S25" s="288"/>
      <c r="T25" s="288"/>
      <c r="U25" s="288"/>
      <c r="V25" s="288"/>
      <c r="W25" s="288"/>
      <c r="X25" s="288"/>
      <c r="Y25" s="288"/>
      <c r="Z25" s="288"/>
      <c r="AA25" s="288"/>
      <c r="AB25" s="288"/>
      <c r="AC25" s="288"/>
      <c r="AD25" s="288"/>
      <c r="AE25" s="288"/>
      <c r="AF25" s="288"/>
      <c r="AG25" s="288"/>
      <c r="AH25" s="288"/>
      <c r="AI25" s="289"/>
      <c r="AK25" s="529" t="s">
        <v>636</v>
      </c>
      <c r="AL25" s="529"/>
      <c r="AM25" s="529"/>
      <c r="AN25" s="529"/>
      <c r="AO25" s="529"/>
      <c r="AP25" s="529"/>
      <c r="AQ25" s="66"/>
      <c r="AR25" s="43"/>
      <c r="AY25" s="413" t="s">
        <v>637</v>
      </c>
      <c r="AZ25" s="413"/>
      <c r="BA25" s="412"/>
      <c r="BB25" s="412"/>
    </row>
    <row r="26" spans="1:85" ht="18" customHeight="1">
      <c r="A26" s="36" t="s">
        <v>189</v>
      </c>
      <c r="B26" s="404">
        <v>0.93055555555555558</v>
      </c>
      <c r="C26" s="404"/>
      <c r="D26" s="404"/>
      <c r="E26" s="404"/>
      <c r="F26" s="288" t="s">
        <v>735</v>
      </c>
      <c r="G26" s="288"/>
      <c r="H26" s="288"/>
      <c r="I26" s="288"/>
      <c r="J26" s="288"/>
      <c r="K26" s="288"/>
      <c r="L26" s="288"/>
      <c r="M26" s="288"/>
      <c r="N26" s="288"/>
      <c r="O26" s="288"/>
      <c r="P26" s="288"/>
      <c r="Q26" s="288"/>
      <c r="R26" s="288"/>
      <c r="S26" s="288"/>
      <c r="T26" s="288"/>
      <c r="U26" s="288"/>
      <c r="V26" s="288"/>
      <c r="W26" s="288"/>
      <c r="X26" s="288"/>
      <c r="Y26" s="288"/>
      <c r="Z26" s="288"/>
      <c r="AA26" s="288"/>
      <c r="AB26" s="288"/>
      <c r="AC26" s="288"/>
      <c r="AD26" s="288"/>
      <c r="AE26" s="288"/>
      <c r="AF26" s="288"/>
      <c r="AG26" s="288"/>
      <c r="AH26" s="288"/>
      <c r="AI26" s="289"/>
      <c r="AK26" s="436" t="s">
        <v>638</v>
      </c>
      <c r="AL26" s="436"/>
      <c r="AM26" s="436"/>
      <c r="AN26" s="436"/>
      <c r="AO26" s="436"/>
      <c r="AP26" s="436"/>
      <c r="AQ26" s="67">
        <v>1</v>
      </c>
      <c r="AR26" s="43"/>
      <c r="AS26" s="548" t="s">
        <v>639</v>
      </c>
      <c r="AT26" s="549"/>
      <c r="AU26" s="549"/>
      <c r="AV26" s="549"/>
      <c r="AW26" s="550"/>
      <c r="AY26" s="147"/>
      <c r="AZ26" s="147"/>
      <c r="BA26" s="147"/>
      <c r="BB26" s="147"/>
    </row>
    <row r="27" spans="1:85" ht="18" customHeight="1">
      <c r="A27" s="36"/>
      <c r="B27" s="404">
        <v>0.93125000000000002</v>
      </c>
      <c r="C27" s="404"/>
      <c r="D27" s="404"/>
      <c r="E27" s="404"/>
      <c r="F27" s="288" t="s">
        <v>736</v>
      </c>
      <c r="G27" s="288"/>
      <c r="H27" s="288"/>
      <c r="I27" s="288"/>
      <c r="J27" s="288"/>
      <c r="K27" s="288"/>
      <c r="L27" s="288"/>
      <c r="M27" s="288"/>
      <c r="N27" s="288"/>
      <c r="O27" s="288"/>
      <c r="P27" s="288"/>
      <c r="Q27" s="288"/>
      <c r="R27" s="288"/>
      <c r="S27" s="288"/>
      <c r="T27" s="288"/>
      <c r="U27" s="288"/>
      <c r="V27" s="288"/>
      <c r="W27" s="288"/>
      <c r="X27" s="288"/>
      <c r="Y27" s="288"/>
      <c r="Z27" s="288"/>
      <c r="AA27" s="288"/>
      <c r="AB27" s="288"/>
      <c r="AC27" s="288"/>
      <c r="AD27" s="288"/>
      <c r="AE27" s="288"/>
      <c r="AF27" s="288"/>
      <c r="AG27" s="288"/>
      <c r="AH27" s="288"/>
      <c r="AI27" s="289"/>
      <c r="AK27" s="436" t="s">
        <v>640</v>
      </c>
      <c r="AL27" s="436"/>
      <c r="AM27" s="436"/>
      <c r="AN27" s="436"/>
      <c r="AO27" s="436"/>
      <c r="AP27" s="436"/>
      <c r="AQ27" s="67"/>
      <c r="AR27" s="43"/>
      <c r="AS27" s="458" t="s">
        <v>641</v>
      </c>
      <c r="AT27" s="460"/>
      <c r="AU27" s="458" t="s">
        <v>642</v>
      </c>
      <c r="AV27" s="459"/>
      <c r="AW27" s="460"/>
      <c r="AY27" s="411" t="s">
        <v>643</v>
      </c>
      <c r="AZ27" s="411"/>
      <c r="BA27" s="411"/>
      <c r="BB27" s="411"/>
    </row>
    <row r="28" spans="1:85" ht="18" customHeight="1" thickBot="1">
      <c r="A28" s="36"/>
      <c r="B28" s="404"/>
      <c r="C28" s="404"/>
      <c r="D28" s="404"/>
      <c r="E28" s="404"/>
      <c r="F28" s="288" t="s">
        <v>737</v>
      </c>
      <c r="G28" s="288"/>
      <c r="H28" s="288"/>
      <c r="I28" s="288"/>
      <c r="J28" s="288"/>
      <c r="K28" s="288"/>
      <c r="L28" s="288"/>
      <c r="M28" s="288"/>
      <c r="N28" s="288"/>
      <c r="O28" s="288"/>
      <c r="P28" s="288"/>
      <c r="Q28" s="288"/>
      <c r="R28" s="288"/>
      <c r="S28" s="288"/>
      <c r="T28" s="288"/>
      <c r="U28" s="288"/>
      <c r="V28" s="288"/>
      <c r="W28" s="288"/>
      <c r="X28" s="288"/>
      <c r="Y28" s="288"/>
      <c r="Z28" s="288"/>
      <c r="AA28" s="288"/>
      <c r="AB28" s="288"/>
      <c r="AC28" s="288"/>
      <c r="AD28" s="288"/>
      <c r="AE28" s="288"/>
      <c r="AF28" s="288"/>
      <c r="AG28" s="288"/>
      <c r="AH28" s="288"/>
      <c r="AI28" s="289"/>
      <c r="AK28" s="436" t="s">
        <v>644</v>
      </c>
      <c r="AL28" s="436"/>
      <c r="AM28" s="436"/>
      <c r="AN28" s="436"/>
      <c r="AO28" s="436"/>
      <c r="AP28" s="436"/>
      <c r="AQ28" s="67"/>
      <c r="AR28" s="43"/>
      <c r="AS28" s="538" t="s">
        <v>645</v>
      </c>
      <c r="AT28" s="539"/>
      <c r="AU28" s="533" t="s">
        <v>646</v>
      </c>
      <c r="AV28" s="534"/>
      <c r="AW28" s="535"/>
      <c r="AY28" s="413" t="s">
        <v>647</v>
      </c>
      <c r="AZ28" s="413"/>
      <c r="BA28" s="412"/>
      <c r="BB28" s="412"/>
    </row>
    <row r="29" spans="1:85" ht="18" customHeight="1" thickBot="1">
      <c r="A29" s="36" t="s">
        <v>189</v>
      </c>
      <c r="B29" s="404">
        <v>0.29166666666666669</v>
      </c>
      <c r="C29" s="404"/>
      <c r="D29" s="404"/>
      <c r="E29" s="404"/>
      <c r="F29" s="288" t="s">
        <v>689</v>
      </c>
      <c r="G29" s="288"/>
      <c r="H29" s="288"/>
      <c r="I29" s="288"/>
      <c r="J29" s="288"/>
      <c r="K29" s="288"/>
      <c r="L29" s="288"/>
      <c r="M29" s="288"/>
      <c r="N29" s="288"/>
      <c r="O29" s="288"/>
      <c r="P29" s="288"/>
      <c r="Q29" s="288"/>
      <c r="R29" s="288"/>
      <c r="S29" s="288"/>
      <c r="T29" s="288"/>
      <c r="U29" s="288"/>
      <c r="V29" s="288"/>
      <c r="W29" s="288"/>
      <c r="X29" s="288"/>
      <c r="Y29" s="288"/>
      <c r="Z29" s="288"/>
      <c r="AA29" s="288"/>
      <c r="AB29" s="288"/>
      <c r="AC29" s="288"/>
      <c r="AD29" s="288"/>
      <c r="AE29" s="288"/>
      <c r="AF29" s="288"/>
      <c r="AG29" s="288"/>
      <c r="AH29" s="288"/>
      <c r="AI29" s="289"/>
      <c r="AK29" s="524"/>
      <c r="AL29" s="524"/>
      <c r="AM29" s="524"/>
      <c r="AN29" s="524"/>
      <c r="AO29" s="524"/>
      <c r="AP29" s="524"/>
      <c r="AQ29" s="58"/>
      <c r="AR29" s="43"/>
      <c r="AS29" s="551">
        <v>3.8194444444444448E-2</v>
      </c>
      <c r="AT29" s="552"/>
      <c r="AU29" s="434" t="s">
        <v>738</v>
      </c>
      <c r="AV29" s="434"/>
      <c r="AW29" s="553"/>
      <c r="AY29" s="413" t="s">
        <v>633</v>
      </c>
      <c r="AZ29" s="413"/>
      <c r="BA29" s="412"/>
      <c r="BB29" s="412"/>
    </row>
    <row r="30" spans="1:85" ht="18" customHeight="1">
      <c r="A30" s="36"/>
      <c r="B30" s="404"/>
      <c r="C30" s="404"/>
      <c r="D30" s="404"/>
      <c r="E30" s="404"/>
      <c r="F30" s="288"/>
      <c r="G30" s="288"/>
      <c r="H30" s="288"/>
      <c r="I30" s="288"/>
      <c r="J30" s="288"/>
      <c r="K30" s="288"/>
      <c r="L30" s="288"/>
      <c r="M30" s="288"/>
      <c r="N30" s="288"/>
      <c r="O30" s="288"/>
      <c r="P30" s="288"/>
      <c r="Q30" s="288"/>
      <c r="R30" s="288"/>
      <c r="S30" s="288"/>
      <c r="T30" s="288"/>
      <c r="U30" s="288"/>
      <c r="V30" s="288"/>
      <c r="W30" s="288"/>
      <c r="X30" s="288"/>
      <c r="Y30" s="288"/>
      <c r="Z30" s="288"/>
      <c r="AA30" s="288"/>
      <c r="AB30" s="288"/>
      <c r="AC30" s="288"/>
      <c r="AD30" s="288"/>
      <c r="AE30" s="288"/>
      <c r="AF30" s="288"/>
      <c r="AG30" s="288"/>
      <c r="AH30" s="288"/>
      <c r="AI30" s="289"/>
      <c r="AK30" s="449" t="s">
        <v>648</v>
      </c>
      <c r="AL30" s="450"/>
      <c r="AM30" s="450"/>
      <c r="AN30" s="450"/>
      <c r="AO30" s="450"/>
      <c r="AP30" s="450"/>
      <c r="AQ30" s="62"/>
      <c r="AR30" s="43"/>
      <c r="AS30" s="554">
        <v>4.0972222222222222E-2</v>
      </c>
      <c r="AT30" s="532"/>
      <c r="AU30" s="439" t="s">
        <v>739</v>
      </c>
      <c r="AV30" s="439"/>
      <c r="AW30" s="555"/>
      <c r="AY30" s="413" t="s">
        <v>649</v>
      </c>
      <c r="AZ30" s="413"/>
      <c r="BA30" s="412"/>
      <c r="BB30" s="412"/>
    </row>
    <row r="31" spans="1:85" ht="18" customHeight="1" thickBot="1">
      <c r="A31" s="37"/>
      <c r="B31" s="466"/>
      <c r="C31" s="466"/>
      <c r="D31" s="466"/>
      <c r="E31" s="466"/>
      <c r="F31" s="467"/>
      <c r="G31" s="467"/>
      <c r="H31" s="467"/>
      <c r="I31" s="467"/>
      <c r="J31" s="467"/>
      <c r="K31" s="467"/>
      <c r="L31" s="467"/>
      <c r="M31" s="467"/>
      <c r="N31" s="467"/>
      <c r="O31" s="467"/>
      <c r="P31" s="467"/>
      <c r="Q31" s="467"/>
      <c r="R31" s="467"/>
      <c r="S31" s="467"/>
      <c r="T31" s="467"/>
      <c r="U31" s="467"/>
      <c r="V31" s="467"/>
      <c r="W31" s="467"/>
      <c r="X31" s="467"/>
      <c r="Y31" s="467"/>
      <c r="Z31" s="467"/>
      <c r="AA31" s="467"/>
      <c r="AB31" s="467"/>
      <c r="AC31" s="467"/>
      <c r="AD31" s="467"/>
      <c r="AE31" s="467"/>
      <c r="AF31" s="467"/>
      <c r="AG31" s="467"/>
      <c r="AH31" s="467"/>
      <c r="AI31" s="468"/>
      <c r="AK31" s="451" t="s">
        <v>650</v>
      </c>
      <c r="AL31" s="416"/>
      <c r="AM31" s="416"/>
      <c r="AN31" s="416"/>
      <c r="AO31" s="416"/>
      <c r="AP31" s="416"/>
      <c r="AQ31" s="64"/>
      <c r="AR31" s="48"/>
      <c r="AS31" s="556">
        <v>4.3055555555555555E-2</v>
      </c>
      <c r="AT31" s="557"/>
      <c r="AU31" s="424" t="s">
        <v>740</v>
      </c>
      <c r="AV31" s="424"/>
      <c r="AW31" s="491"/>
      <c r="AY31" s="413" t="s">
        <v>637</v>
      </c>
      <c r="AZ31" s="413"/>
      <c r="BA31" s="412"/>
      <c r="BB31" s="412"/>
    </row>
    <row r="32" spans="1:85" ht="18" customHeight="1" thickBot="1">
      <c r="A32" s="406" t="s">
        <v>651</v>
      </c>
      <c r="B32" s="407"/>
      <c r="C32" s="407"/>
      <c r="D32" s="407"/>
      <c r="E32" s="407"/>
      <c r="F32" s="407"/>
      <c r="G32" s="407"/>
      <c r="H32" s="407"/>
      <c r="I32" s="407"/>
      <c r="J32" s="407"/>
      <c r="K32" s="407"/>
      <c r="L32" s="407"/>
      <c r="M32" s="407"/>
      <c r="N32" s="407"/>
      <c r="O32" s="407"/>
      <c r="P32" s="407"/>
      <c r="Q32" s="407"/>
      <c r="R32" s="407"/>
      <c r="S32" s="407"/>
      <c r="T32" s="407"/>
      <c r="U32" s="407"/>
      <c r="V32" s="407"/>
      <c r="W32" s="407"/>
      <c r="X32" s="407"/>
      <c r="Y32" s="407"/>
      <c r="Z32" s="407"/>
      <c r="AA32" s="407"/>
      <c r="AB32" s="407"/>
      <c r="AC32" s="407"/>
      <c r="AD32" s="407"/>
      <c r="AE32" s="407"/>
      <c r="AF32" s="407"/>
      <c r="AG32" s="407"/>
      <c r="AH32" s="407"/>
      <c r="AI32" s="408"/>
      <c r="AK32" s="531"/>
      <c r="AL32" s="531"/>
      <c r="AM32" s="531"/>
      <c r="AN32" s="531"/>
      <c r="AO32" s="531"/>
      <c r="AP32" s="531"/>
      <c r="AQ32" s="61"/>
      <c r="AR32" s="48"/>
      <c r="AS32" s="558">
        <v>6.458333333333334E-2</v>
      </c>
      <c r="AT32" s="558"/>
      <c r="AU32" s="559" t="s">
        <v>741</v>
      </c>
      <c r="AV32" s="559"/>
      <c r="AW32" s="559"/>
      <c r="AY32" s="413" t="s">
        <v>652</v>
      </c>
      <c r="AZ32" s="413"/>
      <c r="BA32" s="412"/>
      <c r="BB32" s="412"/>
    </row>
    <row r="33" spans="1:80" ht="18" customHeight="1">
      <c r="A33" s="39"/>
      <c r="B33" s="546" t="s">
        <v>653</v>
      </c>
      <c r="C33" s="546"/>
      <c r="D33" s="546"/>
      <c r="E33" s="546"/>
      <c r="F33" s="417" t="str" cm="1">
        <f t="array" ref="F33">_xlfn.TEXTJOIN("/",TRUE,IF(AS29:AS31&lt;&gt;"",TEXT(AS29:AS31,"h:mm")&amp;" "&amp;AU29:AU31,""))</f>
        <v>0:55 40階風除室4/0:59 40階ジム/1:02 40階風除室7</v>
      </c>
      <c r="G33" s="418"/>
      <c r="H33" s="418"/>
      <c r="I33" s="418"/>
      <c r="J33" s="418"/>
      <c r="K33" s="418"/>
      <c r="L33" s="418"/>
      <c r="M33" s="418"/>
      <c r="N33" s="418"/>
      <c r="O33" s="418"/>
      <c r="P33" s="418"/>
      <c r="Q33" s="418"/>
      <c r="R33" s="418"/>
      <c r="S33" s="418"/>
      <c r="T33" s="418"/>
      <c r="U33" s="418"/>
      <c r="V33" s="418"/>
      <c r="W33" s="418"/>
      <c r="X33" s="418"/>
      <c r="Y33" s="418"/>
      <c r="Z33" s="418"/>
      <c r="AA33" s="418"/>
      <c r="AB33" s="418"/>
      <c r="AC33" s="418"/>
      <c r="AD33" s="418"/>
      <c r="AE33" s="418"/>
      <c r="AF33" s="418"/>
      <c r="AG33" s="418"/>
      <c r="AH33" s="418"/>
      <c r="AI33" s="419"/>
      <c r="AK33" s="449" t="s">
        <v>654</v>
      </c>
      <c r="AL33" s="450"/>
      <c r="AM33" s="450"/>
      <c r="AN33" s="450"/>
      <c r="AO33" s="450"/>
      <c r="AP33" s="450"/>
      <c r="AQ33" s="60"/>
      <c r="AR33" s="48"/>
      <c r="AS33" s="532"/>
      <c r="AT33" s="532"/>
      <c r="AU33" s="439"/>
      <c r="AV33" s="439"/>
      <c r="AW33" s="439"/>
      <c r="AY33" s="413" t="s">
        <v>655</v>
      </c>
      <c r="AZ33" s="413"/>
      <c r="BA33" s="412"/>
      <c r="BB33" s="412"/>
    </row>
    <row r="34" spans="1:80" ht="18" customHeight="1" thickBot="1">
      <c r="A34" s="39"/>
      <c r="B34" s="546" t="s">
        <v>656</v>
      </c>
      <c r="C34" s="546"/>
      <c r="D34" s="546"/>
      <c r="E34" s="546"/>
      <c r="F34" s="420" t="s">
        <v>79</v>
      </c>
      <c r="G34" s="420"/>
      <c r="H34" s="420"/>
      <c r="I34" s="420"/>
      <c r="J34" s="420"/>
      <c r="K34" s="420"/>
      <c r="L34" s="420"/>
      <c r="M34" s="420"/>
      <c r="N34" s="420"/>
      <c r="O34" s="420"/>
      <c r="P34" s="420"/>
      <c r="Q34" s="420"/>
      <c r="R34" s="420"/>
      <c r="S34" s="420"/>
      <c r="T34" s="420"/>
      <c r="U34" s="420"/>
      <c r="V34" s="420"/>
      <c r="W34" s="420"/>
      <c r="X34" s="420"/>
      <c r="Y34" s="420"/>
      <c r="Z34" s="420"/>
      <c r="AA34" s="420"/>
      <c r="AB34" s="420"/>
      <c r="AC34" s="421"/>
      <c r="AD34" s="421"/>
      <c r="AE34" s="421"/>
      <c r="AF34" s="421"/>
      <c r="AG34" s="421"/>
      <c r="AH34" s="421"/>
      <c r="AI34" s="422"/>
      <c r="AK34" s="451" t="s">
        <v>657</v>
      </c>
      <c r="AL34" s="416"/>
      <c r="AM34" s="416"/>
      <c r="AN34" s="416"/>
      <c r="AO34" s="416"/>
      <c r="AP34" s="416"/>
      <c r="AQ34" s="56"/>
      <c r="AR34" s="48"/>
      <c r="AS34" s="532"/>
      <c r="AT34" s="532"/>
      <c r="AU34" s="439"/>
      <c r="AV34" s="439"/>
      <c r="AW34" s="439"/>
      <c r="AY34" s="413" t="s">
        <v>658</v>
      </c>
      <c r="AZ34" s="413"/>
      <c r="BA34" s="412"/>
      <c r="BB34" s="412"/>
    </row>
    <row r="35" spans="1:80" ht="18" customHeight="1" thickBot="1">
      <c r="A35" s="57"/>
      <c r="B35" s="547" t="s">
        <v>659</v>
      </c>
      <c r="C35" s="547"/>
      <c r="D35" s="547"/>
      <c r="E35" s="547"/>
      <c r="F35" s="389" t="s">
        <v>660</v>
      </c>
      <c r="G35" s="389"/>
      <c r="H35" s="389"/>
      <c r="I35" s="389"/>
      <c r="J35" s="389"/>
      <c r="K35" s="389"/>
      <c r="L35" s="389"/>
      <c r="M35" s="389"/>
      <c r="N35" s="389"/>
      <c r="O35" s="389"/>
      <c r="P35" s="389"/>
      <c r="Q35" s="389"/>
      <c r="R35" s="389"/>
      <c r="S35" s="389"/>
      <c r="T35" s="389"/>
      <c r="U35" s="389"/>
      <c r="V35" s="389"/>
      <c r="W35" s="390" t="s">
        <v>661</v>
      </c>
      <c r="X35" s="391"/>
      <c r="Y35" s="391"/>
      <c r="Z35" s="391"/>
      <c r="AA35" s="391"/>
      <c r="AB35" s="391"/>
      <c r="AC35" s="392" t="s">
        <v>662</v>
      </c>
      <c r="AD35" s="393"/>
      <c r="AE35" s="393"/>
      <c r="AF35" s="393"/>
      <c r="AG35" s="393"/>
      <c r="AH35" s="393"/>
      <c r="AI35" s="394"/>
      <c r="AK35" s="531"/>
      <c r="AL35" s="531"/>
      <c r="AM35" s="531"/>
      <c r="AN35" s="531"/>
      <c r="AO35" s="531"/>
      <c r="AP35" s="531"/>
      <c r="AQ35" s="61"/>
      <c r="AR35" s="48"/>
      <c r="AS35" s="532"/>
      <c r="AT35" s="532"/>
      <c r="AU35" s="439"/>
      <c r="AV35" s="439"/>
      <c r="AW35" s="439"/>
      <c r="AY35" s="413" t="s">
        <v>663</v>
      </c>
      <c r="AZ35" s="413"/>
      <c r="BA35" s="412"/>
      <c r="BB35" s="412"/>
    </row>
    <row r="36" spans="1:80" ht="18" customHeight="1" thickBot="1">
      <c r="A36" s="492" t="s">
        <v>664</v>
      </c>
      <c r="B36" s="493"/>
      <c r="C36" s="493"/>
      <c r="D36" s="493"/>
      <c r="E36" s="493"/>
      <c r="F36" s="498">
        <v>4.1666666666666664E-2</v>
      </c>
      <c r="G36" s="439"/>
      <c r="H36" s="439"/>
      <c r="I36" s="439"/>
      <c r="J36" s="439"/>
      <c r="K36" s="439"/>
      <c r="L36" s="499" t="s">
        <v>665</v>
      </c>
      <c r="M36" s="489"/>
      <c r="N36" s="489"/>
      <c r="O36" s="500"/>
      <c r="P36" s="410" t="s">
        <v>43</v>
      </c>
      <c r="Q36" s="410"/>
      <c r="R36" s="410"/>
      <c r="S36" s="55" t="s">
        <v>666</v>
      </c>
      <c r="T36" s="410" t="s">
        <v>68</v>
      </c>
      <c r="U36" s="410"/>
      <c r="V36" s="530"/>
      <c r="W36" s="489" t="s">
        <v>667</v>
      </c>
      <c r="X36" s="489"/>
      <c r="Y36" s="489"/>
      <c r="Z36" s="489"/>
      <c r="AA36" s="489"/>
      <c r="AB36" s="489"/>
      <c r="AC36" s="490" t="s">
        <v>722</v>
      </c>
      <c r="AD36" s="487"/>
      <c r="AE36" s="487"/>
      <c r="AF36" s="487"/>
      <c r="AG36" s="487"/>
      <c r="AH36" s="487"/>
      <c r="AI36" s="488"/>
      <c r="AK36" s="525" t="s">
        <v>668</v>
      </c>
      <c r="AL36" s="526"/>
      <c r="AM36" s="526"/>
      <c r="AN36" s="526"/>
      <c r="AO36" s="526"/>
      <c r="AP36" s="526"/>
      <c r="AQ36" s="117"/>
      <c r="AR36" s="48"/>
      <c r="AS36" s="532"/>
      <c r="AT36" s="532"/>
      <c r="AU36" s="439"/>
      <c r="AV36" s="439"/>
      <c r="AW36" s="439"/>
      <c r="BH36" s="50"/>
      <c r="BI36" s="51"/>
    </row>
    <row r="37" spans="1:80" ht="18" customHeight="1" thickBot="1">
      <c r="A37" s="494" t="s">
        <v>669</v>
      </c>
      <c r="B37" s="495"/>
      <c r="C37" s="495"/>
      <c r="D37" s="495"/>
      <c r="E37" s="495"/>
      <c r="F37" s="487"/>
      <c r="G37" s="487"/>
      <c r="H37" s="487"/>
      <c r="I37" s="487"/>
      <c r="J37" s="487"/>
      <c r="K37" s="487"/>
      <c r="L37" s="487"/>
      <c r="M37" s="487"/>
      <c r="N37" s="487"/>
      <c r="O37" s="487"/>
      <c r="P37" s="487"/>
      <c r="Q37" s="487"/>
      <c r="R37" s="487"/>
      <c r="S37" s="487"/>
      <c r="T37" s="487"/>
      <c r="U37" s="487"/>
      <c r="V37" s="487"/>
      <c r="W37" s="487"/>
      <c r="X37" s="487"/>
      <c r="Y37" s="487"/>
      <c r="Z37" s="487"/>
      <c r="AA37" s="487"/>
      <c r="AB37" s="487"/>
      <c r="AC37" s="487"/>
      <c r="AD37" s="487"/>
      <c r="AE37" s="487"/>
      <c r="AF37" s="487"/>
      <c r="AG37" s="487"/>
      <c r="AH37" s="487"/>
      <c r="AI37" s="488"/>
      <c r="AK37" s="544" t="s">
        <v>240</v>
      </c>
      <c r="AL37" s="545"/>
      <c r="AM37" s="545"/>
      <c r="AN37" s="545"/>
      <c r="AO37" s="545"/>
      <c r="AP37" s="545"/>
      <c r="AQ37" s="122"/>
      <c r="AR37" s="48"/>
      <c r="AS37" s="532"/>
      <c r="AT37" s="532"/>
      <c r="AU37" s="439"/>
      <c r="AV37" s="439"/>
      <c r="AW37" s="439"/>
      <c r="BH37" s="50"/>
      <c r="BI37" s="51"/>
    </row>
    <row r="38" spans="1:80" ht="18" customHeight="1" thickBot="1">
      <c r="A38" s="496" t="s">
        <v>670</v>
      </c>
      <c r="B38" s="497"/>
      <c r="C38" s="497"/>
      <c r="D38" s="497"/>
      <c r="E38" s="497"/>
      <c r="F38" s="416" t="s">
        <v>667</v>
      </c>
      <c r="G38" s="416"/>
      <c r="H38" s="416"/>
      <c r="I38" s="416"/>
      <c r="J38" s="416"/>
      <c r="K38" s="416"/>
      <c r="L38" s="424" t="s">
        <v>722</v>
      </c>
      <c r="M38" s="424"/>
      <c r="N38" s="424"/>
      <c r="O38" s="424"/>
      <c r="P38" s="416" t="s">
        <v>671</v>
      </c>
      <c r="Q38" s="416"/>
      <c r="R38" s="416"/>
      <c r="S38" s="416"/>
      <c r="T38" s="416"/>
      <c r="U38" s="416"/>
      <c r="V38" s="416"/>
      <c r="W38" s="416" t="s">
        <v>667</v>
      </c>
      <c r="X38" s="416"/>
      <c r="Y38" s="416"/>
      <c r="Z38" s="416"/>
      <c r="AA38" s="416"/>
      <c r="AB38" s="416"/>
      <c r="AC38" s="424" t="s">
        <v>722</v>
      </c>
      <c r="AD38" s="424"/>
      <c r="AE38" s="424"/>
      <c r="AF38" s="424"/>
      <c r="AG38" s="424"/>
      <c r="AH38" s="424"/>
      <c r="AI38" s="491"/>
      <c r="AK38" s="543"/>
      <c r="AL38" s="543"/>
      <c r="AM38" s="543"/>
      <c r="AN38" s="543"/>
      <c r="AO38" s="543"/>
      <c r="AP38" s="543"/>
      <c r="AQ38" s="59"/>
      <c r="AR38" s="48"/>
      <c r="BC38" s="50"/>
      <c r="BD38" s="51"/>
    </row>
    <row r="39" spans="1:80" ht="18" customHeight="1">
      <c r="A39" s="452" t="s">
        <v>672</v>
      </c>
      <c r="B39" s="453"/>
      <c r="C39" s="453"/>
      <c r="D39" s="453"/>
      <c r="E39" s="453"/>
      <c r="F39" s="453"/>
      <c r="G39" s="453"/>
      <c r="H39" s="453"/>
      <c r="I39" s="453"/>
      <c r="J39" s="453"/>
      <c r="K39" s="453"/>
      <c r="L39" s="453"/>
      <c r="M39" s="453"/>
      <c r="N39" s="453"/>
      <c r="O39" s="453"/>
      <c r="P39" s="453"/>
      <c r="Q39" s="453"/>
      <c r="R39" s="453"/>
      <c r="S39" s="453"/>
      <c r="T39" s="453"/>
      <c r="U39" s="453"/>
      <c r="V39" s="453"/>
      <c r="W39" s="453"/>
      <c r="X39" s="453"/>
      <c r="Y39" s="453"/>
      <c r="Z39" s="453"/>
      <c r="AA39" s="453"/>
      <c r="AB39" s="453"/>
      <c r="AC39" s="453"/>
      <c r="AD39" s="453"/>
      <c r="AE39" s="453"/>
      <c r="AF39" s="453"/>
      <c r="AG39" s="453"/>
      <c r="AH39" s="453"/>
      <c r="AI39" s="454"/>
      <c r="AK39" s="444" t="s">
        <v>673</v>
      </c>
      <c r="AL39" s="444"/>
      <c r="AM39" s="444"/>
      <c r="AN39" s="444"/>
      <c r="AO39" s="444"/>
      <c r="AP39" s="444"/>
      <c r="AQ39" s="42"/>
      <c r="AR39" s="48"/>
      <c r="AS39" s="423" t="s">
        <v>526</v>
      </c>
      <c r="AT39" s="423"/>
      <c r="AU39" s="148">
        <v>37</v>
      </c>
      <c r="AV39" s="423" t="s">
        <v>528</v>
      </c>
      <c r="AW39" s="423"/>
      <c r="BC39" s="50"/>
      <c r="BD39" s="51"/>
    </row>
    <row r="40" spans="1:80" ht="18" customHeight="1">
      <c r="A40" s="464" t="s">
        <v>674</v>
      </c>
      <c r="B40" s="459"/>
      <c r="C40" s="459"/>
      <c r="D40" s="459"/>
      <c r="E40" s="470" t="s">
        <v>675</v>
      </c>
      <c r="F40" s="471"/>
      <c r="G40" s="471"/>
      <c r="H40" s="471"/>
      <c r="I40" s="471"/>
      <c r="J40" s="471"/>
      <c r="K40" s="472"/>
      <c r="L40" s="458" t="s">
        <v>676</v>
      </c>
      <c r="M40" s="459"/>
      <c r="N40" s="459"/>
      <c r="O40" s="459"/>
      <c r="P40" s="459"/>
      <c r="Q40" s="459"/>
      <c r="R40" s="460"/>
      <c r="S40" s="458" t="s">
        <v>677</v>
      </c>
      <c r="T40" s="459"/>
      <c r="U40" s="459"/>
      <c r="V40" s="459"/>
      <c r="W40" s="470" t="s">
        <v>675</v>
      </c>
      <c r="X40" s="471"/>
      <c r="Y40" s="471"/>
      <c r="Z40" s="471"/>
      <c r="AA40" s="471"/>
      <c r="AB40" s="471"/>
      <c r="AC40" s="472"/>
      <c r="AD40" s="458" t="s">
        <v>678</v>
      </c>
      <c r="AE40" s="459"/>
      <c r="AF40" s="459"/>
      <c r="AG40" s="459"/>
      <c r="AH40" s="459"/>
      <c r="AI40" s="463"/>
      <c r="AK40" s="444" t="s">
        <v>679</v>
      </c>
      <c r="AL40" s="444"/>
      <c r="AM40" s="444"/>
      <c r="AN40" s="444"/>
      <c r="AO40" s="444"/>
      <c r="AP40" s="444"/>
      <c r="AQ40" s="42"/>
      <c r="AR40" s="48"/>
      <c r="AS40" s="423" t="s">
        <v>527</v>
      </c>
      <c r="AT40" s="423"/>
      <c r="AU40" s="148">
        <v>33</v>
      </c>
      <c r="AV40" s="560">
        <v>0.77549999999999997</v>
      </c>
      <c r="AW40" s="560"/>
      <c r="BC40" s="50"/>
      <c r="BD40" s="51"/>
    </row>
    <row r="41" spans="1:80" ht="18" customHeight="1">
      <c r="A41" s="464" t="s">
        <v>16</v>
      </c>
      <c r="B41" s="459"/>
      <c r="C41" s="459"/>
      <c r="D41" s="459"/>
      <c r="E41" s="469">
        <f>AX10</f>
        <v>0.33333333333333331</v>
      </c>
      <c r="F41" s="456"/>
      <c r="G41" s="456"/>
      <c r="H41" s="144" t="s">
        <v>680</v>
      </c>
      <c r="I41" s="456">
        <f>AY10</f>
        <v>0.83333333333333337</v>
      </c>
      <c r="J41" s="456"/>
      <c r="K41" s="457"/>
      <c r="L41" s="458" t="str">
        <f>AU10</f>
        <v>三角龍彦</v>
      </c>
      <c r="M41" s="459"/>
      <c r="N41" s="459"/>
      <c r="O41" s="459"/>
      <c r="P41" s="459"/>
      <c r="Q41" s="459"/>
      <c r="R41" s="460"/>
      <c r="S41" s="409" t="s">
        <v>31</v>
      </c>
      <c r="T41" s="410"/>
      <c r="U41" s="410"/>
      <c r="V41" s="410"/>
      <c r="W41" s="414">
        <v>0.39583333333333331</v>
      </c>
      <c r="X41" s="415"/>
      <c r="Y41" s="415"/>
      <c r="Z41" s="40" t="s">
        <v>680</v>
      </c>
      <c r="AA41" s="415">
        <v>0.77083333333333337</v>
      </c>
      <c r="AB41" s="415"/>
      <c r="AC41" s="461"/>
      <c r="AD41" s="409" t="str">
        <f>AU14</f>
        <v>松葉眞</v>
      </c>
      <c r="AE41" s="410"/>
      <c r="AF41" s="410"/>
      <c r="AG41" s="410"/>
      <c r="AH41" s="410"/>
      <c r="AI41" s="462"/>
      <c r="AK41" s="444" t="s">
        <v>681</v>
      </c>
      <c r="AL41" s="444"/>
      <c r="AM41" s="444"/>
      <c r="AN41" s="444"/>
      <c r="AO41" s="444"/>
      <c r="AP41" s="444"/>
      <c r="AQ41" s="42"/>
      <c r="AR41" s="48"/>
      <c r="BC41" s="50"/>
      <c r="BD41" s="51"/>
    </row>
    <row r="42" spans="1:80" ht="18" customHeight="1">
      <c r="A42" s="464" t="s">
        <v>24</v>
      </c>
      <c r="B42" s="459"/>
      <c r="C42" s="459"/>
      <c r="D42" s="459"/>
      <c r="E42" s="469">
        <f>AX13</f>
        <v>0.33333333333333331</v>
      </c>
      <c r="F42" s="456"/>
      <c r="G42" s="456"/>
      <c r="H42" s="144" t="s">
        <v>680</v>
      </c>
      <c r="I42" s="456">
        <f>AY12</f>
        <v>0.83333333333333337</v>
      </c>
      <c r="J42" s="456"/>
      <c r="K42" s="457"/>
      <c r="L42" s="458" t="str">
        <f>AU13</f>
        <v>木村重明</v>
      </c>
      <c r="M42" s="459"/>
      <c r="N42" s="459"/>
      <c r="O42" s="459"/>
      <c r="P42" s="459"/>
      <c r="Q42" s="459"/>
      <c r="R42" s="460"/>
      <c r="S42" s="409"/>
      <c r="T42" s="410"/>
      <c r="U42" s="410"/>
      <c r="V42" s="410"/>
      <c r="W42" s="414"/>
      <c r="X42" s="415"/>
      <c r="Y42" s="415"/>
      <c r="Z42" s="136"/>
      <c r="AA42" s="415"/>
      <c r="AB42" s="415"/>
      <c r="AC42" s="461"/>
      <c r="AD42" s="409">
        <f>AU15</f>
        <v>0</v>
      </c>
      <c r="AE42" s="410"/>
      <c r="AF42" s="410"/>
      <c r="AG42" s="410"/>
      <c r="AH42" s="410"/>
      <c r="AI42" s="462"/>
      <c r="AK42" s="445" t="s">
        <v>682</v>
      </c>
      <c r="AL42" s="445"/>
      <c r="AM42" s="445"/>
      <c r="AN42" s="445"/>
      <c r="AO42" s="445"/>
      <c r="AP42" s="445"/>
      <c r="AQ42" s="42"/>
      <c r="AR42" s="48"/>
      <c r="AS42" s="561" t="s">
        <v>683</v>
      </c>
      <c r="AT42" s="561"/>
      <c r="AU42" s="561"/>
      <c r="AV42" s="561"/>
      <c r="AW42" s="561"/>
      <c r="BC42" s="50"/>
      <c r="BD42" s="51"/>
    </row>
    <row r="43" spans="1:80" ht="18" customHeight="1">
      <c r="A43" s="464" t="s">
        <v>38</v>
      </c>
      <c r="B43" s="459"/>
      <c r="C43" s="459"/>
      <c r="D43" s="459"/>
      <c r="E43" s="469">
        <f>AX16</f>
        <v>0.83333333333333337</v>
      </c>
      <c r="F43" s="456"/>
      <c r="G43" s="456"/>
      <c r="H43" s="144" t="s">
        <v>680</v>
      </c>
      <c r="I43" s="456" t="str">
        <f>AY16</f>
        <v>翌8:00</v>
      </c>
      <c r="J43" s="456"/>
      <c r="K43" s="457"/>
      <c r="L43" s="458" t="str">
        <f>AU16</f>
        <v>山本喜久</v>
      </c>
      <c r="M43" s="459"/>
      <c r="N43" s="459"/>
      <c r="O43" s="459"/>
      <c r="P43" s="459"/>
      <c r="Q43" s="459"/>
      <c r="R43" s="460"/>
      <c r="S43" s="409"/>
      <c r="T43" s="410"/>
      <c r="U43" s="410"/>
      <c r="V43" s="410"/>
      <c r="W43" s="414"/>
      <c r="X43" s="415"/>
      <c r="Y43" s="415"/>
      <c r="Z43" s="136"/>
      <c r="AA43" s="415"/>
      <c r="AB43" s="415"/>
      <c r="AC43" s="461"/>
      <c r="AD43" s="486">
        <f>AU18</f>
        <v>0</v>
      </c>
      <c r="AE43" s="410"/>
      <c r="AF43" s="410"/>
      <c r="AG43" s="410"/>
      <c r="AH43" s="410"/>
      <c r="AI43" s="462"/>
      <c r="AK43" s="444" t="s">
        <v>684</v>
      </c>
      <c r="AL43" s="444"/>
      <c r="AM43" s="444"/>
      <c r="AN43" s="444"/>
      <c r="AO43" s="444"/>
      <c r="AP43" s="444"/>
      <c r="AQ43" s="42"/>
      <c r="AR43" s="43"/>
      <c r="AW43"/>
      <c r="AX43"/>
      <c r="AY43"/>
      <c r="AZ43"/>
      <c r="BA43"/>
      <c r="BB43"/>
      <c r="BC43" s="50"/>
      <c r="BD43" s="51"/>
      <c r="BE43"/>
      <c r="BF43"/>
      <c r="BG43"/>
      <c r="BH43"/>
      <c r="BI43"/>
      <c r="BJ43"/>
      <c r="BK43"/>
      <c r="BL43"/>
      <c r="BM43"/>
      <c r="BN43"/>
      <c r="BO43"/>
      <c r="BP43"/>
      <c r="BQ43"/>
      <c r="BR43"/>
      <c r="BS43"/>
      <c r="BT43"/>
      <c r="BU43"/>
      <c r="BV43"/>
      <c r="BW43"/>
      <c r="BX43"/>
      <c r="BY43"/>
      <c r="BZ43"/>
      <c r="CA43"/>
      <c r="CB43"/>
    </row>
    <row r="44" spans="1:80" ht="18" customHeight="1" thickBot="1">
      <c r="A44" s="473" t="s">
        <v>45</v>
      </c>
      <c r="B44" s="474"/>
      <c r="C44" s="474"/>
      <c r="D44" s="474"/>
      <c r="E44" s="475">
        <f>AX17</f>
        <v>0.83333333333333337</v>
      </c>
      <c r="F44" s="476"/>
      <c r="G44" s="476"/>
      <c r="H44" s="145" t="s">
        <v>680</v>
      </c>
      <c r="I44" s="476" t="str">
        <f>AY17</f>
        <v>翌8:00</v>
      </c>
      <c r="J44" s="476"/>
      <c r="K44" s="477"/>
      <c r="L44" s="478" t="str">
        <f>AU17</f>
        <v>石井忠志</v>
      </c>
      <c r="M44" s="478"/>
      <c r="N44" s="478"/>
      <c r="O44" s="478"/>
      <c r="P44" s="478"/>
      <c r="Q44" s="478"/>
      <c r="R44" s="478"/>
      <c r="S44" s="479"/>
      <c r="T44" s="480"/>
      <c r="U44" s="480"/>
      <c r="V44" s="480"/>
      <c r="W44" s="481"/>
      <c r="X44" s="482"/>
      <c r="Y44" s="482"/>
      <c r="Z44" s="137"/>
      <c r="AA44" s="482"/>
      <c r="AB44" s="482"/>
      <c r="AC44" s="483"/>
      <c r="AD44" s="484">
        <f>AU19</f>
        <v>0</v>
      </c>
      <c r="AE44" s="480"/>
      <c r="AF44" s="480"/>
      <c r="AG44" s="480"/>
      <c r="AH44" s="480"/>
      <c r="AI44" s="485"/>
      <c r="AK44" s="446" t="s">
        <v>685</v>
      </c>
      <c r="AL44" s="446"/>
      <c r="AM44" s="446"/>
      <c r="AN44" s="446"/>
      <c r="AO44" s="446"/>
      <c r="AP44" s="446"/>
      <c r="AQ44" s="42"/>
      <c r="AR44" s="43"/>
      <c r="BC44" s="50"/>
      <c r="BD44" s="51"/>
    </row>
    <row r="45" spans="1:80" ht="18" customHeight="1" thickBot="1">
      <c r="A45" s="27"/>
      <c r="B45" s="27"/>
      <c r="C45" s="27"/>
      <c r="D45" s="27"/>
      <c r="E45" s="27"/>
      <c r="F45" s="27"/>
      <c r="G45" s="27"/>
      <c r="H45" s="27"/>
      <c r="I45" s="27"/>
      <c r="R45" s="307">
        <f>A7</f>
        <v>46176</v>
      </c>
      <c r="S45" s="308"/>
      <c r="T45" s="308"/>
      <c r="U45" s="308"/>
      <c r="V45" s="23" t="s">
        <v>169</v>
      </c>
      <c r="W45" s="309">
        <f>G7</f>
        <v>46176</v>
      </c>
      <c r="X45" s="308"/>
      <c r="Y45" s="23" t="s">
        <v>170</v>
      </c>
      <c r="Z45" s="310">
        <f>K7</f>
        <v>46176</v>
      </c>
      <c r="AA45" s="308"/>
      <c r="AB45" s="23" t="s">
        <v>3</v>
      </c>
      <c r="AC45" s="455">
        <f>O7</f>
        <v>46176</v>
      </c>
      <c r="AD45" s="308"/>
      <c r="AE45" s="308" t="s">
        <v>292</v>
      </c>
      <c r="AF45" s="308"/>
      <c r="AK45" s="425" t="s">
        <v>686</v>
      </c>
      <c r="AL45" s="425"/>
      <c r="AM45" s="425"/>
      <c r="AN45" s="425"/>
      <c r="AO45" s="425"/>
      <c r="AP45" s="425"/>
      <c r="AQ45" s="42"/>
      <c r="AR45" s="43"/>
      <c r="BC45" s="50"/>
      <c r="BD45" s="51"/>
    </row>
    <row r="46" spans="1:80" customFormat="1" ht="18" customHeight="1">
      <c r="A46" s="452" t="s">
        <v>598</v>
      </c>
      <c r="B46" s="453"/>
      <c r="C46" s="453"/>
      <c r="D46" s="453"/>
      <c r="E46" s="453"/>
      <c r="F46" s="453"/>
      <c r="G46" s="453"/>
      <c r="H46" s="453"/>
      <c r="I46" s="453"/>
      <c r="J46" s="453"/>
      <c r="K46" s="453"/>
      <c r="L46" s="453"/>
      <c r="M46" s="453"/>
      <c r="N46" s="453"/>
      <c r="O46" s="453"/>
      <c r="P46" s="453"/>
      <c r="Q46" s="453"/>
      <c r="R46" s="453"/>
      <c r="S46" s="453"/>
      <c r="T46" s="453"/>
      <c r="U46" s="453"/>
      <c r="V46" s="453"/>
      <c r="W46" s="453"/>
      <c r="X46" s="453"/>
      <c r="Y46" s="453"/>
      <c r="Z46" s="453"/>
      <c r="AA46" s="453"/>
      <c r="AB46" s="453"/>
      <c r="AC46" s="453"/>
      <c r="AD46" s="453"/>
      <c r="AE46" s="453"/>
      <c r="AF46" s="453"/>
      <c r="AG46" s="453"/>
      <c r="AH46" s="453"/>
      <c r="AI46" s="454"/>
      <c r="AK46" s="425" t="s">
        <v>687</v>
      </c>
      <c r="AL46" s="425"/>
      <c r="AM46" s="425"/>
      <c r="AN46" s="425"/>
      <c r="AO46" s="425"/>
      <c r="AP46" s="425"/>
      <c r="AQ46" s="42"/>
      <c r="AR46" s="43"/>
      <c r="AW46" s="23"/>
      <c r="AX46" s="23"/>
      <c r="AY46" s="23"/>
      <c r="AZ46" s="23"/>
      <c r="BA46" s="23"/>
      <c r="BB46" s="23"/>
      <c r="BC46" s="50"/>
      <c r="BD46" s="51"/>
      <c r="BE46" s="23"/>
      <c r="BF46" s="23"/>
      <c r="BG46" s="23"/>
      <c r="BH46" s="23"/>
      <c r="BI46" s="23"/>
      <c r="BJ46" s="23"/>
      <c r="BK46" s="23"/>
      <c r="BL46" s="23"/>
      <c r="BM46" s="23"/>
      <c r="BN46" s="23"/>
      <c r="BO46" s="23"/>
      <c r="BP46" s="23"/>
      <c r="BQ46" s="23"/>
      <c r="BR46" s="23"/>
      <c r="BS46" s="23"/>
      <c r="BT46" s="23"/>
      <c r="BU46" s="23"/>
      <c r="BV46" s="23"/>
      <c r="BW46" s="23"/>
      <c r="BX46" s="23"/>
      <c r="BY46" s="23"/>
      <c r="BZ46" s="23"/>
      <c r="CA46" s="23"/>
      <c r="CB46" s="23"/>
    </row>
    <row r="47" spans="1:80" ht="18" customHeight="1">
      <c r="A47" s="36"/>
      <c r="B47" s="404"/>
      <c r="C47" s="404"/>
      <c r="D47" s="404"/>
      <c r="E47" s="404"/>
      <c r="F47" s="288"/>
      <c r="G47" s="288"/>
      <c r="H47" s="288"/>
      <c r="I47" s="288"/>
      <c r="J47" s="288"/>
      <c r="K47" s="288"/>
      <c r="L47" s="288"/>
      <c r="M47" s="288"/>
      <c r="N47" s="288"/>
      <c r="O47" s="288"/>
      <c r="P47" s="288"/>
      <c r="Q47" s="288"/>
      <c r="R47" s="288"/>
      <c r="S47" s="288"/>
      <c r="T47" s="288"/>
      <c r="U47" s="288"/>
      <c r="V47" s="288"/>
      <c r="W47" s="288"/>
      <c r="X47" s="288"/>
      <c r="Y47" s="288"/>
      <c r="Z47" s="288"/>
      <c r="AA47" s="288"/>
      <c r="AB47" s="288"/>
      <c r="AC47" s="288"/>
      <c r="AD47" s="288"/>
      <c r="AE47" s="288"/>
      <c r="AF47" s="288"/>
      <c r="AG47" s="288"/>
      <c r="AH47" s="288"/>
      <c r="AI47" s="289"/>
      <c r="AK47" s="425" t="s">
        <v>688</v>
      </c>
      <c r="AL47" s="425"/>
      <c r="AM47" s="425"/>
      <c r="AN47" s="425"/>
      <c r="AO47" s="425"/>
      <c r="AP47" s="425"/>
      <c r="AQ47" s="42"/>
      <c r="AR47" s="43"/>
      <c r="AS47" s="120" t="s">
        <v>189</v>
      </c>
      <c r="AT47" s="43" t="s">
        <v>728</v>
      </c>
      <c r="AU47" s="43"/>
      <c r="BC47" s="50"/>
      <c r="BD47" s="51"/>
    </row>
    <row r="48" spans="1:80" ht="18" customHeight="1">
      <c r="A48" s="36"/>
      <c r="B48" s="404"/>
      <c r="C48" s="404"/>
      <c r="D48" s="404"/>
      <c r="E48" s="404"/>
      <c r="F48" s="288"/>
      <c r="G48" s="288"/>
      <c r="H48" s="288"/>
      <c r="I48" s="288"/>
      <c r="J48" s="288"/>
      <c r="K48" s="288"/>
      <c r="L48" s="288"/>
      <c r="M48" s="288"/>
      <c r="N48" s="288"/>
      <c r="O48" s="288"/>
      <c r="P48" s="288"/>
      <c r="Q48" s="288"/>
      <c r="R48" s="288"/>
      <c r="S48" s="288"/>
      <c r="T48" s="288"/>
      <c r="U48" s="288"/>
      <c r="V48" s="288"/>
      <c r="W48" s="288"/>
      <c r="X48" s="288"/>
      <c r="Y48" s="288"/>
      <c r="Z48" s="288"/>
      <c r="AA48" s="288"/>
      <c r="AB48" s="288"/>
      <c r="AC48" s="288"/>
      <c r="AD48" s="288"/>
      <c r="AE48" s="288"/>
      <c r="AF48" s="288"/>
      <c r="AG48" s="288"/>
      <c r="AH48" s="288"/>
      <c r="AI48" s="289"/>
      <c r="AK48" s="425" t="s">
        <v>690</v>
      </c>
      <c r="AL48" s="425"/>
      <c r="AM48" s="425"/>
      <c r="AN48" s="425"/>
      <c r="AO48" s="425"/>
      <c r="AP48" s="425"/>
      <c r="AQ48" s="42"/>
      <c r="AR48" s="43"/>
      <c r="AS48" s="43"/>
      <c r="AT48" s="43"/>
      <c r="AU48" s="43"/>
      <c r="BC48" s="50"/>
      <c r="BD48" s="51"/>
    </row>
    <row r="49" spans="1:61" ht="18" customHeight="1">
      <c r="A49" s="36"/>
      <c r="B49" s="404"/>
      <c r="C49" s="404"/>
      <c r="D49" s="404"/>
      <c r="E49" s="404"/>
      <c r="F49" s="288"/>
      <c r="G49" s="288"/>
      <c r="H49" s="288"/>
      <c r="I49" s="288"/>
      <c r="J49" s="288"/>
      <c r="K49" s="288"/>
      <c r="L49" s="288"/>
      <c r="M49" s="288"/>
      <c r="N49" s="288"/>
      <c r="O49" s="288"/>
      <c r="P49" s="288"/>
      <c r="Q49" s="288"/>
      <c r="R49" s="288"/>
      <c r="S49" s="288"/>
      <c r="T49" s="288"/>
      <c r="U49" s="288"/>
      <c r="V49" s="288"/>
      <c r="W49" s="288"/>
      <c r="X49" s="288"/>
      <c r="Y49" s="288"/>
      <c r="Z49" s="288"/>
      <c r="AA49" s="288"/>
      <c r="AB49" s="288"/>
      <c r="AC49" s="288"/>
      <c r="AD49" s="288"/>
      <c r="AE49" s="288"/>
      <c r="AF49" s="288"/>
      <c r="AG49" s="288"/>
      <c r="AH49" s="288"/>
      <c r="AI49" s="289"/>
      <c r="AK49" s="425" t="s">
        <v>691</v>
      </c>
      <c r="AL49" s="425"/>
      <c r="AM49" s="425"/>
      <c r="AN49" s="425"/>
      <c r="AO49" s="425"/>
      <c r="AP49" s="425"/>
      <c r="AQ49" s="42"/>
      <c r="AR49" s="43"/>
      <c r="AS49" s="43"/>
      <c r="AT49" s="43"/>
      <c r="AU49" s="43"/>
      <c r="BC49" s="50"/>
      <c r="BD49" s="51"/>
    </row>
    <row r="50" spans="1:61" ht="18" customHeight="1">
      <c r="A50" s="36"/>
      <c r="B50" s="404"/>
      <c r="C50" s="404"/>
      <c r="D50" s="404"/>
      <c r="E50" s="404"/>
      <c r="F50" s="288"/>
      <c r="G50" s="288"/>
      <c r="H50" s="288"/>
      <c r="I50" s="288"/>
      <c r="J50" s="288"/>
      <c r="K50" s="288"/>
      <c r="L50" s="288"/>
      <c r="M50" s="288"/>
      <c r="N50" s="288"/>
      <c r="O50" s="288"/>
      <c r="P50" s="288"/>
      <c r="Q50" s="288"/>
      <c r="R50" s="288"/>
      <c r="S50" s="288"/>
      <c r="T50" s="288"/>
      <c r="U50" s="288"/>
      <c r="V50" s="288"/>
      <c r="W50" s="288"/>
      <c r="X50" s="288"/>
      <c r="Y50" s="288"/>
      <c r="Z50" s="288"/>
      <c r="AA50" s="288"/>
      <c r="AB50" s="288"/>
      <c r="AC50" s="288"/>
      <c r="AD50" s="288"/>
      <c r="AE50" s="288"/>
      <c r="AF50" s="288"/>
      <c r="AG50" s="288"/>
      <c r="AH50" s="288"/>
      <c r="AI50" s="289"/>
      <c r="AK50" s="425" t="s">
        <v>692</v>
      </c>
      <c r="AL50" s="425"/>
      <c r="AM50" s="425"/>
      <c r="AN50" s="425"/>
      <c r="AO50" s="425"/>
      <c r="AP50" s="425"/>
      <c r="AQ50" s="42"/>
      <c r="AR50" s="43"/>
      <c r="AS50" s="43"/>
      <c r="AT50" s="43"/>
      <c r="AU50" s="43"/>
      <c r="BC50" s="50"/>
      <c r="BD50" s="51"/>
    </row>
    <row r="51" spans="1:61" ht="18" customHeight="1">
      <c r="A51" s="36"/>
      <c r="B51" s="404"/>
      <c r="C51" s="404"/>
      <c r="D51" s="404"/>
      <c r="E51" s="404"/>
      <c r="F51" s="288"/>
      <c r="G51" s="288"/>
      <c r="H51" s="288"/>
      <c r="I51" s="288"/>
      <c r="J51" s="288"/>
      <c r="K51" s="288"/>
      <c r="L51" s="288"/>
      <c r="M51" s="288"/>
      <c r="N51" s="288"/>
      <c r="O51" s="288"/>
      <c r="P51" s="288"/>
      <c r="Q51" s="288"/>
      <c r="R51" s="288"/>
      <c r="S51" s="288"/>
      <c r="T51" s="288"/>
      <c r="U51" s="288"/>
      <c r="V51" s="288"/>
      <c r="W51" s="288"/>
      <c r="X51" s="288"/>
      <c r="Y51" s="288"/>
      <c r="Z51" s="288"/>
      <c r="AA51" s="288"/>
      <c r="AB51" s="288"/>
      <c r="AC51" s="288"/>
      <c r="AD51" s="288"/>
      <c r="AE51" s="288"/>
      <c r="AF51" s="288"/>
      <c r="AG51" s="288"/>
      <c r="AH51" s="288"/>
      <c r="AI51" s="289"/>
      <c r="AK51" s="425" t="s">
        <v>693</v>
      </c>
      <c r="AL51" s="425"/>
      <c r="AM51" s="425"/>
      <c r="AN51" s="425"/>
      <c r="AO51" s="425"/>
      <c r="AP51" s="425"/>
      <c r="AQ51" s="42"/>
      <c r="AR51" s="43"/>
      <c r="AS51" s="43"/>
      <c r="AT51" s="43"/>
      <c r="AU51" s="43"/>
      <c r="BC51" s="50"/>
      <c r="BD51" s="51"/>
    </row>
    <row r="52" spans="1:61" ht="18" customHeight="1">
      <c r="A52" s="36"/>
      <c r="B52" s="404"/>
      <c r="C52" s="404"/>
      <c r="D52" s="404"/>
      <c r="E52" s="404"/>
      <c r="F52" s="288"/>
      <c r="G52" s="288"/>
      <c r="H52" s="288"/>
      <c r="I52" s="288"/>
      <c r="J52" s="288"/>
      <c r="K52" s="288"/>
      <c r="L52" s="288"/>
      <c r="M52" s="288"/>
      <c r="N52" s="288"/>
      <c r="O52" s="288"/>
      <c r="P52" s="288"/>
      <c r="Q52" s="288"/>
      <c r="R52" s="288"/>
      <c r="S52" s="288"/>
      <c r="T52" s="288"/>
      <c r="U52" s="288"/>
      <c r="V52" s="288"/>
      <c r="W52" s="288"/>
      <c r="X52" s="288"/>
      <c r="Y52" s="288"/>
      <c r="Z52" s="288"/>
      <c r="AA52" s="288"/>
      <c r="AB52" s="288"/>
      <c r="AC52" s="288"/>
      <c r="AD52" s="288"/>
      <c r="AE52" s="288"/>
      <c r="AF52" s="288"/>
      <c r="AG52" s="288"/>
      <c r="AH52" s="288"/>
      <c r="AI52" s="289"/>
      <c r="AK52" s="425" t="s">
        <v>694</v>
      </c>
      <c r="AL52" s="425"/>
      <c r="AM52" s="425"/>
      <c r="AN52" s="425"/>
      <c r="AO52" s="425"/>
      <c r="AP52" s="425"/>
      <c r="AQ52" s="42"/>
      <c r="AR52" s="43"/>
      <c r="AS52" s="43"/>
      <c r="AV52" s="43"/>
      <c r="AW52" s="43"/>
      <c r="AX52" s="43"/>
      <c r="AY52" s="43"/>
      <c r="AZ52" s="43"/>
      <c r="BA52" s="43"/>
      <c r="BH52" s="52"/>
      <c r="BI52" s="51"/>
    </row>
    <row r="53" spans="1:61" ht="18" customHeight="1">
      <c r="A53" s="36"/>
      <c r="B53" s="404"/>
      <c r="C53" s="404"/>
      <c r="D53" s="404"/>
      <c r="E53" s="404"/>
      <c r="F53" s="288"/>
      <c r="G53" s="288"/>
      <c r="H53" s="288"/>
      <c r="I53" s="288"/>
      <c r="J53" s="288"/>
      <c r="K53" s="288"/>
      <c r="L53" s="288"/>
      <c r="M53" s="288"/>
      <c r="N53" s="288"/>
      <c r="O53" s="288"/>
      <c r="P53" s="288"/>
      <c r="Q53" s="288"/>
      <c r="R53" s="288"/>
      <c r="S53" s="288"/>
      <c r="T53" s="288"/>
      <c r="U53" s="288"/>
      <c r="V53" s="288"/>
      <c r="W53" s="288"/>
      <c r="X53" s="288"/>
      <c r="Y53" s="288"/>
      <c r="Z53" s="288"/>
      <c r="AA53" s="288"/>
      <c r="AB53" s="288"/>
      <c r="AC53" s="288"/>
      <c r="AD53" s="288"/>
      <c r="AE53" s="288"/>
      <c r="AF53" s="288"/>
      <c r="AG53" s="288"/>
      <c r="AH53" s="288"/>
      <c r="AI53" s="289"/>
      <c r="AK53" s="425" t="s">
        <v>695</v>
      </c>
      <c r="AL53" s="425"/>
      <c r="AM53" s="425"/>
      <c r="AN53" s="425"/>
      <c r="AO53" s="425"/>
      <c r="AP53" s="425"/>
      <c r="AQ53" s="42"/>
      <c r="AR53" s="43"/>
      <c r="AS53" s="43"/>
      <c r="AT53" s="43"/>
      <c r="AU53" s="43"/>
      <c r="AV53" s="43"/>
      <c r="AW53" s="43"/>
      <c r="AX53" s="43"/>
      <c r="AY53" s="43"/>
      <c r="AZ53" s="43"/>
      <c r="BH53" s="50"/>
      <c r="BI53" s="51"/>
    </row>
    <row r="54" spans="1:61" ht="18" customHeight="1">
      <c r="A54" s="36"/>
      <c r="B54" s="404"/>
      <c r="C54" s="404"/>
      <c r="D54" s="404"/>
      <c r="E54" s="404"/>
      <c r="F54" s="288"/>
      <c r="G54" s="288"/>
      <c r="H54" s="288"/>
      <c r="I54" s="288"/>
      <c r="J54" s="288"/>
      <c r="K54" s="288"/>
      <c r="L54" s="288"/>
      <c r="M54" s="288"/>
      <c r="N54" s="288"/>
      <c r="O54" s="288"/>
      <c r="P54" s="288"/>
      <c r="Q54" s="288"/>
      <c r="R54" s="288"/>
      <c r="S54" s="288"/>
      <c r="T54" s="288"/>
      <c r="U54" s="288"/>
      <c r="V54" s="288"/>
      <c r="W54" s="288"/>
      <c r="X54" s="288"/>
      <c r="Y54" s="288"/>
      <c r="Z54" s="288"/>
      <c r="AA54" s="288"/>
      <c r="AB54" s="288"/>
      <c r="AC54" s="288"/>
      <c r="AD54" s="288"/>
      <c r="AE54" s="288"/>
      <c r="AF54" s="288"/>
      <c r="AG54" s="288"/>
      <c r="AH54" s="288"/>
      <c r="AI54" s="289"/>
      <c r="AK54" s="425" t="s">
        <v>696</v>
      </c>
      <c r="AL54" s="425"/>
      <c r="AM54" s="425"/>
      <c r="AN54" s="425"/>
      <c r="AO54" s="425"/>
      <c r="AP54" s="425"/>
      <c r="AQ54" s="42"/>
      <c r="AR54" s="43"/>
      <c r="AS54" s="43"/>
      <c r="AT54" s="43"/>
      <c r="AU54" s="43"/>
      <c r="AV54" s="43"/>
      <c r="AW54" s="43"/>
      <c r="AX54" s="43"/>
      <c r="AY54" s="43"/>
      <c r="AZ54" s="43"/>
      <c r="BH54" s="50"/>
      <c r="BI54" s="51"/>
    </row>
    <row r="55" spans="1:61" ht="18" customHeight="1">
      <c r="A55" s="36"/>
      <c r="B55" s="404"/>
      <c r="C55" s="404"/>
      <c r="D55" s="404"/>
      <c r="E55" s="404"/>
      <c r="F55" s="288"/>
      <c r="G55" s="288"/>
      <c r="H55" s="288"/>
      <c r="I55" s="288"/>
      <c r="J55" s="288"/>
      <c r="K55" s="288"/>
      <c r="L55" s="288"/>
      <c r="M55" s="288"/>
      <c r="N55" s="288"/>
      <c r="O55" s="288"/>
      <c r="P55" s="288"/>
      <c r="Q55" s="288"/>
      <c r="R55" s="288"/>
      <c r="S55" s="288"/>
      <c r="T55" s="288"/>
      <c r="U55" s="288"/>
      <c r="V55" s="288"/>
      <c r="W55" s="288"/>
      <c r="X55" s="288"/>
      <c r="Y55" s="288"/>
      <c r="Z55" s="288"/>
      <c r="AA55" s="288"/>
      <c r="AB55" s="288"/>
      <c r="AC55" s="288"/>
      <c r="AD55" s="288"/>
      <c r="AE55" s="288"/>
      <c r="AF55" s="288"/>
      <c r="AG55" s="288"/>
      <c r="AH55" s="288"/>
      <c r="AI55" s="289"/>
      <c r="AK55" s="425" t="s">
        <v>697</v>
      </c>
      <c r="AL55" s="425"/>
      <c r="AM55" s="425"/>
      <c r="AN55" s="425"/>
      <c r="AO55" s="425"/>
      <c r="AP55" s="425"/>
      <c r="AQ55" s="42"/>
      <c r="AR55" s="43"/>
      <c r="AS55" s="43"/>
      <c r="AT55" s="43"/>
      <c r="AU55" s="43"/>
      <c r="AV55" s="43"/>
      <c r="AW55" s="43"/>
      <c r="AX55" s="43"/>
      <c r="AY55" s="43"/>
      <c r="AZ55" s="43"/>
      <c r="BH55" s="50"/>
      <c r="BI55" s="51"/>
    </row>
    <row r="56" spans="1:61" ht="18" customHeight="1">
      <c r="A56" s="36"/>
      <c r="B56" s="404"/>
      <c r="C56" s="404"/>
      <c r="D56" s="404"/>
      <c r="E56" s="404"/>
      <c r="F56" s="288"/>
      <c r="G56" s="288"/>
      <c r="H56" s="288"/>
      <c r="I56" s="288"/>
      <c r="J56" s="288"/>
      <c r="K56" s="288"/>
      <c r="L56" s="288"/>
      <c r="M56" s="288"/>
      <c r="N56" s="288"/>
      <c r="O56" s="288"/>
      <c r="P56" s="288"/>
      <c r="Q56" s="288"/>
      <c r="R56" s="288"/>
      <c r="S56" s="288"/>
      <c r="T56" s="288"/>
      <c r="U56" s="288"/>
      <c r="V56" s="288"/>
      <c r="W56" s="288"/>
      <c r="X56" s="288"/>
      <c r="Y56" s="288"/>
      <c r="Z56" s="288"/>
      <c r="AA56" s="288"/>
      <c r="AB56" s="288"/>
      <c r="AC56" s="288"/>
      <c r="AD56" s="288"/>
      <c r="AE56" s="288"/>
      <c r="AF56" s="288"/>
      <c r="AG56" s="288"/>
      <c r="AH56" s="288"/>
      <c r="AI56" s="289"/>
      <c r="AK56" s="425" t="s">
        <v>698</v>
      </c>
      <c r="AL56" s="425"/>
      <c r="AM56" s="425"/>
      <c r="AN56" s="425"/>
      <c r="AO56" s="425"/>
      <c r="AP56" s="425"/>
      <c r="AQ56" s="42"/>
      <c r="AR56" s="43"/>
      <c r="AS56" s="43"/>
      <c r="AT56" s="43"/>
      <c r="AU56" s="43"/>
      <c r="AV56" s="43"/>
      <c r="AW56" s="43"/>
      <c r="AX56" s="43"/>
      <c r="AY56" s="43"/>
      <c r="AZ56" s="43"/>
      <c r="BH56" s="52"/>
      <c r="BI56" s="51"/>
    </row>
    <row r="57" spans="1:61" ht="18" customHeight="1">
      <c r="A57" s="36"/>
      <c r="B57" s="404"/>
      <c r="C57" s="404"/>
      <c r="D57" s="404"/>
      <c r="E57" s="404"/>
      <c r="F57" s="288"/>
      <c r="G57" s="288"/>
      <c r="H57" s="288"/>
      <c r="I57" s="288"/>
      <c r="J57" s="288"/>
      <c r="K57" s="288"/>
      <c r="L57" s="288"/>
      <c r="M57" s="288"/>
      <c r="N57" s="288"/>
      <c r="O57" s="288"/>
      <c r="P57" s="288"/>
      <c r="Q57" s="288"/>
      <c r="R57" s="288"/>
      <c r="S57" s="288"/>
      <c r="T57" s="288"/>
      <c r="U57" s="288"/>
      <c r="V57" s="288"/>
      <c r="W57" s="288"/>
      <c r="X57" s="288"/>
      <c r="Y57" s="288"/>
      <c r="Z57" s="288"/>
      <c r="AA57" s="288"/>
      <c r="AB57" s="288"/>
      <c r="AC57" s="288"/>
      <c r="AD57" s="288"/>
      <c r="AE57" s="288"/>
      <c r="AF57" s="288"/>
      <c r="AG57" s="288"/>
      <c r="AH57" s="288"/>
      <c r="AI57" s="289"/>
      <c r="AK57" s="425" t="s">
        <v>699</v>
      </c>
      <c r="AL57" s="425"/>
      <c r="AM57" s="425"/>
      <c r="AN57" s="425"/>
      <c r="AO57" s="425"/>
      <c r="AP57" s="425"/>
      <c r="AQ57" s="42"/>
      <c r="AR57" s="43"/>
      <c r="AS57" s="43"/>
      <c r="AT57" s="43"/>
      <c r="AU57" s="43"/>
      <c r="AV57" s="43"/>
      <c r="AW57" s="43"/>
      <c r="AX57" s="43"/>
      <c r="AY57" s="43"/>
      <c r="AZ57" s="43"/>
      <c r="BH57" s="50"/>
      <c r="BI57" s="51"/>
    </row>
    <row r="58" spans="1:61" ht="18" customHeight="1">
      <c r="A58" s="36"/>
      <c r="B58" s="404"/>
      <c r="C58" s="404"/>
      <c r="D58" s="404"/>
      <c r="E58" s="404"/>
      <c r="F58" s="288"/>
      <c r="G58" s="288"/>
      <c r="H58" s="288"/>
      <c r="I58" s="288"/>
      <c r="J58" s="288"/>
      <c r="K58" s="288"/>
      <c r="L58" s="288"/>
      <c r="M58" s="288"/>
      <c r="N58" s="288"/>
      <c r="O58" s="288"/>
      <c r="P58" s="288"/>
      <c r="Q58" s="288"/>
      <c r="R58" s="288"/>
      <c r="S58" s="288"/>
      <c r="T58" s="288"/>
      <c r="U58" s="288"/>
      <c r="V58" s="288"/>
      <c r="W58" s="288"/>
      <c r="X58" s="288"/>
      <c r="Y58" s="288"/>
      <c r="Z58" s="288"/>
      <c r="AA58" s="288"/>
      <c r="AB58" s="288"/>
      <c r="AC58" s="288"/>
      <c r="AD58" s="288"/>
      <c r="AE58" s="288"/>
      <c r="AF58" s="288"/>
      <c r="AG58" s="288"/>
      <c r="AH58" s="288"/>
      <c r="AI58" s="289"/>
      <c r="AK58" s="425" t="s">
        <v>700</v>
      </c>
      <c r="AL58" s="425"/>
      <c r="AM58" s="425"/>
      <c r="AN58" s="425"/>
      <c r="AO58" s="425"/>
      <c r="AP58" s="425"/>
      <c r="AQ58" s="42"/>
      <c r="AR58" s="43"/>
      <c r="AS58" s="43"/>
      <c r="AT58" s="43"/>
      <c r="AU58" s="43"/>
      <c r="AV58" s="43"/>
      <c r="AW58" s="43"/>
      <c r="AX58" s="43"/>
      <c r="AY58" s="43"/>
      <c r="AZ58" s="43"/>
      <c r="BH58" s="50"/>
      <c r="BI58" s="51"/>
    </row>
    <row r="59" spans="1:61" ht="18" customHeight="1">
      <c r="A59" s="36"/>
      <c r="B59" s="404"/>
      <c r="C59" s="404"/>
      <c r="D59" s="404"/>
      <c r="E59" s="404"/>
      <c r="F59" s="288"/>
      <c r="G59" s="288"/>
      <c r="H59" s="288"/>
      <c r="I59" s="288"/>
      <c r="J59" s="288"/>
      <c r="K59" s="288"/>
      <c r="L59" s="288"/>
      <c r="M59" s="288"/>
      <c r="N59" s="288"/>
      <c r="O59" s="288"/>
      <c r="P59" s="288"/>
      <c r="Q59" s="288"/>
      <c r="R59" s="288"/>
      <c r="S59" s="288"/>
      <c r="T59" s="288"/>
      <c r="U59" s="288"/>
      <c r="V59" s="288"/>
      <c r="W59" s="288"/>
      <c r="X59" s="288"/>
      <c r="Y59" s="288"/>
      <c r="Z59" s="288"/>
      <c r="AA59" s="288"/>
      <c r="AB59" s="288"/>
      <c r="AC59" s="288"/>
      <c r="AD59" s="288"/>
      <c r="AE59" s="288"/>
      <c r="AF59" s="288"/>
      <c r="AG59" s="288"/>
      <c r="AH59" s="288"/>
      <c r="AI59" s="289"/>
      <c r="AK59" s="425" t="s">
        <v>701</v>
      </c>
      <c r="AL59" s="425"/>
      <c r="AM59" s="425"/>
      <c r="AN59" s="425"/>
      <c r="AO59" s="425"/>
      <c r="AP59" s="425"/>
      <c r="AQ59" s="42"/>
      <c r="AR59" s="43"/>
      <c r="AS59" s="43"/>
      <c r="AT59" s="43"/>
      <c r="AU59" s="43"/>
      <c r="AV59" s="43"/>
      <c r="AW59" s="43"/>
      <c r="AX59" s="43"/>
      <c r="AY59" s="43"/>
      <c r="AZ59" s="43"/>
      <c r="BH59" s="50"/>
      <c r="BI59" s="51"/>
    </row>
    <row r="60" spans="1:61" ht="18" customHeight="1">
      <c r="A60" s="36"/>
      <c r="B60" s="404"/>
      <c r="C60" s="404"/>
      <c r="D60" s="404"/>
      <c r="E60" s="404"/>
      <c r="F60" s="288"/>
      <c r="G60" s="288"/>
      <c r="H60" s="288"/>
      <c r="I60" s="288"/>
      <c r="J60" s="288"/>
      <c r="K60" s="288"/>
      <c r="L60" s="288"/>
      <c r="M60" s="288"/>
      <c r="N60" s="288"/>
      <c r="O60" s="288"/>
      <c r="P60" s="288"/>
      <c r="Q60" s="288"/>
      <c r="R60" s="288"/>
      <c r="S60" s="288"/>
      <c r="T60" s="288"/>
      <c r="U60" s="288"/>
      <c r="V60" s="288"/>
      <c r="W60" s="288"/>
      <c r="X60" s="288"/>
      <c r="Y60" s="288"/>
      <c r="Z60" s="288"/>
      <c r="AA60" s="288"/>
      <c r="AB60" s="288"/>
      <c r="AC60" s="288"/>
      <c r="AD60" s="288"/>
      <c r="AE60" s="288"/>
      <c r="AF60" s="288"/>
      <c r="AG60" s="288"/>
      <c r="AH60" s="288"/>
      <c r="AI60" s="289"/>
      <c r="AK60" s="425" t="s">
        <v>702</v>
      </c>
      <c r="AL60" s="425"/>
      <c r="AM60" s="425"/>
      <c r="AN60" s="425"/>
      <c r="AO60" s="425"/>
      <c r="AP60" s="425"/>
      <c r="AQ60" s="42"/>
      <c r="AR60" s="43"/>
      <c r="AS60" s="43"/>
      <c r="AT60" s="43"/>
      <c r="AU60" s="43"/>
      <c r="AV60" s="43"/>
      <c r="AW60" s="43"/>
      <c r="AX60" s="43"/>
      <c r="AY60" s="43"/>
      <c r="AZ60" s="43"/>
      <c r="BH60" s="52"/>
      <c r="BI60" s="51"/>
    </row>
    <row r="61" spans="1:61" ht="18" customHeight="1">
      <c r="A61" s="36"/>
      <c r="B61" s="404"/>
      <c r="C61" s="404"/>
      <c r="D61" s="404"/>
      <c r="E61" s="404"/>
      <c r="F61" s="288"/>
      <c r="G61" s="288"/>
      <c r="H61" s="288"/>
      <c r="I61" s="288"/>
      <c r="J61" s="288"/>
      <c r="K61" s="288"/>
      <c r="L61" s="288"/>
      <c r="M61" s="288"/>
      <c r="N61" s="288"/>
      <c r="O61" s="288"/>
      <c r="P61" s="288"/>
      <c r="Q61" s="288"/>
      <c r="R61" s="288"/>
      <c r="S61" s="288"/>
      <c r="T61" s="288"/>
      <c r="U61" s="288"/>
      <c r="V61" s="288"/>
      <c r="W61" s="288"/>
      <c r="X61" s="288"/>
      <c r="Y61" s="288"/>
      <c r="Z61" s="288"/>
      <c r="AA61" s="288"/>
      <c r="AB61" s="288"/>
      <c r="AC61" s="288"/>
      <c r="AD61" s="288"/>
      <c r="AE61" s="288"/>
      <c r="AF61" s="288"/>
      <c r="AG61" s="288"/>
      <c r="AH61" s="288"/>
      <c r="AI61" s="289"/>
      <c r="AK61" s="425" t="s">
        <v>703</v>
      </c>
      <c r="AL61" s="425"/>
      <c r="AM61" s="425"/>
      <c r="AN61" s="425"/>
      <c r="AO61" s="425"/>
      <c r="AP61" s="425"/>
      <c r="AQ61" s="42"/>
      <c r="AR61" s="43"/>
      <c r="AS61" s="43"/>
      <c r="AT61" s="43"/>
      <c r="AU61" s="43"/>
      <c r="AV61" s="43"/>
      <c r="AW61" s="43"/>
      <c r="AX61" s="43"/>
      <c r="AY61" s="43"/>
      <c r="AZ61" s="43"/>
      <c r="BH61" s="50"/>
      <c r="BI61" s="51"/>
    </row>
    <row r="62" spans="1:61" ht="18" customHeight="1">
      <c r="A62" s="36"/>
      <c r="B62" s="404"/>
      <c r="C62" s="404"/>
      <c r="D62" s="404"/>
      <c r="E62" s="404"/>
      <c r="F62" s="288"/>
      <c r="G62" s="288"/>
      <c r="H62" s="288"/>
      <c r="I62" s="288"/>
      <c r="J62" s="288"/>
      <c r="K62" s="288"/>
      <c r="L62" s="288"/>
      <c r="M62" s="288"/>
      <c r="N62" s="288"/>
      <c r="O62" s="288"/>
      <c r="P62" s="288"/>
      <c r="Q62" s="288"/>
      <c r="R62" s="288"/>
      <c r="S62" s="288"/>
      <c r="T62" s="288"/>
      <c r="U62" s="288"/>
      <c r="V62" s="288"/>
      <c r="W62" s="288"/>
      <c r="X62" s="288"/>
      <c r="Y62" s="288"/>
      <c r="Z62" s="288"/>
      <c r="AA62" s="288"/>
      <c r="AB62" s="288"/>
      <c r="AC62" s="288"/>
      <c r="AD62" s="288"/>
      <c r="AE62" s="288"/>
      <c r="AF62" s="288"/>
      <c r="AG62" s="288"/>
      <c r="AH62" s="288"/>
      <c r="AI62" s="289"/>
      <c r="AK62" s="425"/>
      <c r="AL62" s="425"/>
      <c r="AM62" s="425"/>
      <c r="AN62" s="425"/>
      <c r="AO62" s="425"/>
      <c r="AP62" s="425"/>
      <c r="AQ62" s="42"/>
      <c r="AR62" s="43"/>
      <c r="AS62" s="43"/>
      <c r="AT62" s="43"/>
      <c r="AU62" s="43"/>
      <c r="AV62" s="43"/>
      <c r="AW62" s="43"/>
      <c r="AX62" s="43"/>
      <c r="AY62" s="43"/>
      <c r="AZ62" s="43"/>
      <c r="BH62" s="50"/>
      <c r="BI62" s="51"/>
    </row>
    <row r="63" spans="1:61" ht="18" customHeight="1">
      <c r="A63" s="36"/>
      <c r="B63" s="404"/>
      <c r="C63" s="404"/>
      <c r="D63" s="404"/>
      <c r="E63" s="404"/>
      <c r="F63" s="288"/>
      <c r="G63" s="288"/>
      <c r="H63" s="288"/>
      <c r="I63" s="288"/>
      <c r="J63" s="288"/>
      <c r="K63" s="288"/>
      <c r="L63" s="288"/>
      <c r="M63" s="288"/>
      <c r="N63" s="288"/>
      <c r="O63" s="288"/>
      <c r="P63" s="288"/>
      <c r="Q63" s="288"/>
      <c r="R63" s="288"/>
      <c r="S63" s="288"/>
      <c r="T63" s="288"/>
      <c r="U63" s="288"/>
      <c r="V63" s="288"/>
      <c r="W63" s="288"/>
      <c r="X63" s="288"/>
      <c r="Y63" s="288"/>
      <c r="Z63" s="288"/>
      <c r="AA63" s="288"/>
      <c r="AB63" s="288"/>
      <c r="AC63" s="288"/>
      <c r="AD63" s="288"/>
      <c r="AE63" s="288"/>
      <c r="AF63" s="288"/>
      <c r="AG63" s="288"/>
      <c r="AH63" s="288"/>
      <c r="AI63" s="289"/>
      <c r="AK63" s="425"/>
      <c r="AL63" s="425"/>
      <c r="AM63" s="425"/>
      <c r="AN63" s="425"/>
      <c r="AO63" s="425"/>
      <c r="AP63" s="425"/>
      <c r="AQ63" s="42"/>
      <c r="AR63" s="43"/>
      <c r="AS63" s="43"/>
      <c r="AT63" s="43"/>
      <c r="AU63" s="43"/>
      <c r="AV63" s="43"/>
      <c r="AW63" s="43"/>
      <c r="AX63" s="43"/>
      <c r="AY63" s="43"/>
      <c r="AZ63" s="43"/>
      <c r="BH63" s="52"/>
      <c r="BI63" s="51"/>
    </row>
    <row r="64" spans="1:61" ht="18" customHeight="1">
      <c r="A64" s="36"/>
      <c r="B64" s="404"/>
      <c r="C64" s="404"/>
      <c r="D64" s="404"/>
      <c r="E64" s="404"/>
      <c r="F64" s="288"/>
      <c r="G64" s="288"/>
      <c r="H64" s="288"/>
      <c r="I64" s="288"/>
      <c r="J64" s="288"/>
      <c r="K64" s="288"/>
      <c r="L64" s="288"/>
      <c r="M64" s="288"/>
      <c r="N64" s="288"/>
      <c r="O64" s="288"/>
      <c r="P64" s="288"/>
      <c r="Q64" s="288"/>
      <c r="R64" s="288"/>
      <c r="S64" s="288"/>
      <c r="T64" s="288"/>
      <c r="U64" s="288"/>
      <c r="V64" s="288"/>
      <c r="W64" s="288"/>
      <c r="X64" s="288"/>
      <c r="Y64" s="288"/>
      <c r="Z64" s="288"/>
      <c r="AA64" s="288"/>
      <c r="AB64" s="288"/>
      <c r="AC64" s="288"/>
      <c r="AD64" s="288"/>
      <c r="AE64" s="288"/>
      <c r="AF64" s="288"/>
      <c r="AG64" s="288"/>
      <c r="AH64" s="288"/>
      <c r="AI64" s="289"/>
      <c r="AK64" s="425"/>
      <c r="AL64" s="425"/>
      <c r="AM64" s="425"/>
      <c r="AN64" s="425"/>
      <c r="AO64" s="425"/>
      <c r="AP64" s="425"/>
      <c r="AQ64" s="42"/>
      <c r="AR64" s="43"/>
      <c r="AS64" s="43"/>
      <c r="AT64" s="43"/>
      <c r="AU64" s="43"/>
      <c r="AV64" s="43"/>
      <c r="AW64" s="43"/>
      <c r="AX64" s="43"/>
      <c r="AY64" s="43"/>
      <c r="AZ64" s="43"/>
      <c r="BH64" s="52"/>
      <c r="BI64" s="51"/>
    </row>
    <row r="65" spans="1:61" ht="18" customHeight="1">
      <c r="A65" s="36"/>
      <c r="B65" s="404"/>
      <c r="C65" s="404"/>
      <c r="D65" s="404"/>
      <c r="E65" s="404"/>
      <c r="F65" s="288"/>
      <c r="G65" s="288"/>
      <c r="H65" s="288"/>
      <c r="I65" s="288"/>
      <c r="J65" s="288"/>
      <c r="K65" s="288"/>
      <c r="L65" s="288"/>
      <c r="M65" s="288"/>
      <c r="N65" s="288"/>
      <c r="O65" s="288"/>
      <c r="P65" s="288"/>
      <c r="Q65" s="288"/>
      <c r="R65" s="288"/>
      <c r="S65" s="288"/>
      <c r="T65" s="288"/>
      <c r="U65" s="288"/>
      <c r="V65" s="288"/>
      <c r="W65" s="288"/>
      <c r="X65" s="288"/>
      <c r="Y65" s="288"/>
      <c r="Z65" s="288"/>
      <c r="AA65" s="288"/>
      <c r="AB65" s="288"/>
      <c r="AC65" s="288"/>
      <c r="AD65" s="288"/>
      <c r="AE65" s="288"/>
      <c r="AF65" s="288"/>
      <c r="AG65" s="288"/>
      <c r="AH65" s="288"/>
      <c r="AI65" s="289"/>
      <c r="AK65" s="425"/>
      <c r="AL65" s="425"/>
      <c r="AM65" s="425"/>
      <c r="AN65" s="425"/>
      <c r="AO65" s="425"/>
      <c r="AP65" s="425"/>
      <c r="AQ65" s="42"/>
      <c r="AR65" s="43"/>
      <c r="AS65" s="43"/>
      <c r="AT65" s="43"/>
      <c r="AU65" s="43"/>
      <c r="AV65" s="43"/>
      <c r="AW65" s="43"/>
      <c r="AX65" s="43"/>
      <c r="AY65" s="43"/>
      <c r="AZ65" s="43"/>
      <c r="BH65" s="50"/>
      <c r="BI65" s="51"/>
    </row>
    <row r="66" spans="1:61" ht="18" customHeight="1">
      <c r="A66" s="36"/>
      <c r="B66" s="404"/>
      <c r="C66" s="404"/>
      <c r="D66" s="404"/>
      <c r="E66" s="404"/>
      <c r="F66" s="288"/>
      <c r="G66" s="288"/>
      <c r="H66" s="288"/>
      <c r="I66" s="288"/>
      <c r="J66" s="288"/>
      <c r="K66" s="288"/>
      <c r="L66" s="288"/>
      <c r="M66" s="288"/>
      <c r="N66" s="288"/>
      <c r="O66" s="288"/>
      <c r="P66" s="288"/>
      <c r="Q66" s="288"/>
      <c r="R66" s="288"/>
      <c r="S66" s="288"/>
      <c r="T66" s="288"/>
      <c r="U66" s="288"/>
      <c r="V66" s="288"/>
      <c r="W66" s="288"/>
      <c r="X66" s="288"/>
      <c r="Y66" s="288"/>
      <c r="Z66" s="288"/>
      <c r="AA66" s="288"/>
      <c r="AB66" s="288"/>
      <c r="AC66" s="288"/>
      <c r="AD66" s="288"/>
      <c r="AE66" s="288"/>
      <c r="AF66" s="288"/>
      <c r="AG66" s="288"/>
      <c r="AH66" s="288"/>
      <c r="AI66" s="289"/>
      <c r="AK66" s="425"/>
      <c r="AL66" s="425"/>
      <c r="AM66" s="425"/>
      <c r="AN66" s="425"/>
      <c r="AO66" s="425"/>
      <c r="AP66" s="425"/>
      <c r="AQ66" s="42"/>
      <c r="AR66" s="43"/>
      <c r="AS66" s="43"/>
      <c r="AT66" s="43"/>
      <c r="AU66" s="43"/>
      <c r="AV66" s="43"/>
      <c r="AW66" s="43"/>
      <c r="AX66" s="43"/>
      <c r="AY66" s="43"/>
      <c r="AZ66" s="43"/>
      <c r="BH66" s="50"/>
      <c r="BI66" s="51"/>
    </row>
    <row r="67" spans="1:61" ht="18" customHeight="1">
      <c r="A67" s="36"/>
      <c r="B67" s="404"/>
      <c r="C67" s="404"/>
      <c r="D67" s="404"/>
      <c r="E67" s="404"/>
      <c r="F67" s="288"/>
      <c r="G67" s="288"/>
      <c r="H67" s="288"/>
      <c r="I67" s="288"/>
      <c r="J67" s="288"/>
      <c r="K67" s="288"/>
      <c r="L67" s="288"/>
      <c r="M67" s="288"/>
      <c r="N67" s="288"/>
      <c r="O67" s="288"/>
      <c r="P67" s="288"/>
      <c r="Q67" s="288"/>
      <c r="R67" s="288"/>
      <c r="S67" s="288"/>
      <c r="T67" s="288"/>
      <c r="U67" s="288"/>
      <c r="V67" s="288"/>
      <c r="W67" s="288"/>
      <c r="X67" s="288"/>
      <c r="Y67" s="288"/>
      <c r="Z67" s="288"/>
      <c r="AA67" s="288"/>
      <c r="AB67" s="288"/>
      <c r="AC67" s="288"/>
      <c r="AD67" s="288"/>
      <c r="AE67" s="288"/>
      <c r="AF67" s="288"/>
      <c r="AG67" s="288"/>
      <c r="AH67" s="288"/>
      <c r="AI67" s="289"/>
      <c r="AK67" s="425"/>
      <c r="AL67" s="425"/>
      <c r="AM67" s="425"/>
      <c r="AN67" s="425"/>
      <c r="AO67" s="425"/>
      <c r="AP67" s="425"/>
      <c r="AQ67" s="67"/>
      <c r="AR67" s="43"/>
      <c r="AS67" s="43"/>
      <c r="AT67" s="43"/>
      <c r="AU67" s="43"/>
      <c r="AV67" s="43"/>
      <c r="AW67" s="43"/>
      <c r="AX67" s="43"/>
      <c r="AY67" s="43"/>
      <c r="AZ67" s="43"/>
      <c r="BH67" s="50"/>
      <c r="BI67" s="51"/>
    </row>
    <row r="68" spans="1:61" ht="18" customHeight="1">
      <c r="A68" s="36"/>
      <c r="B68" s="404"/>
      <c r="C68" s="404"/>
      <c r="D68" s="404"/>
      <c r="E68" s="404"/>
      <c r="F68" s="288"/>
      <c r="G68" s="288"/>
      <c r="H68" s="288"/>
      <c r="I68" s="288"/>
      <c r="J68" s="288"/>
      <c r="K68" s="288"/>
      <c r="L68" s="288"/>
      <c r="M68" s="288"/>
      <c r="N68" s="288"/>
      <c r="O68" s="288"/>
      <c r="P68" s="288"/>
      <c r="Q68" s="288"/>
      <c r="R68" s="288"/>
      <c r="S68" s="288"/>
      <c r="T68" s="288"/>
      <c r="U68" s="288"/>
      <c r="V68" s="288"/>
      <c r="W68" s="288"/>
      <c r="X68" s="288"/>
      <c r="Y68" s="288"/>
      <c r="Z68" s="288"/>
      <c r="AA68" s="288"/>
      <c r="AB68" s="288"/>
      <c r="AC68" s="288"/>
      <c r="AD68" s="288"/>
      <c r="AE68" s="288"/>
      <c r="AF68" s="288"/>
      <c r="AG68" s="288"/>
      <c r="AH68" s="288"/>
      <c r="AI68" s="289"/>
      <c r="AK68" s="425"/>
      <c r="AL68" s="425"/>
      <c r="AM68" s="425"/>
      <c r="AN68" s="425"/>
      <c r="AO68" s="425"/>
      <c r="AP68" s="425"/>
      <c r="AQ68" s="67"/>
      <c r="AR68" s="43"/>
      <c r="AS68" s="43"/>
      <c r="AT68" s="43"/>
      <c r="AU68" s="43"/>
      <c r="AV68" s="43"/>
      <c r="AW68" s="43"/>
      <c r="AX68" s="43"/>
      <c r="AY68" s="43"/>
      <c r="AZ68" s="43"/>
      <c r="BH68" s="50"/>
      <c r="BI68" s="51"/>
    </row>
    <row r="69" spans="1:61" ht="18" customHeight="1">
      <c r="A69" s="36"/>
      <c r="B69" s="404"/>
      <c r="C69" s="404"/>
      <c r="D69" s="404"/>
      <c r="E69" s="404"/>
      <c r="F69" s="288"/>
      <c r="G69" s="288"/>
      <c r="H69" s="288"/>
      <c r="I69" s="288"/>
      <c r="J69" s="288"/>
      <c r="K69" s="288"/>
      <c r="L69" s="288"/>
      <c r="M69" s="288"/>
      <c r="N69" s="288"/>
      <c r="O69" s="288"/>
      <c r="P69" s="288"/>
      <c r="Q69" s="288"/>
      <c r="R69" s="288"/>
      <c r="S69" s="288"/>
      <c r="T69" s="288"/>
      <c r="U69" s="288"/>
      <c r="V69" s="288"/>
      <c r="W69" s="288"/>
      <c r="X69" s="288"/>
      <c r="Y69" s="288"/>
      <c r="Z69" s="288"/>
      <c r="AA69" s="288"/>
      <c r="AB69" s="288"/>
      <c r="AC69" s="288"/>
      <c r="AD69" s="288"/>
      <c r="AE69" s="288"/>
      <c r="AF69" s="288"/>
      <c r="AG69" s="288"/>
      <c r="AH69" s="288"/>
      <c r="AI69" s="289"/>
      <c r="AK69" s="425"/>
      <c r="AL69" s="425"/>
      <c r="AM69" s="425"/>
      <c r="AN69" s="425"/>
      <c r="AO69" s="425"/>
      <c r="AP69" s="425"/>
      <c r="AQ69" s="42"/>
      <c r="AR69" s="43"/>
      <c r="AS69" s="43"/>
      <c r="AT69" s="43"/>
      <c r="AU69" s="43"/>
      <c r="AV69" s="43"/>
      <c r="AW69" s="43"/>
      <c r="AX69" s="43"/>
      <c r="AY69" s="43"/>
      <c r="AZ69" s="43"/>
      <c r="BH69" s="50"/>
      <c r="BI69" s="51"/>
    </row>
    <row r="70" spans="1:61" ht="18" customHeight="1">
      <c r="A70" s="36"/>
      <c r="B70" s="404"/>
      <c r="C70" s="404"/>
      <c r="D70" s="404"/>
      <c r="E70" s="404"/>
      <c r="F70" s="288"/>
      <c r="G70" s="288"/>
      <c r="H70" s="288"/>
      <c r="I70" s="288"/>
      <c r="J70" s="288"/>
      <c r="K70" s="288"/>
      <c r="L70" s="288"/>
      <c r="M70" s="288"/>
      <c r="N70" s="288"/>
      <c r="O70" s="288"/>
      <c r="P70" s="288"/>
      <c r="Q70" s="288"/>
      <c r="R70" s="288"/>
      <c r="S70" s="288"/>
      <c r="T70" s="288"/>
      <c r="U70" s="288"/>
      <c r="V70" s="288"/>
      <c r="W70" s="288"/>
      <c r="X70" s="288"/>
      <c r="Y70" s="288"/>
      <c r="Z70" s="288"/>
      <c r="AA70" s="288"/>
      <c r="AB70" s="288"/>
      <c r="AC70" s="288"/>
      <c r="AD70" s="288"/>
      <c r="AE70" s="288"/>
      <c r="AF70" s="288"/>
      <c r="AG70" s="288"/>
      <c r="AH70" s="288"/>
      <c r="AI70" s="289"/>
      <c r="AK70" s="425"/>
      <c r="AL70" s="425"/>
      <c r="AM70" s="425"/>
      <c r="AN70" s="425"/>
      <c r="AO70" s="425"/>
      <c r="AP70" s="425"/>
      <c r="AQ70" s="42"/>
      <c r="AR70" s="43"/>
      <c r="AS70" s="43"/>
      <c r="AT70" s="43"/>
      <c r="AU70" s="43"/>
      <c r="AV70" s="43"/>
      <c r="AW70" s="43"/>
      <c r="AX70" s="43"/>
      <c r="AY70" s="43"/>
      <c r="AZ70" s="43"/>
      <c r="BH70" s="50"/>
      <c r="BI70" s="51"/>
    </row>
    <row r="71" spans="1:61" ht="18" customHeight="1">
      <c r="A71" s="36"/>
      <c r="B71" s="404"/>
      <c r="C71" s="404"/>
      <c r="D71" s="404"/>
      <c r="E71" s="404"/>
      <c r="F71" s="288"/>
      <c r="G71" s="288"/>
      <c r="H71" s="288"/>
      <c r="I71" s="288"/>
      <c r="J71" s="288"/>
      <c r="K71" s="288"/>
      <c r="L71" s="288"/>
      <c r="M71" s="288"/>
      <c r="N71" s="288"/>
      <c r="O71" s="288"/>
      <c r="P71" s="288"/>
      <c r="Q71" s="288"/>
      <c r="R71" s="288"/>
      <c r="S71" s="288"/>
      <c r="T71" s="288"/>
      <c r="U71" s="288"/>
      <c r="V71" s="288"/>
      <c r="W71" s="288"/>
      <c r="X71" s="288"/>
      <c r="Y71" s="288"/>
      <c r="Z71" s="288"/>
      <c r="AA71" s="288"/>
      <c r="AB71" s="288"/>
      <c r="AC71" s="288"/>
      <c r="AD71" s="288"/>
      <c r="AE71" s="288"/>
      <c r="AF71" s="288"/>
      <c r="AG71" s="288"/>
      <c r="AH71" s="288"/>
      <c r="AI71" s="289"/>
      <c r="AK71" s="425"/>
      <c r="AL71" s="425"/>
      <c r="AM71" s="425"/>
      <c r="AN71" s="425"/>
      <c r="AO71" s="425"/>
      <c r="AP71" s="425"/>
      <c r="AQ71" s="42"/>
      <c r="AR71" s="43"/>
      <c r="AS71" s="43"/>
      <c r="AT71" s="43"/>
      <c r="AU71" s="43"/>
      <c r="AV71" s="43"/>
      <c r="AW71" s="43"/>
      <c r="AX71" s="43"/>
      <c r="AY71" s="43"/>
      <c r="AZ71" s="43"/>
      <c r="BH71" s="52"/>
      <c r="BI71" s="51"/>
    </row>
    <row r="72" spans="1:61" ht="18" customHeight="1">
      <c r="A72" s="36"/>
      <c r="B72" s="404"/>
      <c r="C72" s="404"/>
      <c r="D72" s="404"/>
      <c r="E72" s="404"/>
      <c r="F72" s="288"/>
      <c r="G72" s="288"/>
      <c r="H72" s="288"/>
      <c r="I72" s="288"/>
      <c r="J72" s="288"/>
      <c r="K72" s="288"/>
      <c r="L72" s="288"/>
      <c r="M72" s="288"/>
      <c r="N72" s="288"/>
      <c r="O72" s="288"/>
      <c r="P72" s="288"/>
      <c r="Q72" s="288"/>
      <c r="R72" s="288"/>
      <c r="S72" s="288"/>
      <c r="T72" s="288"/>
      <c r="U72" s="288"/>
      <c r="V72" s="288"/>
      <c r="W72" s="288"/>
      <c r="X72" s="288"/>
      <c r="Y72" s="288"/>
      <c r="Z72" s="288"/>
      <c r="AA72" s="288"/>
      <c r="AB72" s="288"/>
      <c r="AC72" s="288"/>
      <c r="AD72" s="288"/>
      <c r="AE72" s="288"/>
      <c r="AF72" s="288"/>
      <c r="AG72" s="288"/>
      <c r="AH72" s="288"/>
      <c r="AI72" s="289"/>
      <c r="AK72" s="425"/>
      <c r="AL72" s="425"/>
      <c r="AM72" s="425"/>
      <c r="AN72" s="425"/>
      <c r="AO72" s="425"/>
      <c r="AP72" s="425"/>
      <c r="AQ72" s="42"/>
      <c r="AR72" s="43"/>
      <c r="AS72" s="43"/>
      <c r="AT72" s="43"/>
      <c r="AU72" s="43"/>
      <c r="AV72" s="43"/>
      <c r="AW72" s="43"/>
      <c r="AX72" s="43"/>
      <c r="AY72" s="43"/>
      <c r="AZ72" s="43"/>
      <c r="BH72" s="53"/>
      <c r="BI72" s="51"/>
    </row>
    <row r="73" spans="1:61" ht="18" customHeight="1">
      <c r="A73" s="36"/>
      <c r="B73" s="404"/>
      <c r="C73" s="404"/>
      <c r="D73" s="404"/>
      <c r="E73" s="404"/>
      <c r="F73" s="288"/>
      <c r="G73" s="288"/>
      <c r="H73" s="288"/>
      <c r="I73" s="288"/>
      <c r="J73" s="288"/>
      <c r="K73" s="288"/>
      <c r="L73" s="288"/>
      <c r="M73" s="288"/>
      <c r="N73" s="288"/>
      <c r="O73" s="288"/>
      <c r="P73" s="288"/>
      <c r="Q73" s="288"/>
      <c r="R73" s="288"/>
      <c r="S73" s="288"/>
      <c r="T73" s="288"/>
      <c r="U73" s="288"/>
      <c r="V73" s="288"/>
      <c r="W73" s="288"/>
      <c r="X73" s="288"/>
      <c r="Y73" s="288"/>
      <c r="Z73" s="288"/>
      <c r="AA73" s="288"/>
      <c r="AB73" s="288"/>
      <c r="AC73" s="288"/>
      <c r="AD73" s="288"/>
      <c r="AE73" s="288"/>
      <c r="AF73" s="288"/>
      <c r="AG73" s="288"/>
      <c r="AH73" s="288"/>
      <c r="AI73" s="289"/>
      <c r="AK73" s="425"/>
      <c r="AL73" s="425"/>
      <c r="AM73" s="425"/>
      <c r="AN73" s="425"/>
      <c r="AO73" s="425"/>
      <c r="AP73" s="425"/>
      <c r="AQ73" s="42"/>
      <c r="AR73" s="43"/>
      <c r="AS73" s="43"/>
      <c r="AT73" s="43"/>
      <c r="AU73" s="43"/>
      <c r="AV73" s="43"/>
      <c r="AW73" s="43"/>
      <c r="AX73" s="43"/>
      <c r="AY73" s="43"/>
      <c r="AZ73" s="43"/>
      <c r="BH73" s="54"/>
      <c r="BI73" s="51"/>
    </row>
    <row r="74" spans="1:61" ht="18" customHeight="1">
      <c r="A74" s="36"/>
      <c r="B74" s="404"/>
      <c r="C74" s="404"/>
      <c r="D74" s="404"/>
      <c r="E74" s="404"/>
      <c r="F74" s="288"/>
      <c r="G74" s="288"/>
      <c r="H74" s="288"/>
      <c r="I74" s="288"/>
      <c r="J74" s="288"/>
      <c r="K74" s="288"/>
      <c r="L74" s="288"/>
      <c r="M74" s="288"/>
      <c r="N74" s="288"/>
      <c r="O74" s="288"/>
      <c r="P74" s="288"/>
      <c r="Q74" s="288"/>
      <c r="R74" s="288"/>
      <c r="S74" s="288"/>
      <c r="T74" s="288"/>
      <c r="U74" s="288"/>
      <c r="V74" s="288"/>
      <c r="W74" s="288"/>
      <c r="X74" s="288"/>
      <c r="Y74" s="288"/>
      <c r="Z74" s="288"/>
      <c r="AA74" s="288"/>
      <c r="AB74" s="288"/>
      <c r="AC74" s="288"/>
      <c r="AD74" s="288"/>
      <c r="AE74" s="288"/>
      <c r="AF74" s="288"/>
      <c r="AG74" s="288"/>
      <c r="AH74" s="288"/>
      <c r="AI74" s="289"/>
      <c r="AK74" s="425"/>
      <c r="AL74" s="425"/>
      <c r="AM74" s="425"/>
      <c r="AN74" s="425"/>
      <c r="AO74" s="425"/>
      <c r="AP74" s="425"/>
      <c r="AQ74" s="42"/>
      <c r="AR74" s="43"/>
      <c r="AS74" s="43"/>
      <c r="AT74" s="43"/>
      <c r="AU74" s="43"/>
      <c r="AV74" s="43"/>
      <c r="AW74" s="43"/>
      <c r="AX74" s="43"/>
      <c r="AY74" s="43"/>
      <c r="AZ74" s="43"/>
      <c r="BH74" s="54"/>
      <c r="BI74" s="51"/>
    </row>
    <row r="75" spans="1:61" ht="18" customHeight="1">
      <c r="A75" s="36"/>
      <c r="B75" s="404"/>
      <c r="C75" s="404"/>
      <c r="D75" s="404"/>
      <c r="E75" s="404"/>
      <c r="F75" s="288"/>
      <c r="G75" s="288"/>
      <c r="H75" s="288"/>
      <c r="I75" s="288"/>
      <c r="J75" s="288"/>
      <c r="K75" s="288"/>
      <c r="L75" s="288"/>
      <c r="M75" s="288"/>
      <c r="N75" s="288"/>
      <c r="O75" s="288"/>
      <c r="P75" s="288"/>
      <c r="Q75" s="288"/>
      <c r="R75" s="288"/>
      <c r="S75" s="288"/>
      <c r="T75" s="288"/>
      <c r="U75" s="288"/>
      <c r="V75" s="288"/>
      <c r="W75" s="288"/>
      <c r="X75" s="288"/>
      <c r="Y75" s="288"/>
      <c r="Z75" s="288"/>
      <c r="AA75" s="288"/>
      <c r="AB75" s="288"/>
      <c r="AC75" s="288"/>
      <c r="AD75" s="288"/>
      <c r="AE75" s="288"/>
      <c r="AF75" s="288"/>
      <c r="AG75" s="288"/>
      <c r="AH75" s="288"/>
      <c r="AI75" s="289"/>
      <c r="AK75" s="425"/>
      <c r="AL75" s="425"/>
      <c r="AM75" s="425"/>
      <c r="AN75" s="425"/>
      <c r="AO75" s="425"/>
      <c r="AP75" s="425"/>
      <c r="AQ75" s="42"/>
      <c r="AR75" s="43"/>
      <c r="AS75" s="43"/>
      <c r="AT75" s="43"/>
      <c r="AU75" s="43"/>
      <c r="AV75" s="43"/>
      <c r="AW75" s="43"/>
      <c r="AX75" s="43"/>
      <c r="AY75" s="43"/>
      <c r="AZ75" s="43"/>
      <c r="BH75" s="53"/>
      <c r="BI75" s="51"/>
    </row>
    <row r="76" spans="1:61" ht="18" customHeight="1">
      <c r="A76" s="36"/>
      <c r="B76" s="404"/>
      <c r="C76" s="404"/>
      <c r="D76" s="404"/>
      <c r="E76" s="404"/>
      <c r="F76" s="288"/>
      <c r="G76" s="288"/>
      <c r="H76" s="288"/>
      <c r="I76" s="288"/>
      <c r="J76" s="288"/>
      <c r="K76" s="288"/>
      <c r="L76" s="288"/>
      <c r="M76" s="288"/>
      <c r="N76" s="288"/>
      <c r="O76" s="288"/>
      <c r="P76" s="288"/>
      <c r="Q76" s="288"/>
      <c r="R76" s="288"/>
      <c r="S76" s="288"/>
      <c r="T76" s="288"/>
      <c r="U76" s="288"/>
      <c r="V76" s="288"/>
      <c r="W76" s="288"/>
      <c r="X76" s="288"/>
      <c r="Y76" s="288"/>
      <c r="Z76" s="288"/>
      <c r="AA76" s="288"/>
      <c r="AB76" s="288"/>
      <c r="AC76" s="288"/>
      <c r="AD76" s="288"/>
      <c r="AE76" s="288"/>
      <c r="AF76" s="288"/>
      <c r="AG76" s="288"/>
      <c r="AH76" s="288"/>
      <c r="AI76" s="289"/>
      <c r="AK76" s="425"/>
      <c r="AL76" s="425"/>
      <c r="AM76" s="425"/>
      <c r="AN76" s="425"/>
      <c r="AO76" s="425"/>
      <c r="AP76" s="425"/>
      <c r="AQ76" s="42"/>
      <c r="AR76" s="43"/>
      <c r="AS76" s="43"/>
      <c r="AT76" s="43"/>
      <c r="AU76" s="43"/>
      <c r="AV76" s="43"/>
      <c r="AW76" s="43"/>
      <c r="AX76" s="43"/>
      <c r="AY76" s="43"/>
      <c r="AZ76" s="43"/>
      <c r="BH76" s="53"/>
      <c r="BI76" s="51"/>
    </row>
    <row r="77" spans="1:61" ht="18" customHeight="1">
      <c r="A77" s="36"/>
      <c r="B77" s="404"/>
      <c r="C77" s="404"/>
      <c r="D77" s="404"/>
      <c r="E77" s="404"/>
      <c r="F77" s="288"/>
      <c r="G77" s="288"/>
      <c r="H77" s="288"/>
      <c r="I77" s="288"/>
      <c r="J77" s="288"/>
      <c r="K77" s="288"/>
      <c r="L77" s="288"/>
      <c r="M77" s="288"/>
      <c r="N77" s="288"/>
      <c r="O77" s="288"/>
      <c r="P77" s="288"/>
      <c r="Q77" s="288"/>
      <c r="R77" s="288"/>
      <c r="S77" s="288"/>
      <c r="T77" s="288"/>
      <c r="U77" s="288"/>
      <c r="V77" s="288"/>
      <c r="W77" s="288"/>
      <c r="X77" s="288"/>
      <c r="Y77" s="288"/>
      <c r="Z77" s="288"/>
      <c r="AA77" s="288"/>
      <c r="AB77" s="288"/>
      <c r="AC77" s="288"/>
      <c r="AD77" s="288"/>
      <c r="AE77" s="288"/>
      <c r="AF77" s="288"/>
      <c r="AG77" s="288"/>
      <c r="AH77" s="288"/>
      <c r="AI77" s="289"/>
      <c r="AK77" s="425"/>
      <c r="AL77" s="425"/>
      <c r="AM77" s="425"/>
      <c r="AN77" s="425"/>
      <c r="AO77" s="425"/>
      <c r="AP77" s="425"/>
      <c r="AQ77" s="42"/>
      <c r="AR77" s="43"/>
      <c r="AS77" s="43"/>
      <c r="AT77" s="43"/>
      <c r="AU77" s="43"/>
      <c r="AV77" s="43"/>
      <c r="AW77" s="43"/>
      <c r="AX77" s="43"/>
      <c r="AY77" s="43"/>
      <c r="AZ77" s="43"/>
      <c r="BH77" s="54"/>
      <c r="BI77" s="51"/>
    </row>
    <row r="78" spans="1:61" ht="18" customHeight="1">
      <c r="A78" s="36"/>
      <c r="B78" s="404"/>
      <c r="C78" s="404"/>
      <c r="D78" s="404"/>
      <c r="E78" s="404"/>
      <c r="F78" s="288"/>
      <c r="G78" s="288"/>
      <c r="H78" s="288"/>
      <c r="I78" s="288"/>
      <c r="J78" s="288"/>
      <c r="K78" s="288"/>
      <c r="L78" s="288"/>
      <c r="M78" s="288"/>
      <c r="N78" s="288"/>
      <c r="O78" s="288"/>
      <c r="P78" s="288"/>
      <c r="Q78" s="288"/>
      <c r="R78" s="288"/>
      <c r="S78" s="288"/>
      <c r="T78" s="288"/>
      <c r="U78" s="288"/>
      <c r="V78" s="288"/>
      <c r="W78" s="288"/>
      <c r="X78" s="288"/>
      <c r="Y78" s="288"/>
      <c r="Z78" s="288"/>
      <c r="AA78" s="288"/>
      <c r="AB78" s="288"/>
      <c r="AC78" s="288"/>
      <c r="AD78" s="288"/>
      <c r="AE78" s="288"/>
      <c r="AF78" s="288"/>
      <c r="AG78" s="288"/>
      <c r="AH78" s="288"/>
      <c r="AI78" s="289"/>
      <c r="AK78" s="425"/>
      <c r="AL78" s="425"/>
      <c r="AM78" s="425"/>
      <c r="AN78" s="425"/>
      <c r="AO78" s="425"/>
      <c r="AP78" s="425"/>
      <c r="AQ78" s="42"/>
      <c r="AR78" s="43"/>
      <c r="AS78" s="43"/>
      <c r="AT78" s="43"/>
      <c r="AU78" s="43"/>
      <c r="AV78" s="43"/>
      <c r="AW78" s="43"/>
      <c r="AX78" s="43"/>
      <c r="AY78" s="43"/>
      <c r="AZ78" s="43"/>
      <c r="BH78" s="54"/>
      <c r="BI78" s="51"/>
    </row>
    <row r="79" spans="1:61" ht="18" customHeight="1">
      <c r="A79" s="36"/>
      <c r="B79" s="404"/>
      <c r="C79" s="404"/>
      <c r="D79" s="404"/>
      <c r="E79" s="404"/>
      <c r="F79" s="288"/>
      <c r="G79" s="288"/>
      <c r="H79" s="288"/>
      <c r="I79" s="288"/>
      <c r="J79" s="288"/>
      <c r="K79" s="288"/>
      <c r="L79" s="288"/>
      <c r="M79" s="288"/>
      <c r="N79" s="288"/>
      <c r="O79" s="288"/>
      <c r="P79" s="288"/>
      <c r="Q79" s="288"/>
      <c r="R79" s="288"/>
      <c r="S79" s="288"/>
      <c r="T79" s="288"/>
      <c r="U79" s="288"/>
      <c r="V79" s="288"/>
      <c r="W79" s="288"/>
      <c r="X79" s="288"/>
      <c r="Y79" s="288"/>
      <c r="Z79" s="288"/>
      <c r="AA79" s="288"/>
      <c r="AB79" s="288"/>
      <c r="AC79" s="288"/>
      <c r="AD79" s="288"/>
      <c r="AE79" s="288"/>
      <c r="AF79" s="288"/>
      <c r="AG79" s="288"/>
      <c r="AH79" s="288"/>
      <c r="AI79" s="289"/>
      <c r="AK79" s="425"/>
      <c r="AL79" s="425"/>
      <c r="AM79" s="425"/>
      <c r="AN79" s="425"/>
      <c r="AO79" s="425"/>
      <c r="AP79" s="425"/>
      <c r="AQ79" s="42"/>
      <c r="AR79" s="43"/>
      <c r="AS79" s="43"/>
      <c r="AT79" s="43"/>
      <c r="AU79" s="43"/>
      <c r="AV79" s="43"/>
      <c r="AW79" s="43"/>
      <c r="AX79" s="43"/>
      <c r="AY79" s="43"/>
      <c r="AZ79" s="43"/>
      <c r="BH79" s="54"/>
      <c r="BI79" s="51"/>
    </row>
    <row r="80" spans="1:61" ht="18" customHeight="1">
      <c r="A80" s="37"/>
      <c r="B80" s="466"/>
      <c r="C80" s="466"/>
      <c r="D80" s="466"/>
      <c r="E80" s="466"/>
      <c r="F80" s="467"/>
      <c r="G80" s="467"/>
      <c r="H80" s="467"/>
      <c r="I80" s="467"/>
      <c r="J80" s="467"/>
      <c r="K80" s="467"/>
      <c r="L80" s="467"/>
      <c r="M80" s="467"/>
      <c r="N80" s="467"/>
      <c r="O80" s="467"/>
      <c r="P80" s="467"/>
      <c r="Q80" s="467"/>
      <c r="R80" s="467"/>
      <c r="S80" s="467"/>
      <c r="T80" s="467"/>
      <c r="U80" s="467"/>
      <c r="V80" s="467"/>
      <c r="W80" s="467"/>
      <c r="X80" s="467"/>
      <c r="Y80" s="467"/>
      <c r="Z80" s="467"/>
      <c r="AA80" s="467"/>
      <c r="AB80" s="467"/>
      <c r="AC80" s="467"/>
      <c r="AD80" s="467"/>
      <c r="AE80" s="467"/>
      <c r="AF80" s="467"/>
      <c r="AG80" s="467"/>
      <c r="AH80" s="467"/>
      <c r="AI80" s="468"/>
      <c r="AK80" s="425"/>
      <c r="AL80" s="425"/>
      <c r="AM80" s="425"/>
      <c r="AN80" s="425"/>
      <c r="AO80" s="425"/>
      <c r="AP80" s="425"/>
      <c r="AQ80" s="42"/>
      <c r="AR80" s="43"/>
      <c r="AS80" s="43"/>
      <c r="AT80" s="43"/>
      <c r="AU80" s="43"/>
      <c r="AV80" s="43"/>
      <c r="AW80" s="43"/>
      <c r="AX80" s="43"/>
      <c r="AY80" s="43"/>
      <c r="AZ80" s="43"/>
      <c r="BH80" s="54"/>
      <c r="BI80" s="51"/>
    </row>
    <row r="81" spans="1:61" ht="18" customHeight="1">
      <c r="A81" s="406" t="s">
        <v>704</v>
      </c>
      <c r="B81" s="407"/>
      <c r="C81" s="407"/>
      <c r="D81" s="407"/>
      <c r="E81" s="407"/>
      <c r="F81" s="407"/>
      <c r="G81" s="407"/>
      <c r="H81" s="407"/>
      <c r="I81" s="407"/>
      <c r="J81" s="407"/>
      <c r="K81" s="407"/>
      <c r="L81" s="407"/>
      <c r="M81" s="407"/>
      <c r="N81" s="407"/>
      <c r="O81" s="407"/>
      <c r="P81" s="407"/>
      <c r="Q81" s="407"/>
      <c r="R81" s="407"/>
      <c r="S81" s="407"/>
      <c r="T81" s="407"/>
      <c r="U81" s="407"/>
      <c r="V81" s="407"/>
      <c r="W81" s="407"/>
      <c r="X81" s="407"/>
      <c r="Y81" s="407"/>
      <c r="Z81" s="407"/>
      <c r="AA81" s="407"/>
      <c r="AB81" s="407"/>
      <c r="AC81" s="407"/>
      <c r="AD81" s="407"/>
      <c r="AE81" s="407"/>
      <c r="AF81" s="407"/>
      <c r="AG81" s="407"/>
      <c r="AH81" s="407"/>
      <c r="AI81" s="408"/>
      <c r="AK81" s="425"/>
      <c r="AL81" s="425"/>
      <c r="AM81" s="425"/>
      <c r="AN81" s="425"/>
      <c r="AO81" s="425"/>
      <c r="AP81" s="425"/>
      <c r="AQ81" s="42"/>
      <c r="AR81" s="43"/>
      <c r="AS81" s="43"/>
      <c r="AT81" s="43"/>
      <c r="AU81" s="43"/>
      <c r="AV81" s="43"/>
      <c r="AW81" s="43"/>
      <c r="AX81" s="43"/>
      <c r="AY81" s="43"/>
      <c r="AZ81" s="43"/>
      <c r="BH81" s="53"/>
      <c r="BI81" s="51"/>
    </row>
    <row r="82" spans="1:61" ht="18" customHeight="1">
      <c r="A82" s="38"/>
      <c r="B82" s="465">
        <v>46168</v>
      </c>
      <c r="C82" s="465"/>
      <c r="D82" s="465"/>
      <c r="E82" s="465"/>
      <c r="F82" s="288" t="s">
        <v>723</v>
      </c>
      <c r="G82" s="288"/>
      <c r="H82" s="288"/>
      <c r="I82" s="288"/>
      <c r="J82" s="288"/>
      <c r="K82" s="288"/>
      <c r="L82" s="288"/>
      <c r="M82" s="288"/>
      <c r="N82" s="288"/>
      <c r="O82" s="288"/>
      <c r="P82" s="288"/>
      <c r="Q82" s="288"/>
      <c r="R82" s="288"/>
      <c r="S82" s="288"/>
      <c r="T82" s="288"/>
      <c r="U82" s="288"/>
      <c r="V82" s="288"/>
      <c r="W82" s="288"/>
      <c r="X82" s="288"/>
      <c r="Y82" s="288"/>
      <c r="Z82" s="288"/>
      <c r="AA82" s="288"/>
      <c r="AB82" s="288"/>
      <c r="AC82" s="288"/>
      <c r="AD82" s="288"/>
      <c r="AE82" s="288"/>
      <c r="AF82" s="288"/>
      <c r="AG82" s="288"/>
      <c r="AH82" s="288"/>
      <c r="AI82" s="289"/>
      <c r="AK82" s="425"/>
      <c r="AL82" s="425"/>
      <c r="AM82" s="425"/>
      <c r="AN82" s="425"/>
      <c r="AO82" s="425"/>
      <c r="AP82" s="425"/>
      <c r="AQ82" s="42"/>
      <c r="AR82" s="43"/>
      <c r="AS82" s="43"/>
      <c r="AT82" s="43"/>
      <c r="AU82" s="43"/>
      <c r="AV82" s="43"/>
      <c r="AW82" s="43"/>
      <c r="AX82" s="43"/>
      <c r="AY82" s="43"/>
      <c r="AZ82" s="43"/>
      <c r="BH82" s="53"/>
      <c r="BI82" s="51"/>
    </row>
    <row r="83" spans="1:61" ht="18" customHeight="1">
      <c r="A83" s="38"/>
      <c r="B83" s="465"/>
      <c r="C83" s="465"/>
      <c r="D83" s="465"/>
      <c r="E83" s="465"/>
      <c r="F83" s="288"/>
      <c r="G83" s="288"/>
      <c r="H83" s="288"/>
      <c r="I83" s="288"/>
      <c r="J83" s="288"/>
      <c r="K83" s="288"/>
      <c r="L83" s="288"/>
      <c r="M83" s="288"/>
      <c r="N83" s="288"/>
      <c r="O83" s="288"/>
      <c r="P83" s="288"/>
      <c r="Q83" s="288"/>
      <c r="R83" s="288"/>
      <c r="S83" s="288"/>
      <c r="T83" s="288"/>
      <c r="U83" s="288"/>
      <c r="V83" s="288"/>
      <c r="W83" s="288"/>
      <c r="X83" s="288"/>
      <c r="Y83" s="288"/>
      <c r="Z83" s="288"/>
      <c r="AA83" s="288"/>
      <c r="AB83" s="288"/>
      <c r="AC83" s="288"/>
      <c r="AD83" s="288"/>
      <c r="AE83" s="288"/>
      <c r="AF83" s="288"/>
      <c r="AG83" s="288"/>
      <c r="AH83" s="288"/>
      <c r="AI83" s="289"/>
      <c r="AK83" s="425"/>
      <c r="AL83" s="425"/>
      <c r="AM83" s="425"/>
      <c r="AN83" s="425"/>
      <c r="AO83" s="425"/>
      <c r="AP83" s="425"/>
      <c r="AQ83" s="42"/>
      <c r="AR83" s="43"/>
      <c r="AS83" s="43"/>
      <c r="AT83" s="43"/>
      <c r="AU83" s="43"/>
      <c r="AV83" s="43"/>
      <c r="AW83" s="43"/>
      <c r="AX83" s="43"/>
      <c r="AY83" s="43"/>
      <c r="AZ83" s="43"/>
      <c r="BH83" s="53"/>
      <c r="BI83" s="51"/>
    </row>
    <row r="84" spans="1:61" ht="18" customHeight="1">
      <c r="A84" s="38"/>
      <c r="B84" s="465"/>
      <c r="C84" s="465"/>
      <c r="D84" s="465"/>
      <c r="E84" s="465"/>
      <c r="F84" s="288"/>
      <c r="G84" s="288"/>
      <c r="H84" s="288"/>
      <c r="I84" s="288"/>
      <c r="J84" s="288"/>
      <c r="K84" s="288"/>
      <c r="L84" s="288"/>
      <c r="M84" s="288"/>
      <c r="N84" s="288"/>
      <c r="O84" s="288"/>
      <c r="P84" s="288"/>
      <c r="Q84" s="288"/>
      <c r="R84" s="288"/>
      <c r="S84" s="288"/>
      <c r="T84" s="288"/>
      <c r="U84" s="288"/>
      <c r="V84" s="288"/>
      <c r="W84" s="288"/>
      <c r="X84" s="288"/>
      <c r="Y84" s="288"/>
      <c r="Z84" s="288"/>
      <c r="AA84" s="288"/>
      <c r="AB84" s="288"/>
      <c r="AC84" s="288"/>
      <c r="AD84" s="288"/>
      <c r="AE84" s="288"/>
      <c r="AF84" s="288"/>
      <c r="AG84" s="288"/>
      <c r="AH84" s="288"/>
      <c r="AI84" s="289"/>
      <c r="AK84" s="425"/>
      <c r="AL84" s="425"/>
      <c r="AM84" s="425"/>
      <c r="AN84" s="425"/>
      <c r="AO84" s="425"/>
      <c r="AP84" s="425"/>
      <c r="AQ84" s="42"/>
      <c r="AR84" s="43"/>
      <c r="AS84" s="43"/>
      <c r="AT84" s="43"/>
      <c r="AU84" s="43"/>
      <c r="AV84" s="43"/>
      <c r="AW84" s="43"/>
      <c r="AX84" s="43"/>
      <c r="AY84" s="43"/>
      <c r="AZ84" s="43"/>
    </row>
    <row r="85" spans="1:61" ht="18" customHeight="1">
      <c r="A85" s="38"/>
      <c r="B85" s="465"/>
      <c r="C85" s="465"/>
      <c r="D85" s="465"/>
      <c r="E85" s="465"/>
      <c r="F85" s="288"/>
      <c r="G85" s="288"/>
      <c r="H85" s="288"/>
      <c r="I85" s="288"/>
      <c r="J85" s="288"/>
      <c r="K85" s="288"/>
      <c r="L85" s="288"/>
      <c r="M85" s="288"/>
      <c r="N85" s="288"/>
      <c r="O85" s="288"/>
      <c r="P85" s="288"/>
      <c r="Q85" s="288"/>
      <c r="R85" s="288"/>
      <c r="S85" s="288"/>
      <c r="T85" s="288"/>
      <c r="U85" s="288"/>
      <c r="V85" s="288"/>
      <c r="W85" s="288"/>
      <c r="X85" s="288"/>
      <c r="Y85" s="288"/>
      <c r="Z85" s="288"/>
      <c r="AA85" s="288"/>
      <c r="AB85" s="288"/>
      <c r="AC85" s="288"/>
      <c r="AD85" s="288"/>
      <c r="AE85" s="288"/>
      <c r="AF85" s="288"/>
      <c r="AG85" s="288"/>
      <c r="AH85" s="288"/>
      <c r="AI85" s="289"/>
      <c r="AK85" s="425"/>
      <c r="AL85" s="425"/>
      <c r="AM85" s="425"/>
      <c r="AN85" s="425"/>
      <c r="AO85" s="425"/>
      <c r="AP85" s="425"/>
      <c r="AQ85" s="42"/>
      <c r="AR85" s="43"/>
      <c r="AS85" s="43"/>
      <c r="AT85" s="43"/>
      <c r="AU85" s="43"/>
      <c r="AV85" s="43"/>
      <c r="AW85" s="43"/>
      <c r="AX85" s="43"/>
      <c r="AY85" s="43"/>
      <c r="AZ85" s="43"/>
    </row>
    <row r="86" spans="1:61" ht="18" customHeight="1" thickBot="1">
      <c r="A86" s="41"/>
      <c r="B86" s="540"/>
      <c r="C86" s="540"/>
      <c r="D86" s="540"/>
      <c r="E86" s="540"/>
      <c r="F86" s="541"/>
      <c r="G86" s="541"/>
      <c r="H86" s="541"/>
      <c r="I86" s="541"/>
      <c r="J86" s="541"/>
      <c r="K86" s="541"/>
      <c r="L86" s="541"/>
      <c r="M86" s="541"/>
      <c r="N86" s="541"/>
      <c r="O86" s="541"/>
      <c r="P86" s="541"/>
      <c r="Q86" s="541"/>
      <c r="R86" s="541"/>
      <c r="S86" s="541"/>
      <c r="T86" s="541"/>
      <c r="U86" s="541"/>
      <c r="V86" s="541"/>
      <c r="W86" s="541"/>
      <c r="X86" s="541"/>
      <c r="Y86" s="541"/>
      <c r="Z86" s="541"/>
      <c r="AA86" s="541"/>
      <c r="AB86" s="541"/>
      <c r="AC86" s="541"/>
      <c r="AD86" s="541"/>
      <c r="AE86" s="541"/>
      <c r="AF86" s="541"/>
      <c r="AG86" s="541"/>
      <c r="AH86" s="541"/>
      <c r="AI86" s="542"/>
      <c r="AK86" s="425"/>
      <c r="AL86" s="425"/>
      <c r="AM86" s="425"/>
      <c r="AN86" s="425"/>
      <c r="AO86" s="425"/>
      <c r="AP86" s="425"/>
      <c r="AQ86" s="42"/>
      <c r="AR86" s="43"/>
      <c r="AS86" s="43"/>
      <c r="AT86" s="43"/>
      <c r="AU86" s="43"/>
      <c r="AV86" s="43"/>
      <c r="AW86" s="43"/>
      <c r="AX86" s="43"/>
      <c r="AY86" s="43"/>
      <c r="AZ86" s="43"/>
    </row>
    <row r="87" spans="1:61" ht="14.1" customHeight="1">
      <c r="AK87" s="438"/>
      <c r="AL87" s="438"/>
      <c r="AM87" s="438"/>
      <c r="AN87" s="438"/>
      <c r="AO87" s="438"/>
      <c r="AP87" s="438"/>
      <c r="AQ87" s="119"/>
    </row>
    <row r="88" spans="1:61" ht="14.1" customHeight="1">
      <c r="AK88" s="437"/>
      <c r="AL88" s="437"/>
      <c r="AM88" s="437"/>
      <c r="AN88" s="437"/>
      <c r="AO88" s="437"/>
      <c r="AP88" s="437"/>
      <c r="AQ88" s="120"/>
    </row>
    <row r="89" spans="1:61" ht="14.1" customHeight="1">
      <c r="AK89" s="437"/>
      <c r="AL89" s="437"/>
      <c r="AM89" s="437"/>
      <c r="AN89" s="437"/>
      <c r="AO89" s="437"/>
      <c r="AP89" s="437"/>
      <c r="AQ89" s="120"/>
    </row>
    <row r="90" spans="1:61" ht="14.1" customHeight="1"/>
    <row r="91" spans="1:61" ht="14.1" customHeight="1"/>
    <row r="92" spans="1:61" ht="14.1" customHeight="1"/>
    <row r="93" spans="1:61" ht="14.1" customHeight="1"/>
    <row r="94" spans="1:61" ht="14.1" customHeight="1"/>
    <row r="95" spans="1:61" ht="14.1" customHeight="1"/>
    <row r="96" spans="1:61" ht="14.1" customHeight="1"/>
    <row r="97" ht="14.1" customHeight="1"/>
    <row r="98" ht="14.1" customHeight="1"/>
    <row r="99" ht="14.1" customHeight="1"/>
    <row r="100" ht="14.1" customHeight="1"/>
    <row r="101" ht="14.1" customHeight="1"/>
    <row r="102" ht="14.1" customHeight="1"/>
    <row r="103" ht="14.1" customHeight="1"/>
    <row r="104" ht="14.1" customHeight="1"/>
    <row r="105" ht="14.1" customHeight="1"/>
    <row r="106" ht="14.1" customHeight="1"/>
    <row r="107" ht="14.1" customHeight="1"/>
    <row r="108" ht="14.1" customHeight="1"/>
    <row r="109" ht="14.1" customHeight="1"/>
    <row r="110" ht="14.1" customHeight="1"/>
    <row r="111" ht="14.1" customHeight="1"/>
    <row r="112" ht="14.1" customHeight="1"/>
    <row r="113" ht="14.1" customHeight="1"/>
    <row r="114" ht="14.1" customHeight="1"/>
    <row r="115" ht="14.1" customHeight="1"/>
    <row r="116" ht="14.1" customHeight="1"/>
    <row r="117" ht="14.1" customHeight="1"/>
    <row r="118" ht="14.1" customHeight="1"/>
    <row r="119" ht="14.1" customHeight="1"/>
    <row r="120" ht="14.1" customHeight="1"/>
    <row r="121" ht="14.1" customHeight="1"/>
    <row r="122" ht="14.1" customHeight="1"/>
    <row r="123" ht="14.1" customHeight="1"/>
    <row r="124" ht="14.1" customHeight="1"/>
    <row r="125" ht="14.1" customHeight="1"/>
    <row r="126" ht="14.1" customHeight="1"/>
    <row r="127" ht="14.1" customHeight="1"/>
    <row r="128" ht="14.1" customHeight="1"/>
    <row r="129" ht="14.1" customHeight="1"/>
    <row r="130" ht="14.1" customHeight="1"/>
    <row r="131" ht="14.1" customHeight="1"/>
    <row r="132" ht="14.1" customHeight="1"/>
    <row r="133" ht="14.1" customHeight="1"/>
    <row r="134" ht="14.1" customHeight="1"/>
    <row r="135" ht="14.1" customHeight="1"/>
    <row r="136" ht="14.1" customHeight="1"/>
    <row r="137" ht="14.1" customHeight="1"/>
    <row r="138" ht="14.1" customHeight="1"/>
    <row r="139" ht="14.1" customHeight="1"/>
    <row r="140" ht="14.1" customHeight="1"/>
    <row r="141" ht="14.1" customHeight="1"/>
    <row r="142" ht="14.1" customHeight="1"/>
    <row r="143" ht="14.1" customHeight="1"/>
    <row r="144" ht="14.1" customHeight="1"/>
    <row r="145" ht="14.1" customHeight="1"/>
    <row r="146" ht="14.1" customHeight="1"/>
    <row r="147" ht="14.1" customHeight="1"/>
    <row r="148" ht="14.1" customHeight="1"/>
    <row r="149" ht="14.1" customHeight="1"/>
    <row r="150" ht="14.1" customHeight="1"/>
    <row r="151" ht="14.1" customHeight="1"/>
    <row r="152" ht="14.1" customHeight="1"/>
    <row r="153" ht="14.1" customHeight="1"/>
    <row r="154" ht="14.1" customHeight="1"/>
    <row r="155" ht="14.1" customHeight="1"/>
    <row r="156" ht="14.1" customHeight="1"/>
    <row r="157" ht="14.1" customHeight="1"/>
    <row r="158" ht="14.1" customHeight="1"/>
    <row r="159" ht="14.1" customHeight="1"/>
    <row r="160" ht="14.1" customHeight="1"/>
    <row r="161" ht="14.1" customHeight="1"/>
    <row r="162" ht="14.1" customHeight="1"/>
    <row r="163" ht="14.1" customHeight="1"/>
    <row r="164" ht="14.1" customHeight="1"/>
    <row r="165" ht="14.1" customHeight="1"/>
    <row r="166" ht="14.1" customHeight="1"/>
    <row r="167" ht="14.1" customHeight="1"/>
    <row r="168" ht="14.1" customHeight="1"/>
    <row r="169" ht="14.1" customHeight="1"/>
    <row r="170" ht="14.1" customHeight="1"/>
    <row r="171" ht="14.1" customHeight="1"/>
    <row r="172" ht="14.1" customHeight="1"/>
    <row r="173" ht="14.1" customHeight="1"/>
    <row r="174" ht="14.1" customHeight="1"/>
    <row r="175" ht="14.1" customHeight="1"/>
    <row r="176" ht="14.1" customHeight="1"/>
    <row r="177" ht="14.1" customHeight="1"/>
    <row r="178" ht="14.1" customHeight="1"/>
    <row r="179" ht="14.1" customHeight="1"/>
    <row r="180" ht="14.1" customHeight="1"/>
    <row r="181" ht="14.1" customHeight="1"/>
    <row r="182" ht="14.1" customHeight="1"/>
    <row r="183" ht="14.1" customHeight="1"/>
    <row r="184" ht="14.1" customHeight="1"/>
    <row r="185" ht="14.1" customHeight="1"/>
    <row r="186" ht="14.1" customHeight="1"/>
    <row r="187" ht="14.1" customHeight="1"/>
    <row r="188" ht="14.1" customHeight="1"/>
    <row r="189" ht="14.1" customHeight="1"/>
    <row r="190" ht="14.1" customHeight="1"/>
    <row r="191" ht="14.1" customHeight="1"/>
    <row r="192" ht="14.1" customHeight="1"/>
    <row r="193" ht="14.1" customHeight="1"/>
    <row r="194" ht="14.1" customHeight="1"/>
    <row r="195" ht="14.1" customHeight="1"/>
    <row r="196" ht="14.1" customHeight="1"/>
    <row r="197" ht="14.1" customHeight="1"/>
    <row r="198" ht="14.1" customHeight="1"/>
    <row r="199" ht="14.1" customHeight="1"/>
    <row r="200" ht="14.1" customHeight="1"/>
    <row r="201" ht="14.1" customHeight="1"/>
    <row r="202" ht="14.1" customHeight="1"/>
    <row r="203" ht="14.1" customHeight="1"/>
    <row r="204" ht="14.1" customHeight="1"/>
    <row r="205" ht="14.1" customHeight="1"/>
    <row r="206" ht="14.1" customHeight="1"/>
    <row r="207" ht="14.1" customHeight="1"/>
    <row r="208" ht="14.1" customHeight="1"/>
    <row r="209" ht="14.1" customHeight="1"/>
    <row r="210" ht="14.1" customHeight="1"/>
    <row r="211" ht="14.1" customHeight="1"/>
    <row r="212" ht="14.1" customHeight="1"/>
    <row r="213" ht="14.1" customHeight="1"/>
    <row r="214" ht="14.1" customHeight="1"/>
    <row r="215" ht="14.1" customHeight="1"/>
    <row r="216" ht="14.1" customHeight="1"/>
    <row r="217" ht="14.1" customHeight="1"/>
    <row r="218" ht="14.1" customHeight="1"/>
    <row r="219" ht="14.1" customHeight="1"/>
    <row r="220" ht="14.1" customHeight="1"/>
    <row r="221" ht="14.1" customHeight="1"/>
    <row r="222" ht="14.1" customHeight="1"/>
    <row r="223" ht="14.1" customHeight="1"/>
    <row r="224" ht="14.1" customHeight="1"/>
    <row r="225" ht="14.1" customHeight="1"/>
    <row r="226" ht="14.1" customHeight="1"/>
    <row r="227" ht="14.1" customHeight="1"/>
    <row r="228" ht="14.1" customHeight="1"/>
    <row r="229" ht="14.1" customHeight="1"/>
    <row r="230" ht="14.1" customHeight="1"/>
    <row r="231" ht="14.1" customHeight="1"/>
    <row r="232" ht="14.1" customHeight="1"/>
    <row r="233" ht="14.1" customHeight="1"/>
    <row r="234" ht="14.1" customHeight="1"/>
    <row r="235" ht="14.1" customHeight="1"/>
    <row r="236" ht="14.1" customHeight="1"/>
    <row r="237" ht="14.1" customHeight="1"/>
    <row r="238" ht="14.1" customHeight="1"/>
    <row r="239" ht="14.1" customHeight="1"/>
    <row r="240" ht="14.1" customHeight="1"/>
    <row r="241" ht="14.1" customHeight="1"/>
    <row r="242" ht="14.1" customHeight="1"/>
    <row r="243" ht="14.1" customHeight="1"/>
    <row r="244" ht="14.1" customHeight="1"/>
    <row r="245" ht="14.1" customHeight="1"/>
    <row r="246" ht="14.1" customHeight="1"/>
    <row r="247" ht="14.1" customHeight="1"/>
    <row r="248" ht="14.1" customHeight="1"/>
    <row r="249" ht="14.1" customHeight="1"/>
    <row r="250" ht="14.1" customHeight="1"/>
    <row r="251" ht="14.1" customHeight="1"/>
    <row r="252" ht="14.1" customHeight="1"/>
    <row r="253" ht="14.1" customHeight="1"/>
    <row r="254" ht="14.1" customHeight="1"/>
    <row r="255" ht="14.1" customHeight="1"/>
    <row r="256" ht="14.1" customHeight="1"/>
    <row r="257" ht="14.1" customHeight="1"/>
    <row r="258" ht="14.1" customHeight="1"/>
    <row r="259" ht="14.1" customHeight="1"/>
    <row r="260" ht="14.1" customHeight="1"/>
    <row r="261" ht="14.1" customHeight="1"/>
    <row r="262" ht="14.1" customHeight="1"/>
    <row r="263" ht="14.1" customHeight="1"/>
    <row r="264" ht="14.1" customHeight="1"/>
    <row r="265" ht="14.1" customHeight="1"/>
    <row r="266" ht="14.1" customHeight="1"/>
  </sheetData>
  <sheetProtection algorithmName="SHA-512" hashValue="0loLJCJhL4ad+e9W1BFBlntzNt2hf75qC+V2eugpQkoXMOcFlTwiL5DSpVRXAf1cyQ/kgBnOXO/4cSPzCUKn4A==" saltValue="4etb9yyOEqZ9UduJqdtb6g==" spinCount="100000" sheet="1" autoFilter="0"/>
  <mergeCells count="381">
    <mergeCell ref="A1:S3"/>
    <mergeCell ref="T1:Z3"/>
    <mergeCell ref="AD1:AI1"/>
    <mergeCell ref="AD2:AF4"/>
    <mergeCell ref="AG2:AI4"/>
    <mergeCell ref="A4:S5"/>
    <mergeCell ref="AK7:AP8"/>
    <mergeCell ref="AQ7:AQ8"/>
    <mergeCell ref="V8:X8"/>
    <mergeCell ref="A9:AI9"/>
    <mergeCell ref="AK9:AP9"/>
    <mergeCell ref="A10:H10"/>
    <mergeCell ref="I10:J10"/>
    <mergeCell ref="K10:L10"/>
    <mergeCell ref="M10:T10"/>
    <mergeCell ref="U10:V10"/>
    <mergeCell ref="O7:P8"/>
    <mergeCell ref="Q7:R8"/>
    <mergeCell ref="S7:T8"/>
    <mergeCell ref="V7:X7"/>
    <mergeCell ref="Y7:AA8"/>
    <mergeCell ref="AB7:AI8"/>
    <mergeCell ref="A7:E8"/>
    <mergeCell ref="F7:F8"/>
    <mergeCell ref="G7:I8"/>
    <mergeCell ref="J7:J8"/>
    <mergeCell ref="K7:M8"/>
    <mergeCell ref="N7:N8"/>
    <mergeCell ref="W10:X10"/>
    <mergeCell ref="Y10:AF10"/>
    <mergeCell ref="AG10:AH10"/>
    <mergeCell ref="AK10:AP10"/>
    <mergeCell ref="A11:H11"/>
    <mergeCell ref="I11:J11"/>
    <mergeCell ref="K11:L11"/>
    <mergeCell ref="M11:T11"/>
    <mergeCell ref="U11:V11"/>
    <mergeCell ref="W11:X11"/>
    <mergeCell ref="Y11:AF11"/>
    <mergeCell ref="AG11:AH11"/>
    <mergeCell ref="AK11:AP11"/>
    <mergeCell ref="A12:H12"/>
    <mergeCell ref="I12:J12"/>
    <mergeCell ref="K12:L12"/>
    <mergeCell ref="M12:T12"/>
    <mergeCell ref="U12:V12"/>
    <mergeCell ref="W12:X12"/>
    <mergeCell ref="Y12:AF12"/>
    <mergeCell ref="AG12:AH12"/>
    <mergeCell ref="AK12:AP12"/>
    <mergeCell ref="A13:H13"/>
    <mergeCell ref="I13:J13"/>
    <mergeCell ref="K13:L13"/>
    <mergeCell ref="M13:T13"/>
    <mergeCell ref="U13:V13"/>
    <mergeCell ref="W13:X13"/>
    <mergeCell ref="Y13:AF13"/>
    <mergeCell ref="AG13:AH13"/>
    <mergeCell ref="AK13:AP13"/>
    <mergeCell ref="A14:AI14"/>
    <mergeCell ref="AK14:AP14"/>
    <mergeCell ref="B15:I15"/>
    <mergeCell ref="J15:L15"/>
    <mergeCell ref="M15:N15"/>
    <mergeCell ref="O15:V15"/>
    <mergeCell ref="W15:Y15"/>
    <mergeCell ref="Z15:AA15"/>
    <mergeCell ref="AB15:AG15"/>
    <mergeCell ref="A18:E18"/>
    <mergeCell ref="F18:AI18"/>
    <mergeCell ref="AK18:AP18"/>
    <mergeCell ref="B19:E19"/>
    <mergeCell ref="F19:AI19"/>
    <mergeCell ref="AK19:AP19"/>
    <mergeCell ref="AH15:AI15"/>
    <mergeCell ref="AK15:AP15"/>
    <mergeCell ref="A16:AI16"/>
    <mergeCell ref="AK16:AP16"/>
    <mergeCell ref="A17:E17"/>
    <mergeCell ref="F17:AI17"/>
    <mergeCell ref="AK17:AP17"/>
    <mergeCell ref="B20:E20"/>
    <mergeCell ref="F20:AI20"/>
    <mergeCell ref="AK20:AP20"/>
    <mergeCell ref="AR20:AR23"/>
    <mergeCell ref="B21:E21"/>
    <mergeCell ref="F21:AI21"/>
    <mergeCell ref="AK21:AP21"/>
    <mergeCell ref="B22:E22"/>
    <mergeCell ref="F22:AI22"/>
    <mergeCell ref="AK22:AP22"/>
    <mergeCell ref="BA23:BB23"/>
    <mergeCell ref="B24:E24"/>
    <mergeCell ref="F24:AI24"/>
    <mergeCell ref="AK24:AP24"/>
    <mergeCell ref="AY24:AZ24"/>
    <mergeCell ref="BA24:BB24"/>
    <mergeCell ref="AS22:AT22"/>
    <mergeCell ref="AU22:AV22"/>
    <mergeCell ref="AY22:AZ22"/>
    <mergeCell ref="BA22:BB22"/>
    <mergeCell ref="B23:E23"/>
    <mergeCell ref="F23:AI23"/>
    <mergeCell ref="AK23:AP23"/>
    <mergeCell ref="AS23:AT23"/>
    <mergeCell ref="AU23:AV23"/>
    <mergeCell ref="AY23:AZ23"/>
    <mergeCell ref="B27:E27"/>
    <mergeCell ref="F27:AI27"/>
    <mergeCell ref="AK27:AP27"/>
    <mergeCell ref="AS27:AT27"/>
    <mergeCell ref="AU27:AW27"/>
    <mergeCell ref="AY27:BB27"/>
    <mergeCell ref="B25:E25"/>
    <mergeCell ref="F25:AI25"/>
    <mergeCell ref="AK25:AP25"/>
    <mergeCell ref="AY25:AZ25"/>
    <mergeCell ref="BA25:BB25"/>
    <mergeCell ref="B26:E26"/>
    <mergeCell ref="F26:AI26"/>
    <mergeCell ref="AK26:AP26"/>
    <mergeCell ref="AS26:AW26"/>
    <mergeCell ref="BA28:BB28"/>
    <mergeCell ref="B29:E29"/>
    <mergeCell ref="F29:AI29"/>
    <mergeCell ref="AK29:AP29"/>
    <mergeCell ref="AS29:AT29"/>
    <mergeCell ref="AU29:AW29"/>
    <mergeCell ref="AY29:AZ29"/>
    <mergeCell ref="BA29:BB29"/>
    <mergeCell ref="B28:E28"/>
    <mergeCell ref="F28:AI28"/>
    <mergeCell ref="AK28:AP28"/>
    <mergeCell ref="AS28:AT28"/>
    <mergeCell ref="AU28:AW28"/>
    <mergeCell ref="AY28:AZ28"/>
    <mergeCell ref="A32:AI32"/>
    <mergeCell ref="AK32:AP32"/>
    <mergeCell ref="AS32:AT32"/>
    <mergeCell ref="AU32:AW32"/>
    <mergeCell ref="AY32:AZ32"/>
    <mergeCell ref="BA32:BB32"/>
    <mergeCell ref="BA30:BB30"/>
    <mergeCell ref="B31:E31"/>
    <mergeCell ref="F31:AI31"/>
    <mergeCell ref="AK31:AP31"/>
    <mergeCell ref="AS31:AT31"/>
    <mergeCell ref="AU31:AW31"/>
    <mergeCell ref="AY31:AZ31"/>
    <mergeCell ref="BA31:BB31"/>
    <mergeCell ref="B30:E30"/>
    <mergeCell ref="F30:AI30"/>
    <mergeCell ref="AK30:AP30"/>
    <mergeCell ref="AS30:AT30"/>
    <mergeCell ref="AU30:AW30"/>
    <mergeCell ref="AY30:AZ30"/>
    <mergeCell ref="BA33:BB33"/>
    <mergeCell ref="B34:E34"/>
    <mergeCell ref="F34:AI34"/>
    <mergeCell ref="AK34:AP34"/>
    <mergeCell ref="AS34:AT34"/>
    <mergeCell ref="AU34:AW34"/>
    <mergeCell ref="AY34:AZ34"/>
    <mergeCell ref="BA34:BB34"/>
    <mergeCell ref="B33:E33"/>
    <mergeCell ref="F33:AI33"/>
    <mergeCell ref="AK33:AP33"/>
    <mergeCell ref="AS33:AT33"/>
    <mergeCell ref="AU33:AW33"/>
    <mergeCell ref="AY33:AZ33"/>
    <mergeCell ref="AY35:AZ35"/>
    <mergeCell ref="BA35:BB35"/>
    <mergeCell ref="A36:E36"/>
    <mergeCell ref="F36:K36"/>
    <mergeCell ref="L36:O36"/>
    <mergeCell ref="P36:R36"/>
    <mergeCell ref="T36:V36"/>
    <mergeCell ref="W36:AB36"/>
    <mergeCell ref="AC36:AI36"/>
    <mergeCell ref="B35:E35"/>
    <mergeCell ref="F35:V35"/>
    <mergeCell ref="W35:AB35"/>
    <mergeCell ref="AC35:AI35"/>
    <mergeCell ref="AK35:AP35"/>
    <mergeCell ref="AS35:AT35"/>
    <mergeCell ref="AK36:AP36"/>
    <mergeCell ref="AS36:AT36"/>
    <mergeCell ref="AU36:AW36"/>
    <mergeCell ref="AU35:AW35"/>
    <mergeCell ref="A39:AI39"/>
    <mergeCell ref="AK39:AP39"/>
    <mergeCell ref="AS39:AT39"/>
    <mergeCell ref="AV39:AW39"/>
    <mergeCell ref="A38:E38"/>
    <mergeCell ref="F38:K38"/>
    <mergeCell ref="L38:O38"/>
    <mergeCell ref="P38:V38"/>
    <mergeCell ref="W38:AB38"/>
    <mergeCell ref="AC38:AI38"/>
    <mergeCell ref="AD40:AI40"/>
    <mergeCell ref="A37:E37"/>
    <mergeCell ref="F37:AI37"/>
    <mergeCell ref="AK40:AP40"/>
    <mergeCell ref="AS40:AT40"/>
    <mergeCell ref="AV40:AW40"/>
    <mergeCell ref="A41:D41"/>
    <mergeCell ref="E41:G41"/>
    <mergeCell ref="I41:K41"/>
    <mergeCell ref="L41:R41"/>
    <mergeCell ref="S41:V41"/>
    <mergeCell ref="W41:Y41"/>
    <mergeCell ref="AA41:AC41"/>
    <mergeCell ref="AD41:AI41"/>
    <mergeCell ref="AK41:AP41"/>
    <mergeCell ref="A40:D40"/>
    <mergeCell ref="E40:K40"/>
    <mergeCell ref="L40:R40"/>
    <mergeCell ref="S40:V40"/>
    <mergeCell ref="W40:AC40"/>
    <mergeCell ref="AK37:AP37"/>
    <mergeCell ref="AS37:AT37"/>
    <mergeCell ref="AU37:AW37"/>
    <mergeCell ref="AK38:AP38"/>
    <mergeCell ref="A42:D42"/>
    <mergeCell ref="E42:G42"/>
    <mergeCell ref="I42:K42"/>
    <mergeCell ref="L42:R42"/>
    <mergeCell ref="S42:V42"/>
    <mergeCell ref="W42:Y42"/>
    <mergeCell ref="AA42:AC42"/>
    <mergeCell ref="AK42:AP42"/>
    <mergeCell ref="AS42:AW42"/>
    <mergeCell ref="A43:D43"/>
    <mergeCell ref="E43:G43"/>
    <mergeCell ref="I43:K43"/>
    <mergeCell ref="L43:R43"/>
    <mergeCell ref="S43:V43"/>
    <mergeCell ref="W43:Y43"/>
    <mergeCell ref="AA43:AC43"/>
    <mergeCell ref="A44:D44"/>
    <mergeCell ref="E44:G44"/>
    <mergeCell ref="I44:K44"/>
    <mergeCell ref="L44:R44"/>
    <mergeCell ref="S44:V44"/>
    <mergeCell ref="W44:Y44"/>
    <mergeCell ref="AA44:AC44"/>
    <mergeCell ref="AD44:AI44"/>
    <mergeCell ref="AD42:AI42"/>
    <mergeCell ref="AK44:AP44"/>
    <mergeCell ref="R45:U45"/>
    <mergeCell ref="W45:X45"/>
    <mergeCell ref="Z45:AA45"/>
    <mergeCell ref="AC45:AD45"/>
    <mergeCell ref="AE45:AF45"/>
    <mergeCell ref="AK45:AP45"/>
    <mergeCell ref="AD43:AI43"/>
    <mergeCell ref="AK43:AP43"/>
    <mergeCell ref="B49:E49"/>
    <mergeCell ref="F49:AI49"/>
    <mergeCell ref="AK49:AP49"/>
    <mergeCell ref="B50:E50"/>
    <mergeCell ref="F50:AI50"/>
    <mergeCell ref="AK50:AP50"/>
    <mergeCell ref="A46:AI46"/>
    <mergeCell ref="AK46:AP46"/>
    <mergeCell ref="B47:E47"/>
    <mergeCell ref="F47:AI47"/>
    <mergeCell ref="AK47:AP47"/>
    <mergeCell ref="B48:E48"/>
    <mergeCell ref="F48:AI48"/>
    <mergeCell ref="AK48:AP48"/>
    <mergeCell ref="B53:E53"/>
    <mergeCell ref="F53:AI53"/>
    <mergeCell ref="AK53:AP53"/>
    <mergeCell ref="B54:E54"/>
    <mergeCell ref="F54:AI54"/>
    <mergeCell ref="AK54:AP54"/>
    <mergeCell ref="B51:E51"/>
    <mergeCell ref="F51:AI51"/>
    <mergeCell ref="AK51:AP51"/>
    <mergeCell ref="B52:E52"/>
    <mergeCell ref="F52:AI52"/>
    <mergeCell ref="AK52:AP52"/>
    <mergeCell ref="B57:E57"/>
    <mergeCell ref="F57:AI57"/>
    <mergeCell ref="AK57:AP57"/>
    <mergeCell ref="B58:E58"/>
    <mergeCell ref="F58:AI58"/>
    <mergeCell ref="AK58:AP58"/>
    <mergeCell ref="B55:E55"/>
    <mergeCell ref="F55:AI55"/>
    <mergeCell ref="AK55:AP55"/>
    <mergeCell ref="B56:E56"/>
    <mergeCell ref="F56:AI56"/>
    <mergeCell ref="AK56:AP56"/>
    <mergeCell ref="B61:E61"/>
    <mergeCell ref="F61:AI61"/>
    <mergeCell ref="AK61:AP61"/>
    <mergeCell ref="B62:E62"/>
    <mergeCell ref="F62:AI62"/>
    <mergeCell ref="AK62:AP62"/>
    <mergeCell ref="B59:E59"/>
    <mergeCell ref="F59:AI59"/>
    <mergeCell ref="AK59:AP59"/>
    <mergeCell ref="B60:E60"/>
    <mergeCell ref="F60:AI60"/>
    <mergeCell ref="AK60:AP60"/>
    <mergeCell ref="B65:E65"/>
    <mergeCell ref="F65:AI65"/>
    <mergeCell ref="AK65:AP65"/>
    <mergeCell ref="B66:E66"/>
    <mergeCell ref="F66:AI66"/>
    <mergeCell ref="AK66:AP66"/>
    <mergeCell ref="B63:E63"/>
    <mergeCell ref="F63:AI63"/>
    <mergeCell ref="AK63:AP63"/>
    <mergeCell ref="B64:E64"/>
    <mergeCell ref="F64:AI64"/>
    <mergeCell ref="AK64:AP64"/>
    <mergeCell ref="B69:E69"/>
    <mergeCell ref="F69:AI69"/>
    <mergeCell ref="AK69:AP69"/>
    <mergeCell ref="B70:E70"/>
    <mergeCell ref="F70:AI70"/>
    <mergeCell ref="AK70:AP70"/>
    <mergeCell ref="B67:E67"/>
    <mergeCell ref="F67:AI67"/>
    <mergeCell ref="AK67:AP67"/>
    <mergeCell ref="B68:E68"/>
    <mergeCell ref="F68:AI68"/>
    <mergeCell ref="AK68:AP68"/>
    <mergeCell ref="B73:E73"/>
    <mergeCell ref="F73:AI73"/>
    <mergeCell ref="AK73:AP73"/>
    <mergeCell ref="B74:E74"/>
    <mergeCell ref="F74:AI74"/>
    <mergeCell ref="AK74:AP74"/>
    <mergeCell ref="B71:E71"/>
    <mergeCell ref="F71:AI71"/>
    <mergeCell ref="AK71:AP71"/>
    <mergeCell ref="B72:E72"/>
    <mergeCell ref="F72:AI72"/>
    <mergeCell ref="AK72:AP72"/>
    <mergeCell ref="B77:E77"/>
    <mergeCell ref="F77:AI77"/>
    <mergeCell ref="AK77:AP77"/>
    <mergeCell ref="B78:E78"/>
    <mergeCell ref="F78:AI78"/>
    <mergeCell ref="AK78:AP78"/>
    <mergeCell ref="B75:E75"/>
    <mergeCell ref="F75:AI75"/>
    <mergeCell ref="AK75:AP75"/>
    <mergeCell ref="B76:E76"/>
    <mergeCell ref="F76:AI76"/>
    <mergeCell ref="AK76:AP76"/>
    <mergeCell ref="A81:AI81"/>
    <mergeCell ref="AK81:AP81"/>
    <mergeCell ref="B82:E82"/>
    <mergeCell ref="F82:AI82"/>
    <mergeCell ref="AK82:AP82"/>
    <mergeCell ref="B83:E83"/>
    <mergeCell ref="F83:AI83"/>
    <mergeCell ref="AK83:AP83"/>
    <mergeCell ref="B79:E79"/>
    <mergeCell ref="F79:AI79"/>
    <mergeCell ref="AK79:AP79"/>
    <mergeCell ref="B80:E80"/>
    <mergeCell ref="F80:AI80"/>
    <mergeCell ref="AK80:AP80"/>
    <mergeCell ref="B86:E86"/>
    <mergeCell ref="F86:AI86"/>
    <mergeCell ref="AK86:AP86"/>
    <mergeCell ref="AK87:AP87"/>
    <mergeCell ref="AK88:AP88"/>
    <mergeCell ref="AK89:AP89"/>
    <mergeCell ref="B84:E84"/>
    <mergeCell ref="F84:AI84"/>
    <mergeCell ref="AK84:AP84"/>
    <mergeCell ref="B85:E85"/>
    <mergeCell ref="F85:AI85"/>
    <mergeCell ref="AK85:AP85"/>
  </mergeCells>
  <phoneticPr fontId="2"/>
  <conditionalFormatting sqref="AQ20:AQ28 AQ30:AQ31 AQ9 AQ11:AQ12 AQ14 AQ33:AQ34">
    <cfRule type="containsBlanks" dxfId="347" priority="12">
      <formula>LEN(TRIM(AQ9))=0</formula>
    </cfRule>
  </conditionalFormatting>
  <conditionalFormatting sqref="BC11:CF11">
    <cfRule type="containsText" dxfId="346" priority="8" operator="containsText" text="青">
      <formula>NOT(ISERROR(SEARCH("青",BC11)))</formula>
    </cfRule>
    <cfRule type="containsText" dxfId="345" priority="9" operator="containsText" text="緑">
      <formula>NOT(ISERROR(SEARCH("緑",BC11)))</formula>
    </cfRule>
    <cfRule type="containsText" dxfId="344" priority="10" operator="containsText" text="黄">
      <formula>NOT(ISERROR(SEARCH("黄",BC11)))</formula>
    </cfRule>
    <cfRule type="containsText" dxfId="343" priority="11" operator="containsText" text="赤">
      <formula>NOT(ISERROR(SEARCH("赤",BC11)))</formula>
    </cfRule>
  </conditionalFormatting>
  <conditionalFormatting sqref="V7:X8">
    <cfRule type="containsBlanks" dxfId="342" priority="7">
      <formula>LEN(TRIM(V7))=0</formula>
    </cfRule>
  </conditionalFormatting>
  <conditionalFormatting sqref="AB7:AI8">
    <cfRule type="containsBlanks" dxfId="341" priority="6">
      <formula>LEN(TRIM(AB7))=0</formula>
    </cfRule>
  </conditionalFormatting>
  <conditionalFormatting sqref="A7:E8 G7:I8 K7:M8 O7:P8">
    <cfRule type="containsBlanks" dxfId="340" priority="5">
      <formula>LEN(TRIM(A7))=0</formula>
    </cfRule>
  </conditionalFormatting>
  <conditionalFormatting sqref="W15:Y15 AH15:AI15 J15:L15">
    <cfRule type="containsBlanks" dxfId="339" priority="4">
      <formula>LEN(TRIM(J15))=0</formula>
    </cfRule>
  </conditionalFormatting>
  <conditionalFormatting sqref="L41:R44">
    <cfRule type="cellIs" dxfId="338" priority="1" operator="equal">
      <formula>0</formula>
    </cfRule>
  </conditionalFormatting>
  <conditionalFormatting sqref="P36:R36 T36:V36 L38:O38 AC38:AI38 AC36:AI36">
    <cfRule type="containsBlanks" dxfId="337" priority="3">
      <formula>LEN(TRIM(L36))=0</formula>
    </cfRule>
  </conditionalFormatting>
  <conditionalFormatting sqref="W41:Y44 AA41:AI44">
    <cfRule type="cellIs" dxfId="336" priority="2" operator="equal">
      <formula>0</formula>
    </cfRule>
  </conditionalFormatting>
  <printOptions horizontalCentered="1" verticalCentered="1"/>
  <pageMargins left="0.70866141732283472" right="0.59055118110236227" top="0.55118110236220474" bottom="0.55118110236220474" header="0.31496062992125984" footer="0.31496062992125984"/>
  <pageSetup paperSize="9" orientation="portrait" horizontalDpi="300" verticalDpi="300" r:id="rId1"/>
  <headerFooter scaleWithDoc="0" alignWithMargins="0">
    <oddFooter>&amp;C&amp;P&amp;Rヒトトヒト株式会社</oddFooter>
  </headerFooter>
  <rowBreaks count="1" manualBreakCount="1">
    <brk id="44" max="34" man="1"/>
  </rowBreaks>
  <drawing r:id="rId2"/>
  <extLst>
    <ext xmlns:x14="http://schemas.microsoft.com/office/spreadsheetml/2009/9/main" uri="{CCE6A557-97BC-4b89-ADB6-D9C93CAAB3DF}">
      <x14:dataValidations xmlns:xm="http://schemas.microsoft.com/office/excel/2006/main" count="6">
        <x14:dataValidation type="list" allowBlank="1" showInputMessage="1" showErrorMessage="1" xr:uid="{3249AD25-CC5A-4D25-9354-C565F737C701}">
          <x14:formula1>
            <xm:f>初期値!$C$12:$C$27</xm:f>
          </x14:formula1>
          <xm:sqref>P36:R36 T36:V36</xm:sqref>
        </x14:dataValidation>
        <x14:dataValidation type="list" allowBlank="1" showInputMessage="1" showErrorMessage="1" xr:uid="{D90C2ED8-1402-46B3-97A4-22171CD6E3B9}">
          <x14:formula1>
            <xm:f>初期値!$G$12:$G$24</xm:f>
          </x14:formula1>
          <xm:sqref>V7:X8</xm:sqref>
        </x14:dataValidation>
        <x14:dataValidation type="list" allowBlank="1" showInputMessage="1" showErrorMessage="1" xr:uid="{F6FB8441-5E73-409E-905B-5205E8E346F3}">
          <x14:formula1>
            <xm:f>初期値!$E$12:$E$13</xm:f>
          </x14:formula1>
          <xm:sqref>L38:O38 AC38:AI38 AC36:AI36</xm:sqref>
        </x14:dataValidation>
        <x14:dataValidation type="list" allowBlank="1" showInputMessage="1" showErrorMessage="1" xr:uid="{9A65907E-1153-41DF-8002-0081848BD44F}">
          <x14:formula1>
            <xm:f>初期値!$N$22:$N$23</xm:f>
          </x14:formula1>
          <xm:sqref>AW23</xm:sqref>
        </x14:dataValidation>
        <x14:dataValidation type="list" allowBlank="1" showInputMessage="1" showErrorMessage="1" xr:uid="{6D5EE44D-3B1D-4519-92B2-E2C20DA5C0FA}">
          <x14:formula1>
            <xm:f>初期値!$P$12:$P$27</xm:f>
          </x14:formula1>
          <xm:sqref>BA24:BB24 BA22:BB22 BA28:BB28 BA30:BB30 BA32:BB32 BA34:BB34</xm:sqref>
        </x14:dataValidation>
        <x14:dataValidation type="list" allowBlank="1" showInputMessage="1" showErrorMessage="1" xr:uid="{C364C586-680E-4D09-8572-FA875BE63DBC}">
          <x14:formula1>
            <xm:f>初期値!$N$12:$N$19</xm:f>
          </x14:formula1>
          <xm:sqref>AU22:AV22</xm:sqref>
        </x14:dataValidation>
      </x14:dataValidations>
    </ext>
  </extLs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FED48ED-09AA-4D39-A8AB-1D8BD250070E}">
  <sheetPr codeName="Sheet11"/>
  <dimension ref="A1:CG266"/>
  <sheetViews>
    <sheetView topLeftCell="A11" zoomScaleNormal="100" zoomScaleSheetLayoutView="100" workbookViewId="0">
      <selection activeCell="F34" sqref="F34:AI34"/>
    </sheetView>
  </sheetViews>
  <sheetFormatPr defaultColWidth="8.875" defaultRowHeight="13.5"/>
  <cols>
    <col min="1" max="42" width="2.25" style="23" customWidth="1"/>
    <col min="43" max="43" width="6" style="23" bestFit="1" customWidth="1"/>
    <col min="44" max="44" width="4.5" style="23" bestFit="1" customWidth="1"/>
    <col min="45" max="45" width="6" style="23" bestFit="1" customWidth="1"/>
    <col min="46" max="46" width="4.5" style="23" bestFit="1" customWidth="1"/>
    <col min="47" max="47" width="9" style="23" bestFit="1" customWidth="1"/>
    <col min="48" max="48" width="8.5" style="23" bestFit="1" customWidth="1"/>
    <col min="49" max="49" width="7.5" style="23" bestFit="1" customWidth="1"/>
    <col min="50" max="50" width="6.5" style="23" bestFit="1" customWidth="1"/>
    <col min="51" max="51" width="7.5" style="23" bestFit="1" customWidth="1"/>
    <col min="52" max="52" width="2.125" style="23" customWidth="1"/>
    <col min="53" max="54" width="7.375" style="23" customWidth="1"/>
    <col min="55" max="63" width="3.625" style="23" bestFit="1" customWidth="1"/>
    <col min="64" max="84" width="4" style="23" bestFit="1" customWidth="1"/>
    <col min="85" max="16384" width="8.875" style="23"/>
  </cols>
  <sheetData>
    <row r="1" spans="1:85" ht="14.1" customHeight="1">
      <c r="A1" s="510" t="s">
        <v>551</v>
      </c>
      <c r="B1" s="510"/>
      <c r="C1" s="510"/>
      <c r="D1" s="510"/>
      <c r="E1" s="510"/>
      <c r="F1" s="510"/>
      <c r="G1" s="510"/>
      <c r="H1" s="510"/>
      <c r="I1" s="510"/>
      <c r="J1" s="510"/>
      <c r="K1" s="510"/>
      <c r="L1" s="510"/>
      <c r="M1" s="510"/>
      <c r="N1" s="510"/>
      <c r="O1" s="510"/>
      <c r="P1" s="510"/>
      <c r="Q1" s="510"/>
      <c r="R1" s="510"/>
      <c r="S1" s="510"/>
      <c r="T1" s="388"/>
      <c r="U1" s="388"/>
      <c r="V1" s="388"/>
      <c r="W1" s="388"/>
      <c r="X1" s="388"/>
      <c r="Y1" s="388"/>
      <c r="Z1" s="388"/>
      <c r="AA1" s="24"/>
      <c r="AB1" s="32"/>
      <c r="AD1" s="252" t="s">
        <v>167</v>
      </c>
      <c r="AE1" s="252"/>
      <c r="AF1" s="252"/>
      <c r="AG1" s="252"/>
      <c r="AH1" s="252"/>
      <c r="AI1" s="252"/>
      <c r="AM1" s="123">
        <v>4</v>
      </c>
      <c r="BB1"/>
    </row>
    <row r="2" spans="1:85" ht="14.1" customHeight="1">
      <c r="A2" s="510"/>
      <c r="B2" s="510"/>
      <c r="C2" s="510"/>
      <c r="D2" s="510"/>
      <c r="E2" s="510"/>
      <c r="F2" s="510"/>
      <c r="G2" s="510"/>
      <c r="H2" s="510"/>
      <c r="I2" s="510"/>
      <c r="J2" s="510"/>
      <c r="K2" s="510"/>
      <c r="L2" s="510"/>
      <c r="M2" s="510"/>
      <c r="N2" s="510"/>
      <c r="O2" s="510"/>
      <c r="P2" s="510"/>
      <c r="Q2" s="510"/>
      <c r="R2" s="510"/>
      <c r="S2" s="510"/>
      <c r="T2" s="388"/>
      <c r="U2" s="388"/>
      <c r="V2" s="388"/>
      <c r="W2" s="388"/>
      <c r="X2" s="388"/>
      <c r="Y2" s="388"/>
      <c r="Z2" s="388"/>
      <c r="AA2" s="25"/>
      <c r="AB2" s="31"/>
      <c r="AD2" s="253"/>
      <c r="AE2" s="253"/>
      <c r="AF2" s="253"/>
      <c r="AG2" s="253"/>
      <c r="AH2" s="253"/>
      <c r="AI2" s="253"/>
      <c r="BA2"/>
    </row>
    <row r="3" spans="1:85" ht="14.1" customHeight="1">
      <c r="A3" s="510"/>
      <c r="B3" s="510"/>
      <c r="C3" s="510"/>
      <c r="D3" s="510"/>
      <c r="E3" s="510"/>
      <c r="F3" s="510"/>
      <c r="G3" s="510"/>
      <c r="H3" s="510"/>
      <c r="I3" s="510"/>
      <c r="J3" s="510"/>
      <c r="K3" s="510"/>
      <c r="L3" s="510"/>
      <c r="M3" s="510"/>
      <c r="N3" s="510"/>
      <c r="O3" s="510"/>
      <c r="P3" s="510"/>
      <c r="Q3" s="510"/>
      <c r="R3" s="510"/>
      <c r="S3" s="510"/>
      <c r="T3" s="388"/>
      <c r="U3" s="388"/>
      <c r="V3" s="388"/>
      <c r="W3" s="388"/>
      <c r="X3" s="388"/>
      <c r="Y3" s="388"/>
      <c r="Z3" s="388"/>
      <c r="AA3" s="25"/>
      <c r="AB3" s="31"/>
      <c r="AD3" s="253"/>
      <c r="AE3" s="253"/>
      <c r="AF3" s="253"/>
      <c r="AG3" s="253"/>
      <c r="AH3" s="253"/>
      <c r="AI3" s="253"/>
      <c r="BA3"/>
    </row>
    <row r="4" spans="1:85" ht="14.1" customHeight="1">
      <c r="A4" s="395" t="s">
        <v>552</v>
      </c>
      <c r="B4" s="395"/>
      <c r="C4" s="395"/>
      <c r="D4" s="395"/>
      <c r="E4" s="395"/>
      <c r="F4" s="395"/>
      <c r="G4" s="395"/>
      <c r="H4" s="395"/>
      <c r="I4" s="395"/>
      <c r="J4" s="395"/>
      <c r="K4" s="395"/>
      <c r="L4" s="395"/>
      <c r="M4" s="395"/>
      <c r="N4" s="395"/>
      <c r="O4" s="395"/>
      <c r="P4" s="395"/>
      <c r="Q4" s="395"/>
      <c r="R4" s="395"/>
      <c r="S4" s="395"/>
      <c r="T4" s="155"/>
      <c r="U4" s="155"/>
      <c r="V4" s="155"/>
      <c r="W4" s="155"/>
      <c r="X4" s="155"/>
      <c r="Y4" s="155"/>
      <c r="Z4" s="155"/>
      <c r="AA4" s="26"/>
      <c r="AB4" s="31"/>
      <c r="AD4" s="253"/>
      <c r="AE4" s="253"/>
      <c r="AF4" s="253"/>
      <c r="AG4" s="253"/>
      <c r="AH4" s="253"/>
      <c r="AI4" s="253"/>
      <c r="BA4"/>
    </row>
    <row r="5" spans="1:85" ht="14.1" customHeight="1">
      <c r="A5" s="395"/>
      <c r="B5" s="395"/>
      <c r="C5" s="395"/>
      <c r="D5" s="395"/>
      <c r="E5" s="395"/>
      <c r="F5" s="395"/>
      <c r="G5" s="395"/>
      <c r="H5" s="395"/>
      <c r="I5" s="395"/>
      <c r="J5" s="395"/>
      <c r="K5" s="395"/>
      <c r="L5" s="395"/>
      <c r="M5" s="395"/>
      <c r="N5" s="395"/>
      <c r="O5" s="395"/>
      <c r="P5" s="395"/>
      <c r="Q5" s="395"/>
      <c r="R5" s="395"/>
      <c r="S5" s="395"/>
      <c r="T5" s="155"/>
      <c r="U5" s="155"/>
      <c r="V5" s="155"/>
      <c r="W5" s="155"/>
      <c r="X5" s="155"/>
      <c r="Y5" s="155"/>
      <c r="Z5" s="155"/>
      <c r="AA5" s="26"/>
      <c r="AB5" s="31"/>
      <c r="AC5" s="31"/>
      <c r="AD5" s="31"/>
      <c r="AE5" s="31"/>
      <c r="AF5" s="31"/>
      <c r="AG5" s="31"/>
      <c r="AH5" s="31"/>
      <c r="AI5" s="31"/>
      <c r="BA5"/>
    </row>
    <row r="6" spans="1:85" ht="14.1" customHeight="1" thickBot="1">
      <c r="A6" s="27"/>
      <c r="B6" s="27"/>
      <c r="C6" s="27"/>
      <c r="D6" s="27"/>
      <c r="E6" s="27"/>
      <c r="F6" s="27"/>
      <c r="G6" s="27"/>
      <c r="H6" s="27"/>
      <c r="I6" s="27"/>
      <c r="BA6"/>
    </row>
    <row r="7" spans="1:85" ht="12" customHeight="1">
      <c r="A7" s="255">
        <f>DATE(初期値!A2,初期値!A3,AM1)</f>
        <v>46177</v>
      </c>
      <c r="B7" s="256"/>
      <c r="C7" s="256"/>
      <c r="D7" s="256"/>
      <c r="E7" s="256"/>
      <c r="F7" s="259" t="s">
        <v>169</v>
      </c>
      <c r="G7" s="236">
        <f>$A$7</f>
        <v>46177</v>
      </c>
      <c r="H7" s="236"/>
      <c r="I7" s="236"/>
      <c r="J7" s="239" t="s">
        <v>170</v>
      </c>
      <c r="K7" s="261">
        <f>$A$7</f>
        <v>46177</v>
      </c>
      <c r="L7" s="261"/>
      <c r="M7" s="261"/>
      <c r="N7" s="239" t="s">
        <v>3</v>
      </c>
      <c r="O7" s="520">
        <f>$A$7</f>
        <v>46177</v>
      </c>
      <c r="P7" s="520"/>
      <c r="Q7" s="239" t="s">
        <v>292</v>
      </c>
      <c r="R7" s="240"/>
      <c r="S7" s="522" t="s">
        <v>553</v>
      </c>
      <c r="T7" s="244"/>
      <c r="U7" s="29" t="s">
        <v>554</v>
      </c>
      <c r="V7" s="518" t="s">
        <v>37</v>
      </c>
      <c r="W7" s="518"/>
      <c r="X7" s="518"/>
      <c r="Y7" s="511" t="s">
        <v>555</v>
      </c>
      <c r="Z7" s="512"/>
      <c r="AA7" s="513"/>
      <c r="AB7" s="244" t="str">
        <f>L43</f>
        <v>三角龍彦</v>
      </c>
      <c r="AC7" s="244"/>
      <c r="AD7" s="244"/>
      <c r="AE7" s="244"/>
      <c r="AF7" s="244"/>
      <c r="AG7" s="244"/>
      <c r="AH7" s="244"/>
      <c r="AI7" s="245"/>
      <c r="AK7" s="425" t="s">
        <v>556</v>
      </c>
      <c r="AL7" s="425"/>
      <c r="AM7" s="425"/>
      <c r="AN7" s="425"/>
      <c r="AO7" s="425"/>
      <c r="AP7" s="425"/>
      <c r="AQ7" s="439" t="s">
        <v>557</v>
      </c>
      <c r="AR7" s="43"/>
      <c r="AS7" s="43"/>
      <c r="AT7" s="43"/>
      <c r="AU7" s="43"/>
      <c r="AV7" s="43"/>
      <c r="AW7" s="43"/>
      <c r="AX7" s="43"/>
      <c r="AY7" s="43"/>
      <c r="AZ7" s="43"/>
      <c r="BA7"/>
    </row>
    <row r="8" spans="1:85" ht="12" customHeight="1" thickBot="1">
      <c r="A8" s="257"/>
      <c r="B8" s="258"/>
      <c r="C8" s="258"/>
      <c r="D8" s="258"/>
      <c r="E8" s="258"/>
      <c r="F8" s="260"/>
      <c r="G8" s="237"/>
      <c r="H8" s="237"/>
      <c r="I8" s="237"/>
      <c r="J8" s="242"/>
      <c r="K8" s="262"/>
      <c r="L8" s="262"/>
      <c r="M8" s="262"/>
      <c r="N8" s="242"/>
      <c r="O8" s="521"/>
      <c r="P8" s="521"/>
      <c r="Q8" s="242"/>
      <c r="R8" s="243"/>
      <c r="S8" s="523"/>
      <c r="T8" s="246"/>
      <c r="U8" s="33" t="s">
        <v>558</v>
      </c>
      <c r="V8" s="519" t="s">
        <v>37</v>
      </c>
      <c r="W8" s="519"/>
      <c r="X8" s="519"/>
      <c r="Y8" s="514"/>
      <c r="Z8" s="515"/>
      <c r="AA8" s="516"/>
      <c r="AB8" s="246"/>
      <c r="AC8" s="246"/>
      <c r="AD8" s="246"/>
      <c r="AE8" s="246"/>
      <c r="AF8" s="246"/>
      <c r="AG8" s="246"/>
      <c r="AH8" s="246"/>
      <c r="AI8" s="247"/>
      <c r="AK8" s="425"/>
      <c r="AL8" s="425"/>
      <c r="AM8" s="425"/>
      <c r="AN8" s="425"/>
      <c r="AO8" s="425"/>
      <c r="AP8" s="425"/>
      <c r="AQ8" s="439"/>
      <c r="AR8" s="43"/>
      <c r="AS8" s="43"/>
      <c r="AT8" s="43"/>
      <c r="AU8" s="43"/>
      <c r="AV8" s="43"/>
      <c r="AW8" s="43"/>
      <c r="AX8" s="43"/>
      <c r="AY8" s="43"/>
      <c r="AZ8" s="43"/>
      <c r="BA8"/>
    </row>
    <row r="9" spans="1:85" ht="18" customHeight="1">
      <c r="A9" s="507" t="s">
        <v>559</v>
      </c>
      <c r="B9" s="508"/>
      <c r="C9" s="508"/>
      <c r="D9" s="508"/>
      <c r="E9" s="508"/>
      <c r="F9" s="508"/>
      <c r="G9" s="508"/>
      <c r="H9" s="508"/>
      <c r="I9" s="508"/>
      <c r="J9" s="508"/>
      <c r="K9" s="508"/>
      <c r="L9" s="508"/>
      <c r="M9" s="508"/>
      <c r="N9" s="508"/>
      <c r="O9" s="508"/>
      <c r="P9" s="508"/>
      <c r="Q9" s="508"/>
      <c r="R9" s="508"/>
      <c r="S9" s="508"/>
      <c r="T9" s="508"/>
      <c r="U9" s="508"/>
      <c r="V9" s="508"/>
      <c r="W9" s="508"/>
      <c r="X9" s="508"/>
      <c r="Y9" s="508"/>
      <c r="Z9" s="508"/>
      <c r="AA9" s="508"/>
      <c r="AB9" s="508"/>
      <c r="AC9" s="508"/>
      <c r="AD9" s="508"/>
      <c r="AE9" s="508"/>
      <c r="AF9" s="508"/>
      <c r="AG9" s="508"/>
      <c r="AH9" s="508"/>
      <c r="AI9" s="509"/>
      <c r="AK9" s="440" t="s">
        <v>560</v>
      </c>
      <c r="AL9" s="440"/>
      <c r="AM9" s="440"/>
      <c r="AN9" s="440"/>
      <c r="AO9" s="440"/>
      <c r="AP9" s="440"/>
      <c r="AQ9" s="42">
        <v>77</v>
      </c>
      <c r="AR9" s="43"/>
      <c r="AS9" s="44" t="s">
        <v>561</v>
      </c>
      <c r="AT9" s="44" t="s">
        <v>562</v>
      </c>
      <c r="AU9" s="44" t="s">
        <v>563</v>
      </c>
      <c r="AV9" s="44" t="s">
        <v>564</v>
      </c>
      <c r="AW9" s="45" t="s">
        <v>565</v>
      </c>
      <c r="AX9" s="45" t="s">
        <v>566</v>
      </c>
      <c r="AY9" s="44" t="s">
        <v>567</v>
      </c>
      <c r="AZ9" s="43"/>
      <c r="BB9" s="49" t="s">
        <v>568</v>
      </c>
      <c r="BC9" s="43"/>
      <c r="BD9" s="43"/>
      <c r="BE9" s="43"/>
      <c r="BF9" s="43"/>
      <c r="BG9" s="43"/>
      <c r="BH9" s="43"/>
      <c r="BI9" s="43"/>
      <c r="BJ9" s="43"/>
      <c r="BK9" s="43"/>
      <c r="BL9" s="43"/>
      <c r="BM9" s="43"/>
      <c r="BN9" s="43"/>
      <c r="BO9" s="43"/>
      <c r="BP9" s="43"/>
      <c r="BQ9" s="43"/>
      <c r="BR9" s="43"/>
      <c r="BS9" s="43"/>
      <c r="BT9" s="43"/>
      <c r="BU9" s="43"/>
      <c r="BV9" s="43"/>
      <c r="BW9" s="43"/>
      <c r="BX9" s="43"/>
      <c r="BY9" s="43"/>
      <c r="BZ9" s="43"/>
      <c r="CA9" s="43"/>
      <c r="CB9" s="43"/>
      <c r="CC9" s="43"/>
      <c r="CD9" s="43"/>
      <c r="CE9" s="43"/>
      <c r="CF9" s="43"/>
      <c r="CG9" s="43"/>
    </row>
    <row r="10" spans="1:85" ht="18" customHeight="1">
      <c r="A10" s="265" t="s">
        <v>569</v>
      </c>
      <c r="B10" s="266"/>
      <c r="C10" s="266"/>
      <c r="D10" s="266"/>
      <c r="E10" s="266"/>
      <c r="F10" s="266"/>
      <c r="G10" s="266"/>
      <c r="H10" s="266"/>
      <c r="I10" s="264">
        <f>AQ14</f>
        <v>6</v>
      </c>
      <c r="J10" s="264"/>
      <c r="K10" s="267" t="s">
        <v>176</v>
      </c>
      <c r="L10" s="268"/>
      <c r="M10" s="269" t="s">
        <v>570</v>
      </c>
      <c r="N10" s="266"/>
      <c r="O10" s="266"/>
      <c r="P10" s="266"/>
      <c r="Q10" s="266"/>
      <c r="R10" s="266"/>
      <c r="S10" s="266"/>
      <c r="T10" s="266"/>
      <c r="U10" s="264">
        <f>AQ37</f>
        <v>0</v>
      </c>
      <c r="V10" s="264"/>
      <c r="W10" s="267" t="s">
        <v>176</v>
      </c>
      <c r="X10" s="268"/>
      <c r="Y10" s="269" t="s">
        <v>571</v>
      </c>
      <c r="Z10" s="266"/>
      <c r="AA10" s="266"/>
      <c r="AB10" s="266"/>
      <c r="AC10" s="266"/>
      <c r="AD10" s="266"/>
      <c r="AE10" s="266"/>
      <c r="AF10" s="266"/>
      <c r="AG10" s="264">
        <f>AQ26+AQ25</f>
        <v>0</v>
      </c>
      <c r="AH10" s="264"/>
      <c r="AI10" s="28" t="s">
        <v>176</v>
      </c>
      <c r="AK10" s="440" t="s">
        <v>572</v>
      </c>
      <c r="AL10" s="440"/>
      <c r="AM10" s="440"/>
      <c r="AN10" s="440"/>
      <c r="AO10" s="440"/>
      <c r="AP10" s="440"/>
      <c r="AQ10" s="42"/>
      <c r="AR10" s="43"/>
      <c r="AS10" s="46">
        <v>1</v>
      </c>
      <c r="AT10" s="46"/>
      <c r="AU10" s="46" t="s">
        <v>20</v>
      </c>
      <c r="AV10" s="47" t="s">
        <v>707</v>
      </c>
      <c r="AW10" s="47" t="s">
        <v>574</v>
      </c>
      <c r="AX10" s="47">
        <v>0.33333333333333331</v>
      </c>
      <c r="AY10" s="47">
        <v>0.83333333333333337</v>
      </c>
      <c r="AZ10" s="43"/>
      <c r="BB10" s="49" t="s">
        <v>95</v>
      </c>
      <c r="BC10" s="120">
        <v>1</v>
      </c>
      <c r="BD10" s="120">
        <v>2</v>
      </c>
      <c r="BE10" s="120">
        <v>3</v>
      </c>
      <c r="BF10" s="120">
        <v>4</v>
      </c>
      <c r="BG10" s="120">
        <v>5</v>
      </c>
      <c r="BH10" s="120">
        <v>6</v>
      </c>
      <c r="BI10" s="120">
        <v>7</v>
      </c>
      <c r="BJ10" s="120">
        <v>8</v>
      </c>
      <c r="BK10" s="120">
        <v>9</v>
      </c>
      <c r="BL10" s="120">
        <v>10</v>
      </c>
      <c r="BM10" s="120">
        <v>11</v>
      </c>
      <c r="BN10" s="120">
        <v>12</v>
      </c>
      <c r="BO10" s="120">
        <v>13</v>
      </c>
      <c r="BP10" s="120">
        <v>14</v>
      </c>
      <c r="BQ10" s="120">
        <v>15</v>
      </c>
      <c r="BR10" s="120">
        <v>16</v>
      </c>
      <c r="BS10" s="120">
        <v>17</v>
      </c>
      <c r="BT10" s="120">
        <v>18</v>
      </c>
      <c r="BU10" s="120">
        <v>19</v>
      </c>
      <c r="BV10" s="120">
        <v>20</v>
      </c>
      <c r="BW10" s="120">
        <v>21</v>
      </c>
      <c r="BX10" s="120">
        <v>22</v>
      </c>
      <c r="BY10" s="120">
        <v>23</v>
      </c>
      <c r="BZ10" s="120">
        <v>24</v>
      </c>
      <c r="CA10" s="120">
        <v>25</v>
      </c>
      <c r="CB10" s="120">
        <v>26</v>
      </c>
      <c r="CC10" s="120">
        <v>27</v>
      </c>
      <c r="CD10" s="120">
        <v>28</v>
      </c>
      <c r="CE10" s="120">
        <v>29</v>
      </c>
      <c r="CF10" s="120">
        <v>30</v>
      </c>
      <c r="CG10" s="43"/>
    </row>
    <row r="11" spans="1:85" ht="18" customHeight="1">
      <c r="A11" s="265" t="s">
        <v>575</v>
      </c>
      <c r="B11" s="266"/>
      <c r="C11" s="266"/>
      <c r="D11" s="266"/>
      <c r="E11" s="266"/>
      <c r="F11" s="266"/>
      <c r="G11" s="266"/>
      <c r="H11" s="266"/>
      <c r="I11" s="264">
        <f>AQ27</f>
        <v>0</v>
      </c>
      <c r="J11" s="264"/>
      <c r="K11" s="267" t="s">
        <v>176</v>
      </c>
      <c r="L11" s="268"/>
      <c r="M11" s="269" t="s">
        <v>576</v>
      </c>
      <c r="N11" s="266"/>
      <c r="O11" s="266"/>
      <c r="P11" s="266"/>
      <c r="Q11" s="266"/>
      <c r="R11" s="266"/>
      <c r="S11" s="266"/>
      <c r="T11" s="266"/>
      <c r="U11" s="264">
        <f>AQ36</f>
        <v>0</v>
      </c>
      <c r="V11" s="264"/>
      <c r="W11" s="267" t="s">
        <v>176</v>
      </c>
      <c r="X11" s="268"/>
      <c r="Y11" s="269" t="s">
        <v>577</v>
      </c>
      <c r="Z11" s="266"/>
      <c r="AA11" s="266"/>
      <c r="AB11" s="266"/>
      <c r="AC11" s="266"/>
      <c r="AD11" s="266"/>
      <c r="AE11" s="266"/>
      <c r="AF11" s="266"/>
      <c r="AG11" s="264">
        <f>AQ34</f>
        <v>0</v>
      </c>
      <c r="AH11" s="264"/>
      <c r="AI11" s="28" t="s">
        <v>176</v>
      </c>
      <c r="AK11" s="441" t="s">
        <v>578</v>
      </c>
      <c r="AL11" s="442"/>
      <c r="AM11" s="442"/>
      <c r="AN11" s="442"/>
      <c r="AO11" s="442"/>
      <c r="AP11" s="443"/>
      <c r="AQ11" s="42">
        <v>25</v>
      </c>
      <c r="AR11" s="43"/>
      <c r="AS11" s="46">
        <v>2</v>
      </c>
      <c r="AT11" s="46"/>
      <c r="AU11" s="46"/>
      <c r="AV11" s="47" t="s">
        <v>579</v>
      </c>
      <c r="AW11" s="47" t="s">
        <v>580</v>
      </c>
      <c r="AX11" s="47">
        <v>0.33333333333333331</v>
      </c>
      <c r="AY11" s="47">
        <v>0.58333333333333337</v>
      </c>
      <c r="AZ11" s="43"/>
      <c r="BB11" s="121" t="s">
        <v>581</v>
      </c>
      <c r="BC11" s="138" t="s">
        <v>582</v>
      </c>
      <c r="BD11" s="138" t="s">
        <v>583</v>
      </c>
      <c r="BE11" s="138" t="s">
        <v>584</v>
      </c>
      <c r="BF11" s="138" t="s">
        <v>585</v>
      </c>
      <c r="BG11" s="139" t="s">
        <v>584</v>
      </c>
      <c r="BH11" s="138" t="s">
        <v>582</v>
      </c>
      <c r="BI11" s="138" t="s">
        <v>585</v>
      </c>
      <c r="BJ11" s="138" t="s">
        <v>583</v>
      </c>
      <c r="BK11" s="138" t="s">
        <v>584</v>
      </c>
      <c r="BL11" s="138" t="s">
        <v>583</v>
      </c>
      <c r="BM11" s="138" t="s">
        <v>585</v>
      </c>
      <c r="BN11" s="138" t="s">
        <v>582</v>
      </c>
      <c r="BO11" s="138" t="s">
        <v>584</v>
      </c>
      <c r="BP11" s="138" t="s">
        <v>585</v>
      </c>
      <c r="BQ11" s="138" t="s">
        <v>583</v>
      </c>
      <c r="BR11" s="138" t="s">
        <v>585</v>
      </c>
      <c r="BS11" s="138" t="s">
        <v>584</v>
      </c>
      <c r="BT11" s="138" t="s">
        <v>582</v>
      </c>
      <c r="BU11" s="138" t="s">
        <v>583</v>
      </c>
      <c r="BV11" s="138" t="s">
        <v>585</v>
      </c>
      <c r="BW11" s="138" t="s">
        <v>582</v>
      </c>
      <c r="BX11" s="138" t="s">
        <v>584</v>
      </c>
      <c r="BY11" s="138" t="s">
        <v>585</v>
      </c>
      <c r="BZ11" s="138" t="s">
        <v>583</v>
      </c>
      <c r="CA11" s="138" t="s">
        <v>582</v>
      </c>
      <c r="CB11" s="138" t="s">
        <v>585</v>
      </c>
      <c r="CC11" s="138" t="s">
        <v>584</v>
      </c>
      <c r="CD11" s="138" t="s">
        <v>582</v>
      </c>
      <c r="CE11" s="138" t="s">
        <v>585</v>
      </c>
      <c r="CF11" s="138" t="s">
        <v>583</v>
      </c>
      <c r="CG11" s="43"/>
    </row>
    <row r="12" spans="1:85" ht="18" customHeight="1">
      <c r="A12" s="265" t="s">
        <v>586</v>
      </c>
      <c r="B12" s="266"/>
      <c r="C12" s="266"/>
      <c r="D12" s="266"/>
      <c r="E12" s="266"/>
      <c r="F12" s="266"/>
      <c r="G12" s="266"/>
      <c r="H12" s="266"/>
      <c r="I12" s="264">
        <f>AQ33</f>
        <v>0</v>
      </c>
      <c r="J12" s="264"/>
      <c r="K12" s="267" t="s">
        <v>176</v>
      </c>
      <c r="L12" s="268"/>
      <c r="M12" s="269" t="s">
        <v>587</v>
      </c>
      <c r="N12" s="266"/>
      <c r="O12" s="266"/>
      <c r="P12" s="266"/>
      <c r="Q12" s="266"/>
      <c r="R12" s="266"/>
      <c r="S12" s="266"/>
      <c r="T12" s="266"/>
      <c r="U12" s="264">
        <f>AQ24</f>
        <v>1</v>
      </c>
      <c r="V12" s="264"/>
      <c r="W12" s="267" t="s">
        <v>176</v>
      </c>
      <c r="X12" s="268"/>
      <c r="Y12" s="269" t="s">
        <v>588</v>
      </c>
      <c r="Z12" s="266"/>
      <c r="AA12" s="266"/>
      <c r="AB12" s="266"/>
      <c r="AC12" s="266"/>
      <c r="AD12" s="266"/>
      <c r="AE12" s="266"/>
      <c r="AF12" s="266"/>
      <c r="AG12" s="264">
        <f>AQ20+AQ21+AQ22+AQ23</f>
        <v>1</v>
      </c>
      <c r="AH12" s="264"/>
      <c r="AI12" s="28" t="s">
        <v>176</v>
      </c>
      <c r="AK12" s="441" t="s">
        <v>589</v>
      </c>
      <c r="AL12" s="442"/>
      <c r="AM12" s="442"/>
      <c r="AN12" s="442"/>
      <c r="AO12" s="442"/>
      <c r="AP12" s="443"/>
      <c r="AQ12" s="42">
        <v>19</v>
      </c>
      <c r="AR12" s="43"/>
      <c r="AS12" s="46">
        <v>3</v>
      </c>
      <c r="AT12" s="46"/>
      <c r="AU12" s="46"/>
      <c r="AV12" s="47" t="s">
        <v>590</v>
      </c>
      <c r="AW12" s="47" t="s">
        <v>574</v>
      </c>
      <c r="AX12" s="47">
        <v>0.58333333333333337</v>
      </c>
      <c r="AY12" s="47">
        <v>0.83333333333333337</v>
      </c>
      <c r="AZ12" s="43"/>
      <c r="BB12" s="49"/>
      <c r="BC12" s="43"/>
      <c r="BD12" s="43"/>
      <c r="BE12" s="43"/>
      <c r="BF12" s="43"/>
      <c r="BG12" s="43"/>
      <c r="BH12" s="43"/>
      <c r="BI12" s="43"/>
      <c r="BJ12" s="43"/>
      <c r="BK12" s="43"/>
      <c r="BL12" s="43"/>
      <c r="BM12" s="43"/>
      <c r="BN12" s="43"/>
      <c r="BO12" s="43"/>
      <c r="BP12" s="43"/>
      <c r="BQ12" s="43"/>
      <c r="BR12" s="43"/>
      <c r="BS12" s="43"/>
      <c r="BT12" s="43"/>
      <c r="BU12" s="43"/>
      <c r="BV12" s="43"/>
      <c r="BW12" s="43"/>
      <c r="BX12" s="43"/>
      <c r="BY12" s="43"/>
      <c r="BZ12" s="43"/>
      <c r="CA12" s="43"/>
      <c r="CB12" s="43"/>
      <c r="CC12" s="43"/>
      <c r="CD12" s="43"/>
      <c r="CE12" s="43"/>
      <c r="CF12" s="43"/>
      <c r="CG12" s="43"/>
    </row>
    <row r="13" spans="1:85" ht="18" customHeight="1" thickBot="1">
      <c r="A13" s="517" t="s">
        <v>591</v>
      </c>
      <c r="B13" s="277"/>
      <c r="C13" s="277"/>
      <c r="D13" s="277"/>
      <c r="E13" s="277"/>
      <c r="F13" s="277"/>
      <c r="G13" s="277"/>
      <c r="H13" s="277"/>
      <c r="I13" s="272">
        <f>AQ30+AQ31</f>
        <v>0</v>
      </c>
      <c r="J13" s="272"/>
      <c r="K13" s="273" t="s">
        <v>176</v>
      </c>
      <c r="L13" s="274"/>
      <c r="M13" s="276" t="s">
        <v>592</v>
      </c>
      <c r="N13" s="277"/>
      <c r="O13" s="277"/>
      <c r="P13" s="277"/>
      <c r="Q13" s="277"/>
      <c r="R13" s="277"/>
      <c r="S13" s="277"/>
      <c r="T13" s="277"/>
      <c r="U13" s="272">
        <f>AQ28</f>
        <v>0</v>
      </c>
      <c r="V13" s="272"/>
      <c r="W13" s="273" t="s">
        <v>176</v>
      </c>
      <c r="X13" s="274"/>
      <c r="Y13" s="276" t="s">
        <v>593</v>
      </c>
      <c r="Z13" s="277"/>
      <c r="AA13" s="277"/>
      <c r="AB13" s="277"/>
      <c r="AC13" s="277"/>
      <c r="AD13" s="277"/>
      <c r="AE13" s="277"/>
      <c r="AF13" s="277"/>
      <c r="AG13" s="272">
        <f>AQ13</f>
        <v>0</v>
      </c>
      <c r="AH13" s="272"/>
      <c r="AI13" s="34" t="s">
        <v>176</v>
      </c>
      <c r="AK13" s="425" t="s">
        <v>594</v>
      </c>
      <c r="AL13" s="425"/>
      <c r="AM13" s="425"/>
      <c r="AN13" s="425"/>
      <c r="AO13" s="425"/>
      <c r="AP13" s="425"/>
      <c r="AQ13" s="42"/>
      <c r="AR13" s="43"/>
      <c r="AS13" s="46">
        <v>4</v>
      </c>
      <c r="AT13" s="46"/>
      <c r="AU13" s="46" t="s">
        <v>28</v>
      </c>
      <c r="AV13" s="47" t="s">
        <v>595</v>
      </c>
      <c r="AW13" s="47" t="s">
        <v>596</v>
      </c>
      <c r="AX13" s="47">
        <v>0.33333333333333331</v>
      </c>
      <c r="AY13" s="47">
        <v>0.83333333333333337</v>
      </c>
      <c r="AZ13" s="43"/>
      <c r="BB13" s="121" t="s">
        <v>597</v>
      </c>
      <c r="BC13" s="140" t="s">
        <v>20</v>
      </c>
      <c r="BD13" s="140" t="s">
        <v>119</v>
      </c>
      <c r="BE13" s="140" t="s">
        <v>20</v>
      </c>
      <c r="BF13" s="140" t="s">
        <v>20</v>
      </c>
      <c r="BG13" s="140" t="s">
        <v>20</v>
      </c>
      <c r="BH13" s="140" t="s">
        <v>20</v>
      </c>
      <c r="BI13" s="140" t="s">
        <v>80</v>
      </c>
      <c r="BJ13" s="140" t="s">
        <v>20</v>
      </c>
      <c r="BK13" s="140" t="s">
        <v>20</v>
      </c>
      <c r="BL13" s="140" t="s">
        <v>20</v>
      </c>
      <c r="BM13" s="140" t="s">
        <v>20</v>
      </c>
      <c r="BN13" s="140" t="s">
        <v>20</v>
      </c>
      <c r="BO13" s="140" t="s">
        <v>119</v>
      </c>
      <c r="BP13" s="140" t="s">
        <v>119</v>
      </c>
      <c r="BQ13" s="140" t="s">
        <v>20</v>
      </c>
      <c r="BR13" s="140" t="s">
        <v>119</v>
      </c>
      <c r="BS13" s="140" t="s">
        <v>20</v>
      </c>
      <c r="BT13" s="140" t="s">
        <v>20</v>
      </c>
      <c r="BU13" s="140" t="s">
        <v>20</v>
      </c>
      <c r="BV13" s="140" t="s">
        <v>119</v>
      </c>
      <c r="BW13" s="140" t="s">
        <v>119</v>
      </c>
      <c r="BX13" s="140" t="s">
        <v>20</v>
      </c>
      <c r="BY13" s="140" t="s">
        <v>119</v>
      </c>
      <c r="BZ13" s="140" t="s">
        <v>20</v>
      </c>
      <c r="CA13" s="140" t="s">
        <v>119</v>
      </c>
      <c r="CB13" s="140" t="s">
        <v>20</v>
      </c>
      <c r="CC13" s="140" t="s">
        <v>20</v>
      </c>
      <c r="CD13" s="140" t="s">
        <v>119</v>
      </c>
      <c r="CE13" s="140" t="s">
        <v>20</v>
      </c>
      <c r="CF13" s="140" t="s">
        <v>119</v>
      </c>
      <c r="CG13" s="43"/>
    </row>
    <row r="14" spans="1:85" ht="18" customHeight="1" thickBot="1">
      <c r="A14" s="452" t="s">
        <v>598</v>
      </c>
      <c r="B14" s="453"/>
      <c r="C14" s="453"/>
      <c r="D14" s="453"/>
      <c r="E14" s="453"/>
      <c r="F14" s="453"/>
      <c r="G14" s="453"/>
      <c r="H14" s="453"/>
      <c r="I14" s="453"/>
      <c r="J14" s="453"/>
      <c r="K14" s="453"/>
      <c r="L14" s="453"/>
      <c r="M14" s="453"/>
      <c r="N14" s="453"/>
      <c r="O14" s="453"/>
      <c r="P14" s="453"/>
      <c r="Q14" s="453"/>
      <c r="R14" s="453"/>
      <c r="S14" s="453"/>
      <c r="T14" s="453"/>
      <c r="U14" s="453"/>
      <c r="V14" s="453"/>
      <c r="W14" s="453"/>
      <c r="X14" s="453"/>
      <c r="Y14" s="453"/>
      <c r="Z14" s="453"/>
      <c r="AA14" s="453"/>
      <c r="AB14" s="453"/>
      <c r="AC14" s="453"/>
      <c r="AD14" s="453"/>
      <c r="AE14" s="453"/>
      <c r="AF14" s="453"/>
      <c r="AG14" s="453"/>
      <c r="AH14" s="453"/>
      <c r="AI14" s="454"/>
      <c r="AK14" s="440" t="s">
        <v>599</v>
      </c>
      <c r="AL14" s="440"/>
      <c r="AM14" s="440"/>
      <c r="AN14" s="440"/>
      <c r="AO14" s="440"/>
      <c r="AP14" s="440"/>
      <c r="AQ14" s="42">
        <v>6</v>
      </c>
      <c r="AR14" s="43"/>
      <c r="AS14" s="46">
        <v>5</v>
      </c>
      <c r="AT14" s="46"/>
      <c r="AU14" s="46" t="s">
        <v>119</v>
      </c>
      <c r="AV14" s="47" t="s">
        <v>600</v>
      </c>
      <c r="AW14" s="47" t="s">
        <v>596</v>
      </c>
      <c r="AX14" s="47">
        <v>0.33333333333333331</v>
      </c>
      <c r="AY14" s="47">
        <v>0.83333333333333337</v>
      </c>
      <c r="AZ14" s="43"/>
      <c r="BB14" s="121" t="s">
        <v>601</v>
      </c>
      <c r="BC14" s="162" t="s">
        <v>28</v>
      </c>
      <c r="BD14" s="162" t="s">
        <v>602</v>
      </c>
      <c r="BE14" s="162" t="s">
        <v>602</v>
      </c>
      <c r="BF14" s="162" t="s">
        <v>28</v>
      </c>
      <c r="BG14" s="162" t="s">
        <v>602</v>
      </c>
      <c r="BH14" s="162" t="s">
        <v>602</v>
      </c>
      <c r="BI14" s="162" t="s">
        <v>28</v>
      </c>
      <c r="BJ14" s="162" t="s">
        <v>28</v>
      </c>
      <c r="BK14" s="162" t="s">
        <v>602</v>
      </c>
      <c r="BL14" s="162" t="s">
        <v>28</v>
      </c>
      <c r="BM14" s="162" t="s">
        <v>602</v>
      </c>
      <c r="BN14" s="162" t="s">
        <v>28</v>
      </c>
      <c r="BO14" s="162" t="s">
        <v>28</v>
      </c>
      <c r="BP14" s="162" t="s">
        <v>76</v>
      </c>
      <c r="BQ14" s="162" t="s">
        <v>28</v>
      </c>
      <c r="BR14" s="162" t="s">
        <v>602</v>
      </c>
      <c r="BS14" s="162" t="s">
        <v>28</v>
      </c>
      <c r="BT14" s="162" t="s">
        <v>602</v>
      </c>
      <c r="BU14" s="162" t="s">
        <v>28</v>
      </c>
      <c r="BV14" s="162" t="s">
        <v>602</v>
      </c>
      <c r="BW14" s="162" t="s">
        <v>28</v>
      </c>
      <c r="BX14" s="162" t="s">
        <v>28</v>
      </c>
      <c r="BY14" s="162" t="s">
        <v>602</v>
      </c>
      <c r="BZ14" s="162" t="s">
        <v>28</v>
      </c>
      <c r="CA14" s="162" t="s">
        <v>602</v>
      </c>
      <c r="CB14" s="162" t="s">
        <v>28</v>
      </c>
      <c r="CC14" s="162" t="s">
        <v>28</v>
      </c>
      <c r="CD14" s="162" t="s">
        <v>76</v>
      </c>
      <c r="CE14" s="162" t="s">
        <v>28</v>
      </c>
      <c r="CF14" s="162" t="s">
        <v>602</v>
      </c>
      <c r="CG14" s="43"/>
    </row>
    <row r="15" spans="1:85" ht="18" customHeight="1" thickBot="1">
      <c r="A15" s="30" t="s">
        <v>189</v>
      </c>
      <c r="B15" s="264" t="s">
        <v>603</v>
      </c>
      <c r="C15" s="264"/>
      <c r="D15" s="264"/>
      <c r="E15" s="264"/>
      <c r="F15" s="264"/>
      <c r="G15" s="264"/>
      <c r="H15" s="264"/>
      <c r="I15" s="264"/>
      <c r="J15" s="278">
        <f>AQ9+AQ10</f>
        <v>77</v>
      </c>
      <c r="K15" s="278"/>
      <c r="L15" s="278"/>
      <c r="M15" s="264" t="s">
        <v>176</v>
      </c>
      <c r="N15" s="264"/>
      <c r="O15" s="264" t="s">
        <v>604</v>
      </c>
      <c r="P15" s="264"/>
      <c r="Q15" s="264"/>
      <c r="R15" s="264"/>
      <c r="S15" s="264"/>
      <c r="T15" s="264"/>
      <c r="U15" s="264"/>
      <c r="V15" s="264"/>
      <c r="W15" s="278">
        <f>AQ11+AQ12</f>
        <v>44</v>
      </c>
      <c r="X15" s="278"/>
      <c r="Y15" s="278"/>
      <c r="Z15" s="264" t="s">
        <v>176</v>
      </c>
      <c r="AA15" s="264"/>
      <c r="AB15" s="503" t="s">
        <v>605</v>
      </c>
      <c r="AC15" s="503"/>
      <c r="AD15" s="503"/>
      <c r="AE15" s="503"/>
      <c r="AF15" s="503"/>
      <c r="AG15" s="503"/>
      <c r="AH15" s="281" t="s">
        <v>25</v>
      </c>
      <c r="AI15" s="282"/>
      <c r="AK15" s="425" t="s">
        <v>606</v>
      </c>
      <c r="AL15" s="425"/>
      <c r="AM15" s="425"/>
      <c r="AN15" s="425"/>
      <c r="AO15" s="425"/>
      <c r="AP15" s="425"/>
      <c r="AQ15" s="42"/>
      <c r="AR15" s="43"/>
      <c r="AS15" s="46">
        <v>6</v>
      </c>
      <c r="AT15" s="46"/>
      <c r="AU15" s="46"/>
      <c r="AV15" s="47" t="s">
        <v>607</v>
      </c>
      <c r="AW15" s="47" t="s">
        <v>596</v>
      </c>
      <c r="AX15" s="47">
        <v>0.33333333333333331</v>
      </c>
      <c r="AY15" s="47">
        <v>0.83333333333333337</v>
      </c>
      <c r="AZ15" s="43"/>
      <c r="BB15" s="121" t="s">
        <v>31</v>
      </c>
      <c r="BC15" s="163" t="s">
        <v>119</v>
      </c>
      <c r="BD15" s="164"/>
      <c r="BE15" s="165" t="s">
        <v>28</v>
      </c>
      <c r="BF15" s="165" t="s">
        <v>119</v>
      </c>
      <c r="BG15" s="164"/>
      <c r="BH15" s="164"/>
      <c r="BI15" s="164"/>
      <c r="BJ15" s="164"/>
      <c r="BK15" s="165" t="s">
        <v>119</v>
      </c>
      <c r="BL15" s="165" t="s">
        <v>602</v>
      </c>
      <c r="BM15" s="165" t="s">
        <v>119</v>
      </c>
      <c r="BN15" s="165" t="s">
        <v>602</v>
      </c>
      <c r="BO15" s="164"/>
      <c r="BP15" s="164"/>
      <c r="BQ15" s="165" t="s">
        <v>608</v>
      </c>
      <c r="BR15" s="165" t="s">
        <v>20</v>
      </c>
      <c r="BS15" s="165" t="s">
        <v>602</v>
      </c>
      <c r="BT15" s="165" t="s">
        <v>119</v>
      </c>
      <c r="BU15" s="165" t="s">
        <v>602</v>
      </c>
      <c r="BV15" s="164"/>
      <c r="BW15" s="164"/>
      <c r="BX15" s="165" t="s">
        <v>119</v>
      </c>
      <c r="BY15" s="165" t="s">
        <v>20</v>
      </c>
      <c r="BZ15" s="165" t="s">
        <v>602</v>
      </c>
      <c r="CA15" s="165" t="s">
        <v>20</v>
      </c>
      <c r="CB15" s="165" t="s">
        <v>602</v>
      </c>
      <c r="CC15" s="165" t="s">
        <v>602</v>
      </c>
      <c r="CD15" s="164"/>
      <c r="CE15" s="165" t="s">
        <v>119</v>
      </c>
      <c r="CF15" s="165" t="s">
        <v>20</v>
      </c>
      <c r="CG15" s="43"/>
    </row>
    <row r="16" spans="1:85" ht="18" customHeight="1">
      <c r="A16" s="504" t="s">
        <v>609</v>
      </c>
      <c r="B16" s="505"/>
      <c r="C16" s="505"/>
      <c r="D16" s="505"/>
      <c r="E16" s="505"/>
      <c r="F16" s="505"/>
      <c r="G16" s="505"/>
      <c r="H16" s="505"/>
      <c r="I16" s="505"/>
      <c r="J16" s="505"/>
      <c r="K16" s="505"/>
      <c r="L16" s="505"/>
      <c r="M16" s="505"/>
      <c r="N16" s="505"/>
      <c r="O16" s="505"/>
      <c r="P16" s="505"/>
      <c r="Q16" s="505"/>
      <c r="R16" s="505"/>
      <c r="S16" s="505"/>
      <c r="T16" s="505"/>
      <c r="U16" s="505"/>
      <c r="V16" s="505"/>
      <c r="W16" s="505"/>
      <c r="X16" s="505"/>
      <c r="Y16" s="505"/>
      <c r="Z16" s="505"/>
      <c r="AA16" s="505"/>
      <c r="AB16" s="505"/>
      <c r="AC16" s="505"/>
      <c r="AD16" s="505"/>
      <c r="AE16" s="505"/>
      <c r="AF16" s="505"/>
      <c r="AG16" s="505"/>
      <c r="AH16" s="505"/>
      <c r="AI16" s="506"/>
      <c r="AK16" s="425" t="s">
        <v>610</v>
      </c>
      <c r="AL16" s="425"/>
      <c r="AM16" s="425"/>
      <c r="AN16" s="425"/>
      <c r="AO16" s="425"/>
      <c r="AP16" s="425"/>
      <c r="AQ16" s="42"/>
      <c r="AR16" s="43"/>
      <c r="AS16" s="46">
        <v>7</v>
      </c>
      <c r="AT16" s="46"/>
      <c r="AU16" s="46" t="s">
        <v>20</v>
      </c>
      <c r="AV16" s="47" t="s">
        <v>611</v>
      </c>
      <c r="AW16" s="47" t="s">
        <v>612</v>
      </c>
      <c r="AX16" s="47">
        <v>0.83333333333333337</v>
      </c>
      <c r="AY16" s="47" t="s">
        <v>613</v>
      </c>
      <c r="AZ16" s="43"/>
      <c r="BB16" s="121" t="s">
        <v>614</v>
      </c>
      <c r="BC16" s="142" t="s">
        <v>20</v>
      </c>
      <c r="BD16" s="140" t="s">
        <v>67</v>
      </c>
      <c r="BE16" s="142" t="s">
        <v>42</v>
      </c>
      <c r="BF16" s="142" t="s">
        <v>20</v>
      </c>
      <c r="BG16" s="142" t="s">
        <v>42</v>
      </c>
      <c r="BH16" s="142" t="s">
        <v>61</v>
      </c>
      <c r="BI16" s="142" t="s">
        <v>67</v>
      </c>
      <c r="BJ16" s="142" t="s">
        <v>67</v>
      </c>
      <c r="BK16" s="142" t="s">
        <v>42</v>
      </c>
      <c r="BL16" s="142" t="s">
        <v>42</v>
      </c>
      <c r="BM16" s="142" t="s">
        <v>67</v>
      </c>
      <c r="BN16" s="142" t="s">
        <v>67</v>
      </c>
      <c r="BO16" s="142" t="s">
        <v>42</v>
      </c>
      <c r="BP16" s="142" t="s">
        <v>67</v>
      </c>
      <c r="BQ16" s="142" t="s">
        <v>20</v>
      </c>
      <c r="BR16" s="142" t="s">
        <v>71</v>
      </c>
      <c r="BS16" s="142" t="s">
        <v>67</v>
      </c>
      <c r="BT16" s="142" t="s">
        <v>67</v>
      </c>
      <c r="BU16" s="142" t="s">
        <v>61</v>
      </c>
      <c r="BV16" s="142" t="s">
        <v>42</v>
      </c>
      <c r="BW16" s="142" t="s">
        <v>49</v>
      </c>
      <c r="BX16" s="142" t="s">
        <v>20</v>
      </c>
      <c r="BY16" s="142" t="s">
        <v>71</v>
      </c>
      <c r="BZ16" s="142" t="s">
        <v>42</v>
      </c>
      <c r="CA16" s="142" t="s">
        <v>20</v>
      </c>
      <c r="CB16" s="142" t="s">
        <v>61</v>
      </c>
      <c r="CC16" s="142" t="s">
        <v>42</v>
      </c>
      <c r="CD16" s="142" t="s">
        <v>49</v>
      </c>
      <c r="CE16" s="142" t="s">
        <v>20</v>
      </c>
      <c r="CF16" s="143" t="s">
        <v>71</v>
      </c>
      <c r="CG16" s="43"/>
    </row>
    <row r="17" spans="1:85" ht="18" customHeight="1">
      <c r="A17" s="396" t="s">
        <v>615</v>
      </c>
      <c r="B17" s="397"/>
      <c r="C17" s="397"/>
      <c r="D17" s="397"/>
      <c r="E17" s="397"/>
      <c r="F17" s="398" t="s">
        <v>616</v>
      </c>
      <c r="G17" s="398"/>
      <c r="H17" s="398"/>
      <c r="I17" s="398"/>
      <c r="J17" s="398"/>
      <c r="K17" s="398"/>
      <c r="L17" s="398"/>
      <c r="M17" s="398"/>
      <c r="N17" s="398"/>
      <c r="O17" s="398"/>
      <c r="P17" s="398"/>
      <c r="Q17" s="398"/>
      <c r="R17" s="398"/>
      <c r="S17" s="398"/>
      <c r="T17" s="398"/>
      <c r="U17" s="398"/>
      <c r="V17" s="398"/>
      <c r="W17" s="398"/>
      <c r="X17" s="398"/>
      <c r="Y17" s="398"/>
      <c r="Z17" s="398"/>
      <c r="AA17" s="398"/>
      <c r="AB17" s="398"/>
      <c r="AC17" s="398"/>
      <c r="AD17" s="398"/>
      <c r="AE17" s="398"/>
      <c r="AF17" s="398"/>
      <c r="AG17" s="398"/>
      <c r="AH17" s="398"/>
      <c r="AI17" s="399"/>
      <c r="AK17" s="425" t="s">
        <v>617</v>
      </c>
      <c r="AL17" s="425"/>
      <c r="AM17" s="425"/>
      <c r="AN17" s="425"/>
      <c r="AO17" s="425"/>
      <c r="AP17" s="425"/>
      <c r="AQ17" s="42"/>
      <c r="AR17" s="43"/>
      <c r="AS17" s="46">
        <v>8</v>
      </c>
      <c r="AT17" s="46"/>
      <c r="AU17" s="46" t="s">
        <v>67</v>
      </c>
      <c r="AV17" s="47" t="s">
        <v>618</v>
      </c>
      <c r="AW17" s="47" t="s">
        <v>612</v>
      </c>
      <c r="AX17" s="47">
        <v>0.83333333333333337</v>
      </c>
      <c r="AY17" s="47" t="s">
        <v>613</v>
      </c>
      <c r="AZ17" s="43"/>
      <c r="BB17" s="121" t="s">
        <v>619</v>
      </c>
      <c r="BC17" s="141" t="s">
        <v>67</v>
      </c>
      <c r="BD17" s="140" t="s">
        <v>42</v>
      </c>
      <c r="BE17" s="141" t="s">
        <v>71</v>
      </c>
      <c r="BF17" s="140" t="s">
        <v>67</v>
      </c>
      <c r="BG17" s="140" t="s">
        <v>61</v>
      </c>
      <c r="BH17" s="140" t="s">
        <v>42</v>
      </c>
      <c r="BI17" s="140" t="s">
        <v>49</v>
      </c>
      <c r="BJ17" s="140" t="s">
        <v>61</v>
      </c>
      <c r="BK17" s="140" t="s">
        <v>71</v>
      </c>
      <c r="BL17" s="140" t="s">
        <v>67</v>
      </c>
      <c r="BM17" s="140" t="s">
        <v>49</v>
      </c>
      <c r="BN17" s="140" t="s">
        <v>49</v>
      </c>
      <c r="BO17" s="140" t="s">
        <v>61</v>
      </c>
      <c r="BP17" s="140" t="s">
        <v>49</v>
      </c>
      <c r="BQ17" s="140" t="s">
        <v>67</v>
      </c>
      <c r="BR17" s="140" t="s">
        <v>42</v>
      </c>
      <c r="BS17" s="140" t="s">
        <v>42</v>
      </c>
      <c r="BT17" s="140" t="s">
        <v>49</v>
      </c>
      <c r="BU17" s="140" t="s">
        <v>42</v>
      </c>
      <c r="BV17" s="140" t="s">
        <v>61</v>
      </c>
      <c r="BW17" s="140" t="s">
        <v>71</v>
      </c>
      <c r="BX17" s="140" t="s">
        <v>67</v>
      </c>
      <c r="BY17" s="140" t="s">
        <v>42</v>
      </c>
      <c r="BZ17" s="140" t="s">
        <v>67</v>
      </c>
      <c r="CA17" s="140" t="s">
        <v>67</v>
      </c>
      <c r="CB17" s="140" t="s">
        <v>49</v>
      </c>
      <c r="CC17" s="140" t="s">
        <v>61</v>
      </c>
      <c r="CD17" s="140" t="s">
        <v>71</v>
      </c>
      <c r="CE17" s="140" t="s">
        <v>67</v>
      </c>
      <c r="CF17" s="140" t="s">
        <v>42</v>
      </c>
      <c r="CG17" s="43"/>
    </row>
    <row r="18" spans="1:85" ht="18" customHeight="1">
      <c r="A18" s="501" t="s">
        <v>620</v>
      </c>
      <c r="B18" s="502"/>
      <c r="C18" s="502"/>
      <c r="D18" s="502"/>
      <c r="E18" s="502"/>
      <c r="F18" s="400" t="s">
        <v>616</v>
      </c>
      <c r="G18" s="400"/>
      <c r="H18" s="400"/>
      <c r="I18" s="400"/>
      <c r="J18" s="400"/>
      <c r="K18" s="400"/>
      <c r="L18" s="400"/>
      <c r="M18" s="400"/>
      <c r="N18" s="400"/>
      <c r="O18" s="400"/>
      <c r="P18" s="400"/>
      <c r="Q18" s="400"/>
      <c r="R18" s="400"/>
      <c r="S18" s="400"/>
      <c r="T18" s="400"/>
      <c r="U18" s="400"/>
      <c r="V18" s="400"/>
      <c r="W18" s="400"/>
      <c r="X18" s="400"/>
      <c r="Y18" s="400"/>
      <c r="Z18" s="400"/>
      <c r="AA18" s="400"/>
      <c r="AB18" s="400"/>
      <c r="AC18" s="400"/>
      <c r="AD18" s="400"/>
      <c r="AE18" s="400"/>
      <c r="AF18" s="400"/>
      <c r="AG18" s="400"/>
      <c r="AH18" s="400"/>
      <c r="AI18" s="401"/>
      <c r="AK18" s="425" t="s">
        <v>621</v>
      </c>
      <c r="AL18" s="425"/>
      <c r="AM18" s="425"/>
      <c r="AN18" s="425"/>
      <c r="AO18" s="425"/>
      <c r="AP18" s="425"/>
      <c r="AQ18" s="42"/>
      <c r="AR18" s="43"/>
      <c r="AS18" s="46">
        <v>9</v>
      </c>
      <c r="AT18" s="46"/>
      <c r="AU18" s="46"/>
      <c r="AV18" s="47" t="s">
        <v>622</v>
      </c>
      <c r="AW18" s="47" t="s">
        <v>612</v>
      </c>
      <c r="AX18" s="47">
        <v>0.83333333333333337</v>
      </c>
      <c r="AY18" s="47" t="s">
        <v>613</v>
      </c>
      <c r="AZ18" s="43"/>
    </row>
    <row r="19" spans="1:85" ht="18" customHeight="1" thickBot="1">
      <c r="A19" s="35" t="s">
        <v>189</v>
      </c>
      <c r="B19" s="405">
        <v>0.56944444444444442</v>
      </c>
      <c r="C19" s="405"/>
      <c r="D19" s="405"/>
      <c r="E19" s="405"/>
      <c r="F19" s="402" t="s">
        <v>742</v>
      </c>
      <c r="G19" s="402"/>
      <c r="H19" s="402"/>
      <c r="I19" s="402"/>
      <c r="J19" s="402"/>
      <c r="K19" s="402"/>
      <c r="L19" s="402"/>
      <c r="M19" s="402"/>
      <c r="N19" s="402"/>
      <c r="O19" s="402"/>
      <c r="P19" s="402"/>
      <c r="Q19" s="402"/>
      <c r="R19" s="402"/>
      <c r="S19" s="402"/>
      <c r="T19" s="402"/>
      <c r="U19" s="402"/>
      <c r="V19" s="402"/>
      <c r="W19" s="402"/>
      <c r="X19" s="402"/>
      <c r="Y19" s="402"/>
      <c r="Z19" s="402"/>
      <c r="AA19" s="402"/>
      <c r="AB19" s="402"/>
      <c r="AC19" s="402"/>
      <c r="AD19" s="402"/>
      <c r="AE19" s="402"/>
      <c r="AF19" s="402"/>
      <c r="AG19" s="402"/>
      <c r="AH19" s="402"/>
      <c r="AI19" s="403"/>
      <c r="AK19" s="524" t="s">
        <v>623</v>
      </c>
      <c r="AL19" s="524"/>
      <c r="AM19" s="524"/>
      <c r="AN19" s="524"/>
      <c r="AO19" s="524"/>
      <c r="AP19" s="524"/>
      <c r="AQ19" s="58"/>
      <c r="AR19" s="43"/>
      <c r="AS19" s="46">
        <v>10</v>
      </c>
      <c r="AT19" s="46"/>
      <c r="AU19" s="46"/>
      <c r="AV19" s="47" t="s">
        <v>111</v>
      </c>
      <c r="AW19" s="47" t="s">
        <v>612</v>
      </c>
      <c r="AX19" s="47">
        <v>0.83333333333333337</v>
      </c>
      <c r="AY19" s="47" t="s">
        <v>613</v>
      </c>
      <c r="AZ19" s="43"/>
    </row>
    <row r="20" spans="1:85" ht="18" customHeight="1">
      <c r="A20" s="36" t="s">
        <v>189</v>
      </c>
      <c r="B20" s="404">
        <v>0.60416666666666663</v>
      </c>
      <c r="C20" s="404"/>
      <c r="D20" s="404"/>
      <c r="E20" s="404"/>
      <c r="F20" s="288" t="s">
        <v>743</v>
      </c>
      <c r="G20" s="288"/>
      <c r="H20" s="288"/>
      <c r="I20" s="288"/>
      <c r="J20" s="288"/>
      <c r="K20" s="288"/>
      <c r="L20" s="288"/>
      <c r="M20" s="288"/>
      <c r="N20" s="288"/>
      <c r="O20" s="288"/>
      <c r="P20" s="288"/>
      <c r="Q20" s="288"/>
      <c r="R20" s="288"/>
      <c r="S20" s="288"/>
      <c r="T20" s="288"/>
      <c r="U20" s="288"/>
      <c r="V20" s="288"/>
      <c r="W20" s="288"/>
      <c r="X20" s="288"/>
      <c r="Y20" s="288"/>
      <c r="Z20" s="288"/>
      <c r="AA20" s="288"/>
      <c r="AB20" s="288"/>
      <c r="AC20" s="288"/>
      <c r="AD20" s="288"/>
      <c r="AE20" s="288"/>
      <c r="AF20" s="288"/>
      <c r="AG20" s="288"/>
      <c r="AH20" s="288"/>
      <c r="AI20" s="289"/>
      <c r="AK20" s="447" t="s">
        <v>624</v>
      </c>
      <c r="AL20" s="448"/>
      <c r="AM20" s="448"/>
      <c r="AN20" s="448"/>
      <c r="AO20" s="448"/>
      <c r="AP20" s="448"/>
      <c r="AQ20" s="62">
        <v>1</v>
      </c>
      <c r="AR20" s="426" t="s">
        <v>625</v>
      </c>
      <c r="AS20" s="146">
        <v>11</v>
      </c>
      <c r="AT20" s="46"/>
      <c r="AU20" s="46"/>
      <c r="AV20" s="47" t="s">
        <v>111</v>
      </c>
      <c r="AW20" s="47" t="s">
        <v>612</v>
      </c>
      <c r="AX20" s="47">
        <v>0.83333333333333337</v>
      </c>
      <c r="AY20" s="47" t="s">
        <v>613</v>
      </c>
      <c r="AZ20" s="43"/>
    </row>
    <row r="21" spans="1:85" ht="18" customHeight="1" thickBot="1">
      <c r="A21" s="36" t="s">
        <v>189</v>
      </c>
      <c r="B21" s="404">
        <v>0.625</v>
      </c>
      <c r="C21" s="404"/>
      <c r="D21" s="404"/>
      <c r="E21" s="404"/>
      <c r="F21" s="288" t="s">
        <v>744</v>
      </c>
      <c r="G21" s="288"/>
      <c r="H21" s="288"/>
      <c r="I21" s="288"/>
      <c r="J21" s="288"/>
      <c r="K21" s="288"/>
      <c r="L21" s="288"/>
      <c r="M21" s="288"/>
      <c r="N21" s="288"/>
      <c r="O21" s="288"/>
      <c r="P21" s="288"/>
      <c r="Q21" s="288"/>
      <c r="R21" s="288"/>
      <c r="S21" s="288"/>
      <c r="T21" s="288"/>
      <c r="U21" s="288"/>
      <c r="V21" s="288"/>
      <c r="W21" s="288"/>
      <c r="X21" s="288"/>
      <c r="Y21" s="288"/>
      <c r="Z21" s="288"/>
      <c r="AA21" s="288"/>
      <c r="AB21" s="288"/>
      <c r="AC21" s="288"/>
      <c r="AD21" s="288"/>
      <c r="AE21" s="288"/>
      <c r="AF21" s="288"/>
      <c r="AG21" s="288"/>
      <c r="AH21" s="288"/>
      <c r="AI21" s="289"/>
      <c r="AK21" s="429" t="s">
        <v>626</v>
      </c>
      <c r="AL21" s="430"/>
      <c r="AM21" s="430"/>
      <c r="AN21" s="430"/>
      <c r="AO21" s="430"/>
      <c r="AP21" s="430"/>
      <c r="AQ21" s="63"/>
      <c r="AR21" s="427"/>
      <c r="AW21" s="43"/>
      <c r="AX21" s="43"/>
      <c r="AY21" s="43"/>
      <c r="AZ21" s="43"/>
    </row>
    <row r="22" spans="1:85" ht="18" customHeight="1">
      <c r="A22" s="36" t="s">
        <v>189</v>
      </c>
      <c r="B22" s="404">
        <v>0.875</v>
      </c>
      <c r="C22" s="404"/>
      <c r="D22" s="404"/>
      <c r="E22" s="404"/>
      <c r="F22" s="288" t="s">
        <v>714</v>
      </c>
      <c r="G22" s="288"/>
      <c r="H22" s="288"/>
      <c r="I22" s="288"/>
      <c r="J22" s="288"/>
      <c r="K22" s="288"/>
      <c r="L22" s="288"/>
      <c r="M22" s="288"/>
      <c r="N22" s="288"/>
      <c r="O22" s="288"/>
      <c r="P22" s="288"/>
      <c r="Q22" s="288"/>
      <c r="R22" s="288"/>
      <c r="S22" s="288"/>
      <c r="T22" s="288"/>
      <c r="U22" s="288"/>
      <c r="V22" s="288"/>
      <c r="W22" s="288"/>
      <c r="X22" s="288"/>
      <c r="Y22" s="288"/>
      <c r="Z22" s="288"/>
      <c r="AA22" s="288"/>
      <c r="AB22" s="288"/>
      <c r="AC22" s="288"/>
      <c r="AD22" s="288"/>
      <c r="AE22" s="288"/>
      <c r="AF22" s="288"/>
      <c r="AG22" s="288"/>
      <c r="AH22" s="288"/>
      <c r="AI22" s="289"/>
      <c r="AK22" s="429" t="s">
        <v>627</v>
      </c>
      <c r="AL22" s="430"/>
      <c r="AM22" s="430"/>
      <c r="AN22" s="430"/>
      <c r="AO22" s="430"/>
      <c r="AP22" s="430"/>
      <c r="AQ22" s="63"/>
      <c r="AR22" s="427"/>
      <c r="AS22" s="433" t="s">
        <v>628</v>
      </c>
      <c r="AT22" s="434"/>
      <c r="AU22" s="435"/>
      <c r="AV22" s="435"/>
      <c r="AW22" s="60" t="s">
        <v>74</v>
      </c>
      <c r="AY22" s="413" t="s">
        <v>629</v>
      </c>
      <c r="AZ22" s="413"/>
      <c r="BA22" s="412"/>
      <c r="BB22" s="412"/>
    </row>
    <row r="23" spans="1:85" ht="18" customHeight="1" thickBot="1">
      <c r="A23" s="36" t="s">
        <v>189</v>
      </c>
      <c r="B23" s="404">
        <v>6.3888888888888884E-2</v>
      </c>
      <c r="C23" s="404"/>
      <c r="D23" s="404"/>
      <c r="E23" s="404"/>
      <c r="F23" s="288" t="s">
        <v>745</v>
      </c>
      <c r="G23" s="288"/>
      <c r="H23" s="288"/>
      <c r="I23" s="288"/>
      <c r="J23" s="288"/>
      <c r="K23" s="288"/>
      <c r="L23" s="288"/>
      <c r="M23" s="288"/>
      <c r="N23" s="288"/>
      <c r="O23" s="288"/>
      <c r="P23" s="288"/>
      <c r="Q23" s="288"/>
      <c r="R23" s="288"/>
      <c r="S23" s="288"/>
      <c r="T23" s="288"/>
      <c r="U23" s="288"/>
      <c r="V23" s="288"/>
      <c r="W23" s="288"/>
      <c r="X23" s="288"/>
      <c r="Y23" s="288"/>
      <c r="Z23" s="288"/>
      <c r="AA23" s="288"/>
      <c r="AB23" s="288"/>
      <c r="AC23" s="288"/>
      <c r="AD23" s="288"/>
      <c r="AE23" s="288"/>
      <c r="AF23" s="288"/>
      <c r="AG23" s="288"/>
      <c r="AH23" s="288"/>
      <c r="AI23" s="289"/>
      <c r="AK23" s="431" t="s">
        <v>630</v>
      </c>
      <c r="AL23" s="432"/>
      <c r="AM23" s="432"/>
      <c r="AN23" s="432"/>
      <c r="AO23" s="432"/>
      <c r="AP23" s="432"/>
      <c r="AQ23" s="64"/>
      <c r="AR23" s="428"/>
      <c r="AS23" s="536" t="s">
        <v>631</v>
      </c>
      <c r="AT23" s="246"/>
      <c r="AU23" s="537"/>
      <c r="AV23" s="537"/>
      <c r="AW23" s="56" t="s">
        <v>632</v>
      </c>
      <c r="AY23" s="413" t="s">
        <v>633</v>
      </c>
      <c r="AZ23" s="413"/>
      <c r="BA23" s="412"/>
      <c r="BB23" s="412"/>
    </row>
    <row r="24" spans="1:85" ht="18" customHeight="1" thickBot="1">
      <c r="A24" s="36"/>
      <c r="B24" s="404"/>
      <c r="C24" s="404"/>
      <c r="D24" s="404"/>
      <c r="E24" s="404"/>
      <c r="F24" s="288" t="s">
        <v>746</v>
      </c>
      <c r="G24" s="288"/>
      <c r="H24" s="288"/>
      <c r="I24" s="288"/>
      <c r="J24" s="288"/>
      <c r="K24" s="288"/>
      <c r="L24" s="288"/>
      <c r="M24" s="288"/>
      <c r="N24" s="288"/>
      <c r="O24" s="288"/>
      <c r="P24" s="288"/>
      <c r="Q24" s="288"/>
      <c r="R24" s="288"/>
      <c r="S24" s="288"/>
      <c r="T24" s="288"/>
      <c r="U24" s="288"/>
      <c r="V24" s="288"/>
      <c r="W24" s="288"/>
      <c r="X24" s="288"/>
      <c r="Y24" s="288"/>
      <c r="Z24" s="288"/>
      <c r="AA24" s="288"/>
      <c r="AB24" s="288"/>
      <c r="AC24" s="288"/>
      <c r="AD24" s="288"/>
      <c r="AE24" s="288"/>
      <c r="AF24" s="288"/>
      <c r="AG24" s="288"/>
      <c r="AH24" s="288"/>
      <c r="AI24" s="289"/>
      <c r="AK24" s="527" t="s">
        <v>634</v>
      </c>
      <c r="AL24" s="528"/>
      <c r="AM24" s="528"/>
      <c r="AN24" s="528"/>
      <c r="AO24" s="528"/>
      <c r="AP24" s="528"/>
      <c r="AQ24" s="65">
        <v>1</v>
      </c>
      <c r="AR24" s="43"/>
      <c r="AY24" s="413" t="s">
        <v>635</v>
      </c>
      <c r="AZ24" s="413"/>
      <c r="BA24" s="412"/>
      <c r="BB24" s="412"/>
    </row>
    <row r="25" spans="1:85" ht="18" customHeight="1">
      <c r="A25" s="36"/>
      <c r="B25" s="404">
        <v>6.8750000000000006E-2</v>
      </c>
      <c r="C25" s="404"/>
      <c r="D25" s="404"/>
      <c r="E25" s="404"/>
      <c r="F25" s="288" t="s">
        <v>747</v>
      </c>
      <c r="G25" s="288"/>
      <c r="H25" s="288"/>
      <c r="I25" s="288"/>
      <c r="J25" s="288"/>
      <c r="K25" s="288"/>
      <c r="L25" s="288"/>
      <c r="M25" s="288"/>
      <c r="N25" s="288"/>
      <c r="O25" s="288"/>
      <c r="P25" s="288"/>
      <c r="Q25" s="288"/>
      <c r="R25" s="288"/>
      <c r="S25" s="288"/>
      <c r="T25" s="288"/>
      <c r="U25" s="288"/>
      <c r="V25" s="288"/>
      <c r="W25" s="288"/>
      <c r="X25" s="288"/>
      <c r="Y25" s="288"/>
      <c r="Z25" s="288"/>
      <c r="AA25" s="288"/>
      <c r="AB25" s="288"/>
      <c r="AC25" s="288"/>
      <c r="AD25" s="288"/>
      <c r="AE25" s="288"/>
      <c r="AF25" s="288"/>
      <c r="AG25" s="288"/>
      <c r="AH25" s="288"/>
      <c r="AI25" s="289"/>
      <c r="AK25" s="529" t="s">
        <v>636</v>
      </c>
      <c r="AL25" s="529"/>
      <c r="AM25" s="529"/>
      <c r="AN25" s="529"/>
      <c r="AO25" s="529"/>
      <c r="AP25" s="529"/>
      <c r="AQ25" s="66"/>
      <c r="AR25" s="43"/>
      <c r="AY25" s="413" t="s">
        <v>637</v>
      </c>
      <c r="AZ25" s="413"/>
      <c r="BA25" s="412"/>
      <c r="BB25" s="412"/>
    </row>
    <row r="26" spans="1:85" ht="18" customHeight="1">
      <c r="A26" s="36" t="s">
        <v>189</v>
      </c>
      <c r="B26" s="404">
        <v>8.4027777777777785E-2</v>
      </c>
      <c r="C26" s="404"/>
      <c r="D26" s="404"/>
      <c r="E26" s="404"/>
      <c r="F26" s="288" t="s">
        <v>748</v>
      </c>
      <c r="G26" s="288"/>
      <c r="H26" s="288"/>
      <c r="I26" s="288"/>
      <c r="J26" s="288"/>
      <c r="K26" s="288"/>
      <c r="L26" s="288"/>
      <c r="M26" s="288"/>
      <c r="N26" s="288"/>
      <c r="O26" s="288"/>
      <c r="P26" s="288"/>
      <c r="Q26" s="288"/>
      <c r="R26" s="288"/>
      <c r="S26" s="288"/>
      <c r="T26" s="288"/>
      <c r="U26" s="288"/>
      <c r="V26" s="288"/>
      <c r="W26" s="288"/>
      <c r="X26" s="288"/>
      <c r="Y26" s="288"/>
      <c r="Z26" s="288"/>
      <c r="AA26" s="288"/>
      <c r="AB26" s="288"/>
      <c r="AC26" s="288"/>
      <c r="AD26" s="288"/>
      <c r="AE26" s="288"/>
      <c r="AF26" s="288"/>
      <c r="AG26" s="288"/>
      <c r="AH26" s="288"/>
      <c r="AI26" s="289"/>
      <c r="AK26" s="436" t="s">
        <v>638</v>
      </c>
      <c r="AL26" s="436"/>
      <c r="AM26" s="436"/>
      <c r="AN26" s="436"/>
      <c r="AO26" s="436"/>
      <c r="AP26" s="436"/>
      <c r="AQ26" s="67"/>
      <c r="AR26" s="43"/>
      <c r="AS26" s="548" t="s">
        <v>639</v>
      </c>
      <c r="AT26" s="549"/>
      <c r="AU26" s="549"/>
      <c r="AV26" s="549"/>
      <c r="AW26" s="550"/>
      <c r="AY26" s="147"/>
      <c r="AZ26" s="147"/>
      <c r="BA26" s="147"/>
      <c r="BB26" s="147"/>
    </row>
    <row r="27" spans="1:85" ht="18" customHeight="1">
      <c r="A27" s="36"/>
      <c r="B27" s="404"/>
      <c r="C27" s="404"/>
      <c r="D27" s="404"/>
      <c r="E27" s="404"/>
      <c r="F27" s="288" t="s">
        <v>749</v>
      </c>
      <c r="G27" s="288"/>
      <c r="H27" s="288"/>
      <c r="I27" s="288"/>
      <c r="J27" s="288"/>
      <c r="K27" s="288"/>
      <c r="L27" s="288"/>
      <c r="M27" s="288"/>
      <c r="N27" s="288"/>
      <c r="O27" s="288"/>
      <c r="P27" s="288"/>
      <c r="Q27" s="288"/>
      <c r="R27" s="288"/>
      <c r="S27" s="288"/>
      <c r="T27" s="288"/>
      <c r="U27" s="288"/>
      <c r="V27" s="288"/>
      <c r="W27" s="288"/>
      <c r="X27" s="288"/>
      <c r="Y27" s="288"/>
      <c r="Z27" s="288"/>
      <c r="AA27" s="288"/>
      <c r="AB27" s="288"/>
      <c r="AC27" s="288"/>
      <c r="AD27" s="288"/>
      <c r="AE27" s="288"/>
      <c r="AF27" s="288"/>
      <c r="AG27" s="288"/>
      <c r="AH27" s="288"/>
      <c r="AI27" s="289"/>
      <c r="AK27" s="436" t="s">
        <v>640</v>
      </c>
      <c r="AL27" s="436"/>
      <c r="AM27" s="436"/>
      <c r="AN27" s="436"/>
      <c r="AO27" s="436"/>
      <c r="AP27" s="436"/>
      <c r="AQ27" s="67"/>
      <c r="AR27" s="43"/>
      <c r="AS27" s="458" t="s">
        <v>641</v>
      </c>
      <c r="AT27" s="460"/>
      <c r="AU27" s="458" t="s">
        <v>642</v>
      </c>
      <c r="AV27" s="459"/>
      <c r="AW27" s="460"/>
      <c r="AY27" s="411" t="s">
        <v>643</v>
      </c>
      <c r="AZ27" s="411"/>
      <c r="BA27" s="411"/>
      <c r="BB27" s="411"/>
    </row>
    <row r="28" spans="1:85" ht="18" customHeight="1" thickBot="1">
      <c r="A28" s="36"/>
      <c r="B28" s="404"/>
      <c r="C28" s="404"/>
      <c r="D28" s="404"/>
      <c r="E28" s="404"/>
      <c r="F28" s="288" t="s">
        <v>750</v>
      </c>
      <c r="G28" s="288"/>
      <c r="H28" s="288"/>
      <c r="I28" s="288"/>
      <c r="J28" s="288"/>
      <c r="K28" s="288"/>
      <c r="L28" s="288"/>
      <c r="M28" s="288"/>
      <c r="N28" s="288"/>
      <c r="O28" s="288"/>
      <c r="P28" s="288"/>
      <c r="Q28" s="288"/>
      <c r="R28" s="288"/>
      <c r="S28" s="288"/>
      <c r="T28" s="288"/>
      <c r="U28" s="288"/>
      <c r="V28" s="288"/>
      <c r="W28" s="288"/>
      <c r="X28" s="288"/>
      <c r="Y28" s="288"/>
      <c r="Z28" s="288"/>
      <c r="AA28" s="288"/>
      <c r="AB28" s="288"/>
      <c r="AC28" s="288"/>
      <c r="AD28" s="288"/>
      <c r="AE28" s="288"/>
      <c r="AF28" s="288"/>
      <c r="AG28" s="288"/>
      <c r="AH28" s="288"/>
      <c r="AI28" s="289"/>
      <c r="AK28" s="436" t="s">
        <v>644</v>
      </c>
      <c r="AL28" s="436"/>
      <c r="AM28" s="436"/>
      <c r="AN28" s="436"/>
      <c r="AO28" s="436"/>
      <c r="AP28" s="436"/>
      <c r="AQ28" s="67"/>
      <c r="AR28" s="43"/>
      <c r="AS28" s="538" t="s">
        <v>645</v>
      </c>
      <c r="AT28" s="539"/>
      <c r="AU28" s="533" t="s">
        <v>646</v>
      </c>
      <c r="AV28" s="534"/>
      <c r="AW28" s="535"/>
      <c r="AY28" s="413" t="s">
        <v>647</v>
      </c>
      <c r="AZ28" s="413"/>
      <c r="BA28" s="412"/>
      <c r="BB28" s="412"/>
    </row>
    <row r="29" spans="1:85" ht="18" customHeight="1" thickBot="1">
      <c r="A29" s="36"/>
      <c r="B29" s="404"/>
      <c r="C29" s="404"/>
      <c r="D29" s="404"/>
      <c r="E29" s="404"/>
      <c r="F29" s="288" t="s">
        <v>751</v>
      </c>
      <c r="G29" s="288"/>
      <c r="H29" s="288"/>
      <c r="I29" s="288"/>
      <c r="J29" s="288"/>
      <c r="K29" s="288"/>
      <c r="L29" s="288"/>
      <c r="M29" s="288"/>
      <c r="N29" s="288"/>
      <c r="O29" s="288"/>
      <c r="P29" s="288"/>
      <c r="Q29" s="288"/>
      <c r="R29" s="288"/>
      <c r="S29" s="288"/>
      <c r="T29" s="288"/>
      <c r="U29" s="288"/>
      <c r="V29" s="288"/>
      <c r="W29" s="288"/>
      <c r="X29" s="288"/>
      <c r="Y29" s="288"/>
      <c r="Z29" s="288"/>
      <c r="AA29" s="288"/>
      <c r="AB29" s="288"/>
      <c r="AC29" s="288"/>
      <c r="AD29" s="288"/>
      <c r="AE29" s="288"/>
      <c r="AF29" s="288"/>
      <c r="AG29" s="288"/>
      <c r="AH29" s="288"/>
      <c r="AI29" s="289"/>
      <c r="AK29" s="524"/>
      <c r="AL29" s="524"/>
      <c r="AM29" s="524"/>
      <c r="AN29" s="524"/>
      <c r="AO29" s="524"/>
      <c r="AP29" s="524"/>
      <c r="AQ29" s="58"/>
      <c r="AR29" s="43"/>
      <c r="AS29" s="551">
        <v>1.1430555555555555</v>
      </c>
      <c r="AT29" s="552"/>
      <c r="AU29" s="434" t="s">
        <v>752</v>
      </c>
      <c r="AV29" s="434"/>
      <c r="AW29" s="553"/>
      <c r="AY29" s="413" t="s">
        <v>633</v>
      </c>
      <c r="AZ29" s="413"/>
      <c r="BA29" s="412"/>
      <c r="BB29" s="412"/>
    </row>
    <row r="30" spans="1:85" ht="18" customHeight="1">
      <c r="A30" s="36"/>
      <c r="B30" s="404">
        <v>8.4722222222222227E-2</v>
      </c>
      <c r="C30" s="404"/>
      <c r="D30" s="404"/>
      <c r="E30" s="404"/>
      <c r="F30" s="288" t="s">
        <v>753</v>
      </c>
      <c r="G30" s="288"/>
      <c r="H30" s="288"/>
      <c r="I30" s="288"/>
      <c r="J30" s="288"/>
      <c r="K30" s="288"/>
      <c r="L30" s="288"/>
      <c r="M30" s="288"/>
      <c r="N30" s="288"/>
      <c r="O30" s="288"/>
      <c r="P30" s="288"/>
      <c r="Q30" s="288"/>
      <c r="R30" s="288"/>
      <c r="S30" s="288"/>
      <c r="T30" s="288"/>
      <c r="U30" s="288"/>
      <c r="V30" s="288"/>
      <c r="W30" s="288"/>
      <c r="X30" s="288"/>
      <c r="Y30" s="288"/>
      <c r="Z30" s="288"/>
      <c r="AA30" s="288"/>
      <c r="AB30" s="288"/>
      <c r="AC30" s="288"/>
      <c r="AD30" s="288"/>
      <c r="AE30" s="288"/>
      <c r="AF30" s="288"/>
      <c r="AG30" s="288"/>
      <c r="AH30" s="288"/>
      <c r="AI30" s="289"/>
      <c r="AK30" s="449" t="s">
        <v>648</v>
      </c>
      <c r="AL30" s="450"/>
      <c r="AM30" s="450"/>
      <c r="AN30" s="450"/>
      <c r="AO30" s="450"/>
      <c r="AP30" s="450"/>
      <c r="AQ30" s="62"/>
      <c r="AR30" s="43"/>
      <c r="AS30" s="554">
        <v>1.1430555555555555</v>
      </c>
      <c r="AT30" s="532"/>
      <c r="AU30" s="439" t="s">
        <v>754</v>
      </c>
      <c r="AV30" s="439"/>
      <c r="AW30" s="555"/>
      <c r="AY30" s="413" t="s">
        <v>649</v>
      </c>
      <c r="AZ30" s="413"/>
      <c r="BA30" s="412"/>
      <c r="BB30" s="412"/>
    </row>
    <row r="31" spans="1:85" ht="18" customHeight="1" thickBot="1">
      <c r="A31" s="37"/>
      <c r="B31" s="466">
        <v>8.611111111111111E-2</v>
      </c>
      <c r="C31" s="466"/>
      <c r="D31" s="466"/>
      <c r="E31" s="466"/>
      <c r="F31" s="467" t="s">
        <v>755</v>
      </c>
      <c r="G31" s="467"/>
      <c r="H31" s="467"/>
      <c r="I31" s="467"/>
      <c r="J31" s="467"/>
      <c r="K31" s="467"/>
      <c r="L31" s="467"/>
      <c r="M31" s="467"/>
      <c r="N31" s="467"/>
      <c r="O31" s="467"/>
      <c r="P31" s="467"/>
      <c r="Q31" s="467"/>
      <c r="R31" s="467"/>
      <c r="S31" s="467"/>
      <c r="T31" s="467"/>
      <c r="U31" s="467"/>
      <c r="V31" s="467"/>
      <c r="W31" s="467"/>
      <c r="X31" s="467"/>
      <c r="Y31" s="467"/>
      <c r="Z31" s="467"/>
      <c r="AA31" s="467"/>
      <c r="AB31" s="467"/>
      <c r="AC31" s="467"/>
      <c r="AD31" s="467"/>
      <c r="AE31" s="467"/>
      <c r="AF31" s="467"/>
      <c r="AG31" s="467"/>
      <c r="AH31" s="467"/>
      <c r="AI31" s="468"/>
      <c r="AK31" s="451" t="s">
        <v>650</v>
      </c>
      <c r="AL31" s="416"/>
      <c r="AM31" s="416"/>
      <c r="AN31" s="416"/>
      <c r="AO31" s="416"/>
      <c r="AP31" s="416"/>
      <c r="AQ31" s="64"/>
      <c r="AR31" s="48"/>
      <c r="AS31" s="556">
        <v>1.1444444444444444</v>
      </c>
      <c r="AT31" s="557"/>
      <c r="AU31" s="424" t="s">
        <v>756</v>
      </c>
      <c r="AV31" s="424"/>
      <c r="AW31" s="491"/>
      <c r="AY31" s="413" t="s">
        <v>637</v>
      </c>
      <c r="AZ31" s="413"/>
      <c r="BA31" s="412"/>
      <c r="BB31" s="412"/>
    </row>
    <row r="32" spans="1:85" ht="18" customHeight="1" thickBot="1">
      <c r="A32" s="406" t="s">
        <v>651</v>
      </c>
      <c r="B32" s="407"/>
      <c r="C32" s="407"/>
      <c r="D32" s="407"/>
      <c r="E32" s="407"/>
      <c r="F32" s="407"/>
      <c r="G32" s="407"/>
      <c r="H32" s="407"/>
      <c r="I32" s="407"/>
      <c r="J32" s="407"/>
      <c r="K32" s="407"/>
      <c r="L32" s="407"/>
      <c r="M32" s="407"/>
      <c r="N32" s="407"/>
      <c r="O32" s="407"/>
      <c r="P32" s="407"/>
      <c r="Q32" s="407"/>
      <c r="R32" s="407"/>
      <c r="S32" s="407"/>
      <c r="T32" s="407"/>
      <c r="U32" s="407"/>
      <c r="V32" s="407"/>
      <c r="W32" s="407"/>
      <c r="X32" s="407"/>
      <c r="Y32" s="407"/>
      <c r="Z32" s="407"/>
      <c r="AA32" s="407"/>
      <c r="AB32" s="407"/>
      <c r="AC32" s="407"/>
      <c r="AD32" s="407"/>
      <c r="AE32" s="407"/>
      <c r="AF32" s="407"/>
      <c r="AG32" s="407"/>
      <c r="AH32" s="407"/>
      <c r="AI32" s="408"/>
      <c r="AK32" s="531"/>
      <c r="AL32" s="531"/>
      <c r="AM32" s="531"/>
      <c r="AN32" s="531"/>
      <c r="AO32" s="531"/>
      <c r="AP32" s="531"/>
      <c r="AQ32" s="61"/>
      <c r="AR32" s="48"/>
      <c r="AS32" s="558">
        <v>1.1465277777777778</v>
      </c>
      <c r="AT32" s="558"/>
      <c r="AU32" s="559" t="s">
        <v>757</v>
      </c>
      <c r="AV32" s="559"/>
      <c r="AW32" s="559"/>
      <c r="AY32" s="413" t="s">
        <v>652</v>
      </c>
      <c r="AZ32" s="413"/>
      <c r="BA32" s="412"/>
      <c r="BB32" s="412"/>
    </row>
    <row r="33" spans="1:80" ht="18" customHeight="1">
      <c r="A33" s="39"/>
      <c r="B33" s="546" t="s">
        <v>653</v>
      </c>
      <c r="C33" s="546"/>
      <c r="D33" s="546"/>
      <c r="E33" s="546"/>
      <c r="F33" s="417" t="str" cm="1">
        <f t="array" ref="F33">_xlfn.TEXTJOIN("/",TRUE,IF(AS29:AS31&lt;&gt;"",TEXT(AS29:AS31,"h:mm")&amp;" "&amp;AU29:AU31,""))</f>
        <v>3:26 45階ルーフトップテラス１/3:26 45階ルーフトップテラス２/3:28 45階風除室２</v>
      </c>
      <c r="G33" s="418"/>
      <c r="H33" s="418"/>
      <c r="I33" s="418"/>
      <c r="J33" s="418"/>
      <c r="K33" s="418"/>
      <c r="L33" s="418"/>
      <c r="M33" s="418"/>
      <c r="N33" s="418"/>
      <c r="O33" s="418"/>
      <c r="P33" s="418"/>
      <c r="Q33" s="418"/>
      <c r="R33" s="418"/>
      <c r="S33" s="418"/>
      <c r="T33" s="418"/>
      <c r="U33" s="418"/>
      <c r="V33" s="418"/>
      <c r="W33" s="418"/>
      <c r="X33" s="418"/>
      <c r="Y33" s="418"/>
      <c r="Z33" s="418"/>
      <c r="AA33" s="418"/>
      <c r="AB33" s="418"/>
      <c r="AC33" s="418"/>
      <c r="AD33" s="418"/>
      <c r="AE33" s="418"/>
      <c r="AF33" s="418"/>
      <c r="AG33" s="418"/>
      <c r="AH33" s="418"/>
      <c r="AI33" s="419"/>
      <c r="AK33" s="449" t="s">
        <v>654</v>
      </c>
      <c r="AL33" s="450"/>
      <c r="AM33" s="450"/>
      <c r="AN33" s="450"/>
      <c r="AO33" s="450"/>
      <c r="AP33" s="450"/>
      <c r="AQ33" s="60"/>
      <c r="AR33" s="48"/>
      <c r="AS33" s="532">
        <v>0.90069444444444446</v>
      </c>
      <c r="AT33" s="532"/>
      <c r="AU33" s="439" t="s">
        <v>758</v>
      </c>
      <c r="AV33" s="439"/>
      <c r="AW33" s="439"/>
      <c r="AY33" s="413" t="s">
        <v>655</v>
      </c>
      <c r="AZ33" s="413"/>
      <c r="BA33" s="412"/>
      <c r="BB33" s="412"/>
    </row>
    <row r="34" spans="1:80" ht="18" customHeight="1" thickBot="1">
      <c r="A34" s="39"/>
      <c r="B34" s="546" t="s">
        <v>656</v>
      </c>
      <c r="C34" s="546"/>
      <c r="D34" s="546"/>
      <c r="E34" s="546"/>
      <c r="F34" s="420" t="s">
        <v>79</v>
      </c>
      <c r="G34" s="420"/>
      <c r="H34" s="420"/>
      <c r="I34" s="420"/>
      <c r="J34" s="420"/>
      <c r="K34" s="420"/>
      <c r="L34" s="420"/>
      <c r="M34" s="420"/>
      <c r="N34" s="420"/>
      <c r="O34" s="420"/>
      <c r="P34" s="420"/>
      <c r="Q34" s="420"/>
      <c r="R34" s="420"/>
      <c r="S34" s="420"/>
      <c r="T34" s="420"/>
      <c r="U34" s="420"/>
      <c r="V34" s="420"/>
      <c r="W34" s="420"/>
      <c r="X34" s="420"/>
      <c r="Y34" s="420"/>
      <c r="Z34" s="420"/>
      <c r="AA34" s="420"/>
      <c r="AB34" s="420"/>
      <c r="AC34" s="421"/>
      <c r="AD34" s="421"/>
      <c r="AE34" s="421"/>
      <c r="AF34" s="421"/>
      <c r="AG34" s="421"/>
      <c r="AH34" s="421"/>
      <c r="AI34" s="422"/>
      <c r="AK34" s="451" t="s">
        <v>657</v>
      </c>
      <c r="AL34" s="416"/>
      <c r="AM34" s="416"/>
      <c r="AN34" s="416"/>
      <c r="AO34" s="416"/>
      <c r="AP34" s="416"/>
      <c r="AQ34" s="56"/>
      <c r="AR34" s="48"/>
      <c r="AS34" s="532">
        <v>1.2756944444444445</v>
      </c>
      <c r="AT34" s="532"/>
      <c r="AU34" s="439" t="s">
        <v>759</v>
      </c>
      <c r="AV34" s="439"/>
      <c r="AW34" s="439"/>
      <c r="AY34" s="413" t="s">
        <v>658</v>
      </c>
      <c r="AZ34" s="413"/>
      <c r="BA34" s="412"/>
      <c r="BB34" s="412"/>
    </row>
    <row r="35" spans="1:80" ht="18" customHeight="1" thickBot="1">
      <c r="A35" s="57"/>
      <c r="B35" s="547" t="s">
        <v>659</v>
      </c>
      <c r="C35" s="547"/>
      <c r="D35" s="547"/>
      <c r="E35" s="547"/>
      <c r="F35" s="389" t="s">
        <v>660</v>
      </c>
      <c r="G35" s="389"/>
      <c r="H35" s="389"/>
      <c r="I35" s="389"/>
      <c r="J35" s="389"/>
      <c r="K35" s="389"/>
      <c r="L35" s="389"/>
      <c r="M35" s="389"/>
      <c r="N35" s="389"/>
      <c r="O35" s="389"/>
      <c r="P35" s="389"/>
      <c r="Q35" s="389"/>
      <c r="R35" s="389"/>
      <c r="S35" s="389"/>
      <c r="T35" s="389"/>
      <c r="U35" s="389"/>
      <c r="V35" s="389"/>
      <c r="W35" s="390" t="s">
        <v>661</v>
      </c>
      <c r="X35" s="391"/>
      <c r="Y35" s="391"/>
      <c r="Z35" s="391"/>
      <c r="AA35" s="391"/>
      <c r="AB35" s="391"/>
      <c r="AC35" s="392" t="s">
        <v>662</v>
      </c>
      <c r="AD35" s="393"/>
      <c r="AE35" s="393"/>
      <c r="AF35" s="393"/>
      <c r="AG35" s="393"/>
      <c r="AH35" s="393"/>
      <c r="AI35" s="394"/>
      <c r="AK35" s="531"/>
      <c r="AL35" s="531"/>
      <c r="AM35" s="531"/>
      <c r="AN35" s="531"/>
      <c r="AO35" s="531"/>
      <c r="AP35" s="531"/>
      <c r="AQ35" s="61"/>
      <c r="AR35" s="48"/>
      <c r="AS35" s="532"/>
      <c r="AT35" s="532"/>
      <c r="AU35" s="439"/>
      <c r="AV35" s="439"/>
      <c r="AW35" s="439"/>
      <c r="AY35" s="413" t="s">
        <v>663</v>
      </c>
      <c r="AZ35" s="413"/>
      <c r="BA35" s="412"/>
      <c r="BB35" s="412"/>
    </row>
    <row r="36" spans="1:80" ht="18" customHeight="1" thickBot="1">
      <c r="A36" s="492" t="s">
        <v>664</v>
      </c>
      <c r="B36" s="493"/>
      <c r="C36" s="493"/>
      <c r="D36" s="493"/>
      <c r="E36" s="493"/>
      <c r="F36" s="498">
        <v>4.1666666666666664E-2</v>
      </c>
      <c r="G36" s="439"/>
      <c r="H36" s="439"/>
      <c r="I36" s="439"/>
      <c r="J36" s="439"/>
      <c r="K36" s="439"/>
      <c r="L36" s="499" t="s">
        <v>665</v>
      </c>
      <c r="M36" s="489"/>
      <c r="N36" s="489"/>
      <c r="O36" s="500"/>
      <c r="P36" s="410" t="s">
        <v>21</v>
      </c>
      <c r="Q36" s="410"/>
      <c r="R36" s="410"/>
      <c r="S36" s="55" t="s">
        <v>666</v>
      </c>
      <c r="T36" s="410" t="s">
        <v>72</v>
      </c>
      <c r="U36" s="410"/>
      <c r="V36" s="530"/>
      <c r="W36" s="489" t="s">
        <v>667</v>
      </c>
      <c r="X36" s="489"/>
      <c r="Y36" s="489"/>
      <c r="Z36" s="489"/>
      <c r="AA36" s="489"/>
      <c r="AB36" s="489"/>
      <c r="AC36" s="490" t="s">
        <v>722</v>
      </c>
      <c r="AD36" s="487"/>
      <c r="AE36" s="487"/>
      <c r="AF36" s="487"/>
      <c r="AG36" s="487"/>
      <c r="AH36" s="487"/>
      <c r="AI36" s="488"/>
      <c r="AK36" s="525" t="s">
        <v>668</v>
      </c>
      <c r="AL36" s="526"/>
      <c r="AM36" s="526"/>
      <c r="AN36" s="526"/>
      <c r="AO36" s="526"/>
      <c r="AP36" s="526"/>
      <c r="AQ36" s="117"/>
      <c r="AR36" s="48"/>
      <c r="AS36" s="532"/>
      <c r="AT36" s="532"/>
      <c r="AU36" s="439"/>
      <c r="AV36" s="439"/>
      <c r="AW36" s="439"/>
      <c r="BH36" s="50"/>
      <c r="BI36" s="51"/>
    </row>
    <row r="37" spans="1:80" ht="18" customHeight="1" thickBot="1">
      <c r="A37" s="494" t="s">
        <v>669</v>
      </c>
      <c r="B37" s="495"/>
      <c r="C37" s="495"/>
      <c r="D37" s="495"/>
      <c r="E37" s="495"/>
      <c r="F37" s="487"/>
      <c r="G37" s="487"/>
      <c r="H37" s="487"/>
      <c r="I37" s="487"/>
      <c r="J37" s="487"/>
      <c r="K37" s="487"/>
      <c r="L37" s="487"/>
      <c r="M37" s="487"/>
      <c r="N37" s="487"/>
      <c r="O37" s="487"/>
      <c r="P37" s="487"/>
      <c r="Q37" s="487"/>
      <c r="R37" s="487"/>
      <c r="S37" s="487"/>
      <c r="T37" s="487"/>
      <c r="U37" s="487"/>
      <c r="V37" s="487"/>
      <c r="W37" s="487"/>
      <c r="X37" s="487"/>
      <c r="Y37" s="487"/>
      <c r="Z37" s="487"/>
      <c r="AA37" s="487"/>
      <c r="AB37" s="487"/>
      <c r="AC37" s="487"/>
      <c r="AD37" s="487"/>
      <c r="AE37" s="487"/>
      <c r="AF37" s="487"/>
      <c r="AG37" s="487"/>
      <c r="AH37" s="487"/>
      <c r="AI37" s="488"/>
      <c r="AK37" s="544" t="s">
        <v>240</v>
      </c>
      <c r="AL37" s="545"/>
      <c r="AM37" s="545"/>
      <c r="AN37" s="545"/>
      <c r="AO37" s="545"/>
      <c r="AP37" s="545"/>
      <c r="AQ37" s="122"/>
      <c r="AR37" s="48"/>
      <c r="AS37" s="532"/>
      <c r="AT37" s="532"/>
      <c r="AU37" s="439"/>
      <c r="AV37" s="439"/>
      <c r="AW37" s="439"/>
      <c r="BH37" s="50"/>
      <c r="BI37" s="51"/>
    </row>
    <row r="38" spans="1:80" ht="18" customHeight="1" thickBot="1">
      <c r="A38" s="496" t="s">
        <v>670</v>
      </c>
      <c r="B38" s="497"/>
      <c r="C38" s="497"/>
      <c r="D38" s="497"/>
      <c r="E38" s="497"/>
      <c r="F38" s="416" t="s">
        <v>667</v>
      </c>
      <c r="G38" s="416"/>
      <c r="H38" s="416"/>
      <c r="I38" s="416"/>
      <c r="J38" s="416"/>
      <c r="K38" s="416"/>
      <c r="L38" s="424" t="s">
        <v>722</v>
      </c>
      <c r="M38" s="424"/>
      <c r="N38" s="424"/>
      <c r="O38" s="424"/>
      <c r="P38" s="416" t="s">
        <v>671</v>
      </c>
      <c r="Q38" s="416"/>
      <c r="R38" s="416"/>
      <c r="S38" s="416"/>
      <c r="T38" s="416"/>
      <c r="U38" s="416"/>
      <c r="V38" s="416"/>
      <c r="W38" s="416" t="s">
        <v>667</v>
      </c>
      <c r="X38" s="416"/>
      <c r="Y38" s="416"/>
      <c r="Z38" s="416"/>
      <c r="AA38" s="416"/>
      <c r="AB38" s="416"/>
      <c r="AC38" s="424" t="s">
        <v>722</v>
      </c>
      <c r="AD38" s="424"/>
      <c r="AE38" s="424"/>
      <c r="AF38" s="424"/>
      <c r="AG38" s="424"/>
      <c r="AH38" s="424"/>
      <c r="AI38" s="491"/>
      <c r="AK38" s="543"/>
      <c r="AL38" s="543"/>
      <c r="AM38" s="543"/>
      <c r="AN38" s="543"/>
      <c r="AO38" s="543"/>
      <c r="AP38" s="543"/>
      <c r="AQ38" s="59"/>
      <c r="AR38" s="48"/>
      <c r="BC38" s="50"/>
      <c r="BD38" s="51"/>
    </row>
    <row r="39" spans="1:80" ht="18" customHeight="1">
      <c r="A39" s="452" t="s">
        <v>672</v>
      </c>
      <c r="B39" s="453"/>
      <c r="C39" s="453"/>
      <c r="D39" s="453"/>
      <c r="E39" s="453"/>
      <c r="F39" s="453"/>
      <c r="G39" s="453"/>
      <c r="H39" s="453"/>
      <c r="I39" s="453"/>
      <c r="J39" s="453"/>
      <c r="K39" s="453"/>
      <c r="L39" s="453"/>
      <c r="M39" s="453"/>
      <c r="N39" s="453"/>
      <c r="O39" s="453"/>
      <c r="P39" s="453"/>
      <c r="Q39" s="453"/>
      <c r="R39" s="453"/>
      <c r="S39" s="453"/>
      <c r="T39" s="453"/>
      <c r="U39" s="453"/>
      <c r="V39" s="453"/>
      <c r="W39" s="453"/>
      <c r="X39" s="453"/>
      <c r="Y39" s="453"/>
      <c r="Z39" s="453"/>
      <c r="AA39" s="453"/>
      <c r="AB39" s="453"/>
      <c r="AC39" s="453"/>
      <c r="AD39" s="453"/>
      <c r="AE39" s="453"/>
      <c r="AF39" s="453"/>
      <c r="AG39" s="453"/>
      <c r="AH39" s="453"/>
      <c r="AI39" s="454"/>
      <c r="AK39" s="444" t="s">
        <v>673</v>
      </c>
      <c r="AL39" s="444"/>
      <c r="AM39" s="444"/>
      <c r="AN39" s="444"/>
      <c r="AO39" s="444"/>
      <c r="AP39" s="444"/>
      <c r="AQ39" s="42"/>
      <c r="AR39" s="48"/>
      <c r="AS39" s="423" t="s">
        <v>526</v>
      </c>
      <c r="AT39" s="423"/>
      <c r="AU39" s="148">
        <v>30</v>
      </c>
      <c r="AV39" s="423" t="s">
        <v>528</v>
      </c>
      <c r="AW39" s="423"/>
      <c r="BC39" s="50"/>
      <c r="BD39" s="51"/>
    </row>
    <row r="40" spans="1:80" ht="18" customHeight="1">
      <c r="A40" s="464" t="s">
        <v>674</v>
      </c>
      <c r="B40" s="459"/>
      <c r="C40" s="459"/>
      <c r="D40" s="459"/>
      <c r="E40" s="470" t="s">
        <v>675</v>
      </c>
      <c r="F40" s="471"/>
      <c r="G40" s="471"/>
      <c r="H40" s="471"/>
      <c r="I40" s="471"/>
      <c r="J40" s="471"/>
      <c r="K40" s="472"/>
      <c r="L40" s="458" t="s">
        <v>676</v>
      </c>
      <c r="M40" s="459"/>
      <c r="N40" s="459"/>
      <c r="O40" s="459"/>
      <c r="P40" s="459"/>
      <c r="Q40" s="459"/>
      <c r="R40" s="460"/>
      <c r="S40" s="458" t="s">
        <v>677</v>
      </c>
      <c r="T40" s="459"/>
      <c r="U40" s="459"/>
      <c r="V40" s="459"/>
      <c r="W40" s="470" t="s">
        <v>675</v>
      </c>
      <c r="X40" s="471"/>
      <c r="Y40" s="471"/>
      <c r="Z40" s="471"/>
      <c r="AA40" s="471"/>
      <c r="AB40" s="471"/>
      <c r="AC40" s="472"/>
      <c r="AD40" s="458" t="s">
        <v>678</v>
      </c>
      <c r="AE40" s="459"/>
      <c r="AF40" s="459"/>
      <c r="AG40" s="459"/>
      <c r="AH40" s="459"/>
      <c r="AI40" s="463"/>
      <c r="AK40" s="444" t="s">
        <v>679</v>
      </c>
      <c r="AL40" s="444"/>
      <c r="AM40" s="444"/>
      <c r="AN40" s="444"/>
      <c r="AO40" s="444"/>
      <c r="AP40" s="444"/>
      <c r="AQ40" s="42"/>
      <c r="AR40" s="48"/>
      <c r="AS40" s="423" t="s">
        <v>527</v>
      </c>
      <c r="AT40" s="423"/>
      <c r="AU40" s="148">
        <v>37</v>
      </c>
      <c r="AV40" s="560">
        <v>0.68369999999999997</v>
      </c>
      <c r="AW40" s="560"/>
      <c r="BC40" s="50"/>
      <c r="BD40" s="51"/>
    </row>
    <row r="41" spans="1:80" ht="18" customHeight="1">
      <c r="A41" s="464" t="s">
        <v>16</v>
      </c>
      <c r="B41" s="459"/>
      <c r="C41" s="459"/>
      <c r="D41" s="459"/>
      <c r="E41" s="469">
        <f>AX10</f>
        <v>0.33333333333333331</v>
      </c>
      <c r="F41" s="456"/>
      <c r="G41" s="456"/>
      <c r="H41" s="144" t="s">
        <v>680</v>
      </c>
      <c r="I41" s="456">
        <f>AY10</f>
        <v>0.83333333333333337</v>
      </c>
      <c r="J41" s="456"/>
      <c r="K41" s="457"/>
      <c r="L41" s="458" t="str">
        <f>AU10</f>
        <v>三角龍彦</v>
      </c>
      <c r="M41" s="459"/>
      <c r="N41" s="459"/>
      <c r="O41" s="459"/>
      <c r="P41" s="459"/>
      <c r="Q41" s="459"/>
      <c r="R41" s="460"/>
      <c r="S41" s="409" t="s">
        <v>31</v>
      </c>
      <c r="T41" s="410"/>
      <c r="U41" s="410"/>
      <c r="V41" s="410"/>
      <c r="W41" s="414">
        <v>0.39583333333333331</v>
      </c>
      <c r="X41" s="415"/>
      <c r="Y41" s="415"/>
      <c r="Z41" s="40" t="s">
        <v>680</v>
      </c>
      <c r="AA41" s="415">
        <v>0.77083333333333337</v>
      </c>
      <c r="AB41" s="415"/>
      <c r="AC41" s="461"/>
      <c r="AD41" s="409" t="str">
        <f>AU14</f>
        <v>藤井隆幸</v>
      </c>
      <c r="AE41" s="410"/>
      <c r="AF41" s="410"/>
      <c r="AG41" s="410"/>
      <c r="AH41" s="410"/>
      <c r="AI41" s="462"/>
      <c r="AK41" s="444" t="s">
        <v>681</v>
      </c>
      <c r="AL41" s="444"/>
      <c r="AM41" s="444"/>
      <c r="AN41" s="444"/>
      <c r="AO41" s="444"/>
      <c r="AP41" s="444"/>
      <c r="AQ41" s="42"/>
      <c r="AR41" s="48"/>
      <c r="BC41" s="50"/>
      <c r="BD41" s="51"/>
    </row>
    <row r="42" spans="1:80" ht="18" customHeight="1">
      <c r="A42" s="464" t="s">
        <v>24</v>
      </c>
      <c r="B42" s="459"/>
      <c r="C42" s="459"/>
      <c r="D42" s="459"/>
      <c r="E42" s="469">
        <f>AX13</f>
        <v>0.33333333333333331</v>
      </c>
      <c r="F42" s="456"/>
      <c r="G42" s="456"/>
      <c r="H42" s="144" t="s">
        <v>680</v>
      </c>
      <c r="I42" s="456">
        <f>AY12</f>
        <v>0.83333333333333337</v>
      </c>
      <c r="J42" s="456"/>
      <c r="K42" s="457"/>
      <c r="L42" s="458" t="str">
        <f>AU13</f>
        <v>松葉眞</v>
      </c>
      <c r="M42" s="459"/>
      <c r="N42" s="459"/>
      <c r="O42" s="459"/>
      <c r="P42" s="459"/>
      <c r="Q42" s="459"/>
      <c r="R42" s="460"/>
      <c r="S42" s="409"/>
      <c r="T42" s="410"/>
      <c r="U42" s="410"/>
      <c r="V42" s="410"/>
      <c r="W42" s="414"/>
      <c r="X42" s="415"/>
      <c r="Y42" s="415"/>
      <c r="Z42" s="136"/>
      <c r="AA42" s="415"/>
      <c r="AB42" s="415"/>
      <c r="AC42" s="461"/>
      <c r="AD42" s="409">
        <f>AU15</f>
        <v>0</v>
      </c>
      <c r="AE42" s="410"/>
      <c r="AF42" s="410"/>
      <c r="AG42" s="410"/>
      <c r="AH42" s="410"/>
      <c r="AI42" s="462"/>
      <c r="AK42" s="445" t="s">
        <v>682</v>
      </c>
      <c r="AL42" s="445"/>
      <c r="AM42" s="445"/>
      <c r="AN42" s="445"/>
      <c r="AO42" s="445"/>
      <c r="AP42" s="445"/>
      <c r="AQ42" s="42"/>
      <c r="AR42" s="48"/>
      <c r="AS42" s="561" t="s">
        <v>683</v>
      </c>
      <c r="AT42" s="561"/>
      <c r="AU42" s="561"/>
      <c r="AV42" s="561"/>
      <c r="AW42" s="561"/>
      <c r="BC42" s="50"/>
      <c r="BD42" s="51"/>
    </row>
    <row r="43" spans="1:80" ht="18" customHeight="1">
      <c r="A43" s="464" t="s">
        <v>38</v>
      </c>
      <c r="B43" s="459"/>
      <c r="C43" s="459"/>
      <c r="D43" s="459"/>
      <c r="E43" s="469">
        <f>AX16</f>
        <v>0.83333333333333337</v>
      </c>
      <c r="F43" s="456"/>
      <c r="G43" s="456"/>
      <c r="H43" s="144" t="s">
        <v>680</v>
      </c>
      <c r="I43" s="456" t="str">
        <f>AY16</f>
        <v>翌8:00</v>
      </c>
      <c r="J43" s="456"/>
      <c r="K43" s="457"/>
      <c r="L43" s="458" t="str">
        <f>AU16</f>
        <v>三角龍彦</v>
      </c>
      <c r="M43" s="459"/>
      <c r="N43" s="459"/>
      <c r="O43" s="459"/>
      <c r="P43" s="459"/>
      <c r="Q43" s="459"/>
      <c r="R43" s="460"/>
      <c r="S43" s="409"/>
      <c r="T43" s="410"/>
      <c r="U43" s="410"/>
      <c r="V43" s="410"/>
      <c r="W43" s="414"/>
      <c r="X43" s="415"/>
      <c r="Y43" s="415"/>
      <c r="Z43" s="136"/>
      <c r="AA43" s="415"/>
      <c r="AB43" s="415"/>
      <c r="AC43" s="461"/>
      <c r="AD43" s="486">
        <f>AU18</f>
        <v>0</v>
      </c>
      <c r="AE43" s="410"/>
      <c r="AF43" s="410"/>
      <c r="AG43" s="410"/>
      <c r="AH43" s="410"/>
      <c r="AI43" s="462"/>
      <c r="AK43" s="444" t="s">
        <v>684</v>
      </c>
      <c r="AL43" s="444"/>
      <c r="AM43" s="444"/>
      <c r="AN43" s="444"/>
      <c r="AO43" s="444"/>
      <c r="AP43" s="444"/>
      <c r="AQ43" s="42"/>
      <c r="AR43" s="43"/>
      <c r="AW43"/>
      <c r="AX43"/>
      <c r="AY43"/>
      <c r="AZ43"/>
      <c r="BA43"/>
      <c r="BB43"/>
      <c r="BC43" s="50"/>
      <c r="BD43" s="51"/>
      <c r="BE43"/>
      <c r="BF43"/>
      <c r="BG43"/>
      <c r="BH43"/>
      <c r="BI43"/>
      <c r="BJ43"/>
      <c r="BK43"/>
      <c r="BL43"/>
      <c r="BM43"/>
      <c r="BN43"/>
      <c r="BO43"/>
      <c r="BP43"/>
      <c r="BQ43"/>
      <c r="BR43"/>
      <c r="BS43"/>
      <c r="BT43"/>
      <c r="BU43"/>
      <c r="BV43"/>
      <c r="BW43"/>
      <c r="BX43"/>
      <c r="BY43"/>
      <c r="BZ43"/>
      <c r="CA43"/>
      <c r="CB43"/>
    </row>
    <row r="44" spans="1:80" ht="18" customHeight="1" thickBot="1">
      <c r="A44" s="473" t="s">
        <v>45</v>
      </c>
      <c r="B44" s="474"/>
      <c r="C44" s="474"/>
      <c r="D44" s="474"/>
      <c r="E44" s="475">
        <f>AX17</f>
        <v>0.83333333333333337</v>
      </c>
      <c r="F44" s="476"/>
      <c r="G44" s="476"/>
      <c r="H44" s="145" t="s">
        <v>680</v>
      </c>
      <c r="I44" s="476" t="str">
        <f>AY17</f>
        <v>翌8:00</v>
      </c>
      <c r="J44" s="476"/>
      <c r="K44" s="477"/>
      <c r="L44" s="478" t="str">
        <f>AU17</f>
        <v>片山薫</v>
      </c>
      <c r="M44" s="478"/>
      <c r="N44" s="478"/>
      <c r="O44" s="478"/>
      <c r="P44" s="478"/>
      <c r="Q44" s="478"/>
      <c r="R44" s="478"/>
      <c r="S44" s="479"/>
      <c r="T44" s="480"/>
      <c r="U44" s="480"/>
      <c r="V44" s="480"/>
      <c r="W44" s="481"/>
      <c r="X44" s="482"/>
      <c r="Y44" s="482"/>
      <c r="Z44" s="137"/>
      <c r="AA44" s="482"/>
      <c r="AB44" s="482"/>
      <c r="AC44" s="483"/>
      <c r="AD44" s="484">
        <f>AU19</f>
        <v>0</v>
      </c>
      <c r="AE44" s="480"/>
      <c r="AF44" s="480"/>
      <c r="AG44" s="480"/>
      <c r="AH44" s="480"/>
      <c r="AI44" s="485"/>
      <c r="AK44" s="446" t="s">
        <v>685</v>
      </c>
      <c r="AL44" s="446"/>
      <c r="AM44" s="446"/>
      <c r="AN44" s="446"/>
      <c r="AO44" s="446"/>
      <c r="AP44" s="446"/>
      <c r="AQ44" s="42"/>
      <c r="AR44" s="43"/>
      <c r="BC44" s="50"/>
      <c r="BD44" s="51"/>
    </row>
    <row r="45" spans="1:80" ht="18" customHeight="1" thickBot="1">
      <c r="A45" s="27"/>
      <c r="B45" s="27"/>
      <c r="C45" s="27"/>
      <c r="D45" s="27"/>
      <c r="E45" s="27"/>
      <c r="F45" s="27"/>
      <c r="G45" s="27"/>
      <c r="H45" s="27"/>
      <c r="I45" s="27"/>
      <c r="R45" s="307">
        <f>A7</f>
        <v>46177</v>
      </c>
      <c r="S45" s="308"/>
      <c r="T45" s="308"/>
      <c r="U45" s="308"/>
      <c r="V45" s="23" t="s">
        <v>169</v>
      </c>
      <c r="W45" s="309">
        <f>G7</f>
        <v>46177</v>
      </c>
      <c r="X45" s="308"/>
      <c r="Y45" s="23" t="s">
        <v>170</v>
      </c>
      <c r="Z45" s="310">
        <f>K7</f>
        <v>46177</v>
      </c>
      <c r="AA45" s="308"/>
      <c r="AB45" s="23" t="s">
        <v>3</v>
      </c>
      <c r="AC45" s="455">
        <f>O7</f>
        <v>46177</v>
      </c>
      <c r="AD45" s="308"/>
      <c r="AE45" s="308" t="s">
        <v>292</v>
      </c>
      <c r="AF45" s="308"/>
      <c r="AK45" s="425" t="s">
        <v>686</v>
      </c>
      <c r="AL45" s="425"/>
      <c r="AM45" s="425"/>
      <c r="AN45" s="425"/>
      <c r="AO45" s="425"/>
      <c r="AP45" s="425"/>
      <c r="AQ45" s="42"/>
      <c r="AR45" s="43"/>
      <c r="BC45" s="50"/>
      <c r="BD45" s="51"/>
    </row>
    <row r="46" spans="1:80" customFormat="1" ht="18" customHeight="1">
      <c r="A46" s="452" t="s">
        <v>598</v>
      </c>
      <c r="B46" s="453"/>
      <c r="C46" s="453"/>
      <c r="D46" s="453"/>
      <c r="E46" s="453"/>
      <c r="F46" s="453"/>
      <c r="G46" s="453"/>
      <c r="H46" s="453"/>
      <c r="I46" s="453"/>
      <c r="J46" s="453"/>
      <c r="K46" s="453"/>
      <c r="L46" s="453"/>
      <c r="M46" s="453"/>
      <c r="N46" s="453"/>
      <c r="O46" s="453"/>
      <c r="P46" s="453"/>
      <c r="Q46" s="453"/>
      <c r="R46" s="453"/>
      <c r="S46" s="453"/>
      <c r="T46" s="453"/>
      <c r="U46" s="453"/>
      <c r="V46" s="453"/>
      <c r="W46" s="453"/>
      <c r="X46" s="453"/>
      <c r="Y46" s="453"/>
      <c r="Z46" s="453"/>
      <c r="AA46" s="453"/>
      <c r="AB46" s="453"/>
      <c r="AC46" s="453"/>
      <c r="AD46" s="453"/>
      <c r="AE46" s="453"/>
      <c r="AF46" s="453"/>
      <c r="AG46" s="453"/>
      <c r="AH46" s="453"/>
      <c r="AI46" s="454"/>
      <c r="AK46" s="425" t="s">
        <v>687</v>
      </c>
      <c r="AL46" s="425"/>
      <c r="AM46" s="425"/>
      <c r="AN46" s="425"/>
      <c r="AO46" s="425"/>
      <c r="AP46" s="425"/>
      <c r="AQ46" s="42"/>
      <c r="AR46" s="43"/>
      <c r="AW46" s="23"/>
      <c r="AX46" s="23"/>
      <c r="AY46" s="23"/>
      <c r="AZ46" s="23"/>
      <c r="BA46" s="23"/>
      <c r="BB46" s="23"/>
      <c r="BC46" s="50"/>
      <c r="BD46" s="51"/>
      <c r="BE46" s="23"/>
      <c r="BF46" s="23"/>
      <c r="BG46" s="23"/>
      <c r="BH46" s="23"/>
      <c r="BI46" s="23"/>
      <c r="BJ46" s="23"/>
      <c r="BK46" s="23"/>
      <c r="BL46" s="23"/>
      <c r="BM46" s="23"/>
      <c r="BN46" s="23"/>
      <c r="BO46" s="23"/>
      <c r="BP46" s="23"/>
      <c r="BQ46" s="23"/>
      <c r="BR46" s="23"/>
      <c r="BS46" s="23"/>
      <c r="BT46" s="23"/>
      <c r="BU46" s="23"/>
      <c r="BV46" s="23"/>
      <c r="BW46" s="23"/>
      <c r="BX46" s="23"/>
      <c r="BY46" s="23"/>
      <c r="BZ46" s="23"/>
      <c r="CA46" s="23"/>
      <c r="CB46" s="23"/>
    </row>
    <row r="47" spans="1:80" ht="18" customHeight="1">
      <c r="A47" s="36" t="s">
        <v>189</v>
      </c>
      <c r="B47" s="404">
        <v>9.375E-2</v>
      </c>
      <c r="C47" s="404"/>
      <c r="D47" s="404"/>
      <c r="E47" s="404"/>
      <c r="F47" s="288" t="s">
        <v>264</v>
      </c>
      <c r="G47" s="288"/>
      <c r="H47" s="288"/>
      <c r="I47" s="288"/>
      <c r="J47" s="288"/>
      <c r="K47" s="288"/>
      <c r="L47" s="288"/>
      <c r="M47" s="288"/>
      <c r="N47" s="288"/>
      <c r="O47" s="288"/>
      <c r="P47" s="288"/>
      <c r="Q47" s="288"/>
      <c r="R47" s="288"/>
      <c r="S47" s="288"/>
      <c r="T47" s="288"/>
      <c r="U47" s="288"/>
      <c r="V47" s="288"/>
      <c r="W47" s="288"/>
      <c r="X47" s="288"/>
      <c r="Y47" s="288"/>
      <c r="Z47" s="288"/>
      <c r="AA47" s="288"/>
      <c r="AB47" s="288"/>
      <c r="AC47" s="288"/>
      <c r="AD47" s="288"/>
      <c r="AE47" s="288"/>
      <c r="AF47" s="288"/>
      <c r="AG47" s="288"/>
      <c r="AH47" s="288"/>
      <c r="AI47" s="289"/>
      <c r="AK47" s="425" t="s">
        <v>688</v>
      </c>
      <c r="AL47" s="425"/>
      <c r="AM47" s="425"/>
      <c r="AN47" s="425"/>
      <c r="AO47" s="425"/>
      <c r="AP47" s="425"/>
      <c r="AQ47" s="42"/>
      <c r="AR47" s="43"/>
      <c r="AS47" s="120" t="s">
        <v>189</v>
      </c>
      <c r="AT47" s="43" t="s">
        <v>728</v>
      </c>
      <c r="AU47" s="43"/>
      <c r="BC47" s="50"/>
      <c r="BD47" s="51"/>
    </row>
    <row r="48" spans="1:80" ht="18" customHeight="1">
      <c r="A48" s="36"/>
      <c r="B48" s="404"/>
      <c r="C48" s="404"/>
      <c r="D48" s="404"/>
      <c r="E48" s="404"/>
      <c r="F48" s="288" t="s">
        <v>760</v>
      </c>
      <c r="G48" s="288"/>
      <c r="H48" s="288"/>
      <c r="I48" s="288"/>
      <c r="J48" s="288"/>
      <c r="K48" s="288"/>
      <c r="L48" s="288"/>
      <c r="M48" s="288"/>
      <c r="N48" s="288"/>
      <c r="O48" s="288"/>
      <c r="P48" s="288"/>
      <c r="Q48" s="288"/>
      <c r="R48" s="288"/>
      <c r="S48" s="288"/>
      <c r="T48" s="288"/>
      <c r="U48" s="288"/>
      <c r="V48" s="288"/>
      <c r="W48" s="288"/>
      <c r="X48" s="288"/>
      <c r="Y48" s="288"/>
      <c r="Z48" s="288"/>
      <c r="AA48" s="288"/>
      <c r="AB48" s="288"/>
      <c r="AC48" s="288"/>
      <c r="AD48" s="288"/>
      <c r="AE48" s="288"/>
      <c r="AF48" s="288"/>
      <c r="AG48" s="288"/>
      <c r="AH48" s="288"/>
      <c r="AI48" s="289"/>
      <c r="AK48" s="425" t="s">
        <v>690</v>
      </c>
      <c r="AL48" s="425"/>
      <c r="AM48" s="425"/>
      <c r="AN48" s="425"/>
      <c r="AO48" s="425"/>
      <c r="AP48" s="425"/>
      <c r="AQ48" s="42"/>
      <c r="AR48" s="43"/>
      <c r="AS48" s="43"/>
      <c r="AT48" s="43"/>
      <c r="AU48" s="43"/>
      <c r="BC48" s="50"/>
      <c r="BD48" s="51"/>
    </row>
    <row r="49" spans="1:61" ht="18" customHeight="1">
      <c r="A49" s="36" t="s">
        <v>189</v>
      </c>
      <c r="B49" s="404">
        <v>0.29166666666666669</v>
      </c>
      <c r="C49" s="404"/>
      <c r="D49" s="404"/>
      <c r="E49" s="404"/>
      <c r="F49" s="288" t="s">
        <v>728</v>
      </c>
      <c r="G49" s="288"/>
      <c r="H49" s="288"/>
      <c r="I49" s="288"/>
      <c r="J49" s="288"/>
      <c r="K49" s="288"/>
      <c r="L49" s="288"/>
      <c r="M49" s="288"/>
      <c r="N49" s="288"/>
      <c r="O49" s="288"/>
      <c r="P49" s="288"/>
      <c r="Q49" s="288"/>
      <c r="R49" s="288"/>
      <c r="S49" s="288"/>
      <c r="T49" s="288"/>
      <c r="U49" s="288"/>
      <c r="V49" s="288"/>
      <c r="W49" s="288"/>
      <c r="X49" s="288"/>
      <c r="Y49" s="288"/>
      <c r="Z49" s="288"/>
      <c r="AA49" s="288"/>
      <c r="AB49" s="288"/>
      <c r="AC49" s="288"/>
      <c r="AD49" s="288"/>
      <c r="AE49" s="288"/>
      <c r="AF49" s="288"/>
      <c r="AG49" s="288"/>
      <c r="AH49" s="288"/>
      <c r="AI49" s="289"/>
      <c r="AK49" s="425" t="s">
        <v>691</v>
      </c>
      <c r="AL49" s="425"/>
      <c r="AM49" s="425"/>
      <c r="AN49" s="425"/>
      <c r="AO49" s="425"/>
      <c r="AP49" s="425"/>
      <c r="AQ49" s="42"/>
      <c r="AR49" s="43"/>
      <c r="AS49" s="43"/>
      <c r="AT49" s="43"/>
      <c r="AU49" s="43"/>
      <c r="BC49" s="50"/>
      <c r="BD49" s="51"/>
    </row>
    <row r="50" spans="1:61" ht="18" customHeight="1">
      <c r="A50" s="36" t="s">
        <v>189</v>
      </c>
      <c r="B50" s="404">
        <v>0.30416666666666664</v>
      </c>
      <c r="C50" s="404"/>
      <c r="D50" s="404"/>
      <c r="E50" s="404"/>
      <c r="F50" s="288" t="s">
        <v>761</v>
      </c>
      <c r="G50" s="288"/>
      <c r="H50" s="288"/>
      <c r="I50" s="288"/>
      <c r="J50" s="288"/>
      <c r="K50" s="288"/>
      <c r="L50" s="288"/>
      <c r="M50" s="288"/>
      <c r="N50" s="288"/>
      <c r="O50" s="288"/>
      <c r="P50" s="288"/>
      <c r="Q50" s="288"/>
      <c r="R50" s="288"/>
      <c r="S50" s="288"/>
      <c r="T50" s="288"/>
      <c r="U50" s="288"/>
      <c r="V50" s="288"/>
      <c r="W50" s="288"/>
      <c r="X50" s="288"/>
      <c r="Y50" s="288"/>
      <c r="Z50" s="288"/>
      <c r="AA50" s="288"/>
      <c r="AB50" s="288"/>
      <c r="AC50" s="288"/>
      <c r="AD50" s="288"/>
      <c r="AE50" s="288"/>
      <c r="AF50" s="288"/>
      <c r="AG50" s="288"/>
      <c r="AH50" s="288"/>
      <c r="AI50" s="289"/>
      <c r="AK50" s="425" t="s">
        <v>692</v>
      </c>
      <c r="AL50" s="425"/>
      <c r="AM50" s="425"/>
      <c r="AN50" s="425"/>
      <c r="AO50" s="425"/>
      <c r="AP50" s="425"/>
      <c r="AQ50" s="42"/>
      <c r="AR50" s="43"/>
      <c r="AS50" s="43"/>
      <c r="AT50" s="43"/>
      <c r="AU50" s="43"/>
      <c r="BC50" s="50"/>
      <c r="BD50" s="51"/>
    </row>
    <row r="51" spans="1:61" ht="18" customHeight="1">
      <c r="A51" s="36"/>
      <c r="B51" s="404"/>
      <c r="C51" s="404"/>
      <c r="D51" s="404"/>
      <c r="E51" s="404"/>
      <c r="F51" s="288"/>
      <c r="G51" s="288"/>
      <c r="H51" s="288"/>
      <c r="I51" s="288"/>
      <c r="J51" s="288"/>
      <c r="K51" s="288"/>
      <c r="L51" s="288"/>
      <c r="M51" s="288"/>
      <c r="N51" s="288"/>
      <c r="O51" s="288"/>
      <c r="P51" s="288"/>
      <c r="Q51" s="288"/>
      <c r="R51" s="288"/>
      <c r="S51" s="288"/>
      <c r="T51" s="288"/>
      <c r="U51" s="288"/>
      <c r="V51" s="288"/>
      <c r="W51" s="288"/>
      <c r="X51" s="288"/>
      <c r="Y51" s="288"/>
      <c r="Z51" s="288"/>
      <c r="AA51" s="288"/>
      <c r="AB51" s="288"/>
      <c r="AC51" s="288"/>
      <c r="AD51" s="288"/>
      <c r="AE51" s="288"/>
      <c r="AF51" s="288"/>
      <c r="AG51" s="288"/>
      <c r="AH51" s="288"/>
      <c r="AI51" s="289"/>
      <c r="AK51" s="425" t="s">
        <v>693</v>
      </c>
      <c r="AL51" s="425"/>
      <c r="AM51" s="425"/>
      <c r="AN51" s="425"/>
      <c r="AO51" s="425"/>
      <c r="AP51" s="425"/>
      <c r="AQ51" s="42"/>
      <c r="AR51" s="43"/>
      <c r="AS51" s="43"/>
      <c r="AT51" s="43"/>
      <c r="AU51" s="43"/>
      <c r="BC51" s="50"/>
      <c r="BD51" s="51"/>
    </row>
    <row r="52" spans="1:61" ht="18" customHeight="1">
      <c r="A52" s="36"/>
      <c r="B52" s="404"/>
      <c r="C52" s="404"/>
      <c r="D52" s="404"/>
      <c r="E52" s="404"/>
      <c r="F52" s="288"/>
      <c r="G52" s="288"/>
      <c r="H52" s="288"/>
      <c r="I52" s="288"/>
      <c r="J52" s="288"/>
      <c r="K52" s="288"/>
      <c r="L52" s="288"/>
      <c r="M52" s="288"/>
      <c r="N52" s="288"/>
      <c r="O52" s="288"/>
      <c r="P52" s="288"/>
      <c r="Q52" s="288"/>
      <c r="R52" s="288"/>
      <c r="S52" s="288"/>
      <c r="T52" s="288"/>
      <c r="U52" s="288"/>
      <c r="V52" s="288"/>
      <c r="W52" s="288"/>
      <c r="X52" s="288"/>
      <c r="Y52" s="288"/>
      <c r="Z52" s="288"/>
      <c r="AA52" s="288"/>
      <c r="AB52" s="288"/>
      <c r="AC52" s="288"/>
      <c r="AD52" s="288"/>
      <c r="AE52" s="288"/>
      <c r="AF52" s="288"/>
      <c r="AG52" s="288"/>
      <c r="AH52" s="288"/>
      <c r="AI52" s="289"/>
      <c r="AK52" s="425" t="s">
        <v>694</v>
      </c>
      <c r="AL52" s="425"/>
      <c r="AM52" s="425"/>
      <c r="AN52" s="425"/>
      <c r="AO52" s="425"/>
      <c r="AP52" s="425"/>
      <c r="AQ52" s="42"/>
      <c r="AR52" s="43"/>
      <c r="AS52" s="43"/>
      <c r="AV52" s="43"/>
      <c r="AW52" s="43"/>
      <c r="AX52" s="43"/>
      <c r="AY52" s="43"/>
      <c r="AZ52" s="43"/>
      <c r="BA52" s="43"/>
      <c r="BH52" s="52"/>
      <c r="BI52" s="51"/>
    </row>
    <row r="53" spans="1:61" ht="18" customHeight="1">
      <c r="A53" s="36"/>
      <c r="B53" s="404"/>
      <c r="C53" s="404"/>
      <c r="D53" s="404"/>
      <c r="E53" s="404"/>
      <c r="F53" s="288"/>
      <c r="G53" s="288"/>
      <c r="H53" s="288"/>
      <c r="I53" s="288"/>
      <c r="J53" s="288"/>
      <c r="K53" s="288"/>
      <c r="L53" s="288"/>
      <c r="M53" s="288"/>
      <c r="N53" s="288"/>
      <c r="O53" s="288"/>
      <c r="P53" s="288"/>
      <c r="Q53" s="288"/>
      <c r="R53" s="288"/>
      <c r="S53" s="288"/>
      <c r="T53" s="288"/>
      <c r="U53" s="288"/>
      <c r="V53" s="288"/>
      <c r="W53" s="288"/>
      <c r="X53" s="288"/>
      <c r="Y53" s="288"/>
      <c r="Z53" s="288"/>
      <c r="AA53" s="288"/>
      <c r="AB53" s="288"/>
      <c r="AC53" s="288"/>
      <c r="AD53" s="288"/>
      <c r="AE53" s="288"/>
      <c r="AF53" s="288"/>
      <c r="AG53" s="288"/>
      <c r="AH53" s="288"/>
      <c r="AI53" s="289"/>
      <c r="AK53" s="425" t="s">
        <v>695</v>
      </c>
      <c r="AL53" s="425"/>
      <c r="AM53" s="425"/>
      <c r="AN53" s="425"/>
      <c r="AO53" s="425"/>
      <c r="AP53" s="425"/>
      <c r="AQ53" s="42"/>
      <c r="AR53" s="43"/>
      <c r="AS53" s="43"/>
      <c r="AT53" s="43"/>
      <c r="AU53" s="43"/>
      <c r="AV53" s="43"/>
      <c r="AW53" s="43"/>
      <c r="AX53" s="43"/>
      <c r="AY53" s="43"/>
      <c r="AZ53" s="43"/>
      <c r="BH53" s="50"/>
      <c r="BI53" s="51"/>
    </row>
    <row r="54" spans="1:61" ht="18" customHeight="1">
      <c r="A54" s="36"/>
      <c r="B54" s="404"/>
      <c r="C54" s="404"/>
      <c r="D54" s="404"/>
      <c r="E54" s="404"/>
      <c r="F54" s="288"/>
      <c r="G54" s="288"/>
      <c r="H54" s="288"/>
      <c r="I54" s="288"/>
      <c r="J54" s="288"/>
      <c r="K54" s="288"/>
      <c r="L54" s="288"/>
      <c r="M54" s="288"/>
      <c r="N54" s="288"/>
      <c r="O54" s="288"/>
      <c r="P54" s="288"/>
      <c r="Q54" s="288"/>
      <c r="R54" s="288"/>
      <c r="S54" s="288"/>
      <c r="T54" s="288"/>
      <c r="U54" s="288"/>
      <c r="V54" s="288"/>
      <c r="W54" s="288"/>
      <c r="X54" s="288"/>
      <c r="Y54" s="288"/>
      <c r="Z54" s="288"/>
      <c r="AA54" s="288"/>
      <c r="AB54" s="288"/>
      <c r="AC54" s="288"/>
      <c r="AD54" s="288"/>
      <c r="AE54" s="288"/>
      <c r="AF54" s="288"/>
      <c r="AG54" s="288"/>
      <c r="AH54" s="288"/>
      <c r="AI54" s="289"/>
      <c r="AK54" s="425" t="s">
        <v>696</v>
      </c>
      <c r="AL54" s="425"/>
      <c r="AM54" s="425"/>
      <c r="AN54" s="425"/>
      <c r="AO54" s="425"/>
      <c r="AP54" s="425"/>
      <c r="AQ54" s="42"/>
      <c r="AR54" s="43"/>
      <c r="AS54" s="43"/>
      <c r="AT54" s="43"/>
      <c r="AU54" s="43"/>
      <c r="AV54" s="43"/>
      <c r="AW54" s="43"/>
      <c r="AX54" s="43"/>
      <c r="AY54" s="43"/>
      <c r="AZ54" s="43"/>
      <c r="BH54" s="50"/>
      <c r="BI54" s="51"/>
    </row>
    <row r="55" spans="1:61" ht="18" customHeight="1">
      <c r="A55" s="36"/>
      <c r="B55" s="404"/>
      <c r="C55" s="404"/>
      <c r="D55" s="404"/>
      <c r="E55" s="404"/>
      <c r="F55" s="288"/>
      <c r="G55" s="288"/>
      <c r="H55" s="288"/>
      <c r="I55" s="288"/>
      <c r="J55" s="288"/>
      <c r="K55" s="288"/>
      <c r="L55" s="288"/>
      <c r="M55" s="288"/>
      <c r="N55" s="288"/>
      <c r="O55" s="288"/>
      <c r="P55" s="288"/>
      <c r="Q55" s="288"/>
      <c r="R55" s="288"/>
      <c r="S55" s="288"/>
      <c r="T55" s="288"/>
      <c r="U55" s="288"/>
      <c r="V55" s="288"/>
      <c r="W55" s="288"/>
      <c r="X55" s="288"/>
      <c r="Y55" s="288"/>
      <c r="Z55" s="288"/>
      <c r="AA55" s="288"/>
      <c r="AB55" s="288"/>
      <c r="AC55" s="288"/>
      <c r="AD55" s="288"/>
      <c r="AE55" s="288"/>
      <c r="AF55" s="288"/>
      <c r="AG55" s="288"/>
      <c r="AH55" s="288"/>
      <c r="AI55" s="289"/>
      <c r="AK55" s="425" t="s">
        <v>697</v>
      </c>
      <c r="AL55" s="425"/>
      <c r="AM55" s="425"/>
      <c r="AN55" s="425"/>
      <c r="AO55" s="425"/>
      <c r="AP55" s="425"/>
      <c r="AQ55" s="42"/>
      <c r="AR55" s="43"/>
      <c r="AS55" s="43"/>
      <c r="AT55" s="43"/>
      <c r="AU55" s="43"/>
      <c r="AV55" s="43"/>
      <c r="AW55" s="43"/>
      <c r="AX55" s="43"/>
      <c r="AY55" s="43"/>
      <c r="AZ55" s="43"/>
      <c r="BH55" s="50"/>
      <c r="BI55" s="51"/>
    </row>
    <row r="56" spans="1:61" ht="18" customHeight="1">
      <c r="A56" s="36"/>
      <c r="B56" s="404"/>
      <c r="C56" s="404"/>
      <c r="D56" s="404"/>
      <c r="E56" s="404"/>
      <c r="F56" s="288"/>
      <c r="G56" s="288"/>
      <c r="H56" s="288"/>
      <c r="I56" s="288"/>
      <c r="J56" s="288"/>
      <c r="K56" s="288"/>
      <c r="L56" s="288"/>
      <c r="M56" s="288"/>
      <c r="N56" s="288"/>
      <c r="O56" s="288"/>
      <c r="P56" s="288"/>
      <c r="Q56" s="288"/>
      <c r="R56" s="288"/>
      <c r="S56" s="288"/>
      <c r="T56" s="288"/>
      <c r="U56" s="288"/>
      <c r="V56" s="288"/>
      <c r="W56" s="288"/>
      <c r="X56" s="288"/>
      <c r="Y56" s="288"/>
      <c r="Z56" s="288"/>
      <c r="AA56" s="288"/>
      <c r="AB56" s="288"/>
      <c r="AC56" s="288"/>
      <c r="AD56" s="288"/>
      <c r="AE56" s="288"/>
      <c r="AF56" s="288"/>
      <c r="AG56" s="288"/>
      <c r="AH56" s="288"/>
      <c r="AI56" s="289"/>
      <c r="AK56" s="425" t="s">
        <v>698</v>
      </c>
      <c r="AL56" s="425"/>
      <c r="AM56" s="425"/>
      <c r="AN56" s="425"/>
      <c r="AO56" s="425"/>
      <c r="AP56" s="425"/>
      <c r="AQ56" s="42"/>
      <c r="AR56" s="43"/>
      <c r="AS56" s="43"/>
      <c r="AT56" s="43"/>
      <c r="AU56" s="43"/>
      <c r="AV56" s="43"/>
      <c r="AW56" s="43"/>
      <c r="AX56" s="43"/>
      <c r="AY56" s="43"/>
      <c r="AZ56" s="43"/>
      <c r="BH56" s="52"/>
      <c r="BI56" s="51"/>
    </row>
    <row r="57" spans="1:61" ht="18" customHeight="1">
      <c r="A57" s="36"/>
      <c r="B57" s="404"/>
      <c r="C57" s="404"/>
      <c r="D57" s="404"/>
      <c r="E57" s="404"/>
      <c r="F57" s="288"/>
      <c r="G57" s="288"/>
      <c r="H57" s="288"/>
      <c r="I57" s="288"/>
      <c r="J57" s="288"/>
      <c r="K57" s="288"/>
      <c r="L57" s="288"/>
      <c r="M57" s="288"/>
      <c r="N57" s="288"/>
      <c r="O57" s="288"/>
      <c r="P57" s="288"/>
      <c r="Q57" s="288"/>
      <c r="R57" s="288"/>
      <c r="S57" s="288"/>
      <c r="T57" s="288"/>
      <c r="U57" s="288"/>
      <c r="V57" s="288"/>
      <c r="W57" s="288"/>
      <c r="X57" s="288"/>
      <c r="Y57" s="288"/>
      <c r="Z57" s="288"/>
      <c r="AA57" s="288"/>
      <c r="AB57" s="288"/>
      <c r="AC57" s="288"/>
      <c r="AD57" s="288"/>
      <c r="AE57" s="288"/>
      <c r="AF57" s="288"/>
      <c r="AG57" s="288"/>
      <c r="AH57" s="288"/>
      <c r="AI57" s="289"/>
      <c r="AK57" s="425" t="s">
        <v>699</v>
      </c>
      <c r="AL57" s="425"/>
      <c r="AM57" s="425"/>
      <c r="AN57" s="425"/>
      <c r="AO57" s="425"/>
      <c r="AP57" s="425"/>
      <c r="AQ57" s="42"/>
      <c r="AR57" s="43"/>
      <c r="AS57" s="43"/>
      <c r="AT57" s="43"/>
      <c r="AU57" s="43"/>
      <c r="AV57" s="43"/>
      <c r="AW57" s="43"/>
      <c r="AX57" s="43"/>
      <c r="AY57" s="43"/>
      <c r="AZ57" s="43"/>
      <c r="BH57" s="50"/>
      <c r="BI57" s="51"/>
    </row>
    <row r="58" spans="1:61" ht="18" customHeight="1">
      <c r="A58" s="36"/>
      <c r="B58" s="404"/>
      <c r="C58" s="404"/>
      <c r="D58" s="404"/>
      <c r="E58" s="404"/>
      <c r="F58" s="288"/>
      <c r="G58" s="288"/>
      <c r="H58" s="288"/>
      <c r="I58" s="288"/>
      <c r="J58" s="288"/>
      <c r="K58" s="288"/>
      <c r="L58" s="288"/>
      <c r="M58" s="288"/>
      <c r="N58" s="288"/>
      <c r="O58" s="288"/>
      <c r="P58" s="288"/>
      <c r="Q58" s="288"/>
      <c r="R58" s="288"/>
      <c r="S58" s="288"/>
      <c r="T58" s="288"/>
      <c r="U58" s="288"/>
      <c r="V58" s="288"/>
      <c r="W58" s="288"/>
      <c r="X58" s="288"/>
      <c r="Y58" s="288"/>
      <c r="Z58" s="288"/>
      <c r="AA58" s="288"/>
      <c r="AB58" s="288"/>
      <c r="AC58" s="288"/>
      <c r="AD58" s="288"/>
      <c r="AE58" s="288"/>
      <c r="AF58" s="288"/>
      <c r="AG58" s="288"/>
      <c r="AH58" s="288"/>
      <c r="AI58" s="289"/>
      <c r="AK58" s="425" t="s">
        <v>700</v>
      </c>
      <c r="AL58" s="425"/>
      <c r="AM58" s="425"/>
      <c r="AN58" s="425"/>
      <c r="AO58" s="425"/>
      <c r="AP58" s="425"/>
      <c r="AQ58" s="42"/>
      <c r="AR58" s="43"/>
      <c r="AS58" s="43"/>
      <c r="AT58" s="43"/>
      <c r="AU58" s="43"/>
      <c r="AV58" s="43"/>
      <c r="AW58" s="43"/>
      <c r="AX58" s="43"/>
      <c r="AY58" s="43"/>
      <c r="AZ58" s="43"/>
      <c r="BH58" s="50"/>
      <c r="BI58" s="51"/>
    </row>
    <row r="59" spans="1:61" ht="18" customHeight="1">
      <c r="A59" s="36"/>
      <c r="B59" s="404"/>
      <c r="C59" s="404"/>
      <c r="D59" s="404"/>
      <c r="E59" s="404"/>
      <c r="F59" s="288"/>
      <c r="G59" s="288"/>
      <c r="H59" s="288"/>
      <c r="I59" s="288"/>
      <c r="J59" s="288"/>
      <c r="K59" s="288"/>
      <c r="L59" s="288"/>
      <c r="M59" s="288"/>
      <c r="N59" s="288"/>
      <c r="O59" s="288"/>
      <c r="P59" s="288"/>
      <c r="Q59" s="288"/>
      <c r="R59" s="288"/>
      <c r="S59" s="288"/>
      <c r="T59" s="288"/>
      <c r="U59" s="288"/>
      <c r="V59" s="288"/>
      <c r="W59" s="288"/>
      <c r="X59" s="288"/>
      <c r="Y59" s="288"/>
      <c r="Z59" s="288"/>
      <c r="AA59" s="288"/>
      <c r="AB59" s="288"/>
      <c r="AC59" s="288"/>
      <c r="AD59" s="288"/>
      <c r="AE59" s="288"/>
      <c r="AF59" s="288"/>
      <c r="AG59" s="288"/>
      <c r="AH59" s="288"/>
      <c r="AI59" s="289"/>
      <c r="AK59" s="425" t="s">
        <v>701</v>
      </c>
      <c r="AL59" s="425"/>
      <c r="AM59" s="425"/>
      <c r="AN59" s="425"/>
      <c r="AO59" s="425"/>
      <c r="AP59" s="425"/>
      <c r="AQ59" s="42"/>
      <c r="AR59" s="43"/>
      <c r="AS59" s="43"/>
      <c r="AT59" s="43"/>
      <c r="AU59" s="43"/>
      <c r="AV59" s="43"/>
      <c r="AW59" s="43"/>
      <c r="AX59" s="43"/>
      <c r="AY59" s="43"/>
      <c r="AZ59" s="43"/>
      <c r="BH59" s="50"/>
      <c r="BI59" s="51"/>
    </row>
    <row r="60" spans="1:61" ht="18" customHeight="1">
      <c r="A60" s="36"/>
      <c r="B60" s="404"/>
      <c r="C60" s="404"/>
      <c r="D60" s="404"/>
      <c r="E60" s="404"/>
      <c r="F60" s="288"/>
      <c r="G60" s="288"/>
      <c r="H60" s="288"/>
      <c r="I60" s="288"/>
      <c r="J60" s="288"/>
      <c r="K60" s="288"/>
      <c r="L60" s="288"/>
      <c r="M60" s="288"/>
      <c r="N60" s="288"/>
      <c r="O60" s="288"/>
      <c r="P60" s="288"/>
      <c r="Q60" s="288"/>
      <c r="R60" s="288"/>
      <c r="S60" s="288"/>
      <c r="T60" s="288"/>
      <c r="U60" s="288"/>
      <c r="V60" s="288"/>
      <c r="W60" s="288"/>
      <c r="X60" s="288"/>
      <c r="Y60" s="288"/>
      <c r="Z60" s="288"/>
      <c r="AA60" s="288"/>
      <c r="AB60" s="288"/>
      <c r="AC60" s="288"/>
      <c r="AD60" s="288"/>
      <c r="AE60" s="288"/>
      <c r="AF60" s="288"/>
      <c r="AG60" s="288"/>
      <c r="AH60" s="288"/>
      <c r="AI60" s="289"/>
      <c r="AK60" s="425" t="s">
        <v>702</v>
      </c>
      <c r="AL60" s="425"/>
      <c r="AM60" s="425"/>
      <c r="AN60" s="425"/>
      <c r="AO60" s="425"/>
      <c r="AP60" s="425"/>
      <c r="AQ60" s="42"/>
      <c r="AR60" s="43"/>
      <c r="AS60" s="43"/>
      <c r="AT60" s="43"/>
      <c r="AU60" s="43"/>
      <c r="AV60" s="43"/>
      <c r="AW60" s="43"/>
      <c r="AX60" s="43"/>
      <c r="AY60" s="43"/>
      <c r="AZ60" s="43"/>
      <c r="BH60" s="52"/>
      <c r="BI60" s="51"/>
    </row>
    <row r="61" spans="1:61" ht="18" customHeight="1">
      <c r="A61" s="36"/>
      <c r="B61" s="404"/>
      <c r="C61" s="404"/>
      <c r="D61" s="404"/>
      <c r="E61" s="404"/>
      <c r="F61" s="288"/>
      <c r="G61" s="288"/>
      <c r="H61" s="288"/>
      <c r="I61" s="288"/>
      <c r="J61" s="288"/>
      <c r="K61" s="288"/>
      <c r="L61" s="288"/>
      <c r="M61" s="288"/>
      <c r="N61" s="288"/>
      <c r="O61" s="288"/>
      <c r="P61" s="288"/>
      <c r="Q61" s="288"/>
      <c r="R61" s="288"/>
      <c r="S61" s="288"/>
      <c r="T61" s="288"/>
      <c r="U61" s="288"/>
      <c r="V61" s="288"/>
      <c r="W61" s="288"/>
      <c r="X61" s="288"/>
      <c r="Y61" s="288"/>
      <c r="Z61" s="288"/>
      <c r="AA61" s="288"/>
      <c r="AB61" s="288"/>
      <c r="AC61" s="288"/>
      <c r="AD61" s="288"/>
      <c r="AE61" s="288"/>
      <c r="AF61" s="288"/>
      <c r="AG61" s="288"/>
      <c r="AH61" s="288"/>
      <c r="AI61" s="289"/>
      <c r="AK61" s="425" t="s">
        <v>703</v>
      </c>
      <c r="AL61" s="425"/>
      <c r="AM61" s="425"/>
      <c r="AN61" s="425"/>
      <c r="AO61" s="425"/>
      <c r="AP61" s="425"/>
      <c r="AQ61" s="42"/>
      <c r="AR61" s="43"/>
      <c r="AS61" s="43"/>
      <c r="AT61" s="43"/>
      <c r="AU61" s="43"/>
      <c r="AV61" s="43"/>
      <c r="AW61" s="43"/>
      <c r="AX61" s="43"/>
      <c r="AY61" s="43"/>
      <c r="AZ61" s="43"/>
      <c r="BH61" s="50"/>
      <c r="BI61" s="51"/>
    </row>
    <row r="62" spans="1:61" ht="18" customHeight="1">
      <c r="A62" s="36"/>
      <c r="B62" s="404"/>
      <c r="C62" s="404"/>
      <c r="D62" s="404"/>
      <c r="E62" s="404"/>
      <c r="F62" s="288"/>
      <c r="G62" s="288"/>
      <c r="H62" s="288"/>
      <c r="I62" s="288"/>
      <c r="J62" s="288"/>
      <c r="K62" s="288"/>
      <c r="L62" s="288"/>
      <c r="M62" s="288"/>
      <c r="N62" s="288"/>
      <c r="O62" s="288"/>
      <c r="P62" s="288"/>
      <c r="Q62" s="288"/>
      <c r="R62" s="288"/>
      <c r="S62" s="288"/>
      <c r="T62" s="288"/>
      <c r="U62" s="288"/>
      <c r="V62" s="288"/>
      <c r="W62" s="288"/>
      <c r="X62" s="288"/>
      <c r="Y62" s="288"/>
      <c r="Z62" s="288"/>
      <c r="AA62" s="288"/>
      <c r="AB62" s="288"/>
      <c r="AC62" s="288"/>
      <c r="AD62" s="288"/>
      <c r="AE62" s="288"/>
      <c r="AF62" s="288"/>
      <c r="AG62" s="288"/>
      <c r="AH62" s="288"/>
      <c r="AI62" s="289"/>
      <c r="AK62" s="425"/>
      <c r="AL62" s="425"/>
      <c r="AM62" s="425"/>
      <c r="AN62" s="425"/>
      <c r="AO62" s="425"/>
      <c r="AP62" s="425"/>
      <c r="AQ62" s="42"/>
      <c r="AR62" s="43"/>
      <c r="AS62" s="43"/>
      <c r="AT62" s="43"/>
      <c r="AU62" s="43"/>
      <c r="AV62" s="43"/>
      <c r="AW62" s="43"/>
      <c r="AX62" s="43"/>
      <c r="AY62" s="43"/>
      <c r="AZ62" s="43"/>
      <c r="BH62" s="50"/>
      <c r="BI62" s="51"/>
    </row>
    <row r="63" spans="1:61" ht="18" customHeight="1">
      <c r="A63" s="36"/>
      <c r="B63" s="404"/>
      <c r="C63" s="404"/>
      <c r="D63" s="404"/>
      <c r="E63" s="404"/>
      <c r="F63" s="288"/>
      <c r="G63" s="288"/>
      <c r="H63" s="288"/>
      <c r="I63" s="288"/>
      <c r="J63" s="288"/>
      <c r="K63" s="288"/>
      <c r="L63" s="288"/>
      <c r="M63" s="288"/>
      <c r="N63" s="288"/>
      <c r="O63" s="288"/>
      <c r="P63" s="288"/>
      <c r="Q63" s="288"/>
      <c r="R63" s="288"/>
      <c r="S63" s="288"/>
      <c r="T63" s="288"/>
      <c r="U63" s="288"/>
      <c r="V63" s="288"/>
      <c r="W63" s="288"/>
      <c r="X63" s="288"/>
      <c r="Y63" s="288"/>
      <c r="Z63" s="288"/>
      <c r="AA63" s="288"/>
      <c r="AB63" s="288"/>
      <c r="AC63" s="288"/>
      <c r="AD63" s="288"/>
      <c r="AE63" s="288"/>
      <c r="AF63" s="288"/>
      <c r="AG63" s="288"/>
      <c r="AH63" s="288"/>
      <c r="AI63" s="289"/>
      <c r="AK63" s="425"/>
      <c r="AL63" s="425"/>
      <c r="AM63" s="425"/>
      <c r="AN63" s="425"/>
      <c r="AO63" s="425"/>
      <c r="AP63" s="425"/>
      <c r="AQ63" s="42"/>
      <c r="AR63" s="43"/>
      <c r="AS63" s="43"/>
      <c r="AT63" s="43"/>
      <c r="AU63" s="43"/>
      <c r="AV63" s="43"/>
      <c r="AW63" s="43"/>
      <c r="AX63" s="43"/>
      <c r="AY63" s="43"/>
      <c r="AZ63" s="43"/>
      <c r="BH63" s="52"/>
      <c r="BI63" s="51"/>
    </row>
    <row r="64" spans="1:61" ht="18" customHeight="1">
      <c r="A64" s="36"/>
      <c r="B64" s="404"/>
      <c r="C64" s="404"/>
      <c r="D64" s="404"/>
      <c r="E64" s="404"/>
      <c r="F64" s="288"/>
      <c r="G64" s="288"/>
      <c r="H64" s="288"/>
      <c r="I64" s="288"/>
      <c r="J64" s="288"/>
      <c r="K64" s="288"/>
      <c r="L64" s="288"/>
      <c r="M64" s="288"/>
      <c r="N64" s="288"/>
      <c r="O64" s="288"/>
      <c r="P64" s="288"/>
      <c r="Q64" s="288"/>
      <c r="R64" s="288"/>
      <c r="S64" s="288"/>
      <c r="T64" s="288"/>
      <c r="U64" s="288"/>
      <c r="V64" s="288"/>
      <c r="W64" s="288"/>
      <c r="X64" s="288"/>
      <c r="Y64" s="288"/>
      <c r="Z64" s="288"/>
      <c r="AA64" s="288"/>
      <c r="AB64" s="288"/>
      <c r="AC64" s="288"/>
      <c r="AD64" s="288"/>
      <c r="AE64" s="288"/>
      <c r="AF64" s="288"/>
      <c r="AG64" s="288"/>
      <c r="AH64" s="288"/>
      <c r="AI64" s="289"/>
      <c r="AK64" s="425"/>
      <c r="AL64" s="425"/>
      <c r="AM64" s="425"/>
      <c r="AN64" s="425"/>
      <c r="AO64" s="425"/>
      <c r="AP64" s="425"/>
      <c r="AQ64" s="42"/>
      <c r="AR64" s="43"/>
      <c r="AS64" s="43"/>
      <c r="AT64" s="43"/>
      <c r="AU64" s="43"/>
      <c r="AV64" s="43"/>
      <c r="AW64" s="43"/>
      <c r="AX64" s="43"/>
      <c r="AY64" s="43"/>
      <c r="AZ64" s="43"/>
      <c r="BH64" s="52"/>
      <c r="BI64" s="51"/>
    </row>
    <row r="65" spans="1:61" ht="18" customHeight="1">
      <c r="A65" s="36"/>
      <c r="B65" s="404"/>
      <c r="C65" s="404"/>
      <c r="D65" s="404"/>
      <c r="E65" s="404"/>
      <c r="F65" s="288"/>
      <c r="G65" s="288"/>
      <c r="H65" s="288"/>
      <c r="I65" s="288"/>
      <c r="J65" s="288"/>
      <c r="K65" s="288"/>
      <c r="L65" s="288"/>
      <c r="M65" s="288"/>
      <c r="N65" s="288"/>
      <c r="O65" s="288"/>
      <c r="P65" s="288"/>
      <c r="Q65" s="288"/>
      <c r="R65" s="288"/>
      <c r="S65" s="288"/>
      <c r="T65" s="288"/>
      <c r="U65" s="288"/>
      <c r="V65" s="288"/>
      <c r="W65" s="288"/>
      <c r="X65" s="288"/>
      <c r="Y65" s="288"/>
      <c r="Z65" s="288"/>
      <c r="AA65" s="288"/>
      <c r="AB65" s="288"/>
      <c r="AC65" s="288"/>
      <c r="AD65" s="288"/>
      <c r="AE65" s="288"/>
      <c r="AF65" s="288"/>
      <c r="AG65" s="288"/>
      <c r="AH65" s="288"/>
      <c r="AI65" s="289"/>
      <c r="AK65" s="425"/>
      <c r="AL65" s="425"/>
      <c r="AM65" s="425"/>
      <c r="AN65" s="425"/>
      <c r="AO65" s="425"/>
      <c r="AP65" s="425"/>
      <c r="AQ65" s="42"/>
      <c r="AR65" s="43"/>
      <c r="AS65" s="43"/>
      <c r="AT65" s="43"/>
      <c r="AU65" s="43"/>
      <c r="AV65" s="43"/>
      <c r="AW65" s="43"/>
      <c r="AX65" s="43"/>
      <c r="AY65" s="43"/>
      <c r="AZ65" s="43"/>
      <c r="BH65" s="50"/>
      <c r="BI65" s="51"/>
    </row>
    <row r="66" spans="1:61" ht="18" customHeight="1">
      <c r="A66" s="36"/>
      <c r="B66" s="404"/>
      <c r="C66" s="404"/>
      <c r="D66" s="404"/>
      <c r="E66" s="404"/>
      <c r="F66" s="288"/>
      <c r="G66" s="288"/>
      <c r="H66" s="288"/>
      <c r="I66" s="288"/>
      <c r="J66" s="288"/>
      <c r="K66" s="288"/>
      <c r="L66" s="288"/>
      <c r="M66" s="288"/>
      <c r="N66" s="288"/>
      <c r="O66" s="288"/>
      <c r="P66" s="288"/>
      <c r="Q66" s="288"/>
      <c r="R66" s="288"/>
      <c r="S66" s="288"/>
      <c r="T66" s="288"/>
      <c r="U66" s="288"/>
      <c r="V66" s="288"/>
      <c r="W66" s="288"/>
      <c r="X66" s="288"/>
      <c r="Y66" s="288"/>
      <c r="Z66" s="288"/>
      <c r="AA66" s="288"/>
      <c r="AB66" s="288"/>
      <c r="AC66" s="288"/>
      <c r="AD66" s="288"/>
      <c r="AE66" s="288"/>
      <c r="AF66" s="288"/>
      <c r="AG66" s="288"/>
      <c r="AH66" s="288"/>
      <c r="AI66" s="289"/>
      <c r="AK66" s="425"/>
      <c r="AL66" s="425"/>
      <c r="AM66" s="425"/>
      <c r="AN66" s="425"/>
      <c r="AO66" s="425"/>
      <c r="AP66" s="425"/>
      <c r="AQ66" s="42"/>
      <c r="AR66" s="43"/>
      <c r="AS66" s="43"/>
      <c r="AT66" s="43"/>
      <c r="AU66" s="43"/>
      <c r="AV66" s="43"/>
      <c r="AW66" s="43"/>
      <c r="AX66" s="43"/>
      <c r="AY66" s="43"/>
      <c r="AZ66" s="43"/>
      <c r="BH66" s="50"/>
      <c r="BI66" s="51"/>
    </row>
    <row r="67" spans="1:61" ht="18" customHeight="1">
      <c r="A67" s="36"/>
      <c r="B67" s="404"/>
      <c r="C67" s="404"/>
      <c r="D67" s="404"/>
      <c r="E67" s="404"/>
      <c r="F67" s="288"/>
      <c r="G67" s="288"/>
      <c r="H67" s="288"/>
      <c r="I67" s="288"/>
      <c r="J67" s="288"/>
      <c r="K67" s="288"/>
      <c r="L67" s="288"/>
      <c r="M67" s="288"/>
      <c r="N67" s="288"/>
      <c r="O67" s="288"/>
      <c r="P67" s="288"/>
      <c r="Q67" s="288"/>
      <c r="R67" s="288"/>
      <c r="S67" s="288"/>
      <c r="T67" s="288"/>
      <c r="U67" s="288"/>
      <c r="V67" s="288"/>
      <c r="W67" s="288"/>
      <c r="X67" s="288"/>
      <c r="Y67" s="288"/>
      <c r="Z67" s="288"/>
      <c r="AA67" s="288"/>
      <c r="AB67" s="288"/>
      <c r="AC67" s="288"/>
      <c r="AD67" s="288"/>
      <c r="AE67" s="288"/>
      <c r="AF67" s="288"/>
      <c r="AG67" s="288"/>
      <c r="AH67" s="288"/>
      <c r="AI67" s="289"/>
      <c r="AK67" s="425"/>
      <c r="AL67" s="425"/>
      <c r="AM67" s="425"/>
      <c r="AN67" s="425"/>
      <c r="AO67" s="425"/>
      <c r="AP67" s="425"/>
      <c r="AQ67" s="67"/>
      <c r="AR67" s="43"/>
      <c r="AS67" s="43"/>
      <c r="AT67" s="43"/>
      <c r="AU67" s="43"/>
      <c r="AV67" s="43"/>
      <c r="AW67" s="43"/>
      <c r="AX67" s="43"/>
      <c r="AY67" s="43"/>
      <c r="AZ67" s="43"/>
      <c r="BH67" s="50"/>
      <c r="BI67" s="51"/>
    </row>
    <row r="68" spans="1:61" ht="18" customHeight="1">
      <c r="A68" s="36"/>
      <c r="B68" s="404"/>
      <c r="C68" s="404"/>
      <c r="D68" s="404"/>
      <c r="E68" s="404"/>
      <c r="F68" s="288"/>
      <c r="G68" s="288"/>
      <c r="H68" s="288"/>
      <c r="I68" s="288"/>
      <c r="J68" s="288"/>
      <c r="K68" s="288"/>
      <c r="L68" s="288"/>
      <c r="M68" s="288"/>
      <c r="N68" s="288"/>
      <c r="O68" s="288"/>
      <c r="P68" s="288"/>
      <c r="Q68" s="288"/>
      <c r="R68" s="288"/>
      <c r="S68" s="288"/>
      <c r="T68" s="288"/>
      <c r="U68" s="288"/>
      <c r="V68" s="288"/>
      <c r="W68" s="288"/>
      <c r="X68" s="288"/>
      <c r="Y68" s="288"/>
      <c r="Z68" s="288"/>
      <c r="AA68" s="288"/>
      <c r="AB68" s="288"/>
      <c r="AC68" s="288"/>
      <c r="AD68" s="288"/>
      <c r="AE68" s="288"/>
      <c r="AF68" s="288"/>
      <c r="AG68" s="288"/>
      <c r="AH68" s="288"/>
      <c r="AI68" s="289"/>
      <c r="AK68" s="425"/>
      <c r="AL68" s="425"/>
      <c r="AM68" s="425"/>
      <c r="AN68" s="425"/>
      <c r="AO68" s="425"/>
      <c r="AP68" s="425"/>
      <c r="AQ68" s="67"/>
      <c r="AR68" s="43"/>
      <c r="AS68" s="43"/>
      <c r="AT68" s="43"/>
      <c r="AU68" s="43"/>
      <c r="AV68" s="43"/>
      <c r="AW68" s="43"/>
      <c r="AX68" s="43"/>
      <c r="AY68" s="43"/>
      <c r="AZ68" s="43"/>
      <c r="BH68" s="50"/>
      <c r="BI68" s="51"/>
    </row>
    <row r="69" spans="1:61" ht="18" customHeight="1">
      <c r="A69" s="36"/>
      <c r="B69" s="404"/>
      <c r="C69" s="404"/>
      <c r="D69" s="404"/>
      <c r="E69" s="404"/>
      <c r="F69" s="288"/>
      <c r="G69" s="288"/>
      <c r="H69" s="288"/>
      <c r="I69" s="288"/>
      <c r="J69" s="288"/>
      <c r="K69" s="288"/>
      <c r="L69" s="288"/>
      <c r="M69" s="288"/>
      <c r="N69" s="288"/>
      <c r="O69" s="288"/>
      <c r="P69" s="288"/>
      <c r="Q69" s="288"/>
      <c r="R69" s="288"/>
      <c r="S69" s="288"/>
      <c r="T69" s="288"/>
      <c r="U69" s="288"/>
      <c r="V69" s="288"/>
      <c r="W69" s="288"/>
      <c r="X69" s="288"/>
      <c r="Y69" s="288"/>
      <c r="Z69" s="288"/>
      <c r="AA69" s="288"/>
      <c r="AB69" s="288"/>
      <c r="AC69" s="288"/>
      <c r="AD69" s="288"/>
      <c r="AE69" s="288"/>
      <c r="AF69" s="288"/>
      <c r="AG69" s="288"/>
      <c r="AH69" s="288"/>
      <c r="AI69" s="289"/>
      <c r="AK69" s="425"/>
      <c r="AL69" s="425"/>
      <c r="AM69" s="425"/>
      <c r="AN69" s="425"/>
      <c r="AO69" s="425"/>
      <c r="AP69" s="425"/>
      <c r="AQ69" s="42"/>
      <c r="AR69" s="43"/>
      <c r="AS69" s="43"/>
      <c r="AT69" s="43"/>
      <c r="AU69" s="43"/>
      <c r="AV69" s="43"/>
      <c r="AW69" s="43"/>
      <c r="AX69" s="43"/>
      <c r="AY69" s="43"/>
      <c r="AZ69" s="43"/>
      <c r="BH69" s="50"/>
      <c r="BI69" s="51"/>
    </row>
    <row r="70" spans="1:61" ht="18" customHeight="1">
      <c r="A70" s="36"/>
      <c r="B70" s="404"/>
      <c r="C70" s="404"/>
      <c r="D70" s="404"/>
      <c r="E70" s="404"/>
      <c r="F70" s="288"/>
      <c r="G70" s="288"/>
      <c r="H70" s="288"/>
      <c r="I70" s="288"/>
      <c r="J70" s="288"/>
      <c r="K70" s="288"/>
      <c r="L70" s="288"/>
      <c r="M70" s="288"/>
      <c r="N70" s="288"/>
      <c r="O70" s="288"/>
      <c r="P70" s="288"/>
      <c r="Q70" s="288"/>
      <c r="R70" s="288"/>
      <c r="S70" s="288"/>
      <c r="T70" s="288"/>
      <c r="U70" s="288"/>
      <c r="V70" s="288"/>
      <c r="W70" s="288"/>
      <c r="X70" s="288"/>
      <c r="Y70" s="288"/>
      <c r="Z70" s="288"/>
      <c r="AA70" s="288"/>
      <c r="AB70" s="288"/>
      <c r="AC70" s="288"/>
      <c r="AD70" s="288"/>
      <c r="AE70" s="288"/>
      <c r="AF70" s="288"/>
      <c r="AG70" s="288"/>
      <c r="AH70" s="288"/>
      <c r="AI70" s="289"/>
      <c r="AK70" s="425"/>
      <c r="AL70" s="425"/>
      <c r="AM70" s="425"/>
      <c r="AN70" s="425"/>
      <c r="AO70" s="425"/>
      <c r="AP70" s="425"/>
      <c r="AQ70" s="42"/>
      <c r="AR70" s="43"/>
      <c r="AS70" s="43"/>
      <c r="AT70" s="43"/>
      <c r="AU70" s="43"/>
      <c r="AV70" s="43"/>
      <c r="AW70" s="43"/>
      <c r="AX70" s="43"/>
      <c r="AY70" s="43"/>
      <c r="AZ70" s="43"/>
      <c r="BH70" s="50"/>
      <c r="BI70" s="51"/>
    </row>
    <row r="71" spans="1:61" ht="18" customHeight="1">
      <c r="A71" s="36"/>
      <c r="B71" s="404"/>
      <c r="C71" s="404"/>
      <c r="D71" s="404"/>
      <c r="E71" s="404"/>
      <c r="F71" s="288"/>
      <c r="G71" s="288"/>
      <c r="H71" s="288"/>
      <c r="I71" s="288"/>
      <c r="J71" s="288"/>
      <c r="K71" s="288"/>
      <c r="L71" s="288"/>
      <c r="M71" s="288"/>
      <c r="N71" s="288"/>
      <c r="O71" s="288"/>
      <c r="P71" s="288"/>
      <c r="Q71" s="288"/>
      <c r="R71" s="288"/>
      <c r="S71" s="288"/>
      <c r="T71" s="288"/>
      <c r="U71" s="288"/>
      <c r="V71" s="288"/>
      <c r="W71" s="288"/>
      <c r="X71" s="288"/>
      <c r="Y71" s="288"/>
      <c r="Z71" s="288"/>
      <c r="AA71" s="288"/>
      <c r="AB71" s="288"/>
      <c r="AC71" s="288"/>
      <c r="AD71" s="288"/>
      <c r="AE71" s="288"/>
      <c r="AF71" s="288"/>
      <c r="AG71" s="288"/>
      <c r="AH71" s="288"/>
      <c r="AI71" s="289"/>
      <c r="AK71" s="425"/>
      <c r="AL71" s="425"/>
      <c r="AM71" s="425"/>
      <c r="AN71" s="425"/>
      <c r="AO71" s="425"/>
      <c r="AP71" s="425"/>
      <c r="AQ71" s="42"/>
      <c r="AR71" s="43"/>
      <c r="AS71" s="43"/>
      <c r="AT71" s="43"/>
      <c r="AU71" s="43"/>
      <c r="AV71" s="43"/>
      <c r="AW71" s="43"/>
      <c r="AX71" s="43"/>
      <c r="AY71" s="43"/>
      <c r="AZ71" s="43"/>
      <c r="BH71" s="52"/>
      <c r="BI71" s="51"/>
    </row>
    <row r="72" spans="1:61" ht="18" customHeight="1">
      <c r="A72" s="36"/>
      <c r="B72" s="404"/>
      <c r="C72" s="404"/>
      <c r="D72" s="404"/>
      <c r="E72" s="404"/>
      <c r="F72" s="288"/>
      <c r="G72" s="288"/>
      <c r="H72" s="288"/>
      <c r="I72" s="288"/>
      <c r="J72" s="288"/>
      <c r="K72" s="288"/>
      <c r="L72" s="288"/>
      <c r="M72" s="288"/>
      <c r="N72" s="288"/>
      <c r="O72" s="288"/>
      <c r="P72" s="288"/>
      <c r="Q72" s="288"/>
      <c r="R72" s="288"/>
      <c r="S72" s="288"/>
      <c r="T72" s="288"/>
      <c r="U72" s="288"/>
      <c r="V72" s="288"/>
      <c r="W72" s="288"/>
      <c r="X72" s="288"/>
      <c r="Y72" s="288"/>
      <c r="Z72" s="288"/>
      <c r="AA72" s="288"/>
      <c r="AB72" s="288"/>
      <c r="AC72" s="288"/>
      <c r="AD72" s="288"/>
      <c r="AE72" s="288"/>
      <c r="AF72" s="288"/>
      <c r="AG72" s="288"/>
      <c r="AH72" s="288"/>
      <c r="AI72" s="289"/>
      <c r="AK72" s="425"/>
      <c r="AL72" s="425"/>
      <c r="AM72" s="425"/>
      <c r="AN72" s="425"/>
      <c r="AO72" s="425"/>
      <c r="AP72" s="425"/>
      <c r="AQ72" s="42"/>
      <c r="AR72" s="43"/>
      <c r="AS72" s="43"/>
      <c r="AT72" s="43"/>
      <c r="AU72" s="43"/>
      <c r="AV72" s="43"/>
      <c r="AW72" s="43"/>
      <c r="AX72" s="43"/>
      <c r="AY72" s="43"/>
      <c r="AZ72" s="43"/>
      <c r="BH72" s="53"/>
      <c r="BI72" s="51"/>
    </row>
    <row r="73" spans="1:61" ht="18" customHeight="1">
      <c r="A73" s="36"/>
      <c r="B73" s="404"/>
      <c r="C73" s="404"/>
      <c r="D73" s="404"/>
      <c r="E73" s="404"/>
      <c r="F73" s="288"/>
      <c r="G73" s="288"/>
      <c r="H73" s="288"/>
      <c r="I73" s="288"/>
      <c r="J73" s="288"/>
      <c r="K73" s="288"/>
      <c r="L73" s="288"/>
      <c r="M73" s="288"/>
      <c r="N73" s="288"/>
      <c r="O73" s="288"/>
      <c r="P73" s="288"/>
      <c r="Q73" s="288"/>
      <c r="R73" s="288"/>
      <c r="S73" s="288"/>
      <c r="T73" s="288"/>
      <c r="U73" s="288"/>
      <c r="V73" s="288"/>
      <c r="W73" s="288"/>
      <c r="X73" s="288"/>
      <c r="Y73" s="288"/>
      <c r="Z73" s="288"/>
      <c r="AA73" s="288"/>
      <c r="AB73" s="288"/>
      <c r="AC73" s="288"/>
      <c r="AD73" s="288"/>
      <c r="AE73" s="288"/>
      <c r="AF73" s="288"/>
      <c r="AG73" s="288"/>
      <c r="AH73" s="288"/>
      <c r="AI73" s="289"/>
      <c r="AK73" s="425"/>
      <c r="AL73" s="425"/>
      <c r="AM73" s="425"/>
      <c r="AN73" s="425"/>
      <c r="AO73" s="425"/>
      <c r="AP73" s="425"/>
      <c r="AQ73" s="42"/>
      <c r="AR73" s="43"/>
      <c r="AS73" s="43"/>
      <c r="AT73" s="43"/>
      <c r="AU73" s="43"/>
      <c r="AV73" s="43"/>
      <c r="AW73" s="43"/>
      <c r="AX73" s="43"/>
      <c r="AY73" s="43"/>
      <c r="AZ73" s="43"/>
      <c r="BH73" s="54"/>
      <c r="BI73" s="51"/>
    </row>
    <row r="74" spans="1:61" ht="18" customHeight="1">
      <c r="A74" s="36"/>
      <c r="B74" s="404"/>
      <c r="C74" s="404"/>
      <c r="D74" s="404"/>
      <c r="E74" s="404"/>
      <c r="F74" s="288"/>
      <c r="G74" s="288"/>
      <c r="H74" s="288"/>
      <c r="I74" s="288"/>
      <c r="J74" s="288"/>
      <c r="K74" s="288"/>
      <c r="L74" s="288"/>
      <c r="M74" s="288"/>
      <c r="N74" s="288"/>
      <c r="O74" s="288"/>
      <c r="P74" s="288"/>
      <c r="Q74" s="288"/>
      <c r="R74" s="288"/>
      <c r="S74" s="288"/>
      <c r="T74" s="288"/>
      <c r="U74" s="288"/>
      <c r="V74" s="288"/>
      <c r="W74" s="288"/>
      <c r="X74" s="288"/>
      <c r="Y74" s="288"/>
      <c r="Z74" s="288"/>
      <c r="AA74" s="288"/>
      <c r="AB74" s="288"/>
      <c r="AC74" s="288"/>
      <c r="AD74" s="288"/>
      <c r="AE74" s="288"/>
      <c r="AF74" s="288"/>
      <c r="AG74" s="288"/>
      <c r="AH74" s="288"/>
      <c r="AI74" s="289"/>
      <c r="AK74" s="425"/>
      <c r="AL74" s="425"/>
      <c r="AM74" s="425"/>
      <c r="AN74" s="425"/>
      <c r="AO74" s="425"/>
      <c r="AP74" s="425"/>
      <c r="AQ74" s="42"/>
      <c r="AR74" s="43"/>
      <c r="AS74" s="43"/>
      <c r="AT74" s="43"/>
      <c r="AU74" s="43"/>
      <c r="AV74" s="43"/>
      <c r="AW74" s="43"/>
      <c r="AX74" s="43"/>
      <c r="AY74" s="43"/>
      <c r="AZ74" s="43"/>
      <c r="BH74" s="54"/>
      <c r="BI74" s="51"/>
    </row>
    <row r="75" spans="1:61" ht="18" customHeight="1">
      <c r="A75" s="36"/>
      <c r="B75" s="404"/>
      <c r="C75" s="404"/>
      <c r="D75" s="404"/>
      <c r="E75" s="404"/>
      <c r="F75" s="288"/>
      <c r="G75" s="288"/>
      <c r="H75" s="288"/>
      <c r="I75" s="288"/>
      <c r="J75" s="288"/>
      <c r="K75" s="288"/>
      <c r="L75" s="288"/>
      <c r="M75" s="288"/>
      <c r="N75" s="288"/>
      <c r="O75" s="288"/>
      <c r="P75" s="288"/>
      <c r="Q75" s="288"/>
      <c r="R75" s="288"/>
      <c r="S75" s="288"/>
      <c r="T75" s="288"/>
      <c r="U75" s="288"/>
      <c r="V75" s="288"/>
      <c r="W75" s="288"/>
      <c r="X75" s="288"/>
      <c r="Y75" s="288"/>
      <c r="Z75" s="288"/>
      <c r="AA75" s="288"/>
      <c r="AB75" s="288"/>
      <c r="AC75" s="288"/>
      <c r="AD75" s="288"/>
      <c r="AE75" s="288"/>
      <c r="AF75" s="288"/>
      <c r="AG75" s="288"/>
      <c r="AH75" s="288"/>
      <c r="AI75" s="289"/>
      <c r="AK75" s="425"/>
      <c r="AL75" s="425"/>
      <c r="AM75" s="425"/>
      <c r="AN75" s="425"/>
      <c r="AO75" s="425"/>
      <c r="AP75" s="425"/>
      <c r="AQ75" s="42"/>
      <c r="AR75" s="43"/>
      <c r="AS75" s="43"/>
      <c r="AT75" s="43"/>
      <c r="AU75" s="43"/>
      <c r="AV75" s="43"/>
      <c r="AW75" s="43"/>
      <c r="AX75" s="43"/>
      <c r="AY75" s="43"/>
      <c r="AZ75" s="43"/>
      <c r="BH75" s="53"/>
      <c r="BI75" s="51"/>
    </row>
    <row r="76" spans="1:61" ht="18" customHeight="1">
      <c r="A76" s="36"/>
      <c r="B76" s="404"/>
      <c r="C76" s="404"/>
      <c r="D76" s="404"/>
      <c r="E76" s="404"/>
      <c r="F76" s="288"/>
      <c r="G76" s="288"/>
      <c r="H76" s="288"/>
      <c r="I76" s="288"/>
      <c r="J76" s="288"/>
      <c r="K76" s="288"/>
      <c r="L76" s="288"/>
      <c r="M76" s="288"/>
      <c r="N76" s="288"/>
      <c r="O76" s="288"/>
      <c r="P76" s="288"/>
      <c r="Q76" s="288"/>
      <c r="R76" s="288"/>
      <c r="S76" s="288"/>
      <c r="T76" s="288"/>
      <c r="U76" s="288"/>
      <c r="V76" s="288"/>
      <c r="W76" s="288"/>
      <c r="X76" s="288"/>
      <c r="Y76" s="288"/>
      <c r="Z76" s="288"/>
      <c r="AA76" s="288"/>
      <c r="AB76" s="288"/>
      <c r="AC76" s="288"/>
      <c r="AD76" s="288"/>
      <c r="AE76" s="288"/>
      <c r="AF76" s="288"/>
      <c r="AG76" s="288"/>
      <c r="AH76" s="288"/>
      <c r="AI76" s="289"/>
      <c r="AK76" s="425"/>
      <c r="AL76" s="425"/>
      <c r="AM76" s="425"/>
      <c r="AN76" s="425"/>
      <c r="AO76" s="425"/>
      <c r="AP76" s="425"/>
      <c r="AQ76" s="42"/>
      <c r="AR76" s="43"/>
      <c r="AS76" s="43"/>
      <c r="AT76" s="43"/>
      <c r="AU76" s="43"/>
      <c r="AV76" s="43"/>
      <c r="AW76" s="43"/>
      <c r="AX76" s="43"/>
      <c r="AY76" s="43"/>
      <c r="AZ76" s="43"/>
      <c r="BH76" s="53"/>
      <c r="BI76" s="51"/>
    </row>
    <row r="77" spans="1:61" ht="18" customHeight="1">
      <c r="A77" s="36"/>
      <c r="B77" s="404"/>
      <c r="C77" s="404"/>
      <c r="D77" s="404"/>
      <c r="E77" s="404"/>
      <c r="F77" s="288"/>
      <c r="G77" s="288"/>
      <c r="H77" s="288"/>
      <c r="I77" s="288"/>
      <c r="J77" s="288"/>
      <c r="K77" s="288"/>
      <c r="L77" s="288"/>
      <c r="M77" s="288"/>
      <c r="N77" s="288"/>
      <c r="O77" s="288"/>
      <c r="P77" s="288"/>
      <c r="Q77" s="288"/>
      <c r="R77" s="288"/>
      <c r="S77" s="288"/>
      <c r="T77" s="288"/>
      <c r="U77" s="288"/>
      <c r="V77" s="288"/>
      <c r="W77" s="288"/>
      <c r="X77" s="288"/>
      <c r="Y77" s="288"/>
      <c r="Z77" s="288"/>
      <c r="AA77" s="288"/>
      <c r="AB77" s="288"/>
      <c r="AC77" s="288"/>
      <c r="AD77" s="288"/>
      <c r="AE77" s="288"/>
      <c r="AF77" s="288"/>
      <c r="AG77" s="288"/>
      <c r="AH77" s="288"/>
      <c r="AI77" s="289"/>
      <c r="AK77" s="425"/>
      <c r="AL77" s="425"/>
      <c r="AM77" s="425"/>
      <c r="AN77" s="425"/>
      <c r="AO77" s="425"/>
      <c r="AP77" s="425"/>
      <c r="AQ77" s="42"/>
      <c r="AR77" s="43"/>
      <c r="AS77" s="43"/>
      <c r="AT77" s="43"/>
      <c r="AU77" s="43"/>
      <c r="AV77" s="43"/>
      <c r="AW77" s="43"/>
      <c r="AX77" s="43"/>
      <c r="AY77" s="43"/>
      <c r="AZ77" s="43"/>
      <c r="BH77" s="54"/>
      <c r="BI77" s="51"/>
    </row>
    <row r="78" spans="1:61" ht="18" customHeight="1">
      <c r="A78" s="36"/>
      <c r="B78" s="404"/>
      <c r="C78" s="404"/>
      <c r="D78" s="404"/>
      <c r="E78" s="404"/>
      <c r="F78" s="288"/>
      <c r="G78" s="288"/>
      <c r="H78" s="288"/>
      <c r="I78" s="288"/>
      <c r="J78" s="288"/>
      <c r="K78" s="288"/>
      <c r="L78" s="288"/>
      <c r="M78" s="288"/>
      <c r="N78" s="288"/>
      <c r="O78" s="288"/>
      <c r="P78" s="288"/>
      <c r="Q78" s="288"/>
      <c r="R78" s="288"/>
      <c r="S78" s="288"/>
      <c r="T78" s="288"/>
      <c r="U78" s="288"/>
      <c r="V78" s="288"/>
      <c r="W78" s="288"/>
      <c r="X78" s="288"/>
      <c r="Y78" s="288"/>
      <c r="Z78" s="288"/>
      <c r="AA78" s="288"/>
      <c r="AB78" s="288"/>
      <c r="AC78" s="288"/>
      <c r="AD78" s="288"/>
      <c r="AE78" s="288"/>
      <c r="AF78" s="288"/>
      <c r="AG78" s="288"/>
      <c r="AH78" s="288"/>
      <c r="AI78" s="289"/>
      <c r="AK78" s="425"/>
      <c r="AL78" s="425"/>
      <c r="AM78" s="425"/>
      <c r="AN78" s="425"/>
      <c r="AO78" s="425"/>
      <c r="AP78" s="425"/>
      <c r="AQ78" s="42"/>
      <c r="AR78" s="43"/>
      <c r="AS78" s="43"/>
      <c r="AT78" s="43"/>
      <c r="AU78" s="43"/>
      <c r="AV78" s="43"/>
      <c r="AW78" s="43"/>
      <c r="AX78" s="43"/>
      <c r="AY78" s="43"/>
      <c r="AZ78" s="43"/>
      <c r="BH78" s="54"/>
      <c r="BI78" s="51"/>
    </row>
    <row r="79" spans="1:61" ht="18" customHeight="1">
      <c r="A79" s="36"/>
      <c r="B79" s="404"/>
      <c r="C79" s="404"/>
      <c r="D79" s="404"/>
      <c r="E79" s="404"/>
      <c r="F79" s="288"/>
      <c r="G79" s="288"/>
      <c r="H79" s="288"/>
      <c r="I79" s="288"/>
      <c r="J79" s="288"/>
      <c r="K79" s="288"/>
      <c r="L79" s="288"/>
      <c r="M79" s="288"/>
      <c r="N79" s="288"/>
      <c r="O79" s="288"/>
      <c r="P79" s="288"/>
      <c r="Q79" s="288"/>
      <c r="R79" s="288"/>
      <c r="S79" s="288"/>
      <c r="T79" s="288"/>
      <c r="U79" s="288"/>
      <c r="V79" s="288"/>
      <c r="W79" s="288"/>
      <c r="X79" s="288"/>
      <c r="Y79" s="288"/>
      <c r="Z79" s="288"/>
      <c r="AA79" s="288"/>
      <c r="AB79" s="288"/>
      <c r="AC79" s="288"/>
      <c r="AD79" s="288"/>
      <c r="AE79" s="288"/>
      <c r="AF79" s="288"/>
      <c r="AG79" s="288"/>
      <c r="AH79" s="288"/>
      <c r="AI79" s="289"/>
      <c r="AK79" s="425"/>
      <c r="AL79" s="425"/>
      <c r="AM79" s="425"/>
      <c r="AN79" s="425"/>
      <c r="AO79" s="425"/>
      <c r="AP79" s="425"/>
      <c r="AQ79" s="42"/>
      <c r="AR79" s="43"/>
      <c r="AS79" s="43"/>
      <c r="AT79" s="43"/>
      <c r="AU79" s="43"/>
      <c r="AV79" s="43"/>
      <c r="AW79" s="43"/>
      <c r="AX79" s="43"/>
      <c r="AY79" s="43"/>
      <c r="AZ79" s="43"/>
      <c r="BH79" s="54"/>
      <c r="BI79" s="51"/>
    </row>
    <row r="80" spans="1:61" ht="18" customHeight="1">
      <c r="A80" s="37"/>
      <c r="B80" s="466"/>
      <c r="C80" s="466"/>
      <c r="D80" s="466"/>
      <c r="E80" s="466"/>
      <c r="F80" s="467"/>
      <c r="G80" s="467"/>
      <c r="H80" s="467"/>
      <c r="I80" s="467"/>
      <c r="J80" s="467"/>
      <c r="K80" s="467"/>
      <c r="L80" s="467"/>
      <c r="M80" s="467"/>
      <c r="N80" s="467"/>
      <c r="O80" s="467"/>
      <c r="P80" s="467"/>
      <c r="Q80" s="467"/>
      <c r="R80" s="467"/>
      <c r="S80" s="467"/>
      <c r="T80" s="467"/>
      <c r="U80" s="467"/>
      <c r="V80" s="467"/>
      <c r="W80" s="467"/>
      <c r="X80" s="467"/>
      <c r="Y80" s="467"/>
      <c r="Z80" s="467"/>
      <c r="AA80" s="467"/>
      <c r="AB80" s="467"/>
      <c r="AC80" s="467"/>
      <c r="AD80" s="467"/>
      <c r="AE80" s="467"/>
      <c r="AF80" s="467"/>
      <c r="AG80" s="467"/>
      <c r="AH80" s="467"/>
      <c r="AI80" s="468"/>
      <c r="AK80" s="425"/>
      <c r="AL80" s="425"/>
      <c r="AM80" s="425"/>
      <c r="AN80" s="425"/>
      <c r="AO80" s="425"/>
      <c r="AP80" s="425"/>
      <c r="AQ80" s="42"/>
      <c r="AR80" s="43"/>
      <c r="AS80" s="43"/>
      <c r="AT80" s="43"/>
      <c r="AU80" s="43"/>
      <c r="AV80" s="43"/>
      <c r="AW80" s="43"/>
      <c r="AX80" s="43"/>
      <c r="AY80" s="43"/>
      <c r="AZ80" s="43"/>
      <c r="BH80" s="54"/>
      <c r="BI80" s="51"/>
    </row>
    <row r="81" spans="1:61" ht="18" customHeight="1">
      <c r="A81" s="406" t="s">
        <v>704</v>
      </c>
      <c r="B81" s="407"/>
      <c r="C81" s="407"/>
      <c r="D81" s="407"/>
      <c r="E81" s="407"/>
      <c r="F81" s="407"/>
      <c r="G81" s="407"/>
      <c r="H81" s="407"/>
      <c r="I81" s="407"/>
      <c r="J81" s="407"/>
      <c r="K81" s="407"/>
      <c r="L81" s="407"/>
      <c r="M81" s="407"/>
      <c r="N81" s="407"/>
      <c r="O81" s="407"/>
      <c r="P81" s="407"/>
      <c r="Q81" s="407"/>
      <c r="R81" s="407"/>
      <c r="S81" s="407"/>
      <c r="T81" s="407"/>
      <c r="U81" s="407"/>
      <c r="V81" s="407"/>
      <c r="W81" s="407"/>
      <c r="X81" s="407"/>
      <c r="Y81" s="407"/>
      <c r="Z81" s="407"/>
      <c r="AA81" s="407"/>
      <c r="AB81" s="407"/>
      <c r="AC81" s="407"/>
      <c r="AD81" s="407"/>
      <c r="AE81" s="407"/>
      <c r="AF81" s="407"/>
      <c r="AG81" s="407"/>
      <c r="AH81" s="407"/>
      <c r="AI81" s="408"/>
      <c r="AK81" s="425"/>
      <c r="AL81" s="425"/>
      <c r="AM81" s="425"/>
      <c r="AN81" s="425"/>
      <c r="AO81" s="425"/>
      <c r="AP81" s="425"/>
      <c r="AQ81" s="42"/>
      <c r="AR81" s="43"/>
      <c r="AS81" s="43"/>
      <c r="AT81" s="43"/>
      <c r="AU81" s="43"/>
      <c r="AV81" s="43"/>
      <c r="AW81" s="43"/>
      <c r="AX81" s="43"/>
      <c r="AY81" s="43"/>
      <c r="AZ81" s="43"/>
      <c r="BH81" s="53"/>
      <c r="BI81" s="51"/>
    </row>
    <row r="82" spans="1:61" ht="18" customHeight="1">
      <c r="A82" s="38"/>
      <c r="B82" s="465">
        <v>46168</v>
      </c>
      <c r="C82" s="465"/>
      <c r="D82" s="465"/>
      <c r="E82" s="465"/>
      <c r="F82" s="288" t="s">
        <v>723</v>
      </c>
      <c r="G82" s="288"/>
      <c r="H82" s="288"/>
      <c r="I82" s="288"/>
      <c r="J82" s="288"/>
      <c r="K82" s="288"/>
      <c r="L82" s="288"/>
      <c r="M82" s="288"/>
      <c r="N82" s="288"/>
      <c r="O82" s="288"/>
      <c r="P82" s="288"/>
      <c r="Q82" s="288"/>
      <c r="R82" s="288"/>
      <c r="S82" s="288"/>
      <c r="T82" s="288"/>
      <c r="U82" s="288"/>
      <c r="V82" s="288"/>
      <c r="W82" s="288"/>
      <c r="X82" s="288"/>
      <c r="Y82" s="288"/>
      <c r="Z82" s="288"/>
      <c r="AA82" s="288"/>
      <c r="AB82" s="288"/>
      <c r="AC82" s="288"/>
      <c r="AD82" s="288"/>
      <c r="AE82" s="288"/>
      <c r="AF82" s="288"/>
      <c r="AG82" s="288"/>
      <c r="AH82" s="288"/>
      <c r="AI82" s="289"/>
      <c r="AK82" s="425"/>
      <c r="AL82" s="425"/>
      <c r="AM82" s="425"/>
      <c r="AN82" s="425"/>
      <c r="AO82" s="425"/>
      <c r="AP82" s="425"/>
      <c r="AQ82" s="42"/>
      <c r="AR82" s="43"/>
      <c r="AS82" s="43"/>
      <c r="AT82" s="43"/>
      <c r="AU82" s="43"/>
      <c r="AV82" s="43"/>
      <c r="AW82" s="43"/>
      <c r="AX82" s="43"/>
      <c r="AY82" s="43"/>
      <c r="AZ82" s="43"/>
      <c r="BH82" s="53"/>
      <c r="BI82" s="51"/>
    </row>
    <row r="83" spans="1:61" ht="18" customHeight="1">
      <c r="A83" s="38"/>
      <c r="B83" s="465"/>
      <c r="C83" s="465"/>
      <c r="D83" s="465"/>
      <c r="E83" s="465"/>
      <c r="F83" s="288"/>
      <c r="G83" s="288"/>
      <c r="H83" s="288"/>
      <c r="I83" s="288"/>
      <c r="J83" s="288"/>
      <c r="K83" s="288"/>
      <c r="L83" s="288"/>
      <c r="M83" s="288"/>
      <c r="N83" s="288"/>
      <c r="O83" s="288"/>
      <c r="P83" s="288"/>
      <c r="Q83" s="288"/>
      <c r="R83" s="288"/>
      <c r="S83" s="288"/>
      <c r="T83" s="288"/>
      <c r="U83" s="288"/>
      <c r="V83" s="288"/>
      <c r="W83" s="288"/>
      <c r="X83" s="288"/>
      <c r="Y83" s="288"/>
      <c r="Z83" s="288"/>
      <c r="AA83" s="288"/>
      <c r="AB83" s="288"/>
      <c r="AC83" s="288"/>
      <c r="AD83" s="288"/>
      <c r="AE83" s="288"/>
      <c r="AF83" s="288"/>
      <c r="AG83" s="288"/>
      <c r="AH83" s="288"/>
      <c r="AI83" s="289"/>
      <c r="AK83" s="425"/>
      <c r="AL83" s="425"/>
      <c r="AM83" s="425"/>
      <c r="AN83" s="425"/>
      <c r="AO83" s="425"/>
      <c r="AP83" s="425"/>
      <c r="AQ83" s="42"/>
      <c r="AR83" s="43"/>
      <c r="AS83" s="43"/>
      <c r="AT83" s="43"/>
      <c r="AU83" s="43"/>
      <c r="AV83" s="43"/>
      <c r="AW83" s="43"/>
      <c r="AX83" s="43"/>
      <c r="AY83" s="43"/>
      <c r="AZ83" s="43"/>
      <c r="BH83" s="53"/>
      <c r="BI83" s="51"/>
    </row>
    <row r="84" spans="1:61" ht="18" customHeight="1">
      <c r="A84" s="38"/>
      <c r="B84" s="465"/>
      <c r="C84" s="465"/>
      <c r="D84" s="465"/>
      <c r="E84" s="465"/>
      <c r="F84" s="288"/>
      <c r="G84" s="288"/>
      <c r="H84" s="288"/>
      <c r="I84" s="288"/>
      <c r="J84" s="288"/>
      <c r="K84" s="288"/>
      <c r="L84" s="288"/>
      <c r="M84" s="288"/>
      <c r="N84" s="288"/>
      <c r="O84" s="288"/>
      <c r="P84" s="288"/>
      <c r="Q84" s="288"/>
      <c r="R84" s="288"/>
      <c r="S84" s="288"/>
      <c r="T84" s="288"/>
      <c r="U84" s="288"/>
      <c r="V84" s="288"/>
      <c r="W84" s="288"/>
      <c r="X84" s="288"/>
      <c r="Y84" s="288"/>
      <c r="Z84" s="288"/>
      <c r="AA84" s="288"/>
      <c r="AB84" s="288"/>
      <c r="AC84" s="288"/>
      <c r="AD84" s="288"/>
      <c r="AE84" s="288"/>
      <c r="AF84" s="288"/>
      <c r="AG84" s="288"/>
      <c r="AH84" s="288"/>
      <c r="AI84" s="289"/>
      <c r="AK84" s="425"/>
      <c r="AL84" s="425"/>
      <c r="AM84" s="425"/>
      <c r="AN84" s="425"/>
      <c r="AO84" s="425"/>
      <c r="AP84" s="425"/>
      <c r="AQ84" s="42"/>
      <c r="AR84" s="43"/>
      <c r="AS84" s="43"/>
      <c r="AT84" s="43"/>
      <c r="AU84" s="43"/>
      <c r="AV84" s="43"/>
      <c r="AW84" s="43"/>
      <c r="AX84" s="43"/>
      <c r="AY84" s="43"/>
      <c r="AZ84" s="43"/>
    </row>
    <row r="85" spans="1:61" ht="18" customHeight="1">
      <c r="A85" s="38"/>
      <c r="B85" s="465"/>
      <c r="C85" s="465"/>
      <c r="D85" s="465"/>
      <c r="E85" s="465"/>
      <c r="F85" s="288"/>
      <c r="G85" s="288"/>
      <c r="H85" s="288"/>
      <c r="I85" s="288"/>
      <c r="J85" s="288"/>
      <c r="K85" s="288"/>
      <c r="L85" s="288"/>
      <c r="M85" s="288"/>
      <c r="N85" s="288"/>
      <c r="O85" s="288"/>
      <c r="P85" s="288"/>
      <c r="Q85" s="288"/>
      <c r="R85" s="288"/>
      <c r="S85" s="288"/>
      <c r="T85" s="288"/>
      <c r="U85" s="288"/>
      <c r="V85" s="288"/>
      <c r="W85" s="288"/>
      <c r="X85" s="288"/>
      <c r="Y85" s="288"/>
      <c r="Z85" s="288"/>
      <c r="AA85" s="288"/>
      <c r="AB85" s="288"/>
      <c r="AC85" s="288"/>
      <c r="AD85" s="288"/>
      <c r="AE85" s="288"/>
      <c r="AF85" s="288"/>
      <c r="AG85" s="288"/>
      <c r="AH85" s="288"/>
      <c r="AI85" s="289"/>
      <c r="AK85" s="425"/>
      <c r="AL85" s="425"/>
      <c r="AM85" s="425"/>
      <c r="AN85" s="425"/>
      <c r="AO85" s="425"/>
      <c r="AP85" s="425"/>
      <c r="AQ85" s="42"/>
      <c r="AR85" s="43"/>
      <c r="AS85" s="43"/>
      <c r="AT85" s="43"/>
      <c r="AU85" s="43"/>
      <c r="AV85" s="43"/>
      <c r="AW85" s="43"/>
      <c r="AX85" s="43"/>
      <c r="AY85" s="43"/>
      <c r="AZ85" s="43"/>
    </row>
    <row r="86" spans="1:61" ht="18" customHeight="1" thickBot="1">
      <c r="A86" s="41"/>
      <c r="B86" s="540"/>
      <c r="C86" s="540"/>
      <c r="D86" s="540"/>
      <c r="E86" s="540"/>
      <c r="F86" s="541"/>
      <c r="G86" s="541"/>
      <c r="H86" s="541"/>
      <c r="I86" s="541"/>
      <c r="J86" s="541"/>
      <c r="K86" s="541"/>
      <c r="L86" s="541"/>
      <c r="M86" s="541"/>
      <c r="N86" s="541"/>
      <c r="O86" s="541"/>
      <c r="P86" s="541"/>
      <c r="Q86" s="541"/>
      <c r="R86" s="541"/>
      <c r="S86" s="541"/>
      <c r="T86" s="541"/>
      <c r="U86" s="541"/>
      <c r="V86" s="541"/>
      <c r="W86" s="541"/>
      <c r="X86" s="541"/>
      <c r="Y86" s="541"/>
      <c r="Z86" s="541"/>
      <c r="AA86" s="541"/>
      <c r="AB86" s="541"/>
      <c r="AC86" s="541"/>
      <c r="AD86" s="541"/>
      <c r="AE86" s="541"/>
      <c r="AF86" s="541"/>
      <c r="AG86" s="541"/>
      <c r="AH86" s="541"/>
      <c r="AI86" s="542"/>
      <c r="AK86" s="425"/>
      <c r="AL86" s="425"/>
      <c r="AM86" s="425"/>
      <c r="AN86" s="425"/>
      <c r="AO86" s="425"/>
      <c r="AP86" s="425"/>
      <c r="AQ86" s="42"/>
      <c r="AR86" s="43"/>
      <c r="AS86" s="43"/>
      <c r="AT86" s="43"/>
      <c r="AU86" s="43"/>
      <c r="AV86" s="43"/>
      <c r="AW86" s="43"/>
      <c r="AX86" s="43"/>
      <c r="AY86" s="43"/>
      <c r="AZ86" s="43"/>
    </row>
    <row r="87" spans="1:61" ht="14.1" customHeight="1">
      <c r="AK87" s="438"/>
      <c r="AL87" s="438"/>
      <c r="AM87" s="438"/>
      <c r="AN87" s="438"/>
      <c r="AO87" s="438"/>
      <c r="AP87" s="438"/>
      <c r="AQ87" s="119"/>
    </row>
    <row r="88" spans="1:61" ht="14.1" customHeight="1">
      <c r="AK88" s="437"/>
      <c r="AL88" s="437"/>
      <c r="AM88" s="437"/>
      <c r="AN88" s="437"/>
      <c r="AO88" s="437"/>
      <c r="AP88" s="437"/>
      <c r="AQ88" s="120"/>
    </row>
    <row r="89" spans="1:61" ht="14.1" customHeight="1">
      <c r="AK89" s="437"/>
      <c r="AL89" s="437"/>
      <c r="AM89" s="437"/>
      <c r="AN89" s="437"/>
      <c r="AO89" s="437"/>
      <c r="AP89" s="437"/>
      <c r="AQ89" s="120"/>
    </row>
    <row r="90" spans="1:61" ht="14.1" customHeight="1"/>
    <row r="91" spans="1:61" ht="14.1" customHeight="1"/>
    <row r="92" spans="1:61" ht="14.1" customHeight="1"/>
    <row r="93" spans="1:61" ht="14.1" customHeight="1"/>
    <row r="94" spans="1:61" ht="14.1" customHeight="1"/>
    <row r="95" spans="1:61" ht="14.1" customHeight="1"/>
    <row r="96" spans="1:61" ht="14.1" customHeight="1"/>
    <row r="97" ht="14.1" customHeight="1"/>
    <row r="98" ht="14.1" customHeight="1"/>
    <row r="99" ht="14.1" customHeight="1"/>
    <row r="100" ht="14.1" customHeight="1"/>
    <row r="101" ht="14.1" customHeight="1"/>
    <row r="102" ht="14.1" customHeight="1"/>
    <row r="103" ht="14.1" customHeight="1"/>
    <row r="104" ht="14.1" customHeight="1"/>
    <row r="105" ht="14.1" customHeight="1"/>
    <row r="106" ht="14.1" customHeight="1"/>
    <row r="107" ht="14.1" customHeight="1"/>
    <row r="108" ht="14.1" customHeight="1"/>
    <row r="109" ht="14.1" customHeight="1"/>
    <row r="110" ht="14.1" customHeight="1"/>
    <row r="111" ht="14.1" customHeight="1"/>
    <row r="112" ht="14.1" customHeight="1"/>
    <row r="113" ht="14.1" customHeight="1"/>
    <row r="114" ht="14.1" customHeight="1"/>
    <row r="115" ht="14.1" customHeight="1"/>
    <row r="116" ht="14.1" customHeight="1"/>
    <row r="117" ht="14.1" customHeight="1"/>
    <row r="118" ht="14.1" customHeight="1"/>
    <row r="119" ht="14.1" customHeight="1"/>
    <row r="120" ht="14.1" customHeight="1"/>
    <row r="121" ht="14.1" customHeight="1"/>
    <row r="122" ht="14.1" customHeight="1"/>
    <row r="123" ht="14.1" customHeight="1"/>
    <row r="124" ht="14.1" customHeight="1"/>
    <row r="125" ht="14.1" customHeight="1"/>
    <row r="126" ht="14.1" customHeight="1"/>
    <row r="127" ht="14.1" customHeight="1"/>
    <row r="128" ht="14.1" customHeight="1"/>
    <row r="129" ht="14.1" customHeight="1"/>
    <row r="130" ht="14.1" customHeight="1"/>
    <row r="131" ht="14.1" customHeight="1"/>
    <row r="132" ht="14.1" customHeight="1"/>
    <row r="133" ht="14.1" customHeight="1"/>
    <row r="134" ht="14.1" customHeight="1"/>
    <row r="135" ht="14.1" customHeight="1"/>
    <row r="136" ht="14.1" customHeight="1"/>
    <row r="137" ht="14.1" customHeight="1"/>
    <row r="138" ht="14.1" customHeight="1"/>
    <row r="139" ht="14.1" customHeight="1"/>
    <row r="140" ht="14.1" customHeight="1"/>
    <row r="141" ht="14.1" customHeight="1"/>
    <row r="142" ht="14.1" customHeight="1"/>
    <row r="143" ht="14.1" customHeight="1"/>
    <row r="144" ht="14.1" customHeight="1"/>
    <row r="145" ht="14.1" customHeight="1"/>
    <row r="146" ht="14.1" customHeight="1"/>
    <row r="147" ht="14.1" customHeight="1"/>
    <row r="148" ht="14.1" customHeight="1"/>
    <row r="149" ht="14.1" customHeight="1"/>
    <row r="150" ht="14.1" customHeight="1"/>
    <row r="151" ht="14.1" customHeight="1"/>
    <row r="152" ht="14.1" customHeight="1"/>
    <row r="153" ht="14.1" customHeight="1"/>
    <row r="154" ht="14.1" customHeight="1"/>
    <row r="155" ht="14.1" customHeight="1"/>
    <row r="156" ht="14.1" customHeight="1"/>
    <row r="157" ht="14.1" customHeight="1"/>
    <row r="158" ht="14.1" customHeight="1"/>
    <row r="159" ht="14.1" customHeight="1"/>
    <row r="160" ht="14.1" customHeight="1"/>
    <row r="161" ht="14.1" customHeight="1"/>
    <row r="162" ht="14.1" customHeight="1"/>
    <row r="163" ht="14.1" customHeight="1"/>
    <row r="164" ht="14.1" customHeight="1"/>
    <row r="165" ht="14.1" customHeight="1"/>
    <row r="166" ht="14.1" customHeight="1"/>
    <row r="167" ht="14.1" customHeight="1"/>
    <row r="168" ht="14.1" customHeight="1"/>
    <row r="169" ht="14.1" customHeight="1"/>
    <row r="170" ht="14.1" customHeight="1"/>
    <row r="171" ht="14.1" customHeight="1"/>
    <row r="172" ht="14.1" customHeight="1"/>
    <row r="173" ht="14.1" customHeight="1"/>
    <row r="174" ht="14.1" customHeight="1"/>
    <row r="175" ht="14.1" customHeight="1"/>
    <row r="176" ht="14.1" customHeight="1"/>
    <row r="177" ht="14.1" customHeight="1"/>
    <row r="178" ht="14.1" customHeight="1"/>
    <row r="179" ht="14.1" customHeight="1"/>
    <row r="180" ht="14.1" customHeight="1"/>
    <row r="181" ht="14.1" customHeight="1"/>
    <row r="182" ht="14.1" customHeight="1"/>
    <row r="183" ht="14.1" customHeight="1"/>
    <row r="184" ht="14.1" customHeight="1"/>
    <row r="185" ht="14.1" customHeight="1"/>
    <row r="186" ht="14.1" customHeight="1"/>
    <row r="187" ht="14.1" customHeight="1"/>
    <row r="188" ht="14.1" customHeight="1"/>
    <row r="189" ht="14.1" customHeight="1"/>
    <row r="190" ht="14.1" customHeight="1"/>
    <row r="191" ht="14.1" customHeight="1"/>
    <row r="192" ht="14.1" customHeight="1"/>
    <row r="193" ht="14.1" customHeight="1"/>
    <row r="194" ht="14.1" customHeight="1"/>
    <row r="195" ht="14.1" customHeight="1"/>
    <row r="196" ht="14.1" customHeight="1"/>
    <row r="197" ht="14.1" customHeight="1"/>
    <row r="198" ht="14.1" customHeight="1"/>
    <row r="199" ht="14.1" customHeight="1"/>
    <row r="200" ht="14.1" customHeight="1"/>
    <row r="201" ht="14.1" customHeight="1"/>
    <row r="202" ht="14.1" customHeight="1"/>
    <row r="203" ht="14.1" customHeight="1"/>
    <row r="204" ht="14.1" customHeight="1"/>
    <row r="205" ht="14.1" customHeight="1"/>
    <row r="206" ht="14.1" customHeight="1"/>
    <row r="207" ht="14.1" customHeight="1"/>
    <row r="208" ht="14.1" customHeight="1"/>
    <row r="209" ht="14.1" customHeight="1"/>
    <row r="210" ht="14.1" customHeight="1"/>
    <row r="211" ht="14.1" customHeight="1"/>
    <row r="212" ht="14.1" customHeight="1"/>
    <row r="213" ht="14.1" customHeight="1"/>
    <row r="214" ht="14.1" customHeight="1"/>
    <row r="215" ht="14.1" customHeight="1"/>
    <row r="216" ht="14.1" customHeight="1"/>
    <row r="217" ht="14.1" customHeight="1"/>
    <row r="218" ht="14.1" customHeight="1"/>
    <row r="219" ht="14.1" customHeight="1"/>
    <row r="220" ht="14.1" customHeight="1"/>
    <row r="221" ht="14.1" customHeight="1"/>
    <row r="222" ht="14.1" customHeight="1"/>
    <row r="223" ht="14.1" customHeight="1"/>
    <row r="224" ht="14.1" customHeight="1"/>
    <row r="225" ht="14.1" customHeight="1"/>
    <row r="226" ht="14.1" customHeight="1"/>
    <row r="227" ht="14.1" customHeight="1"/>
    <row r="228" ht="14.1" customHeight="1"/>
    <row r="229" ht="14.1" customHeight="1"/>
    <row r="230" ht="14.1" customHeight="1"/>
    <row r="231" ht="14.1" customHeight="1"/>
    <row r="232" ht="14.1" customHeight="1"/>
    <row r="233" ht="14.1" customHeight="1"/>
    <row r="234" ht="14.1" customHeight="1"/>
    <row r="235" ht="14.1" customHeight="1"/>
    <row r="236" ht="14.1" customHeight="1"/>
    <row r="237" ht="14.1" customHeight="1"/>
    <row r="238" ht="14.1" customHeight="1"/>
    <row r="239" ht="14.1" customHeight="1"/>
    <row r="240" ht="14.1" customHeight="1"/>
    <row r="241" ht="14.1" customHeight="1"/>
    <row r="242" ht="14.1" customHeight="1"/>
    <row r="243" ht="14.1" customHeight="1"/>
    <row r="244" ht="14.1" customHeight="1"/>
    <row r="245" ht="14.1" customHeight="1"/>
    <row r="246" ht="14.1" customHeight="1"/>
    <row r="247" ht="14.1" customHeight="1"/>
    <row r="248" ht="14.1" customHeight="1"/>
    <row r="249" ht="14.1" customHeight="1"/>
    <row r="250" ht="14.1" customHeight="1"/>
    <row r="251" ht="14.1" customHeight="1"/>
    <row r="252" ht="14.1" customHeight="1"/>
    <row r="253" ht="14.1" customHeight="1"/>
    <row r="254" ht="14.1" customHeight="1"/>
    <row r="255" ht="14.1" customHeight="1"/>
    <row r="256" ht="14.1" customHeight="1"/>
    <row r="257" ht="14.1" customHeight="1"/>
    <row r="258" ht="14.1" customHeight="1"/>
    <row r="259" ht="14.1" customHeight="1"/>
    <row r="260" ht="14.1" customHeight="1"/>
    <row r="261" ht="14.1" customHeight="1"/>
    <row r="262" ht="14.1" customHeight="1"/>
    <row r="263" ht="14.1" customHeight="1"/>
    <row r="264" ht="14.1" customHeight="1"/>
    <row r="265" ht="14.1" customHeight="1"/>
    <row r="266" ht="14.1" customHeight="1"/>
  </sheetData>
  <sheetProtection algorithmName="SHA-512" hashValue="0loLJCJhL4ad+e9W1BFBlntzNt2hf75qC+V2eugpQkoXMOcFlTwiL5DSpVRXAf1cyQ/kgBnOXO/4cSPzCUKn4A==" saltValue="4etb9yyOEqZ9UduJqdtb6g==" spinCount="100000" sheet="1" autoFilter="0"/>
  <mergeCells count="381">
    <mergeCell ref="A1:S3"/>
    <mergeCell ref="T1:Z3"/>
    <mergeCell ref="AD1:AI1"/>
    <mergeCell ref="AD2:AF4"/>
    <mergeCell ref="AG2:AI4"/>
    <mergeCell ref="A4:S5"/>
    <mergeCell ref="AK7:AP8"/>
    <mergeCell ref="AQ7:AQ8"/>
    <mergeCell ref="V8:X8"/>
    <mergeCell ref="A9:AI9"/>
    <mergeCell ref="AK9:AP9"/>
    <mergeCell ref="A10:H10"/>
    <mergeCell ref="I10:J10"/>
    <mergeCell ref="K10:L10"/>
    <mergeCell ref="M10:T10"/>
    <mergeCell ref="U10:V10"/>
    <mergeCell ref="O7:P8"/>
    <mergeCell ref="Q7:R8"/>
    <mergeCell ref="S7:T8"/>
    <mergeCell ref="V7:X7"/>
    <mergeCell ref="Y7:AA8"/>
    <mergeCell ref="AB7:AI8"/>
    <mergeCell ref="A7:E8"/>
    <mergeCell ref="F7:F8"/>
    <mergeCell ref="G7:I8"/>
    <mergeCell ref="J7:J8"/>
    <mergeCell ref="K7:M8"/>
    <mergeCell ref="N7:N8"/>
    <mergeCell ref="W10:X10"/>
    <mergeCell ref="Y10:AF10"/>
    <mergeCell ref="AG10:AH10"/>
    <mergeCell ref="AK10:AP10"/>
    <mergeCell ref="A11:H11"/>
    <mergeCell ref="I11:J11"/>
    <mergeCell ref="K11:L11"/>
    <mergeCell ref="M11:T11"/>
    <mergeCell ref="U11:V11"/>
    <mergeCell ref="W11:X11"/>
    <mergeCell ref="Y11:AF11"/>
    <mergeCell ref="AG11:AH11"/>
    <mergeCell ref="AK11:AP11"/>
    <mergeCell ref="A12:H12"/>
    <mergeCell ref="I12:J12"/>
    <mergeCell ref="K12:L12"/>
    <mergeCell ref="M12:T12"/>
    <mergeCell ref="U12:V12"/>
    <mergeCell ref="W12:X12"/>
    <mergeCell ref="Y12:AF12"/>
    <mergeCell ref="AG12:AH12"/>
    <mergeCell ref="AK12:AP12"/>
    <mergeCell ref="A13:H13"/>
    <mergeCell ref="I13:J13"/>
    <mergeCell ref="K13:L13"/>
    <mergeCell ref="M13:T13"/>
    <mergeCell ref="U13:V13"/>
    <mergeCell ref="W13:X13"/>
    <mergeCell ref="Y13:AF13"/>
    <mergeCell ref="AG13:AH13"/>
    <mergeCell ref="AK13:AP13"/>
    <mergeCell ref="A14:AI14"/>
    <mergeCell ref="AK14:AP14"/>
    <mergeCell ref="B15:I15"/>
    <mergeCell ref="J15:L15"/>
    <mergeCell ref="M15:N15"/>
    <mergeCell ref="O15:V15"/>
    <mergeCell ref="W15:Y15"/>
    <mergeCell ref="Z15:AA15"/>
    <mergeCell ref="AB15:AG15"/>
    <mergeCell ref="A18:E18"/>
    <mergeCell ref="F18:AI18"/>
    <mergeCell ref="AK18:AP18"/>
    <mergeCell ref="B19:E19"/>
    <mergeCell ref="F19:AI19"/>
    <mergeCell ref="AK19:AP19"/>
    <mergeCell ref="AH15:AI15"/>
    <mergeCell ref="AK15:AP15"/>
    <mergeCell ref="A16:AI16"/>
    <mergeCell ref="AK16:AP16"/>
    <mergeCell ref="A17:E17"/>
    <mergeCell ref="F17:AI17"/>
    <mergeCell ref="AK17:AP17"/>
    <mergeCell ref="B20:E20"/>
    <mergeCell ref="F20:AI20"/>
    <mergeCell ref="AK20:AP20"/>
    <mergeCell ref="AR20:AR23"/>
    <mergeCell ref="B21:E21"/>
    <mergeCell ref="F21:AI21"/>
    <mergeCell ref="AK21:AP21"/>
    <mergeCell ref="B22:E22"/>
    <mergeCell ref="F22:AI22"/>
    <mergeCell ref="AK22:AP22"/>
    <mergeCell ref="BA23:BB23"/>
    <mergeCell ref="B24:E24"/>
    <mergeCell ref="F24:AI24"/>
    <mergeCell ref="AK24:AP24"/>
    <mergeCell ref="AY24:AZ24"/>
    <mergeCell ref="BA24:BB24"/>
    <mergeCell ref="AS22:AT22"/>
    <mergeCell ref="AU22:AV22"/>
    <mergeCell ref="AY22:AZ22"/>
    <mergeCell ref="BA22:BB22"/>
    <mergeCell ref="B23:E23"/>
    <mergeCell ref="F23:AI23"/>
    <mergeCell ref="AK23:AP23"/>
    <mergeCell ref="AS23:AT23"/>
    <mergeCell ref="AU23:AV23"/>
    <mergeCell ref="AY23:AZ23"/>
    <mergeCell ref="B27:E27"/>
    <mergeCell ref="F27:AI27"/>
    <mergeCell ref="AK27:AP27"/>
    <mergeCell ref="AS27:AT27"/>
    <mergeCell ref="AU27:AW27"/>
    <mergeCell ref="AY27:BB27"/>
    <mergeCell ref="B25:E25"/>
    <mergeCell ref="F25:AI25"/>
    <mergeCell ref="AK25:AP25"/>
    <mergeCell ref="AY25:AZ25"/>
    <mergeCell ref="BA25:BB25"/>
    <mergeCell ref="B26:E26"/>
    <mergeCell ref="F26:AI26"/>
    <mergeCell ref="AK26:AP26"/>
    <mergeCell ref="AS26:AW26"/>
    <mergeCell ref="BA28:BB28"/>
    <mergeCell ref="B29:E29"/>
    <mergeCell ref="F29:AI29"/>
    <mergeCell ref="AK29:AP29"/>
    <mergeCell ref="AS29:AT29"/>
    <mergeCell ref="AU29:AW29"/>
    <mergeCell ref="AY29:AZ29"/>
    <mergeCell ref="BA29:BB29"/>
    <mergeCell ref="B28:E28"/>
    <mergeCell ref="F28:AI28"/>
    <mergeCell ref="AK28:AP28"/>
    <mergeCell ref="AS28:AT28"/>
    <mergeCell ref="AU28:AW28"/>
    <mergeCell ref="AY28:AZ28"/>
    <mergeCell ref="A32:AI32"/>
    <mergeCell ref="AK32:AP32"/>
    <mergeCell ref="AS32:AT32"/>
    <mergeCell ref="AU32:AW32"/>
    <mergeCell ref="AY32:AZ32"/>
    <mergeCell ref="BA32:BB32"/>
    <mergeCell ref="BA30:BB30"/>
    <mergeCell ref="B31:E31"/>
    <mergeCell ref="F31:AI31"/>
    <mergeCell ref="AK31:AP31"/>
    <mergeCell ref="AS31:AT31"/>
    <mergeCell ref="AU31:AW31"/>
    <mergeCell ref="AY31:AZ31"/>
    <mergeCell ref="BA31:BB31"/>
    <mergeCell ref="B30:E30"/>
    <mergeCell ref="F30:AI30"/>
    <mergeCell ref="AK30:AP30"/>
    <mergeCell ref="AS30:AT30"/>
    <mergeCell ref="AU30:AW30"/>
    <mergeCell ref="AY30:AZ30"/>
    <mergeCell ref="BA33:BB33"/>
    <mergeCell ref="B34:E34"/>
    <mergeCell ref="F34:AI34"/>
    <mergeCell ref="AK34:AP34"/>
    <mergeCell ref="AS34:AT34"/>
    <mergeCell ref="AU34:AW34"/>
    <mergeCell ref="AY34:AZ34"/>
    <mergeCell ref="BA34:BB34"/>
    <mergeCell ref="B33:E33"/>
    <mergeCell ref="F33:AI33"/>
    <mergeCell ref="AK33:AP33"/>
    <mergeCell ref="AS33:AT33"/>
    <mergeCell ref="AU33:AW33"/>
    <mergeCell ref="AY33:AZ33"/>
    <mergeCell ref="AY35:AZ35"/>
    <mergeCell ref="BA35:BB35"/>
    <mergeCell ref="A36:E36"/>
    <mergeCell ref="F36:K36"/>
    <mergeCell ref="L36:O36"/>
    <mergeCell ref="P36:R36"/>
    <mergeCell ref="T36:V36"/>
    <mergeCell ref="W36:AB36"/>
    <mergeCell ref="AC36:AI36"/>
    <mergeCell ref="B35:E35"/>
    <mergeCell ref="F35:V35"/>
    <mergeCell ref="W35:AB35"/>
    <mergeCell ref="AC35:AI35"/>
    <mergeCell ref="AK35:AP35"/>
    <mergeCell ref="AS35:AT35"/>
    <mergeCell ref="AK36:AP36"/>
    <mergeCell ref="AS36:AT36"/>
    <mergeCell ref="AU36:AW36"/>
    <mergeCell ref="AU35:AW35"/>
    <mergeCell ref="A39:AI39"/>
    <mergeCell ref="AK39:AP39"/>
    <mergeCell ref="AS39:AT39"/>
    <mergeCell ref="AV39:AW39"/>
    <mergeCell ref="A38:E38"/>
    <mergeCell ref="F38:K38"/>
    <mergeCell ref="L38:O38"/>
    <mergeCell ref="P38:V38"/>
    <mergeCell ref="W38:AB38"/>
    <mergeCell ref="AC38:AI38"/>
    <mergeCell ref="AD40:AI40"/>
    <mergeCell ref="A37:E37"/>
    <mergeCell ref="F37:AI37"/>
    <mergeCell ref="AK40:AP40"/>
    <mergeCell ref="AS40:AT40"/>
    <mergeCell ref="AV40:AW40"/>
    <mergeCell ref="A41:D41"/>
    <mergeCell ref="E41:G41"/>
    <mergeCell ref="I41:K41"/>
    <mergeCell ref="L41:R41"/>
    <mergeCell ref="S41:V41"/>
    <mergeCell ref="W41:Y41"/>
    <mergeCell ref="AA41:AC41"/>
    <mergeCell ref="AD41:AI41"/>
    <mergeCell ref="AK41:AP41"/>
    <mergeCell ref="A40:D40"/>
    <mergeCell ref="E40:K40"/>
    <mergeCell ref="L40:R40"/>
    <mergeCell ref="S40:V40"/>
    <mergeCell ref="W40:AC40"/>
    <mergeCell ref="AK37:AP37"/>
    <mergeCell ref="AS37:AT37"/>
    <mergeCell ref="AU37:AW37"/>
    <mergeCell ref="AK38:AP38"/>
    <mergeCell ref="A42:D42"/>
    <mergeCell ref="E42:G42"/>
    <mergeCell ref="I42:K42"/>
    <mergeCell ref="L42:R42"/>
    <mergeCell ref="S42:V42"/>
    <mergeCell ref="W42:Y42"/>
    <mergeCell ref="AA42:AC42"/>
    <mergeCell ref="AK42:AP42"/>
    <mergeCell ref="AS42:AW42"/>
    <mergeCell ref="A43:D43"/>
    <mergeCell ref="E43:G43"/>
    <mergeCell ref="I43:K43"/>
    <mergeCell ref="L43:R43"/>
    <mergeCell ref="S43:V43"/>
    <mergeCell ref="W43:Y43"/>
    <mergeCell ref="AA43:AC43"/>
    <mergeCell ref="A44:D44"/>
    <mergeCell ref="E44:G44"/>
    <mergeCell ref="I44:K44"/>
    <mergeCell ref="L44:R44"/>
    <mergeCell ref="S44:V44"/>
    <mergeCell ref="W44:Y44"/>
    <mergeCell ref="AA44:AC44"/>
    <mergeCell ref="AD44:AI44"/>
    <mergeCell ref="AD42:AI42"/>
    <mergeCell ref="AK44:AP44"/>
    <mergeCell ref="R45:U45"/>
    <mergeCell ref="W45:X45"/>
    <mergeCell ref="Z45:AA45"/>
    <mergeCell ref="AC45:AD45"/>
    <mergeCell ref="AE45:AF45"/>
    <mergeCell ref="AK45:AP45"/>
    <mergeCell ref="AD43:AI43"/>
    <mergeCell ref="AK43:AP43"/>
    <mergeCell ref="B49:E49"/>
    <mergeCell ref="F49:AI49"/>
    <mergeCell ref="AK49:AP49"/>
    <mergeCell ref="B50:E50"/>
    <mergeCell ref="F50:AI50"/>
    <mergeCell ref="AK50:AP50"/>
    <mergeCell ref="A46:AI46"/>
    <mergeCell ref="AK46:AP46"/>
    <mergeCell ref="B47:E47"/>
    <mergeCell ref="F47:AI47"/>
    <mergeCell ref="AK47:AP47"/>
    <mergeCell ref="B48:E48"/>
    <mergeCell ref="F48:AI48"/>
    <mergeCell ref="AK48:AP48"/>
    <mergeCell ref="B53:E53"/>
    <mergeCell ref="F53:AI53"/>
    <mergeCell ref="AK53:AP53"/>
    <mergeCell ref="B54:E54"/>
    <mergeCell ref="F54:AI54"/>
    <mergeCell ref="AK54:AP54"/>
    <mergeCell ref="B51:E51"/>
    <mergeCell ref="F51:AI51"/>
    <mergeCell ref="AK51:AP51"/>
    <mergeCell ref="B52:E52"/>
    <mergeCell ref="F52:AI52"/>
    <mergeCell ref="AK52:AP52"/>
    <mergeCell ref="B57:E57"/>
    <mergeCell ref="F57:AI57"/>
    <mergeCell ref="AK57:AP57"/>
    <mergeCell ref="B58:E58"/>
    <mergeCell ref="F58:AI58"/>
    <mergeCell ref="AK58:AP58"/>
    <mergeCell ref="B55:E55"/>
    <mergeCell ref="F55:AI55"/>
    <mergeCell ref="AK55:AP55"/>
    <mergeCell ref="B56:E56"/>
    <mergeCell ref="F56:AI56"/>
    <mergeCell ref="AK56:AP56"/>
    <mergeCell ref="B61:E61"/>
    <mergeCell ref="F61:AI61"/>
    <mergeCell ref="AK61:AP61"/>
    <mergeCell ref="B62:E62"/>
    <mergeCell ref="F62:AI62"/>
    <mergeCell ref="AK62:AP62"/>
    <mergeCell ref="B59:E59"/>
    <mergeCell ref="F59:AI59"/>
    <mergeCell ref="AK59:AP59"/>
    <mergeCell ref="B60:E60"/>
    <mergeCell ref="F60:AI60"/>
    <mergeCell ref="AK60:AP60"/>
    <mergeCell ref="B65:E65"/>
    <mergeCell ref="F65:AI65"/>
    <mergeCell ref="AK65:AP65"/>
    <mergeCell ref="B66:E66"/>
    <mergeCell ref="F66:AI66"/>
    <mergeCell ref="AK66:AP66"/>
    <mergeCell ref="B63:E63"/>
    <mergeCell ref="F63:AI63"/>
    <mergeCell ref="AK63:AP63"/>
    <mergeCell ref="B64:E64"/>
    <mergeCell ref="F64:AI64"/>
    <mergeCell ref="AK64:AP64"/>
    <mergeCell ref="B69:E69"/>
    <mergeCell ref="F69:AI69"/>
    <mergeCell ref="AK69:AP69"/>
    <mergeCell ref="B70:E70"/>
    <mergeCell ref="F70:AI70"/>
    <mergeCell ref="AK70:AP70"/>
    <mergeCell ref="B67:E67"/>
    <mergeCell ref="F67:AI67"/>
    <mergeCell ref="AK67:AP67"/>
    <mergeCell ref="B68:E68"/>
    <mergeCell ref="F68:AI68"/>
    <mergeCell ref="AK68:AP68"/>
    <mergeCell ref="B73:E73"/>
    <mergeCell ref="F73:AI73"/>
    <mergeCell ref="AK73:AP73"/>
    <mergeCell ref="B74:E74"/>
    <mergeCell ref="F74:AI74"/>
    <mergeCell ref="AK74:AP74"/>
    <mergeCell ref="B71:E71"/>
    <mergeCell ref="F71:AI71"/>
    <mergeCell ref="AK71:AP71"/>
    <mergeCell ref="B72:E72"/>
    <mergeCell ref="F72:AI72"/>
    <mergeCell ref="AK72:AP72"/>
    <mergeCell ref="B77:E77"/>
    <mergeCell ref="F77:AI77"/>
    <mergeCell ref="AK77:AP77"/>
    <mergeCell ref="B78:E78"/>
    <mergeCell ref="F78:AI78"/>
    <mergeCell ref="AK78:AP78"/>
    <mergeCell ref="B75:E75"/>
    <mergeCell ref="F75:AI75"/>
    <mergeCell ref="AK75:AP75"/>
    <mergeCell ref="B76:E76"/>
    <mergeCell ref="F76:AI76"/>
    <mergeCell ref="AK76:AP76"/>
    <mergeCell ref="A81:AI81"/>
    <mergeCell ref="AK81:AP81"/>
    <mergeCell ref="B82:E82"/>
    <mergeCell ref="F82:AI82"/>
    <mergeCell ref="AK82:AP82"/>
    <mergeCell ref="B83:E83"/>
    <mergeCell ref="F83:AI83"/>
    <mergeCell ref="AK83:AP83"/>
    <mergeCell ref="B79:E79"/>
    <mergeCell ref="F79:AI79"/>
    <mergeCell ref="AK79:AP79"/>
    <mergeCell ref="B80:E80"/>
    <mergeCell ref="F80:AI80"/>
    <mergeCell ref="AK80:AP80"/>
    <mergeCell ref="B86:E86"/>
    <mergeCell ref="F86:AI86"/>
    <mergeCell ref="AK86:AP86"/>
    <mergeCell ref="AK87:AP87"/>
    <mergeCell ref="AK88:AP88"/>
    <mergeCell ref="AK89:AP89"/>
    <mergeCell ref="B84:E84"/>
    <mergeCell ref="F84:AI84"/>
    <mergeCell ref="AK84:AP84"/>
    <mergeCell ref="B85:E85"/>
    <mergeCell ref="F85:AI85"/>
    <mergeCell ref="AK85:AP85"/>
  </mergeCells>
  <phoneticPr fontId="2"/>
  <conditionalFormatting sqref="AQ20:AQ28 AQ30:AQ31 AQ9 AQ11:AQ12 AQ14 AQ33:AQ34">
    <cfRule type="containsBlanks" dxfId="335" priority="12">
      <formula>LEN(TRIM(AQ9))=0</formula>
    </cfRule>
  </conditionalFormatting>
  <conditionalFormatting sqref="BC11:CF11">
    <cfRule type="containsText" dxfId="334" priority="8" operator="containsText" text="青">
      <formula>NOT(ISERROR(SEARCH("青",BC11)))</formula>
    </cfRule>
    <cfRule type="containsText" dxfId="333" priority="9" operator="containsText" text="緑">
      <formula>NOT(ISERROR(SEARCH("緑",BC11)))</formula>
    </cfRule>
    <cfRule type="containsText" dxfId="332" priority="10" operator="containsText" text="黄">
      <formula>NOT(ISERROR(SEARCH("黄",BC11)))</formula>
    </cfRule>
    <cfRule type="containsText" dxfId="331" priority="11" operator="containsText" text="赤">
      <formula>NOT(ISERROR(SEARCH("赤",BC11)))</formula>
    </cfRule>
  </conditionalFormatting>
  <conditionalFormatting sqref="V7:X8">
    <cfRule type="containsBlanks" dxfId="330" priority="7">
      <formula>LEN(TRIM(V7))=0</formula>
    </cfRule>
  </conditionalFormatting>
  <conditionalFormatting sqref="AB7:AI8">
    <cfRule type="containsBlanks" dxfId="329" priority="6">
      <formula>LEN(TRIM(AB7))=0</formula>
    </cfRule>
  </conditionalFormatting>
  <conditionalFormatting sqref="A7:E8 G7:I8 K7:M8 O7:P8">
    <cfRule type="containsBlanks" dxfId="328" priority="5">
      <formula>LEN(TRIM(A7))=0</formula>
    </cfRule>
  </conditionalFormatting>
  <conditionalFormatting sqref="W15:Y15 AH15:AI15 J15:L15">
    <cfRule type="containsBlanks" dxfId="327" priority="4">
      <formula>LEN(TRIM(J15))=0</formula>
    </cfRule>
  </conditionalFormatting>
  <conditionalFormatting sqref="L41:R44">
    <cfRule type="cellIs" dxfId="326" priority="1" operator="equal">
      <formula>0</formula>
    </cfRule>
  </conditionalFormatting>
  <conditionalFormatting sqref="P36:R36 T36:V36 L38:O38 AC38:AI38 AC36:AI36">
    <cfRule type="containsBlanks" dxfId="325" priority="3">
      <formula>LEN(TRIM(L36))=0</formula>
    </cfRule>
  </conditionalFormatting>
  <conditionalFormatting sqref="W41:Y44 AA41:AI44">
    <cfRule type="cellIs" dxfId="324" priority="2" operator="equal">
      <formula>0</formula>
    </cfRule>
  </conditionalFormatting>
  <printOptions horizontalCentered="1" verticalCentered="1"/>
  <pageMargins left="0.70866141732283472" right="0.59055118110236227" top="0.55118110236220474" bottom="0.55118110236220474" header="0.31496062992125984" footer="0.31496062992125984"/>
  <pageSetup paperSize="9" orientation="portrait" horizontalDpi="300" verticalDpi="300" r:id="rId1"/>
  <headerFooter scaleWithDoc="0" alignWithMargins="0">
    <oddFooter>&amp;C&amp;P&amp;Rヒトトヒト株式会社</oddFooter>
  </headerFooter>
  <rowBreaks count="1" manualBreakCount="1">
    <brk id="44" max="34" man="1"/>
  </rowBreaks>
  <drawing r:id="rId2"/>
  <extLst>
    <ext xmlns:x14="http://schemas.microsoft.com/office/spreadsheetml/2009/9/main" uri="{CCE6A557-97BC-4b89-ADB6-D9C93CAAB3DF}">
      <x14:dataValidations xmlns:xm="http://schemas.microsoft.com/office/excel/2006/main" count="6">
        <x14:dataValidation type="list" allowBlank="1" showInputMessage="1" showErrorMessage="1" xr:uid="{E42A5860-035B-4D17-A07C-ED45F18E47AB}">
          <x14:formula1>
            <xm:f>初期値!$C$12:$C$27</xm:f>
          </x14:formula1>
          <xm:sqref>P36:R36 T36:V36</xm:sqref>
        </x14:dataValidation>
        <x14:dataValidation type="list" allowBlank="1" showInputMessage="1" showErrorMessage="1" xr:uid="{3ED17B5E-3F12-4837-BD61-844EC87C0E07}">
          <x14:formula1>
            <xm:f>初期値!$G$12:$G$24</xm:f>
          </x14:formula1>
          <xm:sqref>V7:X8</xm:sqref>
        </x14:dataValidation>
        <x14:dataValidation type="list" allowBlank="1" showInputMessage="1" showErrorMessage="1" xr:uid="{7B86AE7E-7244-42C4-BF3F-CBA48E84BCBF}">
          <x14:formula1>
            <xm:f>初期値!$E$12:$E$13</xm:f>
          </x14:formula1>
          <xm:sqref>L38:O38 AC38:AI38 AC36:AI36</xm:sqref>
        </x14:dataValidation>
        <x14:dataValidation type="list" allowBlank="1" showInputMessage="1" showErrorMessage="1" xr:uid="{684A0356-F46D-4FCC-94CA-C0077A980381}">
          <x14:formula1>
            <xm:f>初期値!$N$22:$N$23</xm:f>
          </x14:formula1>
          <xm:sqref>AW23</xm:sqref>
        </x14:dataValidation>
        <x14:dataValidation type="list" allowBlank="1" showInputMessage="1" showErrorMessage="1" xr:uid="{71F2E34B-AFB6-4A23-841D-71E53B4CAF1D}">
          <x14:formula1>
            <xm:f>初期値!$P$12:$P$27</xm:f>
          </x14:formula1>
          <xm:sqref>BA24:BB24 BA22:BB22 BA28:BB28 BA30:BB30 BA32:BB32 BA34:BB34</xm:sqref>
        </x14:dataValidation>
        <x14:dataValidation type="list" allowBlank="1" showInputMessage="1" showErrorMessage="1" xr:uid="{B531A264-F4AE-4BBE-945B-D161EED84BA8}">
          <x14:formula1>
            <xm:f>初期値!$N$12:$N$19</xm:f>
          </x14:formula1>
          <xm:sqref>AU22:AV22</xm:sqref>
        </x14:dataValidation>
      </x14:dataValidations>
    </ext>
  </extLs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D386523-284F-4025-BC8D-7334496AF32D}">
  <sheetPr codeName="Sheet12"/>
  <dimension ref="A1:CG266"/>
  <sheetViews>
    <sheetView topLeftCell="A13" zoomScaleNormal="100" zoomScaleSheetLayoutView="100" workbookViewId="0">
      <selection activeCell="F27" sqref="F27:AI27"/>
    </sheetView>
  </sheetViews>
  <sheetFormatPr defaultColWidth="8.875" defaultRowHeight="13.5"/>
  <cols>
    <col min="1" max="42" width="2.25" style="23" customWidth="1"/>
    <col min="43" max="43" width="6" style="23" bestFit="1" customWidth="1"/>
    <col min="44" max="44" width="4.5" style="23" bestFit="1" customWidth="1"/>
    <col min="45" max="45" width="6" style="23" bestFit="1" customWidth="1"/>
    <col min="46" max="46" width="4.5" style="23" bestFit="1" customWidth="1"/>
    <col min="47" max="47" width="9" style="23" bestFit="1" customWidth="1"/>
    <col min="48" max="48" width="8.5" style="23" bestFit="1" customWidth="1"/>
    <col min="49" max="49" width="7.5" style="23" bestFit="1" customWidth="1"/>
    <col min="50" max="50" width="6.5" style="23" bestFit="1" customWidth="1"/>
    <col min="51" max="51" width="7.5" style="23" bestFit="1" customWidth="1"/>
    <col min="52" max="52" width="2.125" style="23" customWidth="1"/>
    <col min="53" max="54" width="7.375" style="23" customWidth="1"/>
    <col min="55" max="63" width="3.625" style="23" bestFit="1" customWidth="1"/>
    <col min="64" max="84" width="4" style="23" bestFit="1" customWidth="1"/>
    <col min="85" max="16384" width="8.875" style="23"/>
  </cols>
  <sheetData>
    <row r="1" spans="1:85" ht="14.1" customHeight="1">
      <c r="A1" s="510" t="s">
        <v>551</v>
      </c>
      <c r="B1" s="510"/>
      <c r="C1" s="510"/>
      <c r="D1" s="510"/>
      <c r="E1" s="510"/>
      <c r="F1" s="510"/>
      <c r="G1" s="510"/>
      <c r="H1" s="510"/>
      <c r="I1" s="510"/>
      <c r="J1" s="510"/>
      <c r="K1" s="510"/>
      <c r="L1" s="510"/>
      <c r="M1" s="510"/>
      <c r="N1" s="510"/>
      <c r="O1" s="510"/>
      <c r="P1" s="510"/>
      <c r="Q1" s="510"/>
      <c r="R1" s="510"/>
      <c r="S1" s="510"/>
      <c r="T1" s="388"/>
      <c r="U1" s="388"/>
      <c r="V1" s="388"/>
      <c r="W1" s="388"/>
      <c r="X1" s="388"/>
      <c r="Y1" s="388"/>
      <c r="Z1" s="388"/>
      <c r="AA1" s="24"/>
      <c r="AB1" s="32"/>
      <c r="AD1" s="252" t="s">
        <v>167</v>
      </c>
      <c r="AE1" s="252"/>
      <c r="AF1" s="252"/>
      <c r="AG1" s="252"/>
      <c r="AH1" s="252"/>
      <c r="AI1" s="252"/>
      <c r="AM1" s="123">
        <v>5</v>
      </c>
      <c r="BB1"/>
    </row>
    <row r="2" spans="1:85" ht="14.1" customHeight="1">
      <c r="A2" s="510"/>
      <c r="B2" s="510"/>
      <c r="C2" s="510"/>
      <c r="D2" s="510"/>
      <c r="E2" s="510"/>
      <c r="F2" s="510"/>
      <c r="G2" s="510"/>
      <c r="H2" s="510"/>
      <c r="I2" s="510"/>
      <c r="J2" s="510"/>
      <c r="K2" s="510"/>
      <c r="L2" s="510"/>
      <c r="M2" s="510"/>
      <c r="N2" s="510"/>
      <c r="O2" s="510"/>
      <c r="P2" s="510"/>
      <c r="Q2" s="510"/>
      <c r="R2" s="510"/>
      <c r="S2" s="510"/>
      <c r="T2" s="388"/>
      <c r="U2" s="388"/>
      <c r="V2" s="388"/>
      <c r="W2" s="388"/>
      <c r="X2" s="388"/>
      <c r="Y2" s="388"/>
      <c r="Z2" s="388"/>
      <c r="AA2" s="25"/>
      <c r="AB2" s="31"/>
      <c r="AD2" s="253"/>
      <c r="AE2" s="253"/>
      <c r="AF2" s="253"/>
      <c r="AG2" s="253"/>
      <c r="AH2" s="253"/>
      <c r="AI2" s="253"/>
      <c r="BA2"/>
    </row>
    <row r="3" spans="1:85" ht="14.1" customHeight="1">
      <c r="A3" s="510"/>
      <c r="B3" s="510"/>
      <c r="C3" s="510"/>
      <c r="D3" s="510"/>
      <c r="E3" s="510"/>
      <c r="F3" s="510"/>
      <c r="G3" s="510"/>
      <c r="H3" s="510"/>
      <c r="I3" s="510"/>
      <c r="J3" s="510"/>
      <c r="K3" s="510"/>
      <c r="L3" s="510"/>
      <c r="M3" s="510"/>
      <c r="N3" s="510"/>
      <c r="O3" s="510"/>
      <c r="P3" s="510"/>
      <c r="Q3" s="510"/>
      <c r="R3" s="510"/>
      <c r="S3" s="510"/>
      <c r="T3" s="388"/>
      <c r="U3" s="388"/>
      <c r="V3" s="388"/>
      <c r="W3" s="388"/>
      <c r="X3" s="388"/>
      <c r="Y3" s="388"/>
      <c r="Z3" s="388"/>
      <c r="AA3" s="25"/>
      <c r="AB3" s="31"/>
      <c r="AD3" s="253"/>
      <c r="AE3" s="253"/>
      <c r="AF3" s="253"/>
      <c r="AG3" s="253"/>
      <c r="AH3" s="253"/>
      <c r="AI3" s="253"/>
      <c r="BA3"/>
    </row>
    <row r="4" spans="1:85" ht="14.1" customHeight="1">
      <c r="A4" s="395" t="s">
        <v>552</v>
      </c>
      <c r="B4" s="395"/>
      <c r="C4" s="395"/>
      <c r="D4" s="395"/>
      <c r="E4" s="395"/>
      <c r="F4" s="395"/>
      <c r="G4" s="395"/>
      <c r="H4" s="395"/>
      <c r="I4" s="395"/>
      <c r="J4" s="395"/>
      <c r="K4" s="395"/>
      <c r="L4" s="395"/>
      <c r="M4" s="395"/>
      <c r="N4" s="395"/>
      <c r="O4" s="395"/>
      <c r="P4" s="395"/>
      <c r="Q4" s="395"/>
      <c r="R4" s="395"/>
      <c r="S4" s="395"/>
      <c r="T4" s="155"/>
      <c r="U4" s="155"/>
      <c r="V4" s="155"/>
      <c r="W4" s="155"/>
      <c r="X4" s="155"/>
      <c r="Y4" s="155"/>
      <c r="Z4" s="155"/>
      <c r="AA4" s="26"/>
      <c r="AB4" s="31"/>
      <c r="AD4" s="253"/>
      <c r="AE4" s="253"/>
      <c r="AF4" s="253"/>
      <c r="AG4" s="253"/>
      <c r="AH4" s="253"/>
      <c r="AI4" s="253"/>
      <c r="BA4"/>
    </row>
    <row r="5" spans="1:85" ht="14.1" customHeight="1">
      <c r="A5" s="395"/>
      <c r="B5" s="395"/>
      <c r="C5" s="395"/>
      <c r="D5" s="395"/>
      <c r="E5" s="395"/>
      <c r="F5" s="395"/>
      <c r="G5" s="395"/>
      <c r="H5" s="395"/>
      <c r="I5" s="395"/>
      <c r="J5" s="395"/>
      <c r="K5" s="395"/>
      <c r="L5" s="395"/>
      <c r="M5" s="395"/>
      <c r="N5" s="395"/>
      <c r="O5" s="395"/>
      <c r="P5" s="395"/>
      <c r="Q5" s="395"/>
      <c r="R5" s="395"/>
      <c r="S5" s="395"/>
      <c r="T5" s="155"/>
      <c r="U5" s="155"/>
      <c r="V5" s="155"/>
      <c r="W5" s="155"/>
      <c r="X5" s="155"/>
      <c r="Y5" s="155"/>
      <c r="Z5" s="155"/>
      <c r="AA5" s="26"/>
      <c r="AB5" s="31"/>
      <c r="AC5" s="31"/>
      <c r="AD5" s="31"/>
      <c r="AE5" s="31"/>
      <c r="AF5" s="31"/>
      <c r="AG5" s="31"/>
      <c r="AH5" s="31"/>
      <c r="AI5" s="31"/>
      <c r="BA5"/>
    </row>
    <row r="6" spans="1:85" ht="14.1" customHeight="1" thickBot="1">
      <c r="A6" s="27"/>
      <c r="B6" s="27"/>
      <c r="C6" s="27"/>
      <c r="D6" s="27"/>
      <c r="E6" s="27"/>
      <c r="F6" s="27"/>
      <c r="G6" s="27"/>
      <c r="H6" s="27"/>
      <c r="I6" s="27"/>
      <c r="BA6"/>
    </row>
    <row r="7" spans="1:85" ht="12" customHeight="1">
      <c r="A7" s="255">
        <f>DATE(初期値!A2,初期値!A3,AM1)</f>
        <v>46178</v>
      </c>
      <c r="B7" s="256"/>
      <c r="C7" s="256"/>
      <c r="D7" s="256"/>
      <c r="E7" s="256"/>
      <c r="F7" s="259" t="s">
        <v>169</v>
      </c>
      <c r="G7" s="236">
        <f>$A$7</f>
        <v>46178</v>
      </c>
      <c r="H7" s="236"/>
      <c r="I7" s="236"/>
      <c r="J7" s="239" t="s">
        <v>170</v>
      </c>
      <c r="K7" s="261">
        <f>$A$7</f>
        <v>46178</v>
      </c>
      <c r="L7" s="261"/>
      <c r="M7" s="261"/>
      <c r="N7" s="239" t="s">
        <v>3</v>
      </c>
      <c r="O7" s="520">
        <f>$A$7</f>
        <v>46178</v>
      </c>
      <c r="P7" s="520"/>
      <c r="Q7" s="239" t="s">
        <v>292</v>
      </c>
      <c r="R7" s="240"/>
      <c r="S7" s="522" t="s">
        <v>553</v>
      </c>
      <c r="T7" s="244"/>
      <c r="U7" s="29" t="s">
        <v>554</v>
      </c>
      <c r="V7" s="518" t="s">
        <v>37</v>
      </c>
      <c r="W7" s="518"/>
      <c r="X7" s="518"/>
      <c r="Y7" s="511" t="s">
        <v>555</v>
      </c>
      <c r="Z7" s="512"/>
      <c r="AA7" s="513"/>
      <c r="AB7" s="244" t="str">
        <f>L43</f>
        <v>山本喜久</v>
      </c>
      <c r="AC7" s="244"/>
      <c r="AD7" s="244"/>
      <c r="AE7" s="244"/>
      <c r="AF7" s="244"/>
      <c r="AG7" s="244"/>
      <c r="AH7" s="244"/>
      <c r="AI7" s="245"/>
      <c r="AK7" s="425" t="s">
        <v>556</v>
      </c>
      <c r="AL7" s="425"/>
      <c r="AM7" s="425"/>
      <c r="AN7" s="425"/>
      <c r="AO7" s="425"/>
      <c r="AP7" s="425"/>
      <c r="AQ7" s="439" t="s">
        <v>557</v>
      </c>
      <c r="AR7" s="43"/>
      <c r="AS7" s="43"/>
      <c r="AT7" s="43"/>
      <c r="AU7" s="43"/>
      <c r="AV7" s="43"/>
      <c r="AW7" s="43"/>
      <c r="AX7" s="43"/>
      <c r="AY7" s="43"/>
      <c r="AZ7" s="43"/>
      <c r="BA7"/>
    </row>
    <row r="8" spans="1:85" ht="12" customHeight="1" thickBot="1">
      <c r="A8" s="257"/>
      <c r="B8" s="258"/>
      <c r="C8" s="258"/>
      <c r="D8" s="258"/>
      <c r="E8" s="258"/>
      <c r="F8" s="260"/>
      <c r="G8" s="237"/>
      <c r="H8" s="237"/>
      <c r="I8" s="237"/>
      <c r="J8" s="242"/>
      <c r="K8" s="262"/>
      <c r="L8" s="262"/>
      <c r="M8" s="262"/>
      <c r="N8" s="242"/>
      <c r="O8" s="521"/>
      <c r="P8" s="521"/>
      <c r="Q8" s="242"/>
      <c r="R8" s="243"/>
      <c r="S8" s="523"/>
      <c r="T8" s="246"/>
      <c r="U8" s="33" t="s">
        <v>558</v>
      </c>
      <c r="V8" s="519" t="s">
        <v>37</v>
      </c>
      <c r="W8" s="519"/>
      <c r="X8" s="519"/>
      <c r="Y8" s="514"/>
      <c r="Z8" s="515"/>
      <c r="AA8" s="516"/>
      <c r="AB8" s="246"/>
      <c r="AC8" s="246"/>
      <c r="AD8" s="246"/>
      <c r="AE8" s="246"/>
      <c r="AF8" s="246"/>
      <c r="AG8" s="246"/>
      <c r="AH8" s="246"/>
      <c r="AI8" s="247"/>
      <c r="AK8" s="425"/>
      <c r="AL8" s="425"/>
      <c r="AM8" s="425"/>
      <c r="AN8" s="425"/>
      <c r="AO8" s="425"/>
      <c r="AP8" s="425"/>
      <c r="AQ8" s="439"/>
      <c r="AR8" s="43"/>
      <c r="AS8" s="43"/>
      <c r="AT8" s="43"/>
      <c r="AU8" s="43"/>
      <c r="AV8" s="43"/>
      <c r="AW8" s="43"/>
      <c r="AX8" s="43"/>
      <c r="AY8" s="43"/>
      <c r="AZ8" s="43"/>
      <c r="BA8"/>
    </row>
    <row r="9" spans="1:85" ht="18" customHeight="1">
      <c r="A9" s="507" t="s">
        <v>559</v>
      </c>
      <c r="B9" s="508"/>
      <c r="C9" s="508"/>
      <c r="D9" s="508"/>
      <c r="E9" s="508"/>
      <c r="F9" s="508"/>
      <c r="G9" s="508"/>
      <c r="H9" s="508"/>
      <c r="I9" s="508"/>
      <c r="J9" s="508"/>
      <c r="K9" s="508"/>
      <c r="L9" s="508"/>
      <c r="M9" s="508"/>
      <c r="N9" s="508"/>
      <c r="O9" s="508"/>
      <c r="P9" s="508"/>
      <c r="Q9" s="508"/>
      <c r="R9" s="508"/>
      <c r="S9" s="508"/>
      <c r="T9" s="508"/>
      <c r="U9" s="508"/>
      <c r="V9" s="508"/>
      <c r="W9" s="508"/>
      <c r="X9" s="508"/>
      <c r="Y9" s="508"/>
      <c r="Z9" s="508"/>
      <c r="AA9" s="508"/>
      <c r="AB9" s="508"/>
      <c r="AC9" s="508"/>
      <c r="AD9" s="508"/>
      <c r="AE9" s="508"/>
      <c r="AF9" s="508"/>
      <c r="AG9" s="508"/>
      <c r="AH9" s="508"/>
      <c r="AI9" s="509"/>
      <c r="AK9" s="440" t="s">
        <v>560</v>
      </c>
      <c r="AL9" s="440"/>
      <c r="AM9" s="440"/>
      <c r="AN9" s="440"/>
      <c r="AO9" s="440"/>
      <c r="AP9" s="440"/>
      <c r="AQ9" s="42">
        <v>61</v>
      </c>
      <c r="AR9" s="43"/>
      <c r="AS9" s="44" t="s">
        <v>561</v>
      </c>
      <c r="AT9" s="44" t="s">
        <v>562</v>
      </c>
      <c r="AU9" s="44" t="s">
        <v>563</v>
      </c>
      <c r="AV9" s="44" t="s">
        <v>564</v>
      </c>
      <c r="AW9" s="45" t="s">
        <v>565</v>
      </c>
      <c r="AX9" s="45" t="s">
        <v>566</v>
      </c>
      <c r="AY9" s="44" t="s">
        <v>567</v>
      </c>
      <c r="AZ9" s="43"/>
      <c r="BB9" s="49" t="s">
        <v>568</v>
      </c>
      <c r="BC9" s="43"/>
      <c r="BD9" s="43"/>
      <c r="BE9" s="43"/>
      <c r="BF9" s="43"/>
      <c r="BG9" s="43"/>
      <c r="BH9" s="43"/>
      <c r="BI9" s="43"/>
      <c r="BJ9" s="43"/>
      <c r="BK9" s="43"/>
      <c r="BL9" s="43"/>
      <c r="BM9" s="43"/>
      <c r="BN9" s="43"/>
      <c r="BO9" s="43"/>
      <c r="BP9" s="43"/>
      <c r="BQ9" s="43"/>
      <c r="BR9" s="43"/>
      <c r="BS9" s="43"/>
      <c r="BT9" s="43"/>
      <c r="BU9" s="43"/>
      <c r="BV9" s="43"/>
      <c r="BW9" s="43"/>
      <c r="BX9" s="43"/>
      <c r="BY9" s="43"/>
      <c r="BZ9" s="43"/>
      <c r="CA9" s="43"/>
      <c r="CB9" s="43"/>
      <c r="CC9" s="43"/>
      <c r="CD9" s="43"/>
      <c r="CE9" s="43"/>
      <c r="CF9" s="43"/>
      <c r="CG9" s="43"/>
    </row>
    <row r="10" spans="1:85" ht="18" customHeight="1">
      <c r="A10" s="265" t="s">
        <v>569</v>
      </c>
      <c r="B10" s="266"/>
      <c r="C10" s="266"/>
      <c r="D10" s="266"/>
      <c r="E10" s="266"/>
      <c r="F10" s="266"/>
      <c r="G10" s="266"/>
      <c r="H10" s="266"/>
      <c r="I10" s="264">
        <f>AQ14</f>
        <v>3</v>
      </c>
      <c r="J10" s="264"/>
      <c r="K10" s="267" t="s">
        <v>176</v>
      </c>
      <c r="L10" s="268"/>
      <c r="M10" s="269" t="s">
        <v>570</v>
      </c>
      <c r="N10" s="266"/>
      <c r="O10" s="266"/>
      <c r="P10" s="266"/>
      <c r="Q10" s="266"/>
      <c r="R10" s="266"/>
      <c r="S10" s="266"/>
      <c r="T10" s="266"/>
      <c r="U10" s="264">
        <f>AQ37</f>
        <v>0</v>
      </c>
      <c r="V10" s="264"/>
      <c r="W10" s="267" t="s">
        <v>176</v>
      </c>
      <c r="X10" s="268"/>
      <c r="Y10" s="269" t="s">
        <v>571</v>
      </c>
      <c r="Z10" s="266"/>
      <c r="AA10" s="266"/>
      <c r="AB10" s="266"/>
      <c r="AC10" s="266"/>
      <c r="AD10" s="266"/>
      <c r="AE10" s="266"/>
      <c r="AF10" s="266"/>
      <c r="AG10" s="264">
        <f>AQ26+AQ25</f>
        <v>0</v>
      </c>
      <c r="AH10" s="264"/>
      <c r="AI10" s="28" t="s">
        <v>176</v>
      </c>
      <c r="AK10" s="440" t="s">
        <v>572</v>
      </c>
      <c r="AL10" s="440"/>
      <c r="AM10" s="440"/>
      <c r="AN10" s="440"/>
      <c r="AO10" s="440"/>
      <c r="AP10" s="440"/>
      <c r="AQ10" s="42"/>
      <c r="AR10" s="43"/>
      <c r="AS10" s="46">
        <v>1</v>
      </c>
      <c r="AT10" s="46"/>
      <c r="AU10" s="46" t="s">
        <v>20</v>
      </c>
      <c r="AV10" s="47" t="s">
        <v>573</v>
      </c>
      <c r="AW10" s="47" t="s">
        <v>574</v>
      </c>
      <c r="AX10" s="47">
        <v>0.33333333333333331</v>
      </c>
      <c r="AY10" s="47">
        <v>0.83333333333333337</v>
      </c>
      <c r="AZ10" s="43"/>
      <c r="BB10" s="49" t="s">
        <v>95</v>
      </c>
      <c r="BC10" s="120">
        <v>1</v>
      </c>
      <c r="BD10" s="120">
        <v>2</v>
      </c>
      <c r="BE10" s="120">
        <v>3</v>
      </c>
      <c r="BF10" s="120">
        <v>4</v>
      </c>
      <c r="BG10" s="120">
        <v>5</v>
      </c>
      <c r="BH10" s="120">
        <v>6</v>
      </c>
      <c r="BI10" s="120">
        <v>7</v>
      </c>
      <c r="BJ10" s="120">
        <v>8</v>
      </c>
      <c r="BK10" s="120">
        <v>9</v>
      </c>
      <c r="BL10" s="120">
        <v>10</v>
      </c>
      <c r="BM10" s="120">
        <v>11</v>
      </c>
      <c r="BN10" s="120">
        <v>12</v>
      </c>
      <c r="BO10" s="120">
        <v>13</v>
      </c>
      <c r="BP10" s="120">
        <v>14</v>
      </c>
      <c r="BQ10" s="120">
        <v>15</v>
      </c>
      <c r="BR10" s="120">
        <v>16</v>
      </c>
      <c r="BS10" s="120">
        <v>17</v>
      </c>
      <c r="BT10" s="120">
        <v>18</v>
      </c>
      <c r="BU10" s="120">
        <v>19</v>
      </c>
      <c r="BV10" s="120">
        <v>20</v>
      </c>
      <c r="BW10" s="120">
        <v>21</v>
      </c>
      <c r="BX10" s="120">
        <v>22</v>
      </c>
      <c r="BY10" s="120">
        <v>23</v>
      </c>
      <c r="BZ10" s="120">
        <v>24</v>
      </c>
      <c r="CA10" s="120">
        <v>25</v>
      </c>
      <c r="CB10" s="120">
        <v>26</v>
      </c>
      <c r="CC10" s="120">
        <v>27</v>
      </c>
      <c r="CD10" s="120">
        <v>28</v>
      </c>
      <c r="CE10" s="120">
        <v>29</v>
      </c>
      <c r="CF10" s="120">
        <v>30</v>
      </c>
      <c r="CG10" s="43"/>
    </row>
    <row r="11" spans="1:85" ht="18" customHeight="1">
      <c r="A11" s="265" t="s">
        <v>575</v>
      </c>
      <c r="B11" s="266"/>
      <c r="C11" s="266"/>
      <c r="D11" s="266"/>
      <c r="E11" s="266"/>
      <c r="F11" s="266"/>
      <c r="G11" s="266"/>
      <c r="H11" s="266"/>
      <c r="I11" s="264">
        <f>AQ27</f>
        <v>0</v>
      </c>
      <c r="J11" s="264"/>
      <c r="K11" s="267" t="s">
        <v>176</v>
      </c>
      <c r="L11" s="268"/>
      <c r="M11" s="269" t="s">
        <v>576</v>
      </c>
      <c r="N11" s="266"/>
      <c r="O11" s="266"/>
      <c r="P11" s="266"/>
      <c r="Q11" s="266"/>
      <c r="R11" s="266"/>
      <c r="S11" s="266"/>
      <c r="T11" s="266"/>
      <c r="U11" s="264">
        <f>AQ36</f>
        <v>1</v>
      </c>
      <c r="V11" s="264"/>
      <c r="W11" s="267" t="s">
        <v>176</v>
      </c>
      <c r="X11" s="268"/>
      <c r="Y11" s="269" t="s">
        <v>577</v>
      </c>
      <c r="Z11" s="266"/>
      <c r="AA11" s="266"/>
      <c r="AB11" s="266"/>
      <c r="AC11" s="266"/>
      <c r="AD11" s="266"/>
      <c r="AE11" s="266"/>
      <c r="AF11" s="266"/>
      <c r="AG11" s="264">
        <f>AQ34</f>
        <v>0</v>
      </c>
      <c r="AH11" s="264"/>
      <c r="AI11" s="28" t="s">
        <v>176</v>
      </c>
      <c r="AK11" s="441" t="s">
        <v>578</v>
      </c>
      <c r="AL11" s="442"/>
      <c r="AM11" s="442"/>
      <c r="AN11" s="442"/>
      <c r="AO11" s="442"/>
      <c r="AP11" s="443"/>
      <c r="AQ11" s="42">
        <v>24</v>
      </c>
      <c r="AR11" s="43"/>
      <c r="AS11" s="46">
        <v>2</v>
      </c>
      <c r="AT11" s="46"/>
      <c r="AU11" s="46"/>
      <c r="AV11" s="47" t="s">
        <v>579</v>
      </c>
      <c r="AW11" s="47" t="s">
        <v>580</v>
      </c>
      <c r="AX11" s="47">
        <v>0.33333333333333331</v>
      </c>
      <c r="AY11" s="47">
        <v>0.58333333333333337</v>
      </c>
      <c r="AZ11" s="43"/>
      <c r="BB11" s="121" t="s">
        <v>581</v>
      </c>
      <c r="BC11" s="138" t="s">
        <v>582</v>
      </c>
      <c r="BD11" s="138" t="s">
        <v>583</v>
      </c>
      <c r="BE11" s="138" t="s">
        <v>584</v>
      </c>
      <c r="BF11" s="138" t="s">
        <v>585</v>
      </c>
      <c r="BG11" s="139" t="s">
        <v>584</v>
      </c>
      <c r="BH11" s="138" t="s">
        <v>582</v>
      </c>
      <c r="BI11" s="138" t="s">
        <v>585</v>
      </c>
      <c r="BJ11" s="138" t="s">
        <v>583</v>
      </c>
      <c r="BK11" s="138" t="s">
        <v>584</v>
      </c>
      <c r="BL11" s="138" t="s">
        <v>583</v>
      </c>
      <c r="BM11" s="138" t="s">
        <v>585</v>
      </c>
      <c r="BN11" s="138" t="s">
        <v>582</v>
      </c>
      <c r="BO11" s="138" t="s">
        <v>584</v>
      </c>
      <c r="BP11" s="138" t="s">
        <v>585</v>
      </c>
      <c r="BQ11" s="138" t="s">
        <v>583</v>
      </c>
      <c r="BR11" s="138" t="s">
        <v>585</v>
      </c>
      <c r="BS11" s="138" t="s">
        <v>584</v>
      </c>
      <c r="BT11" s="138" t="s">
        <v>582</v>
      </c>
      <c r="BU11" s="138" t="s">
        <v>583</v>
      </c>
      <c r="BV11" s="138" t="s">
        <v>585</v>
      </c>
      <c r="BW11" s="138" t="s">
        <v>582</v>
      </c>
      <c r="BX11" s="138" t="s">
        <v>584</v>
      </c>
      <c r="BY11" s="138" t="s">
        <v>585</v>
      </c>
      <c r="BZ11" s="138" t="s">
        <v>583</v>
      </c>
      <c r="CA11" s="138" t="s">
        <v>582</v>
      </c>
      <c r="CB11" s="138" t="s">
        <v>585</v>
      </c>
      <c r="CC11" s="138" t="s">
        <v>584</v>
      </c>
      <c r="CD11" s="138" t="s">
        <v>582</v>
      </c>
      <c r="CE11" s="138" t="s">
        <v>585</v>
      </c>
      <c r="CF11" s="138" t="s">
        <v>583</v>
      </c>
      <c r="CG11" s="43"/>
    </row>
    <row r="12" spans="1:85" ht="18" customHeight="1">
      <c r="A12" s="265" t="s">
        <v>586</v>
      </c>
      <c r="B12" s="266"/>
      <c r="C12" s="266"/>
      <c r="D12" s="266"/>
      <c r="E12" s="266"/>
      <c r="F12" s="266"/>
      <c r="G12" s="266"/>
      <c r="H12" s="266"/>
      <c r="I12" s="264">
        <f>AQ33</f>
        <v>0</v>
      </c>
      <c r="J12" s="264"/>
      <c r="K12" s="267" t="s">
        <v>176</v>
      </c>
      <c r="L12" s="268"/>
      <c r="M12" s="269" t="s">
        <v>587</v>
      </c>
      <c r="N12" s="266"/>
      <c r="O12" s="266"/>
      <c r="P12" s="266"/>
      <c r="Q12" s="266"/>
      <c r="R12" s="266"/>
      <c r="S12" s="266"/>
      <c r="T12" s="266"/>
      <c r="U12" s="264">
        <f>AQ24</f>
        <v>1</v>
      </c>
      <c r="V12" s="264"/>
      <c r="W12" s="267" t="s">
        <v>176</v>
      </c>
      <c r="X12" s="268"/>
      <c r="Y12" s="269" t="s">
        <v>588</v>
      </c>
      <c r="Z12" s="266"/>
      <c r="AA12" s="266"/>
      <c r="AB12" s="266"/>
      <c r="AC12" s="266"/>
      <c r="AD12" s="266"/>
      <c r="AE12" s="266"/>
      <c r="AF12" s="266"/>
      <c r="AG12" s="264">
        <f>AQ20+AQ21+AQ22+AQ23</f>
        <v>1</v>
      </c>
      <c r="AH12" s="264"/>
      <c r="AI12" s="28" t="s">
        <v>176</v>
      </c>
      <c r="AK12" s="441" t="s">
        <v>589</v>
      </c>
      <c r="AL12" s="442"/>
      <c r="AM12" s="442"/>
      <c r="AN12" s="442"/>
      <c r="AO12" s="442"/>
      <c r="AP12" s="443"/>
      <c r="AQ12" s="42">
        <v>16</v>
      </c>
      <c r="AR12" s="43"/>
      <c r="AS12" s="46">
        <v>3</v>
      </c>
      <c r="AT12" s="46"/>
      <c r="AU12" s="46"/>
      <c r="AV12" s="47" t="s">
        <v>590</v>
      </c>
      <c r="AW12" s="47" t="s">
        <v>574</v>
      </c>
      <c r="AX12" s="47">
        <v>0.58333333333333337</v>
      </c>
      <c r="AY12" s="47">
        <v>0.83333333333333337</v>
      </c>
      <c r="AZ12" s="43"/>
      <c r="BB12" s="49"/>
      <c r="BC12" s="43"/>
      <c r="BD12" s="43"/>
      <c r="BE12" s="43"/>
      <c r="BF12" s="43"/>
      <c r="BG12" s="43"/>
      <c r="BH12" s="43"/>
      <c r="BI12" s="43"/>
      <c r="BJ12" s="43"/>
      <c r="BK12" s="43"/>
      <c r="BL12" s="43"/>
      <c r="BM12" s="43"/>
      <c r="BN12" s="43"/>
      <c r="BO12" s="43"/>
      <c r="BP12" s="43"/>
      <c r="BQ12" s="43"/>
      <c r="BR12" s="43"/>
      <c r="BS12" s="43"/>
      <c r="BT12" s="43"/>
      <c r="BU12" s="43"/>
      <c r="BV12" s="43"/>
      <c r="BW12" s="43"/>
      <c r="BX12" s="43"/>
      <c r="BY12" s="43"/>
      <c r="BZ12" s="43"/>
      <c r="CA12" s="43"/>
      <c r="CB12" s="43"/>
      <c r="CC12" s="43"/>
      <c r="CD12" s="43"/>
      <c r="CE12" s="43"/>
      <c r="CF12" s="43"/>
      <c r="CG12" s="43"/>
    </row>
    <row r="13" spans="1:85" ht="18" customHeight="1" thickBot="1">
      <c r="A13" s="517" t="s">
        <v>591</v>
      </c>
      <c r="B13" s="277"/>
      <c r="C13" s="277"/>
      <c r="D13" s="277"/>
      <c r="E13" s="277"/>
      <c r="F13" s="277"/>
      <c r="G13" s="277"/>
      <c r="H13" s="277"/>
      <c r="I13" s="272">
        <f>AQ30+AQ31</f>
        <v>0</v>
      </c>
      <c r="J13" s="272"/>
      <c r="K13" s="273" t="s">
        <v>176</v>
      </c>
      <c r="L13" s="274"/>
      <c r="M13" s="276" t="s">
        <v>592</v>
      </c>
      <c r="N13" s="277"/>
      <c r="O13" s="277"/>
      <c r="P13" s="277"/>
      <c r="Q13" s="277"/>
      <c r="R13" s="277"/>
      <c r="S13" s="277"/>
      <c r="T13" s="277"/>
      <c r="U13" s="272">
        <f>AQ28</f>
        <v>0</v>
      </c>
      <c r="V13" s="272"/>
      <c r="W13" s="273" t="s">
        <v>176</v>
      </c>
      <c r="X13" s="274"/>
      <c r="Y13" s="276" t="s">
        <v>593</v>
      </c>
      <c r="Z13" s="277"/>
      <c r="AA13" s="277"/>
      <c r="AB13" s="277"/>
      <c r="AC13" s="277"/>
      <c r="AD13" s="277"/>
      <c r="AE13" s="277"/>
      <c r="AF13" s="277"/>
      <c r="AG13" s="272">
        <f>AQ13</f>
        <v>4</v>
      </c>
      <c r="AH13" s="272"/>
      <c r="AI13" s="34" t="s">
        <v>176</v>
      </c>
      <c r="AK13" s="425" t="s">
        <v>594</v>
      </c>
      <c r="AL13" s="425"/>
      <c r="AM13" s="425"/>
      <c r="AN13" s="425"/>
      <c r="AO13" s="425"/>
      <c r="AP13" s="425"/>
      <c r="AQ13" s="42">
        <v>4</v>
      </c>
      <c r="AR13" s="43"/>
      <c r="AS13" s="46">
        <v>4</v>
      </c>
      <c r="AT13" s="46"/>
      <c r="AU13" s="46" t="s">
        <v>602</v>
      </c>
      <c r="AV13" s="47" t="s">
        <v>595</v>
      </c>
      <c r="AW13" s="47" t="s">
        <v>596</v>
      </c>
      <c r="AX13" s="47">
        <v>0.33333333333333331</v>
      </c>
      <c r="AY13" s="47">
        <v>0.83333333333333337</v>
      </c>
      <c r="AZ13" s="43"/>
      <c r="BB13" s="121" t="s">
        <v>597</v>
      </c>
      <c r="BC13" s="140" t="s">
        <v>20</v>
      </c>
      <c r="BD13" s="140" t="s">
        <v>119</v>
      </c>
      <c r="BE13" s="140" t="s">
        <v>20</v>
      </c>
      <c r="BF13" s="140" t="s">
        <v>20</v>
      </c>
      <c r="BG13" s="140" t="s">
        <v>20</v>
      </c>
      <c r="BH13" s="140" t="s">
        <v>20</v>
      </c>
      <c r="BI13" s="140" t="s">
        <v>80</v>
      </c>
      <c r="BJ13" s="140" t="s">
        <v>20</v>
      </c>
      <c r="BK13" s="140" t="s">
        <v>20</v>
      </c>
      <c r="BL13" s="140" t="s">
        <v>20</v>
      </c>
      <c r="BM13" s="140" t="s">
        <v>20</v>
      </c>
      <c r="BN13" s="140" t="s">
        <v>20</v>
      </c>
      <c r="BO13" s="140" t="s">
        <v>119</v>
      </c>
      <c r="BP13" s="140" t="s">
        <v>119</v>
      </c>
      <c r="BQ13" s="140" t="s">
        <v>20</v>
      </c>
      <c r="BR13" s="140" t="s">
        <v>119</v>
      </c>
      <c r="BS13" s="140" t="s">
        <v>20</v>
      </c>
      <c r="BT13" s="140" t="s">
        <v>20</v>
      </c>
      <c r="BU13" s="140" t="s">
        <v>20</v>
      </c>
      <c r="BV13" s="140" t="s">
        <v>119</v>
      </c>
      <c r="BW13" s="140" t="s">
        <v>119</v>
      </c>
      <c r="BX13" s="140" t="s">
        <v>20</v>
      </c>
      <c r="BY13" s="140" t="s">
        <v>119</v>
      </c>
      <c r="BZ13" s="140" t="s">
        <v>20</v>
      </c>
      <c r="CA13" s="140" t="s">
        <v>119</v>
      </c>
      <c r="CB13" s="140" t="s">
        <v>20</v>
      </c>
      <c r="CC13" s="140" t="s">
        <v>20</v>
      </c>
      <c r="CD13" s="140" t="s">
        <v>119</v>
      </c>
      <c r="CE13" s="140" t="s">
        <v>20</v>
      </c>
      <c r="CF13" s="140" t="s">
        <v>119</v>
      </c>
      <c r="CG13" s="43"/>
    </row>
    <row r="14" spans="1:85" ht="18" customHeight="1" thickBot="1">
      <c r="A14" s="452" t="s">
        <v>598</v>
      </c>
      <c r="B14" s="453"/>
      <c r="C14" s="453"/>
      <c r="D14" s="453"/>
      <c r="E14" s="453"/>
      <c r="F14" s="453"/>
      <c r="G14" s="453"/>
      <c r="H14" s="453"/>
      <c r="I14" s="453"/>
      <c r="J14" s="453"/>
      <c r="K14" s="453"/>
      <c r="L14" s="453"/>
      <c r="M14" s="453"/>
      <c r="N14" s="453"/>
      <c r="O14" s="453"/>
      <c r="P14" s="453"/>
      <c r="Q14" s="453"/>
      <c r="R14" s="453"/>
      <c r="S14" s="453"/>
      <c r="T14" s="453"/>
      <c r="U14" s="453"/>
      <c r="V14" s="453"/>
      <c r="W14" s="453"/>
      <c r="X14" s="453"/>
      <c r="Y14" s="453"/>
      <c r="Z14" s="453"/>
      <c r="AA14" s="453"/>
      <c r="AB14" s="453"/>
      <c r="AC14" s="453"/>
      <c r="AD14" s="453"/>
      <c r="AE14" s="453"/>
      <c r="AF14" s="453"/>
      <c r="AG14" s="453"/>
      <c r="AH14" s="453"/>
      <c r="AI14" s="454"/>
      <c r="AK14" s="440" t="s">
        <v>599</v>
      </c>
      <c r="AL14" s="440"/>
      <c r="AM14" s="440"/>
      <c r="AN14" s="440"/>
      <c r="AO14" s="440"/>
      <c r="AP14" s="440"/>
      <c r="AQ14" s="42">
        <v>3</v>
      </c>
      <c r="AR14" s="43"/>
      <c r="AS14" s="46">
        <v>5</v>
      </c>
      <c r="AT14" s="46"/>
      <c r="AU14" s="46"/>
      <c r="AV14" s="47" t="s">
        <v>600</v>
      </c>
      <c r="AW14" s="47" t="s">
        <v>596</v>
      </c>
      <c r="AX14" s="47">
        <v>0.33333333333333331</v>
      </c>
      <c r="AY14" s="47">
        <v>0.83333333333333337</v>
      </c>
      <c r="AZ14" s="43"/>
      <c r="BB14" s="121" t="s">
        <v>601</v>
      </c>
      <c r="BC14" s="162" t="s">
        <v>28</v>
      </c>
      <c r="BD14" s="162" t="s">
        <v>602</v>
      </c>
      <c r="BE14" s="162" t="s">
        <v>602</v>
      </c>
      <c r="BF14" s="162" t="s">
        <v>28</v>
      </c>
      <c r="BG14" s="162" t="s">
        <v>602</v>
      </c>
      <c r="BH14" s="162" t="s">
        <v>602</v>
      </c>
      <c r="BI14" s="162" t="s">
        <v>28</v>
      </c>
      <c r="BJ14" s="162" t="s">
        <v>28</v>
      </c>
      <c r="BK14" s="162" t="s">
        <v>602</v>
      </c>
      <c r="BL14" s="162" t="s">
        <v>28</v>
      </c>
      <c r="BM14" s="162" t="s">
        <v>602</v>
      </c>
      <c r="BN14" s="162" t="s">
        <v>28</v>
      </c>
      <c r="BO14" s="162" t="s">
        <v>28</v>
      </c>
      <c r="BP14" s="162" t="s">
        <v>76</v>
      </c>
      <c r="BQ14" s="162" t="s">
        <v>28</v>
      </c>
      <c r="BR14" s="162" t="s">
        <v>602</v>
      </c>
      <c r="BS14" s="162" t="s">
        <v>28</v>
      </c>
      <c r="BT14" s="162" t="s">
        <v>602</v>
      </c>
      <c r="BU14" s="162" t="s">
        <v>28</v>
      </c>
      <c r="BV14" s="162" t="s">
        <v>602</v>
      </c>
      <c r="BW14" s="162" t="s">
        <v>28</v>
      </c>
      <c r="BX14" s="162" t="s">
        <v>28</v>
      </c>
      <c r="BY14" s="162" t="s">
        <v>602</v>
      </c>
      <c r="BZ14" s="162" t="s">
        <v>28</v>
      </c>
      <c r="CA14" s="162" t="s">
        <v>602</v>
      </c>
      <c r="CB14" s="162" t="s">
        <v>28</v>
      </c>
      <c r="CC14" s="162" t="s">
        <v>28</v>
      </c>
      <c r="CD14" s="162" t="s">
        <v>76</v>
      </c>
      <c r="CE14" s="162" t="s">
        <v>28</v>
      </c>
      <c r="CF14" s="162" t="s">
        <v>602</v>
      </c>
      <c r="CG14" s="43"/>
    </row>
    <row r="15" spans="1:85" ht="18" customHeight="1" thickBot="1">
      <c r="A15" s="30" t="s">
        <v>189</v>
      </c>
      <c r="B15" s="264" t="s">
        <v>603</v>
      </c>
      <c r="C15" s="264"/>
      <c r="D15" s="264"/>
      <c r="E15" s="264"/>
      <c r="F15" s="264"/>
      <c r="G15" s="264"/>
      <c r="H15" s="264"/>
      <c r="I15" s="264"/>
      <c r="J15" s="278">
        <f>AQ9+AQ10</f>
        <v>61</v>
      </c>
      <c r="K15" s="278"/>
      <c r="L15" s="278"/>
      <c r="M15" s="264" t="s">
        <v>176</v>
      </c>
      <c r="N15" s="264"/>
      <c r="O15" s="264" t="s">
        <v>604</v>
      </c>
      <c r="P15" s="264"/>
      <c r="Q15" s="264"/>
      <c r="R15" s="264"/>
      <c r="S15" s="264"/>
      <c r="T15" s="264"/>
      <c r="U15" s="264"/>
      <c r="V15" s="264"/>
      <c r="W15" s="278">
        <f>AQ11+AQ12</f>
        <v>40</v>
      </c>
      <c r="X15" s="278"/>
      <c r="Y15" s="278"/>
      <c r="Z15" s="264" t="s">
        <v>176</v>
      </c>
      <c r="AA15" s="264"/>
      <c r="AB15" s="503" t="s">
        <v>605</v>
      </c>
      <c r="AC15" s="503"/>
      <c r="AD15" s="503"/>
      <c r="AE15" s="503"/>
      <c r="AF15" s="503"/>
      <c r="AG15" s="503"/>
      <c r="AH15" s="281" t="s">
        <v>584</v>
      </c>
      <c r="AI15" s="282"/>
      <c r="AK15" s="425" t="s">
        <v>606</v>
      </c>
      <c r="AL15" s="425"/>
      <c r="AM15" s="425"/>
      <c r="AN15" s="425"/>
      <c r="AO15" s="425"/>
      <c r="AP15" s="425"/>
      <c r="AQ15" s="42"/>
      <c r="AR15" s="43"/>
      <c r="AS15" s="46">
        <v>6</v>
      </c>
      <c r="AT15" s="46"/>
      <c r="AU15" s="46"/>
      <c r="AV15" s="47" t="s">
        <v>607</v>
      </c>
      <c r="AW15" s="47" t="s">
        <v>596</v>
      </c>
      <c r="AX15" s="47">
        <v>0.33333333333333331</v>
      </c>
      <c r="AY15" s="47">
        <v>0.83333333333333337</v>
      </c>
      <c r="AZ15" s="43"/>
      <c r="BB15" s="121" t="s">
        <v>31</v>
      </c>
      <c r="BC15" s="163" t="s">
        <v>119</v>
      </c>
      <c r="BD15" s="164"/>
      <c r="BE15" s="165" t="s">
        <v>28</v>
      </c>
      <c r="BF15" s="165" t="s">
        <v>119</v>
      </c>
      <c r="BG15" s="164"/>
      <c r="BH15" s="164"/>
      <c r="BI15" s="164"/>
      <c r="BJ15" s="164"/>
      <c r="BK15" s="165" t="s">
        <v>119</v>
      </c>
      <c r="BL15" s="165" t="s">
        <v>602</v>
      </c>
      <c r="BM15" s="165" t="s">
        <v>119</v>
      </c>
      <c r="BN15" s="165" t="s">
        <v>602</v>
      </c>
      <c r="BO15" s="164"/>
      <c r="BP15" s="164"/>
      <c r="BQ15" s="165" t="s">
        <v>608</v>
      </c>
      <c r="BR15" s="165" t="s">
        <v>20</v>
      </c>
      <c r="BS15" s="165" t="s">
        <v>602</v>
      </c>
      <c r="BT15" s="165" t="s">
        <v>119</v>
      </c>
      <c r="BU15" s="165" t="s">
        <v>602</v>
      </c>
      <c r="BV15" s="164"/>
      <c r="BW15" s="164"/>
      <c r="BX15" s="165" t="s">
        <v>119</v>
      </c>
      <c r="BY15" s="165" t="s">
        <v>20</v>
      </c>
      <c r="BZ15" s="165" t="s">
        <v>602</v>
      </c>
      <c r="CA15" s="165" t="s">
        <v>20</v>
      </c>
      <c r="CB15" s="165" t="s">
        <v>602</v>
      </c>
      <c r="CC15" s="165" t="s">
        <v>602</v>
      </c>
      <c r="CD15" s="164"/>
      <c r="CE15" s="165" t="s">
        <v>119</v>
      </c>
      <c r="CF15" s="165" t="s">
        <v>20</v>
      </c>
      <c r="CG15" s="43"/>
    </row>
    <row r="16" spans="1:85" ht="18" customHeight="1">
      <c r="A16" s="504" t="s">
        <v>609</v>
      </c>
      <c r="B16" s="505"/>
      <c r="C16" s="505"/>
      <c r="D16" s="505"/>
      <c r="E16" s="505"/>
      <c r="F16" s="505"/>
      <c r="G16" s="505"/>
      <c r="H16" s="505"/>
      <c r="I16" s="505"/>
      <c r="J16" s="505"/>
      <c r="K16" s="505"/>
      <c r="L16" s="505"/>
      <c r="M16" s="505"/>
      <c r="N16" s="505"/>
      <c r="O16" s="505"/>
      <c r="P16" s="505"/>
      <c r="Q16" s="505"/>
      <c r="R16" s="505"/>
      <c r="S16" s="505"/>
      <c r="T16" s="505"/>
      <c r="U16" s="505"/>
      <c r="V16" s="505"/>
      <c r="W16" s="505"/>
      <c r="X16" s="505"/>
      <c r="Y16" s="505"/>
      <c r="Z16" s="505"/>
      <c r="AA16" s="505"/>
      <c r="AB16" s="505"/>
      <c r="AC16" s="505"/>
      <c r="AD16" s="505"/>
      <c r="AE16" s="505"/>
      <c r="AF16" s="505"/>
      <c r="AG16" s="505"/>
      <c r="AH16" s="505"/>
      <c r="AI16" s="506"/>
      <c r="AK16" s="425" t="s">
        <v>610</v>
      </c>
      <c r="AL16" s="425"/>
      <c r="AM16" s="425"/>
      <c r="AN16" s="425"/>
      <c r="AO16" s="425"/>
      <c r="AP16" s="425"/>
      <c r="AQ16" s="42"/>
      <c r="AR16" s="43"/>
      <c r="AS16" s="46">
        <v>7</v>
      </c>
      <c r="AT16" s="46"/>
      <c r="AU16" s="46" t="s">
        <v>42</v>
      </c>
      <c r="AV16" s="47" t="s">
        <v>611</v>
      </c>
      <c r="AW16" s="47" t="s">
        <v>612</v>
      </c>
      <c r="AX16" s="47">
        <v>0.83333333333333337</v>
      </c>
      <c r="AY16" s="47" t="s">
        <v>613</v>
      </c>
      <c r="AZ16" s="43"/>
      <c r="BB16" s="121" t="s">
        <v>614</v>
      </c>
      <c r="BC16" s="142" t="s">
        <v>20</v>
      </c>
      <c r="BD16" s="140" t="s">
        <v>67</v>
      </c>
      <c r="BE16" s="142" t="s">
        <v>42</v>
      </c>
      <c r="BF16" s="142" t="s">
        <v>20</v>
      </c>
      <c r="BG16" s="142" t="s">
        <v>42</v>
      </c>
      <c r="BH16" s="142" t="s">
        <v>61</v>
      </c>
      <c r="BI16" s="142" t="s">
        <v>67</v>
      </c>
      <c r="BJ16" s="142" t="s">
        <v>67</v>
      </c>
      <c r="BK16" s="142" t="s">
        <v>42</v>
      </c>
      <c r="BL16" s="142" t="s">
        <v>42</v>
      </c>
      <c r="BM16" s="142" t="s">
        <v>67</v>
      </c>
      <c r="BN16" s="142" t="s">
        <v>67</v>
      </c>
      <c r="BO16" s="142" t="s">
        <v>42</v>
      </c>
      <c r="BP16" s="142" t="s">
        <v>67</v>
      </c>
      <c r="BQ16" s="142" t="s">
        <v>20</v>
      </c>
      <c r="BR16" s="142" t="s">
        <v>71</v>
      </c>
      <c r="BS16" s="142" t="s">
        <v>67</v>
      </c>
      <c r="BT16" s="142" t="s">
        <v>67</v>
      </c>
      <c r="BU16" s="142" t="s">
        <v>61</v>
      </c>
      <c r="BV16" s="142" t="s">
        <v>42</v>
      </c>
      <c r="BW16" s="142" t="s">
        <v>49</v>
      </c>
      <c r="BX16" s="142" t="s">
        <v>20</v>
      </c>
      <c r="BY16" s="142" t="s">
        <v>71</v>
      </c>
      <c r="BZ16" s="142" t="s">
        <v>42</v>
      </c>
      <c r="CA16" s="142" t="s">
        <v>20</v>
      </c>
      <c r="CB16" s="142" t="s">
        <v>61</v>
      </c>
      <c r="CC16" s="142" t="s">
        <v>42</v>
      </c>
      <c r="CD16" s="142" t="s">
        <v>49</v>
      </c>
      <c r="CE16" s="142" t="s">
        <v>20</v>
      </c>
      <c r="CF16" s="143" t="s">
        <v>71</v>
      </c>
      <c r="CG16" s="43"/>
    </row>
    <row r="17" spans="1:85" ht="18" customHeight="1">
      <c r="A17" s="396" t="s">
        <v>615</v>
      </c>
      <c r="B17" s="397"/>
      <c r="C17" s="397"/>
      <c r="D17" s="397"/>
      <c r="E17" s="397"/>
      <c r="F17" s="398" t="s">
        <v>616</v>
      </c>
      <c r="G17" s="398"/>
      <c r="H17" s="398"/>
      <c r="I17" s="398"/>
      <c r="J17" s="398"/>
      <c r="K17" s="398"/>
      <c r="L17" s="398"/>
      <c r="M17" s="398"/>
      <c r="N17" s="398"/>
      <c r="O17" s="398"/>
      <c r="P17" s="398"/>
      <c r="Q17" s="398"/>
      <c r="R17" s="398"/>
      <c r="S17" s="398"/>
      <c r="T17" s="398"/>
      <c r="U17" s="398"/>
      <c r="V17" s="398"/>
      <c r="W17" s="398"/>
      <c r="X17" s="398"/>
      <c r="Y17" s="398"/>
      <c r="Z17" s="398"/>
      <c r="AA17" s="398"/>
      <c r="AB17" s="398"/>
      <c r="AC17" s="398"/>
      <c r="AD17" s="398"/>
      <c r="AE17" s="398"/>
      <c r="AF17" s="398"/>
      <c r="AG17" s="398"/>
      <c r="AH17" s="398"/>
      <c r="AI17" s="399"/>
      <c r="AK17" s="425" t="s">
        <v>617</v>
      </c>
      <c r="AL17" s="425"/>
      <c r="AM17" s="425"/>
      <c r="AN17" s="425"/>
      <c r="AO17" s="425"/>
      <c r="AP17" s="425"/>
      <c r="AQ17" s="42"/>
      <c r="AR17" s="43"/>
      <c r="AS17" s="46">
        <v>8</v>
      </c>
      <c r="AT17" s="46"/>
      <c r="AU17" s="46" t="s">
        <v>61</v>
      </c>
      <c r="AV17" s="47" t="s">
        <v>618</v>
      </c>
      <c r="AW17" s="47" t="s">
        <v>612</v>
      </c>
      <c r="AX17" s="47">
        <v>0.83333333333333337</v>
      </c>
      <c r="AY17" s="47" t="s">
        <v>613</v>
      </c>
      <c r="AZ17" s="43"/>
      <c r="BB17" s="121" t="s">
        <v>619</v>
      </c>
      <c r="BC17" s="141" t="s">
        <v>67</v>
      </c>
      <c r="BD17" s="140" t="s">
        <v>42</v>
      </c>
      <c r="BE17" s="141" t="s">
        <v>71</v>
      </c>
      <c r="BF17" s="140" t="s">
        <v>67</v>
      </c>
      <c r="BG17" s="140" t="s">
        <v>61</v>
      </c>
      <c r="BH17" s="140" t="s">
        <v>42</v>
      </c>
      <c r="BI17" s="140" t="s">
        <v>49</v>
      </c>
      <c r="BJ17" s="140" t="s">
        <v>61</v>
      </c>
      <c r="BK17" s="140" t="s">
        <v>71</v>
      </c>
      <c r="BL17" s="140" t="s">
        <v>67</v>
      </c>
      <c r="BM17" s="140" t="s">
        <v>49</v>
      </c>
      <c r="BN17" s="140" t="s">
        <v>49</v>
      </c>
      <c r="BO17" s="140" t="s">
        <v>61</v>
      </c>
      <c r="BP17" s="140" t="s">
        <v>49</v>
      </c>
      <c r="BQ17" s="140" t="s">
        <v>67</v>
      </c>
      <c r="BR17" s="140" t="s">
        <v>42</v>
      </c>
      <c r="BS17" s="140" t="s">
        <v>42</v>
      </c>
      <c r="BT17" s="140" t="s">
        <v>49</v>
      </c>
      <c r="BU17" s="140" t="s">
        <v>42</v>
      </c>
      <c r="BV17" s="140" t="s">
        <v>61</v>
      </c>
      <c r="BW17" s="140" t="s">
        <v>71</v>
      </c>
      <c r="BX17" s="140" t="s">
        <v>67</v>
      </c>
      <c r="BY17" s="140" t="s">
        <v>42</v>
      </c>
      <c r="BZ17" s="140" t="s">
        <v>67</v>
      </c>
      <c r="CA17" s="140" t="s">
        <v>67</v>
      </c>
      <c r="CB17" s="140" t="s">
        <v>49</v>
      </c>
      <c r="CC17" s="140" t="s">
        <v>61</v>
      </c>
      <c r="CD17" s="140" t="s">
        <v>71</v>
      </c>
      <c r="CE17" s="140" t="s">
        <v>67</v>
      </c>
      <c r="CF17" s="140" t="s">
        <v>42</v>
      </c>
      <c r="CG17" s="43"/>
    </row>
    <row r="18" spans="1:85" ht="18" customHeight="1">
      <c r="A18" s="501" t="s">
        <v>620</v>
      </c>
      <c r="B18" s="502"/>
      <c r="C18" s="502"/>
      <c r="D18" s="502"/>
      <c r="E18" s="502"/>
      <c r="F18" s="400" t="s">
        <v>616</v>
      </c>
      <c r="G18" s="400"/>
      <c r="H18" s="400"/>
      <c r="I18" s="400"/>
      <c r="J18" s="400"/>
      <c r="K18" s="400"/>
      <c r="L18" s="400"/>
      <c r="M18" s="400"/>
      <c r="N18" s="400"/>
      <c r="O18" s="400"/>
      <c r="P18" s="400"/>
      <c r="Q18" s="400"/>
      <c r="R18" s="400"/>
      <c r="S18" s="400"/>
      <c r="T18" s="400"/>
      <c r="U18" s="400"/>
      <c r="V18" s="400"/>
      <c r="W18" s="400"/>
      <c r="X18" s="400"/>
      <c r="Y18" s="400"/>
      <c r="Z18" s="400"/>
      <c r="AA18" s="400"/>
      <c r="AB18" s="400"/>
      <c r="AC18" s="400"/>
      <c r="AD18" s="400"/>
      <c r="AE18" s="400"/>
      <c r="AF18" s="400"/>
      <c r="AG18" s="400"/>
      <c r="AH18" s="400"/>
      <c r="AI18" s="401"/>
      <c r="AK18" s="425" t="s">
        <v>621</v>
      </c>
      <c r="AL18" s="425"/>
      <c r="AM18" s="425"/>
      <c r="AN18" s="425"/>
      <c r="AO18" s="425"/>
      <c r="AP18" s="425"/>
      <c r="AQ18" s="42"/>
      <c r="AR18" s="43"/>
      <c r="AS18" s="46">
        <v>9</v>
      </c>
      <c r="AT18" s="46"/>
      <c r="AU18" s="46"/>
      <c r="AV18" s="47" t="s">
        <v>622</v>
      </c>
      <c r="AW18" s="47" t="s">
        <v>612</v>
      </c>
      <c r="AX18" s="47">
        <v>0.83333333333333337</v>
      </c>
      <c r="AY18" s="47" t="s">
        <v>613</v>
      </c>
      <c r="AZ18" s="43"/>
    </row>
    <row r="19" spans="1:85" ht="18" customHeight="1" thickBot="1">
      <c r="A19" s="35" t="s">
        <v>189</v>
      </c>
      <c r="B19" s="405">
        <v>0.52430555555555558</v>
      </c>
      <c r="C19" s="405"/>
      <c r="D19" s="405"/>
      <c r="E19" s="405"/>
      <c r="F19" s="402" t="s">
        <v>762</v>
      </c>
      <c r="G19" s="402"/>
      <c r="H19" s="402"/>
      <c r="I19" s="402"/>
      <c r="J19" s="402"/>
      <c r="K19" s="402"/>
      <c r="L19" s="402"/>
      <c r="M19" s="402"/>
      <c r="N19" s="402"/>
      <c r="O19" s="402"/>
      <c r="P19" s="402"/>
      <c r="Q19" s="402"/>
      <c r="R19" s="402"/>
      <c r="S19" s="402"/>
      <c r="T19" s="402"/>
      <c r="U19" s="402"/>
      <c r="V19" s="402"/>
      <c r="W19" s="402"/>
      <c r="X19" s="402"/>
      <c r="Y19" s="402"/>
      <c r="Z19" s="402"/>
      <c r="AA19" s="402"/>
      <c r="AB19" s="402"/>
      <c r="AC19" s="402"/>
      <c r="AD19" s="402"/>
      <c r="AE19" s="402"/>
      <c r="AF19" s="402"/>
      <c r="AG19" s="402"/>
      <c r="AH19" s="402"/>
      <c r="AI19" s="403"/>
      <c r="AK19" s="524" t="s">
        <v>623</v>
      </c>
      <c r="AL19" s="524"/>
      <c r="AM19" s="524"/>
      <c r="AN19" s="524"/>
      <c r="AO19" s="524"/>
      <c r="AP19" s="524"/>
      <c r="AQ19" s="58"/>
      <c r="AR19" s="43"/>
      <c r="AS19" s="46">
        <v>10</v>
      </c>
      <c r="AT19" s="46"/>
      <c r="AU19" s="46"/>
      <c r="AV19" s="47" t="s">
        <v>111</v>
      </c>
      <c r="AW19" s="47" t="s">
        <v>612</v>
      </c>
      <c r="AX19" s="47">
        <v>0.83333333333333337</v>
      </c>
      <c r="AY19" s="47" t="s">
        <v>613</v>
      </c>
      <c r="AZ19" s="43"/>
    </row>
    <row r="20" spans="1:85" ht="18" customHeight="1">
      <c r="A20" s="36" t="s">
        <v>189</v>
      </c>
      <c r="B20" s="404">
        <v>0.59027777777777779</v>
      </c>
      <c r="C20" s="404"/>
      <c r="D20" s="404"/>
      <c r="E20" s="404"/>
      <c r="F20" s="288" t="s">
        <v>742</v>
      </c>
      <c r="G20" s="288"/>
      <c r="H20" s="288"/>
      <c r="I20" s="288"/>
      <c r="J20" s="288"/>
      <c r="K20" s="288"/>
      <c r="L20" s="288"/>
      <c r="M20" s="288"/>
      <c r="N20" s="288"/>
      <c r="O20" s="288"/>
      <c r="P20" s="288"/>
      <c r="Q20" s="288"/>
      <c r="R20" s="288"/>
      <c r="S20" s="288"/>
      <c r="T20" s="288"/>
      <c r="U20" s="288"/>
      <c r="V20" s="288"/>
      <c r="W20" s="288"/>
      <c r="X20" s="288"/>
      <c r="Y20" s="288"/>
      <c r="Z20" s="288"/>
      <c r="AA20" s="288"/>
      <c r="AB20" s="288"/>
      <c r="AC20" s="288"/>
      <c r="AD20" s="288"/>
      <c r="AE20" s="288"/>
      <c r="AF20" s="288"/>
      <c r="AG20" s="288"/>
      <c r="AH20" s="288"/>
      <c r="AI20" s="289"/>
      <c r="AK20" s="447" t="s">
        <v>624</v>
      </c>
      <c r="AL20" s="448"/>
      <c r="AM20" s="448"/>
      <c r="AN20" s="448"/>
      <c r="AO20" s="448"/>
      <c r="AP20" s="448"/>
      <c r="AQ20" s="62"/>
      <c r="AR20" s="426" t="s">
        <v>625</v>
      </c>
      <c r="AS20" s="146">
        <v>11</v>
      </c>
      <c r="AT20" s="46"/>
      <c r="AU20" s="46"/>
      <c r="AV20" s="47" t="s">
        <v>111</v>
      </c>
      <c r="AW20" s="47" t="s">
        <v>612</v>
      </c>
      <c r="AX20" s="47">
        <v>0.83333333333333337</v>
      </c>
      <c r="AY20" s="47" t="s">
        <v>613</v>
      </c>
      <c r="AZ20" s="43"/>
    </row>
    <row r="21" spans="1:85" ht="18" customHeight="1" thickBot="1">
      <c r="A21" s="36" t="s">
        <v>189</v>
      </c>
      <c r="B21" s="404">
        <v>0.70138888888888884</v>
      </c>
      <c r="C21" s="404"/>
      <c r="D21" s="404"/>
      <c r="E21" s="404"/>
      <c r="F21" s="288" t="s">
        <v>763</v>
      </c>
      <c r="G21" s="288"/>
      <c r="H21" s="288"/>
      <c r="I21" s="288"/>
      <c r="J21" s="288"/>
      <c r="K21" s="288"/>
      <c r="L21" s="288"/>
      <c r="M21" s="288"/>
      <c r="N21" s="288"/>
      <c r="O21" s="288"/>
      <c r="P21" s="288"/>
      <c r="Q21" s="288"/>
      <c r="R21" s="288"/>
      <c r="S21" s="288"/>
      <c r="T21" s="288"/>
      <c r="U21" s="288"/>
      <c r="V21" s="288"/>
      <c r="W21" s="288"/>
      <c r="X21" s="288"/>
      <c r="Y21" s="288"/>
      <c r="Z21" s="288"/>
      <c r="AA21" s="288"/>
      <c r="AB21" s="288"/>
      <c r="AC21" s="288"/>
      <c r="AD21" s="288"/>
      <c r="AE21" s="288"/>
      <c r="AF21" s="288"/>
      <c r="AG21" s="288"/>
      <c r="AH21" s="288"/>
      <c r="AI21" s="289"/>
      <c r="AK21" s="429" t="s">
        <v>626</v>
      </c>
      <c r="AL21" s="430"/>
      <c r="AM21" s="430"/>
      <c r="AN21" s="430"/>
      <c r="AO21" s="430"/>
      <c r="AP21" s="430"/>
      <c r="AQ21" s="63"/>
      <c r="AR21" s="427"/>
      <c r="AW21" s="43"/>
      <c r="AX21" s="43"/>
      <c r="AY21" s="43"/>
      <c r="AZ21" s="43"/>
    </row>
    <row r="22" spans="1:85" ht="18" customHeight="1">
      <c r="A22" s="36"/>
      <c r="B22" s="404">
        <v>0.70208333333333328</v>
      </c>
      <c r="C22" s="404"/>
      <c r="D22" s="404"/>
      <c r="E22" s="404"/>
      <c r="F22" s="288" t="s">
        <v>764</v>
      </c>
      <c r="G22" s="288"/>
      <c r="H22" s="288"/>
      <c r="I22" s="288"/>
      <c r="J22" s="288"/>
      <c r="K22" s="288"/>
      <c r="L22" s="288"/>
      <c r="M22" s="288"/>
      <c r="N22" s="288"/>
      <c r="O22" s="288"/>
      <c r="P22" s="288"/>
      <c r="Q22" s="288"/>
      <c r="R22" s="288"/>
      <c r="S22" s="288"/>
      <c r="T22" s="288"/>
      <c r="U22" s="288"/>
      <c r="V22" s="288"/>
      <c r="W22" s="288"/>
      <c r="X22" s="288"/>
      <c r="Y22" s="288"/>
      <c r="Z22" s="288"/>
      <c r="AA22" s="288"/>
      <c r="AB22" s="288"/>
      <c r="AC22" s="288"/>
      <c r="AD22" s="288"/>
      <c r="AE22" s="288"/>
      <c r="AF22" s="288"/>
      <c r="AG22" s="288"/>
      <c r="AH22" s="288"/>
      <c r="AI22" s="289"/>
      <c r="AK22" s="429" t="s">
        <v>627</v>
      </c>
      <c r="AL22" s="430"/>
      <c r="AM22" s="430"/>
      <c r="AN22" s="430"/>
      <c r="AO22" s="430"/>
      <c r="AP22" s="430"/>
      <c r="AQ22" s="63">
        <v>1</v>
      </c>
      <c r="AR22" s="427"/>
      <c r="AS22" s="433" t="s">
        <v>628</v>
      </c>
      <c r="AT22" s="434"/>
      <c r="AU22" s="435"/>
      <c r="AV22" s="435"/>
      <c r="AW22" s="60" t="s">
        <v>74</v>
      </c>
      <c r="AY22" s="413" t="s">
        <v>629</v>
      </c>
      <c r="AZ22" s="413"/>
      <c r="BA22" s="412"/>
      <c r="BB22" s="412"/>
    </row>
    <row r="23" spans="1:85" ht="18" customHeight="1" thickBot="1">
      <c r="A23" s="36"/>
      <c r="B23" s="404"/>
      <c r="C23" s="404"/>
      <c r="D23" s="404"/>
      <c r="E23" s="404"/>
      <c r="F23" s="288" t="s">
        <v>765</v>
      </c>
      <c r="G23" s="288"/>
      <c r="H23" s="288"/>
      <c r="I23" s="288"/>
      <c r="J23" s="288"/>
      <c r="K23" s="288"/>
      <c r="L23" s="288"/>
      <c r="M23" s="288"/>
      <c r="N23" s="288"/>
      <c r="O23" s="288"/>
      <c r="P23" s="288"/>
      <c r="Q23" s="288"/>
      <c r="R23" s="288"/>
      <c r="S23" s="288"/>
      <c r="T23" s="288"/>
      <c r="U23" s="288"/>
      <c r="V23" s="288"/>
      <c r="W23" s="288"/>
      <c r="X23" s="288"/>
      <c r="Y23" s="288"/>
      <c r="Z23" s="288"/>
      <c r="AA23" s="288"/>
      <c r="AB23" s="288"/>
      <c r="AC23" s="288"/>
      <c r="AD23" s="288"/>
      <c r="AE23" s="288"/>
      <c r="AF23" s="288"/>
      <c r="AG23" s="288"/>
      <c r="AH23" s="288"/>
      <c r="AI23" s="289"/>
      <c r="AK23" s="431" t="s">
        <v>630</v>
      </c>
      <c r="AL23" s="432"/>
      <c r="AM23" s="432"/>
      <c r="AN23" s="432"/>
      <c r="AO23" s="432"/>
      <c r="AP23" s="432"/>
      <c r="AQ23" s="64"/>
      <c r="AR23" s="428"/>
      <c r="AS23" s="536" t="s">
        <v>631</v>
      </c>
      <c r="AT23" s="246"/>
      <c r="AU23" s="537"/>
      <c r="AV23" s="537"/>
      <c r="AW23" s="56" t="s">
        <v>632</v>
      </c>
      <c r="AY23" s="413" t="s">
        <v>633</v>
      </c>
      <c r="AZ23" s="413"/>
      <c r="BA23" s="412"/>
      <c r="BB23" s="412"/>
    </row>
    <row r="24" spans="1:85" ht="18" customHeight="1" thickBot="1">
      <c r="A24" s="36"/>
      <c r="B24" s="404">
        <v>0.70833333333333337</v>
      </c>
      <c r="C24" s="404"/>
      <c r="D24" s="404"/>
      <c r="E24" s="404"/>
      <c r="F24" s="288" t="s">
        <v>766</v>
      </c>
      <c r="G24" s="288"/>
      <c r="H24" s="288"/>
      <c r="I24" s="288"/>
      <c r="J24" s="288"/>
      <c r="K24" s="288"/>
      <c r="L24" s="288"/>
      <c r="M24" s="288"/>
      <c r="N24" s="288"/>
      <c r="O24" s="288"/>
      <c r="P24" s="288"/>
      <c r="Q24" s="288"/>
      <c r="R24" s="288"/>
      <c r="S24" s="288"/>
      <c r="T24" s="288"/>
      <c r="U24" s="288"/>
      <c r="V24" s="288"/>
      <c r="W24" s="288"/>
      <c r="X24" s="288"/>
      <c r="Y24" s="288"/>
      <c r="Z24" s="288"/>
      <c r="AA24" s="288"/>
      <c r="AB24" s="288"/>
      <c r="AC24" s="288"/>
      <c r="AD24" s="288"/>
      <c r="AE24" s="288"/>
      <c r="AF24" s="288"/>
      <c r="AG24" s="288"/>
      <c r="AH24" s="288"/>
      <c r="AI24" s="289"/>
      <c r="AK24" s="527" t="s">
        <v>634</v>
      </c>
      <c r="AL24" s="528"/>
      <c r="AM24" s="528"/>
      <c r="AN24" s="528"/>
      <c r="AO24" s="528"/>
      <c r="AP24" s="528"/>
      <c r="AQ24" s="65">
        <v>1</v>
      </c>
      <c r="AR24" s="43"/>
      <c r="AY24" s="413" t="s">
        <v>635</v>
      </c>
      <c r="AZ24" s="413"/>
      <c r="BA24" s="412"/>
      <c r="BB24" s="412"/>
    </row>
    <row r="25" spans="1:85" ht="18" customHeight="1">
      <c r="A25" s="36"/>
      <c r="B25" s="404">
        <v>0.72847222222222219</v>
      </c>
      <c r="C25" s="404"/>
      <c r="D25" s="404"/>
      <c r="E25" s="404"/>
      <c r="F25" s="288" t="s">
        <v>767</v>
      </c>
      <c r="G25" s="288"/>
      <c r="H25" s="288"/>
      <c r="I25" s="288"/>
      <c r="J25" s="288"/>
      <c r="K25" s="288"/>
      <c r="L25" s="288"/>
      <c r="M25" s="288"/>
      <c r="N25" s="288"/>
      <c r="O25" s="288"/>
      <c r="P25" s="288"/>
      <c r="Q25" s="288"/>
      <c r="R25" s="288"/>
      <c r="S25" s="288"/>
      <c r="T25" s="288"/>
      <c r="U25" s="288"/>
      <c r="V25" s="288"/>
      <c r="W25" s="288"/>
      <c r="X25" s="288"/>
      <c r="Y25" s="288"/>
      <c r="Z25" s="288"/>
      <c r="AA25" s="288"/>
      <c r="AB25" s="288"/>
      <c r="AC25" s="288"/>
      <c r="AD25" s="288"/>
      <c r="AE25" s="288"/>
      <c r="AF25" s="288"/>
      <c r="AG25" s="288"/>
      <c r="AH25" s="288"/>
      <c r="AI25" s="289"/>
      <c r="AK25" s="529" t="s">
        <v>636</v>
      </c>
      <c r="AL25" s="529"/>
      <c r="AM25" s="529"/>
      <c r="AN25" s="529"/>
      <c r="AO25" s="529"/>
      <c r="AP25" s="529"/>
      <c r="AQ25" s="66"/>
      <c r="AR25" s="43"/>
      <c r="AY25" s="413" t="s">
        <v>637</v>
      </c>
      <c r="AZ25" s="413"/>
      <c r="BA25" s="412"/>
      <c r="BB25" s="412"/>
    </row>
    <row r="26" spans="1:85" ht="18" customHeight="1">
      <c r="A26" s="36"/>
      <c r="B26" s="404"/>
      <c r="C26" s="404"/>
      <c r="D26" s="404"/>
      <c r="E26" s="404"/>
      <c r="F26" s="288" t="s">
        <v>768</v>
      </c>
      <c r="G26" s="288"/>
      <c r="H26" s="288"/>
      <c r="I26" s="288"/>
      <c r="J26" s="288"/>
      <c r="K26" s="288"/>
      <c r="L26" s="288"/>
      <c r="M26" s="288"/>
      <c r="N26" s="288"/>
      <c r="O26" s="288"/>
      <c r="P26" s="288"/>
      <c r="Q26" s="288"/>
      <c r="R26" s="288"/>
      <c r="S26" s="288"/>
      <c r="T26" s="288"/>
      <c r="U26" s="288"/>
      <c r="V26" s="288"/>
      <c r="W26" s="288"/>
      <c r="X26" s="288"/>
      <c r="Y26" s="288"/>
      <c r="Z26" s="288"/>
      <c r="AA26" s="288"/>
      <c r="AB26" s="288"/>
      <c r="AC26" s="288"/>
      <c r="AD26" s="288"/>
      <c r="AE26" s="288"/>
      <c r="AF26" s="288"/>
      <c r="AG26" s="288"/>
      <c r="AH26" s="288"/>
      <c r="AI26" s="289"/>
      <c r="AK26" s="436" t="s">
        <v>638</v>
      </c>
      <c r="AL26" s="436"/>
      <c r="AM26" s="436"/>
      <c r="AN26" s="436"/>
      <c r="AO26" s="436"/>
      <c r="AP26" s="436"/>
      <c r="AQ26" s="67"/>
      <c r="AR26" s="43"/>
      <c r="AS26" s="548" t="s">
        <v>639</v>
      </c>
      <c r="AT26" s="549"/>
      <c r="AU26" s="549"/>
      <c r="AV26" s="549"/>
      <c r="AW26" s="550"/>
      <c r="AY26" s="147"/>
      <c r="AZ26" s="147"/>
      <c r="BA26" s="147"/>
      <c r="BB26" s="147"/>
    </row>
    <row r="27" spans="1:85" ht="18" customHeight="1">
      <c r="A27" s="36"/>
      <c r="B27" s="404"/>
      <c r="C27" s="404"/>
      <c r="D27" s="404"/>
      <c r="E27" s="404"/>
      <c r="F27" s="288" t="s">
        <v>769</v>
      </c>
      <c r="G27" s="288"/>
      <c r="H27" s="288"/>
      <c r="I27" s="288"/>
      <c r="J27" s="288"/>
      <c r="K27" s="288"/>
      <c r="L27" s="288"/>
      <c r="M27" s="288"/>
      <c r="N27" s="288"/>
      <c r="O27" s="288"/>
      <c r="P27" s="288"/>
      <c r="Q27" s="288"/>
      <c r="R27" s="288"/>
      <c r="S27" s="288"/>
      <c r="T27" s="288"/>
      <c r="U27" s="288"/>
      <c r="V27" s="288"/>
      <c r="W27" s="288"/>
      <c r="X27" s="288"/>
      <c r="Y27" s="288"/>
      <c r="Z27" s="288"/>
      <c r="AA27" s="288"/>
      <c r="AB27" s="288"/>
      <c r="AC27" s="288"/>
      <c r="AD27" s="288"/>
      <c r="AE27" s="288"/>
      <c r="AF27" s="288"/>
      <c r="AG27" s="288"/>
      <c r="AH27" s="288"/>
      <c r="AI27" s="289"/>
      <c r="AK27" s="436" t="s">
        <v>640</v>
      </c>
      <c r="AL27" s="436"/>
      <c r="AM27" s="436"/>
      <c r="AN27" s="436"/>
      <c r="AO27" s="436"/>
      <c r="AP27" s="436"/>
      <c r="AQ27" s="67"/>
      <c r="AR27" s="43"/>
      <c r="AS27" s="458" t="s">
        <v>641</v>
      </c>
      <c r="AT27" s="460"/>
      <c r="AU27" s="458" t="s">
        <v>642</v>
      </c>
      <c r="AV27" s="459"/>
      <c r="AW27" s="460"/>
      <c r="AY27" s="411" t="s">
        <v>643</v>
      </c>
      <c r="AZ27" s="411"/>
      <c r="BA27" s="411"/>
      <c r="BB27" s="411"/>
    </row>
    <row r="28" spans="1:85" ht="18" customHeight="1" thickBot="1">
      <c r="A28" s="36" t="s">
        <v>189</v>
      </c>
      <c r="B28" s="404">
        <v>0.79652777777777772</v>
      </c>
      <c r="C28" s="404"/>
      <c r="D28" s="404"/>
      <c r="E28" s="404"/>
      <c r="F28" s="288" t="s">
        <v>770</v>
      </c>
      <c r="G28" s="288"/>
      <c r="H28" s="288"/>
      <c r="I28" s="288"/>
      <c r="J28" s="288"/>
      <c r="K28" s="288"/>
      <c r="L28" s="288"/>
      <c r="M28" s="288"/>
      <c r="N28" s="288"/>
      <c r="O28" s="288"/>
      <c r="P28" s="288"/>
      <c r="Q28" s="288"/>
      <c r="R28" s="288"/>
      <c r="S28" s="288"/>
      <c r="T28" s="288"/>
      <c r="U28" s="288"/>
      <c r="V28" s="288"/>
      <c r="W28" s="288"/>
      <c r="X28" s="288"/>
      <c r="Y28" s="288"/>
      <c r="Z28" s="288"/>
      <c r="AA28" s="288"/>
      <c r="AB28" s="288"/>
      <c r="AC28" s="288"/>
      <c r="AD28" s="288"/>
      <c r="AE28" s="288"/>
      <c r="AF28" s="288"/>
      <c r="AG28" s="288"/>
      <c r="AH28" s="288"/>
      <c r="AI28" s="289"/>
      <c r="AK28" s="436" t="s">
        <v>644</v>
      </c>
      <c r="AL28" s="436"/>
      <c r="AM28" s="436"/>
      <c r="AN28" s="436"/>
      <c r="AO28" s="436"/>
      <c r="AP28" s="436"/>
      <c r="AQ28" s="67"/>
      <c r="AR28" s="43"/>
      <c r="AS28" s="538" t="s">
        <v>645</v>
      </c>
      <c r="AT28" s="539"/>
      <c r="AU28" s="533" t="s">
        <v>646</v>
      </c>
      <c r="AV28" s="534"/>
      <c r="AW28" s="535"/>
      <c r="AY28" s="413" t="s">
        <v>647</v>
      </c>
      <c r="AZ28" s="413"/>
      <c r="BA28" s="412" t="s">
        <v>75</v>
      </c>
      <c r="BB28" s="412"/>
    </row>
    <row r="29" spans="1:85" ht="18" customHeight="1" thickBot="1">
      <c r="A29" s="36"/>
      <c r="B29" s="404"/>
      <c r="C29" s="404"/>
      <c r="D29" s="404"/>
      <c r="E29" s="404"/>
      <c r="F29" s="288" t="s">
        <v>771</v>
      </c>
      <c r="G29" s="288"/>
      <c r="H29" s="288"/>
      <c r="I29" s="288"/>
      <c r="J29" s="288"/>
      <c r="K29" s="288"/>
      <c r="L29" s="288"/>
      <c r="M29" s="288"/>
      <c r="N29" s="288"/>
      <c r="O29" s="288"/>
      <c r="P29" s="288"/>
      <c r="Q29" s="288"/>
      <c r="R29" s="288"/>
      <c r="S29" s="288"/>
      <c r="T29" s="288"/>
      <c r="U29" s="288"/>
      <c r="V29" s="288"/>
      <c r="W29" s="288"/>
      <c r="X29" s="288"/>
      <c r="Y29" s="288"/>
      <c r="Z29" s="288"/>
      <c r="AA29" s="288"/>
      <c r="AB29" s="288"/>
      <c r="AC29" s="288"/>
      <c r="AD29" s="288"/>
      <c r="AE29" s="288"/>
      <c r="AF29" s="288"/>
      <c r="AG29" s="288"/>
      <c r="AH29" s="288"/>
      <c r="AI29" s="289"/>
      <c r="AK29" s="524"/>
      <c r="AL29" s="524"/>
      <c r="AM29" s="524"/>
      <c r="AN29" s="524"/>
      <c r="AO29" s="524"/>
      <c r="AP29" s="524"/>
      <c r="AQ29" s="58"/>
      <c r="AR29" s="43"/>
      <c r="AS29" s="551">
        <v>1.2708333333333333</v>
      </c>
      <c r="AT29" s="552"/>
      <c r="AU29" s="434" t="s">
        <v>646</v>
      </c>
      <c r="AV29" s="434"/>
      <c r="AW29" s="553"/>
      <c r="AY29" s="413" t="s">
        <v>633</v>
      </c>
      <c r="AZ29" s="413"/>
      <c r="BA29" s="412"/>
      <c r="BB29" s="412"/>
    </row>
    <row r="30" spans="1:85" ht="18" customHeight="1">
      <c r="A30" s="36" t="s">
        <v>189</v>
      </c>
      <c r="B30" s="404">
        <v>0.88541666666666663</v>
      </c>
      <c r="C30" s="404"/>
      <c r="D30" s="404"/>
      <c r="E30" s="404"/>
      <c r="F30" s="288" t="s">
        <v>772</v>
      </c>
      <c r="G30" s="288"/>
      <c r="H30" s="288"/>
      <c r="I30" s="288"/>
      <c r="J30" s="288"/>
      <c r="K30" s="288"/>
      <c r="L30" s="288"/>
      <c r="M30" s="288"/>
      <c r="N30" s="288"/>
      <c r="O30" s="288"/>
      <c r="P30" s="288"/>
      <c r="Q30" s="288"/>
      <c r="R30" s="288"/>
      <c r="S30" s="288"/>
      <c r="T30" s="288"/>
      <c r="U30" s="288"/>
      <c r="V30" s="288"/>
      <c r="W30" s="288"/>
      <c r="X30" s="288"/>
      <c r="Y30" s="288"/>
      <c r="Z30" s="288"/>
      <c r="AA30" s="288"/>
      <c r="AB30" s="288"/>
      <c r="AC30" s="288"/>
      <c r="AD30" s="288"/>
      <c r="AE30" s="288"/>
      <c r="AF30" s="288"/>
      <c r="AG30" s="288"/>
      <c r="AH30" s="288"/>
      <c r="AI30" s="289"/>
      <c r="AK30" s="449" t="s">
        <v>648</v>
      </c>
      <c r="AL30" s="450"/>
      <c r="AM30" s="450"/>
      <c r="AN30" s="450"/>
      <c r="AO30" s="450"/>
      <c r="AP30" s="450"/>
      <c r="AQ30" s="62"/>
      <c r="AR30" s="43"/>
      <c r="AS30" s="554">
        <v>1.2708333333333333</v>
      </c>
      <c r="AT30" s="532"/>
      <c r="AU30" s="439" t="s">
        <v>752</v>
      </c>
      <c r="AV30" s="439"/>
      <c r="AW30" s="555"/>
      <c r="AY30" s="413" t="s">
        <v>649</v>
      </c>
      <c r="AZ30" s="413"/>
      <c r="BA30" s="412"/>
      <c r="BB30" s="412"/>
    </row>
    <row r="31" spans="1:85" ht="18" customHeight="1" thickBot="1">
      <c r="A31" s="37"/>
      <c r="B31" s="466">
        <v>0.88680555555555551</v>
      </c>
      <c r="C31" s="466"/>
      <c r="D31" s="466"/>
      <c r="E31" s="466"/>
      <c r="F31" s="467" t="s">
        <v>773</v>
      </c>
      <c r="G31" s="467"/>
      <c r="H31" s="467"/>
      <c r="I31" s="467"/>
      <c r="J31" s="467"/>
      <c r="K31" s="467"/>
      <c r="L31" s="467"/>
      <c r="M31" s="467"/>
      <c r="N31" s="467"/>
      <c r="O31" s="467"/>
      <c r="P31" s="467"/>
      <c r="Q31" s="467"/>
      <c r="R31" s="467"/>
      <c r="S31" s="467"/>
      <c r="T31" s="467"/>
      <c r="U31" s="467"/>
      <c r="V31" s="467"/>
      <c r="W31" s="467"/>
      <c r="X31" s="467"/>
      <c r="Y31" s="467"/>
      <c r="Z31" s="467"/>
      <c r="AA31" s="467"/>
      <c r="AB31" s="467"/>
      <c r="AC31" s="467"/>
      <c r="AD31" s="467"/>
      <c r="AE31" s="467"/>
      <c r="AF31" s="467"/>
      <c r="AG31" s="467"/>
      <c r="AH31" s="467"/>
      <c r="AI31" s="468"/>
      <c r="AK31" s="451" t="s">
        <v>650</v>
      </c>
      <c r="AL31" s="416"/>
      <c r="AM31" s="416"/>
      <c r="AN31" s="416"/>
      <c r="AO31" s="416"/>
      <c r="AP31" s="416"/>
      <c r="AQ31" s="64"/>
      <c r="AR31" s="48"/>
      <c r="AS31" s="556">
        <v>1.26875</v>
      </c>
      <c r="AT31" s="557"/>
      <c r="AU31" s="424" t="s">
        <v>754</v>
      </c>
      <c r="AV31" s="424"/>
      <c r="AW31" s="491"/>
      <c r="AY31" s="413" t="s">
        <v>637</v>
      </c>
      <c r="AZ31" s="413"/>
      <c r="BA31" s="412"/>
      <c r="BB31" s="412"/>
    </row>
    <row r="32" spans="1:85" ht="18" customHeight="1" thickBot="1">
      <c r="A32" s="406" t="s">
        <v>651</v>
      </c>
      <c r="B32" s="407"/>
      <c r="C32" s="407"/>
      <c r="D32" s="407"/>
      <c r="E32" s="407"/>
      <c r="F32" s="407"/>
      <c r="G32" s="407"/>
      <c r="H32" s="407"/>
      <c r="I32" s="407"/>
      <c r="J32" s="407"/>
      <c r="K32" s="407"/>
      <c r="L32" s="407"/>
      <c r="M32" s="407"/>
      <c r="N32" s="407"/>
      <c r="O32" s="407"/>
      <c r="P32" s="407"/>
      <c r="Q32" s="407"/>
      <c r="R32" s="407"/>
      <c r="S32" s="407"/>
      <c r="T32" s="407"/>
      <c r="U32" s="407"/>
      <c r="V32" s="407"/>
      <c r="W32" s="407"/>
      <c r="X32" s="407"/>
      <c r="Y32" s="407"/>
      <c r="Z32" s="407"/>
      <c r="AA32" s="407"/>
      <c r="AB32" s="407"/>
      <c r="AC32" s="407"/>
      <c r="AD32" s="407"/>
      <c r="AE32" s="407"/>
      <c r="AF32" s="407"/>
      <c r="AG32" s="407"/>
      <c r="AH32" s="407"/>
      <c r="AI32" s="408"/>
      <c r="AK32" s="531"/>
      <c r="AL32" s="531"/>
      <c r="AM32" s="531"/>
      <c r="AN32" s="531"/>
      <c r="AO32" s="531"/>
      <c r="AP32" s="531"/>
      <c r="AQ32" s="61"/>
      <c r="AR32" s="48"/>
      <c r="AS32" s="558"/>
      <c r="AT32" s="558"/>
      <c r="AU32" s="559"/>
      <c r="AV32" s="559"/>
      <c r="AW32" s="559"/>
      <c r="AY32" s="413" t="s">
        <v>652</v>
      </c>
      <c r="AZ32" s="413"/>
      <c r="BA32" s="412"/>
      <c r="BB32" s="412"/>
    </row>
    <row r="33" spans="1:80" ht="18" customHeight="1">
      <c r="A33" s="39"/>
      <c r="B33" s="546" t="s">
        <v>653</v>
      </c>
      <c r="C33" s="546"/>
      <c r="D33" s="546"/>
      <c r="E33" s="546"/>
      <c r="F33" s="417" t="str" cm="1">
        <f t="array" ref="F33">_xlfn.TEXTJOIN("/",TRUE,IF(AS29:AS31&lt;&gt;"",TEXT(AS29:AS31,"h:mm")&amp;" "&amp;AU29:AU31,""))</f>
        <v>6:30 45階屋外ストレージ1/6:30 45階ルーフトップテラス１/6:27 45階ルーフトップテラス２</v>
      </c>
      <c r="G33" s="418"/>
      <c r="H33" s="418"/>
      <c r="I33" s="418"/>
      <c r="J33" s="418"/>
      <c r="K33" s="418"/>
      <c r="L33" s="418"/>
      <c r="M33" s="418"/>
      <c r="N33" s="418"/>
      <c r="O33" s="418"/>
      <c r="P33" s="418"/>
      <c r="Q33" s="418"/>
      <c r="R33" s="418"/>
      <c r="S33" s="418"/>
      <c r="T33" s="418"/>
      <c r="U33" s="418"/>
      <c r="V33" s="418"/>
      <c r="W33" s="418"/>
      <c r="X33" s="418"/>
      <c r="Y33" s="418"/>
      <c r="Z33" s="418"/>
      <c r="AA33" s="418"/>
      <c r="AB33" s="418"/>
      <c r="AC33" s="418"/>
      <c r="AD33" s="418"/>
      <c r="AE33" s="418"/>
      <c r="AF33" s="418"/>
      <c r="AG33" s="418"/>
      <c r="AH33" s="418"/>
      <c r="AI33" s="419"/>
      <c r="AK33" s="449" t="s">
        <v>654</v>
      </c>
      <c r="AL33" s="450"/>
      <c r="AM33" s="450"/>
      <c r="AN33" s="450"/>
      <c r="AO33" s="450"/>
      <c r="AP33" s="450"/>
      <c r="AQ33" s="60"/>
      <c r="AR33" s="48"/>
      <c r="AS33" s="532"/>
      <c r="AT33" s="532"/>
      <c r="AU33" s="439"/>
      <c r="AV33" s="439"/>
      <c r="AW33" s="439"/>
      <c r="AY33" s="413" t="s">
        <v>655</v>
      </c>
      <c r="AZ33" s="413"/>
      <c r="BA33" s="412"/>
      <c r="BB33" s="412"/>
    </row>
    <row r="34" spans="1:80" ht="18" customHeight="1" thickBot="1">
      <c r="A34" s="39"/>
      <c r="B34" s="546" t="s">
        <v>656</v>
      </c>
      <c r="C34" s="546"/>
      <c r="D34" s="546"/>
      <c r="E34" s="546"/>
      <c r="F34" s="420" t="s">
        <v>79</v>
      </c>
      <c r="G34" s="420"/>
      <c r="H34" s="420"/>
      <c r="I34" s="420"/>
      <c r="J34" s="420"/>
      <c r="K34" s="420"/>
      <c r="L34" s="420"/>
      <c r="M34" s="420"/>
      <c r="N34" s="420"/>
      <c r="O34" s="420"/>
      <c r="P34" s="420"/>
      <c r="Q34" s="420"/>
      <c r="R34" s="420"/>
      <c r="S34" s="420"/>
      <c r="T34" s="420"/>
      <c r="U34" s="420"/>
      <c r="V34" s="420"/>
      <c r="W34" s="420"/>
      <c r="X34" s="420"/>
      <c r="Y34" s="420"/>
      <c r="Z34" s="420"/>
      <c r="AA34" s="420"/>
      <c r="AB34" s="420"/>
      <c r="AC34" s="421"/>
      <c r="AD34" s="421"/>
      <c r="AE34" s="421"/>
      <c r="AF34" s="421"/>
      <c r="AG34" s="421"/>
      <c r="AH34" s="421"/>
      <c r="AI34" s="422"/>
      <c r="AK34" s="451" t="s">
        <v>657</v>
      </c>
      <c r="AL34" s="416"/>
      <c r="AM34" s="416"/>
      <c r="AN34" s="416"/>
      <c r="AO34" s="416"/>
      <c r="AP34" s="416"/>
      <c r="AQ34" s="56"/>
      <c r="AR34" s="48"/>
      <c r="AS34" s="532"/>
      <c r="AT34" s="532"/>
      <c r="AU34" s="439"/>
      <c r="AV34" s="439"/>
      <c r="AW34" s="439"/>
      <c r="AY34" s="413" t="s">
        <v>658</v>
      </c>
      <c r="AZ34" s="413"/>
      <c r="BA34" s="412"/>
      <c r="BB34" s="412"/>
    </row>
    <row r="35" spans="1:80" ht="18" customHeight="1" thickBot="1">
      <c r="A35" s="57"/>
      <c r="B35" s="547" t="s">
        <v>659</v>
      </c>
      <c r="C35" s="547"/>
      <c r="D35" s="547"/>
      <c r="E35" s="547"/>
      <c r="F35" s="389" t="s">
        <v>660</v>
      </c>
      <c r="G35" s="389"/>
      <c r="H35" s="389"/>
      <c r="I35" s="389"/>
      <c r="J35" s="389"/>
      <c r="K35" s="389"/>
      <c r="L35" s="389"/>
      <c r="M35" s="389"/>
      <c r="N35" s="389"/>
      <c r="O35" s="389"/>
      <c r="P35" s="389"/>
      <c r="Q35" s="389"/>
      <c r="R35" s="389"/>
      <c r="S35" s="389"/>
      <c r="T35" s="389"/>
      <c r="U35" s="389"/>
      <c r="V35" s="389"/>
      <c r="W35" s="390" t="s">
        <v>661</v>
      </c>
      <c r="X35" s="391"/>
      <c r="Y35" s="391"/>
      <c r="Z35" s="391"/>
      <c r="AA35" s="391"/>
      <c r="AB35" s="391"/>
      <c r="AC35" s="392" t="s">
        <v>662</v>
      </c>
      <c r="AD35" s="393"/>
      <c r="AE35" s="393"/>
      <c r="AF35" s="393"/>
      <c r="AG35" s="393"/>
      <c r="AH35" s="393"/>
      <c r="AI35" s="394"/>
      <c r="AK35" s="531"/>
      <c r="AL35" s="531"/>
      <c r="AM35" s="531"/>
      <c r="AN35" s="531"/>
      <c r="AO35" s="531"/>
      <c r="AP35" s="531"/>
      <c r="AQ35" s="61"/>
      <c r="AR35" s="48"/>
      <c r="AS35" s="532"/>
      <c r="AT35" s="532"/>
      <c r="AU35" s="439"/>
      <c r="AV35" s="439"/>
      <c r="AW35" s="439"/>
      <c r="AY35" s="413" t="s">
        <v>663</v>
      </c>
      <c r="AZ35" s="413"/>
      <c r="BA35" s="412"/>
      <c r="BB35" s="412"/>
    </row>
    <row r="36" spans="1:80" ht="18" customHeight="1" thickBot="1">
      <c r="A36" s="492" t="s">
        <v>664</v>
      </c>
      <c r="B36" s="493"/>
      <c r="C36" s="493"/>
      <c r="D36" s="493"/>
      <c r="E36" s="493"/>
      <c r="F36" s="498">
        <v>4.1666666666666664E-2</v>
      </c>
      <c r="G36" s="439"/>
      <c r="H36" s="439"/>
      <c r="I36" s="439"/>
      <c r="J36" s="439"/>
      <c r="K36" s="439"/>
      <c r="L36" s="499" t="s">
        <v>665</v>
      </c>
      <c r="M36" s="489"/>
      <c r="N36" s="489"/>
      <c r="O36" s="500"/>
      <c r="P36" s="410" t="s">
        <v>43</v>
      </c>
      <c r="Q36" s="410"/>
      <c r="R36" s="410"/>
      <c r="S36" s="55" t="s">
        <v>666</v>
      </c>
      <c r="T36" s="410" t="s">
        <v>62</v>
      </c>
      <c r="U36" s="410"/>
      <c r="V36" s="530"/>
      <c r="W36" s="489" t="s">
        <v>667</v>
      </c>
      <c r="X36" s="489"/>
      <c r="Y36" s="489"/>
      <c r="Z36" s="489"/>
      <c r="AA36" s="489"/>
      <c r="AB36" s="489"/>
      <c r="AC36" s="490" t="s">
        <v>722</v>
      </c>
      <c r="AD36" s="487"/>
      <c r="AE36" s="487"/>
      <c r="AF36" s="487"/>
      <c r="AG36" s="487"/>
      <c r="AH36" s="487"/>
      <c r="AI36" s="488"/>
      <c r="AK36" s="525" t="s">
        <v>668</v>
      </c>
      <c r="AL36" s="526"/>
      <c r="AM36" s="526"/>
      <c r="AN36" s="526"/>
      <c r="AO36" s="526"/>
      <c r="AP36" s="526"/>
      <c r="AQ36" s="117">
        <v>1</v>
      </c>
      <c r="AR36" s="48"/>
      <c r="AS36" s="532"/>
      <c r="AT36" s="532"/>
      <c r="AU36" s="439"/>
      <c r="AV36" s="439"/>
      <c r="AW36" s="439"/>
      <c r="BH36" s="50"/>
      <c r="BI36" s="51"/>
    </row>
    <row r="37" spans="1:80" ht="18" customHeight="1" thickBot="1">
      <c r="A37" s="494" t="s">
        <v>669</v>
      </c>
      <c r="B37" s="495"/>
      <c r="C37" s="495"/>
      <c r="D37" s="495"/>
      <c r="E37" s="495"/>
      <c r="F37" s="487"/>
      <c r="G37" s="487"/>
      <c r="H37" s="487"/>
      <c r="I37" s="487"/>
      <c r="J37" s="487"/>
      <c r="K37" s="487"/>
      <c r="L37" s="487"/>
      <c r="M37" s="487"/>
      <c r="N37" s="487"/>
      <c r="O37" s="487"/>
      <c r="P37" s="487"/>
      <c r="Q37" s="487"/>
      <c r="R37" s="487"/>
      <c r="S37" s="487"/>
      <c r="T37" s="487"/>
      <c r="U37" s="487"/>
      <c r="V37" s="487"/>
      <c r="W37" s="487"/>
      <c r="X37" s="487"/>
      <c r="Y37" s="487"/>
      <c r="Z37" s="487"/>
      <c r="AA37" s="487"/>
      <c r="AB37" s="487"/>
      <c r="AC37" s="487"/>
      <c r="AD37" s="487"/>
      <c r="AE37" s="487"/>
      <c r="AF37" s="487"/>
      <c r="AG37" s="487"/>
      <c r="AH37" s="487"/>
      <c r="AI37" s="488"/>
      <c r="AK37" s="544" t="s">
        <v>240</v>
      </c>
      <c r="AL37" s="545"/>
      <c r="AM37" s="545"/>
      <c r="AN37" s="545"/>
      <c r="AO37" s="545"/>
      <c r="AP37" s="545"/>
      <c r="AQ37" s="122"/>
      <c r="AR37" s="48"/>
      <c r="AS37" s="532"/>
      <c r="AT37" s="532"/>
      <c r="AU37" s="439"/>
      <c r="AV37" s="439"/>
      <c r="AW37" s="439"/>
      <c r="BH37" s="50"/>
      <c r="BI37" s="51"/>
    </row>
    <row r="38" spans="1:80" ht="18" customHeight="1" thickBot="1">
      <c r="A38" s="496" t="s">
        <v>670</v>
      </c>
      <c r="B38" s="497"/>
      <c r="C38" s="497"/>
      <c r="D38" s="497"/>
      <c r="E38" s="497"/>
      <c r="F38" s="416" t="s">
        <v>667</v>
      </c>
      <c r="G38" s="416"/>
      <c r="H38" s="416"/>
      <c r="I38" s="416"/>
      <c r="J38" s="416"/>
      <c r="K38" s="416"/>
      <c r="L38" s="424" t="s">
        <v>722</v>
      </c>
      <c r="M38" s="424"/>
      <c r="N38" s="424"/>
      <c r="O38" s="424"/>
      <c r="P38" s="416" t="s">
        <v>671</v>
      </c>
      <c r="Q38" s="416"/>
      <c r="R38" s="416"/>
      <c r="S38" s="416"/>
      <c r="T38" s="416"/>
      <c r="U38" s="416"/>
      <c r="V38" s="416"/>
      <c r="W38" s="416" t="s">
        <v>667</v>
      </c>
      <c r="X38" s="416"/>
      <c r="Y38" s="416"/>
      <c r="Z38" s="416"/>
      <c r="AA38" s="416"/>
      <c r="AB38" s="416"/>
      <c r="AC38" s="424" t="s">
        <v>722</v>
      </c>
      <c r="AD38" s="424"/>
      <c r="AE38" s="424"/>
      <c r="AF38" s="424"/>
      <c r="AG38" s="424"/>
      <c r="AH38" s="424"/>
      <c r="AI38" s="491"/>
      <c r="AK38" s="543"/>
      <c r="AL38" s="543"/>
      <c r="AM38" s="543"/>
      <c r="AN38" s="543"/>
      <c r="AO38" s="543"/>
      <c r="AP38" s="543"/>
      <c r="AQ38" s="59"/>
      <c r="AR38" s="48"/>
      <c r="BC38" s="50"/>
      <c r="BD38" s="51"/>
    </row>
    <row r="39" spans="1:80" ht="18" customHeight="1">
      <c r="A39" s="452" t="s">
        <v>672</v>
      </c>
      <c r="B39" s="453"/>
      <c r="C39" s="453"/>
      <c r="D39" s="453"/>
      <c r="E39" s="453"/>
      <c r="F39" s="453"/>
      <c r="G39" s="453"/>
      <c r="H39" s="453"/>
      <c r="I39" s="453"/>
      <c r="J39" s="453"/>
      <c r="K39" s="453"/>
      <c r="L39" s="453"/>
      <c r="M39" s="453"/>
      <c r="N39" s="453"/>
      <c r="O39" s="453"/>
      <c r="P39" s="453"/>
      <c r="Q39" s="453"/>
      <c r="R39" s="453"/>
      <c r="S39" s="453"/>
      <c r="T39" s="453"/>
      <c r="U39" s="453"/>
      <c r="V39" s="453"/>
      <c r="W39" s="453"/>
      <c r="X39" s="453"/>
      <c r="Y39" s="453"/>
      <c r="Z39" s="453"/>
      <c r="AA39" s="453"/>
      <c r="AB39" s="453"/>
      <c r="AC39" s="453"/>
      <c r="AD39" s="453"/>
      <c r="AE39" s="453"/>
      <c r="AF39" s="453"/>
      <c r="AG39" s="453"/>
      <c r="AH39" s="453"/>
      <c r="AI39" s="454"/>
      <c r="AK39" s="444" t="s">
        <v>673</v>
      </c>
      <c r="AL39" s="444"/>
      <c r="AM39" s="444"/>
      <c r="AN39" s="444"/>
      <c r="AO39" s="444"/>
      <c r="AP39" s="444"/>
      <c r="AQ39" s="42"/>
      <c r="AR39" s="48"/>
      <c r="AS39" s="423" t="s">
        <v>526</v>
      </c>
      <c r="AT39" s="423"/>
      <c r="AU39" s="148">
        <v>29</v>
      </c>
      <c r="AV39" s="423" t="s">
        <v>528</v>
      </c>
      <c r="AW39" s="423"/>
      <c r="BC39" s="50"/>
      <c r="BD39" s="51"/>
    </row>
    <row r="40" spans="1:80" ht="18" customHeight="1">
      <c r="A40" s="464" t="s">
        <v>674</v>
      </c>
      <c r="B40" s="459"/>
      <c r="C40" s="459"/>
      <c r="D40" s="459"/>
      <c r="E40" s="470" t="s">
        <v>675</v>
      </c>
      <c r="F40" s="471"/>
      <c r="G40" s="471"/>
      <c r="H40" s="471"/>
      <c r="I40" s="471"/>
      <c r="J40" s="471"/>
      <c r="K40" s="472"/>
      <c r="L40" s="458" t="s">
        <v>676</v>
      </c>
      <c r="M40" s="459"/>
      <c r="N40" s="459"/>
      <c r="O40" s="459"/>
      <c r="P40" s="459"/>
      <c r="Q40" s="459"/>
      <c r="R40" s="460"/>
      <c r="S40" s="458" t="s">
        <v>677</v>
      </c>
      <c r="T40" s="459"/>
      <c r="U40" s="459"/>
      <c r="V40" s="459"/>
      <c r="W40" s="470" t="s">
        <v>675</v>
      </c>
      <c r="X40" s="471"/>
      <c r="Y40" s="471"/>
      <c r="Z40" s="471"/>
      <c r="AA40" s="471"/>
      <c r="AB40" s="471"/>
      <c r="AC40" s="472"/>
      <c r="AD40" s="458" t="s">
        <v>678</v>
      </c>
      <c r="AE40" s="459"/>
      <c r="AF40" s="459"/>
      <c r="AG40" s="459"/>
      <c r="AH40" s="459"/>
      <c r="AI40" s="463"/>
      <c r="AK40" s="444" t="s">
        <v>679</v>
      </c>
      <c r="AL40" s="444"/>
      <c r="AM40" s="444"/>
      <c r="AN40" s="444"/>
      <c r="AO40" s="444"/>
      <c r="AP40" s="444"/>
      <c r="AQ40" s="42"/>
      <c r="AR40" s="48"/>
      <c r="AS40" s="423" t="s">
        <v>527</v>
      </c>
      <c r="AT40" s="423"/>
      <c r="AU40" s="148">
        <v>38</v>
      </c>
      <c r="AV40" s="560">
        <v>0.65310000000000001</v>
      </c>
      <c r="AW40" s="560"/>
      <c r="BC40" s="50"/>
      <c r="BD40" s="51"/>
    </row>
    <row r="41" spans="1:80" ht="18" customHeight="1">
      <c r="A41" s="464" t="s">
        <v>16</v>
      </c>
      <c r="B41" s="459"/>
      <c r="C41" s="459"/>
      <c r="D41" s="459"/>
      <c r="E41" s="469">
        <f>AX10</f>
        <v>0.33333333333333331</v>
      </c>
      <c r="F41" s="456"/>
      <c r="G41" s="456"/>
      <c r="H41" s="144" t="s">
        <v>680</v>
      </c>
      <c r="I41" s="456">
        <f>AY10</f>
        <v>0.83333333333333337</v>
      </c>
      <c r="J41" s="456"/>
      <c r="K41" s="457"/>
      <c r="L41" s="458" t="str">
        <f>AU10</f>
        <v>三角龍彦</v>
      </c>
      <c r="M41" s="459"/>
      <c r="N41" s="459"/>
      <c r="O41" s="459"/>
      <c r="P41" s="459"/>
      <c r="Q41" s="459"/>
      <c r="R41" s="460"/>
      <c r="S41" s="409"/>
      <c r="T41" s="410"/>
      <c r="U41" s="410"/>
      <c r="V41" s="410"/>
      <c r="W41" s="414"/>
      <c r="X41" s="415"/>
      <c r="Y41" s="415"/>
      <c r="Z41" s="40"/>
      <c r="AA41" s="415"/>
      <c r="AB41" s="415"/>
      <c r="AC41" s="461"/>
      <c r="AD41" s="409">
        <f>AU14</f>
        <v>0</v>
      </c>
      <c r="AE41" s="410"/>
      <c r="AF41" s="410"/>
      <c r="AG41" s="410"/>
      <c r="AH41" s="410"/>
      <c r="AI41" s="462"/>
      <c r="AK41" s="444" t="s">
        <v>681</v>
      </c>
      <c r="AL41" s="444"/>
      <c r="AM41" s="444"/>
      <c r="AN41" s="444"/>
      <c r="AO41" s="444"/>
      <c r="AP41" s="444"/>
      <c r="AQ41" s="42"/>
      <c r="AR41" s="48"/>
      <c r="BC41" s="50"/>
      <c r="BD41" s="51"/>
    </row>
    <row r="42" spans="1:80" ht="18" customHeight="1">
      <c r="A42" s="464" t="s">
        <v>24</v>
      </c>
      <c r="B42" s="459"/>
      <c r="C42" s="459"/>
      <c r="D42" s="459"/>
      <c r="E42" s="469">
        <f>AX13</f>
        <v>0.33333333333333331</v>
      </c>
      <c r="F42" s="456"/>
      <c r="G42" s="456"/>
      <c r="H42" s="144" t="s">
        <v>680</v>
      </c>
      <c r="I42" s="456">
        <f>AY12</f>
        <v>0.83333333333333337</v>
      </c>
      <c r="J42" s="456"/>
      <c r="K42" s="457"/>
      <c r="L42" s="458" t="str">
        <f>AU13</f>
        <v>木村重明</v>
      </c>
      <c r="M42" s="459"/>
      <c r="N42" s="459"/>
      <c r="O42" s="459"/>
      <c r="P42" s="459"/>
      <c r="Q42" s="459"/>
      <c r="R42" s="460"/>
      <c r="S42" s="409"/>
      <c r="T42" s="410"/>
      <c r="U42" s="410"/>
      <c r="V42" s="410"/>
      <c r="W42" s="414"/>
      <c r="X42" s="415"/>
      <c r="Y42" s="415"/>
      <c r="Z42" s="136"/>
      <c r="AA42" s="415"/>
      <c r="AB42" s="415"/>
      <c r="AC42" s="461"/>
      <c r="AD42" s="409">
        <f>AU15</f>
        <v>0</v>
      </c>
      <c r="AE42" s="410"/>
      <c r="AF42" s="410"/>
      <c r="AG42" s="410"/>
      <c r="AH42" s="410"/>
      <c r="AI42" s="462"/>
      <c r="AK42" s="445" t="s">
        <v>682</v>
      </c>
      <c r="AL42" s="445"/>
      <c r="AM42" s="445"/>
      <c r="AN42" s="445"/>
      <c r="AO42" s="445"/>
      <c r="AP42" s="445"/>
      <c r="AQ42" s="42"/>
      <c r="AR42" s="48"/>
      <c r="AS42" s="561" t="s">
        <v>683</v>
      </c>
      <c r="AT42" s="561"/>
      <c r="AU42" s="561"/>
      <c r="AV42" s="561"/>
      <c r="AW42" s="561"/>
      <c r="BC42" s="50"/>
      <c r="BD42" s="51"/>
    </row>
    <row r="43" spans="1:80" ht="18" customHeight="1">
      <c r="A43" s="464" t="s">
        <v>38</v>
      </c>
      <c r="B43" s="459"/>
      <c r="C43" s="459"/>
      <c r="D43" s="459"/>
      <c r="E43" s="469">
        <f>AX16</f>
        <v>0.83333333333333337</v>
      </c>
      <c r="F43" s="456"/>
      <c r="G43" s="456"/>
      <c r="H43" s="144" t="s">
        <v>680</v>
      </c>
      <c r="I43" s="456" t="str">
        <f>AY16</f>
        <v>翌8:00</v>
      </c>
      <c r="J43" s="456"/>
      <c r="K43" s="457"/>
      <c r="L43" s="458" t="str">
        <f>AU16</f>
        <v>山本喜久</v>
      </c>
      <c r="M43" s="459"/>
      <c r="N43" s="459"/>
      <c r="O43" s="459"/>
      <c r="P43" s="459"/>
      <c r="Q43" s="459"/>
      <c r="R43" s="460"/>
      <c r="S43" s="409"/>
      <c r="T43" s="410"/>
      <c r="U43" s="410"/>
      <c r="V43" s="410"/>
      <c r="W43" s="414"/>
      <c r="X43" s="415"/>
      <c r="Y43" s="415"/>
      <c r="Z43" s="136"/>
      <c r="AA43" s="415"/>
      <c r="AB43" s="415"/>
      <c r="AC43" s="461"/>
      <c r="AD43" s="486">
        <f>AU18</f>
        <v>0</v>
      </c>
      <c r="AE43" s="410"/>
      <c r="AF43" s="410"/>
      <c r="AG43" s="410"/>
      <c r="AH43" s="410"/>
      <c r="AI43" s="462"/>
      <c r="AK43" s="444" t="s">
        <v>684</v>
      </c>
      <c r="AL43" s="444"/>
      <c r="AM43" s="444"/>
      <c r="AN43" s="444"/>
      <c r="AO43" s="444"/>
      <c r="AP43" s="444"/>
      <c r="AQ43" s="42"/>
      <c r="AR43" s="43"/>
      <c r="AW43"/>
      <c r="AX43"/>
      <c r="AY43"/>
      <c r="AZ43"/>
      <c r="BA43"/>
      <c r="BB43"/>
      <c r="BC43" s="50"/>
      <c r="BD43" s="51"/>
      <c r="BE43"/>
      <c r="BF43"/>
      <c r="BG43"/>
      <c r="BH43"/>
      <c r="BI43"/>
      <c r="BJ43"/>
      <c r="BK43"/>
      <c r="BL43"/>
      <c r="BM43"/>
      <c r="BN43"/>
      <c r="BO43"/>
      <c r="BP43"/>
      <c r="BQ43"/>
      <c r="BR43"/>
      <c r="BS43"/>
      <c r="BT43"/>
      <c r="BU43"/>
      <c r="BV43"/>
      <c r="BW43"/>
      <c r="BX43"/>
      <c r="BY43"/>
      <c r="BZ43"/>
      <c r="CA43"/>
      <c r="CB43"/>
    </row>
    <row r="44" spans="1:80" ht="18" customHeight="1" thickBot="1">
      <c r="A44" s="473" t="s">
        <v>45</v>
      </c>
      <c r="B44" s="474"/>
      <c r="C44" s="474"/>
      <c r="D44" s="474"/>
      <c r="E44" s="475">
        <f>AX17</f>
        <v>0.83333333333333337</v>
      </c>
      <c r="F44" s="476"/>
      <c r="G44" s="476"/>
      <c r="H44" s="145" t="s">
        <v>680</v>
      </c>
      <c r="I44" s="476" t="str">
        <f>AY17</f>
        <v>翌8:00</v>
      </c>
      <c r="J44" s="476"/>
      <c r="K44" s="477"/>
      <c r="L44" s="478" t="str">
        <f>AU17</f>
        <v>二野宮慧太</v>
      </c>
      <c r="M44" s="478"/>
      <c r="N44" s="478"/>
      <c r="O44" s="478"/>
      <c r="P44" s="478"/>
      <c r="Q44" s="478"/>
      <c r="R44" s="478"/>
      <c r="S44" s="479"/>
      <c r="T44" s="480"/>
      <c r="U44" s="480"/>
      <c r="V44" s="480"/>
      <c r="W44" s="481"/>
      <c r="X44" s="482"/>
      <c r="Y44" s="482"/>
      <c r="Z44" s="137"/>
      <c r="AA44" s="482"/>
      <c r="AB44" s="482"/>
      <c r="AC44" s="483"/>
      <c r="AD44" s="484">
        <f>AU19</f>
        <v>0</v>
      </c>
      <c r="AE44" s="480"/>
      <c r="AF44" s="480"/>
      <c r="AG44" s="480"/>
      <c r="AH44" s="480"/>
      <c r="AI44" s="485"/>
      <c r="AK44" s="446" t="s">
        <v>685</v>
      </c>
      <c r="AL44" s="446"/>
      <c r="AM44" s="446"/>
      <c r="AN44" s="446"/>
      <c r="AO44" s="446"/>
      <c r="AP44" s="446"/>
      <c r="AQ44" s="42"/>
      <c r="AR44" s="43"/>
      <c r="BC44" s="50"/>
      <c r="BD44" s="51"/>
    </row>
    <row r="45" spans="1:80" ht="18" customHeight="1" thickBot="1">
      <c r="A45" s="27"/>
      <c r="B45" s="27"/>
      <c r="C45" s="27"/>
      <c r="D45" s="27"/>
      <c r="E45" s="27"/>
      <c r="F45" s="27"/>
      <c r="G45" s="27"/>
      <c r="H45" s="27"/>
      <c r="I45" s="27"/>
      <c r="R45" s="307">
        <f>A7</f>
        <v>46178</v>
      </c>
      <c r="S45" s="308"/>
      <c r="T45" s="308"/>
      <c r="U45" s="308"/>
      <c r="V45" s="23" t="s">
        <v>169</v>
      </c>
      <c r="W45" s="309">
        <f>G7</f>
        <v>46178</v>
      </c>
      <c r="X45" s="308"/>
      <c r="Y45" s="23" t="s">
        <v>170</v>
      </c>
      <c r="Z45" s="310">
        <f>K7</f>
        <v>46178</v>
      </c>
      <c r="AA45" s="308"/>
      <c r="AB45" s="23" t="s">
        <v>3</v>
      </c>
      <c r="AC45" s="455">
        <f>O7</f>
        <v>46178</v>
      </c>
      <c r="AD45" s="308"/>
      <c r="AE45" s="308" t="s">
        <v>292</v>
      </c>
      <c r="AF45" s="308"/>
      <c r="AK45" s="425" t="s">
        <v>686</v>
      </c>
      <c r="AL45" s="425"/>
      <c r="AM45" s="425"/>
      <c r="AN45" s="425"/>
      <c r="AO45" s="425"/>
      <c r="AP45" s="425"/>
      <c r="AQ45" s="42"/>
      <c r="AR45" s="43"/>
      <c r="BC45" s="50"/>
      <c r="BD45" s="51"/>
    </row>
    <row r="46" spans="1:80" customFormat="1" ht="18" customHeight="1">
      <c r="A46" s="452" t="s">
        <v>598</v>
      </c>
      <c r="B46" s="453"/>
      <c r="C46" s="453"/>
      <c r="D46" s="453"/>
      <c r="E46" s="453"/>
      <c r="F46" s="453"/>
      <c r="G46" s="453"/>
      <c r="H46" s="453"/>
      <c r="I46" s="453"/>
      <c r="J46" s="453"/>
      <c r="K46" s="453"/>
      <c r="L46" s="453"/>
      <c r="M46" s="453"/>
      <c r="N46" s="453"/>
      <c r="O46" s="453"/>
      <c r="P46" s="453"/>
      <c r="Q46" s="453"/>
      <c r="R46" s="453"/>
      <c r="S46" s="453"/>
      <c r="T46" s="453"/>
      <c r="U46" s="453"/>
      <c r="V46" s="453"/>
      <c r="W46" s="453"/>
      <c r="X46" s="453"/>
      <c r="Y46" s="453"/>
      <c r="Z46" s="453"/>
      <c r="AA46" s="453"/>
      <c r="AB46" s="453"/>
      <c r="AC46" s="453"/>
      <c r="AD46" s="453"/>
      <c r="AE46" s="453"/>
      <c r="AF46" s="453"/>
      <c r="AG46" s="453"/>
      <c r="AH46" s="453"/>
      <c r="AI46" s="454"/>
      <c r="AK46" s="425" t="s">
        <v>687</v>
      </c>
      <c r="AL46" s="425"/>
      <c r="AM46" s="425"/>
      <c r="AN46" s="425"/>
      <c r="AO46" s="425"/>
      <c r="AP46" s="425"/>
      <c r="AQ46" s="42"/>
      <c r="AR46" s="43"/>
      <c r="AW46" s="23"/>
      <c r="AX46" s="23"/>
      <c r="AY46" s="23"/>
      <c r="AZ46" s="23"/>
      <c r="BA46" s="23"/>
      <c r="BB46" s="23"/>
      <c r="BC46" s="50"/>
      <c r="BD46" s="51"/>
      <c r="BE46" s="23"/>
      <c r="BF46" s="23"/>
      <c r="BG46" s="23"/>
      <c r="BH46" s="23"/>
      <c r="BI46" s="23"/>
      <c r="BJ46" s="23"/>
      <c r="BK46" s="23"/>
      <c r="BL46" s="23"/>
      <c r="BM46" s="23"/>
      <c r="BN46" s="23"/>
      <c r="BO46" s="23"/>
      <c r="BP46" s="23"/>
      <c r="BQ46" s="23"/>
      <c r="BR46" s="23"/>
      <c r="BS46" s="23"/>
      <c r="BT46" s="23"/>
      <c r="BU46" s="23"/>
      <c r="BV46" s="23"/>
      <c r="BW46" s="23"/>
      <c r="BX46" s="23"/>
      <c r="BY46" s="23"/>
      <c r="BZ46" s="23"/>
      <c r="CA46" s="23"/>
      <c r="CB46" s="23"/>
    </row>
    <row r="47" spans="1:80" ht="18" customHeight="1">
      <c r="A47" s="36" t="s">
        <v>189</v>
      </c>
      <c r="B47" s="404">
        <v>0.90416666666666667</v>
      </c>
      <c r="C47" s="404"/>
      <c r="D47" s="404"/>
      <c r="E47" s="404"/>
      <c r="F47" s="288" t="s">
        <v>774</v>
      </c>
      <c r="G47" s="288"/>
      <c r="H47" s="288"/>
      <c r="I47" s="288"/>
      <c r="J47" s="288"/>
      <c r="K47" s="288"/>
      <c r="L47" s="288"/>
      <c r="M47" s="288"/>
      <c r="N47" s="288"/>
      <c r="O47" s="288"/>
      <c r="P47" s="288"/>
      <c r="Q47" s="288"/>
      <c r="R47" s="288"/>
      <c r="S47" s="288"/>
      <c r="T47" s="288"/>
      <c r="U47" s="288"/>
      <c r="V47" s="288"/>
      <c r="W47" s="288"/>
      <c r="X47" s="288"/>
      <c r="Y47" s="288"/>
      <c r="Z47" s="288"/>
      <c r="AA47" s="288"/>
      <c r="AB47" s="288"/>
      <c r="AC47" s="288"/>
      <c r="AD47" s="288"/>
      <c r="AE47" s="288"/>
      <c r="AF47" s="288"/>
      <c r="AG47" s="288"/>
      <c r="AH47" s="288"/>
      <c r="AI47" s="289"/>
      <c r="AK47" s="425" t="s">
        <v>688</v>
      </c>
      <c r="AL47" s="425"/>
      <c r="AM47" s="425"/>
      <c r="AN47" s="425"/>
      <c r="AO47" s="425"/>
      <c r="AP47" s="425"/>
      <c r="AQ47" s="42"/>
      <c r="AR47" s="43"/>
      <c r="AS47" s="120" t="s">
        <v>189</v>
      </c>
      <c r="AT47" s="43" t="s">
        <v>728</v>
      </c>
      <c r="AU47" s="43"/>
      <c r="BC47" s="50"/>
      <c r="BD47" s="51"/>
    </row>
    <row r="48" spans="1:80" ht="18" customHeight="1">
      <c r="A48" s="36" t="s">
        <v>189</v>
      </c>
      <c r="B48" s="404">
        <v>0.89097222222222228</v>
      </c>
      <c r="C48" s="404"/>
      <c r="D48" s="404"/>
      <c r="E48" s="404"/>
      <c r="F48" s="288" t="s">
        <v>775</v>
      </c>
      <c r="G48" s="288"/>
      <c r="H48" s="288"/>
      <c r="I48" s="288"/>
      <c r="J48" s="288"/>
      <c r="K48" s="288"/>
      <c r="L48" s="288"/>
      <c r="M48" s="288"/>
      <c r="N48" s="288"/>
      <c r="O48" s="288"/>
      <c r="P48" s="288"/>
      <c r="Q48" s="288"/>
      <c r="R48" s="288"/>
      <c r="S48" s="288"/>
      <c r="T48" s="288"/>
      <c r="U48" s="288"/>
      <c r="V48" s="288"/>
      <c r="W48" s="288"/>
      <c r="X48" s="288"/>
      <c r="Y48" s="288"/>
      <c r="Z48" s="288"/>
      <c r="AA48" s="288"/>
      <c r="AB48" s="288"/>
      <c r="AC48" s="288"/>
      <c r="AD48" s="288"/>
      <c r="AE48" s="288"/>
      <c r="AF48" s="288"/>
      <c r="AG48" s="288"/>
      <c r="AH48" s="288"/>
      <c r="AI48" s="289"/>
      <c r="AK48" s="425" t="s">
        <v>690</v>
      </c>
      <c r="AL48" s="425"/>
      <c r="AM48" s="425"/>
      <c r="AN48" s="425"/>
      <c r="AO48" s="425"/>
      <c r="AP48" s="425"/>
      <c r="AQ48" s="42"/>
      <c r="AR48" s="43"/>
      <c r="AS48" s="43"/>
      <c r="AT48" s="43"/>
      <c r="AU48" s="43"/>
      <c r="BC48" s="50"/>
      <c r="BD48" s="51"/>
    </row>
    <row r="49" spans="1:61" ht="18" customHeight="1">
      <c r="A49" s="36" t="s">
        <v>189</v>
      </c>
      <c r="B49" s="404">
        <v>0.98958333333333304</v>
      </c>
      <c r="C49" s="404"/>
      <c r="D49" s="404"/>
      <c r="E49" s="404"/>
      <c r="F49" s="288" t="s">
        <v>776</v>
      </c>
      <c r="G49" s="288"/>
      <c r="H49" s="288"/>
      <c r="I49" s="288"/>
      <c r="J49" s="288"/>
      <c r="K49" s="288"/>
      <c r="L49" s="288"/>
      <c r="M49" s="288"/>
      <c r="N49" s="288"/>
      <c r="O49" s="288"/>
      <c r="P49" s="288"/>
      <c r="Q49" s="288"/>
      <c r="R49" s="288"/>
      <c r="S49" s="288"/>
      <c r="T49" s="288"/>
      <c r="U49" s="288"/>
      <c r="V49" s="288"/>
      <c r="W49" s="288"/>
      <c r="X49" s="288"/>
      <c r="Y49" s="288"/>
      <c r="Z49" s="288"/>
      <c r="AA49" s="288"/>
      <c r="AB49" s="288"/>
      <c r="AC49" s="288"/>
      <c r="AD49" s="288"/>
      <c r="AE49" s="288"/>
      <c r="AF49" s="288"/>
      <c r="AG49" s="288"/>
      <c r="AH49" s="288"/>
      <c r="AI49" s="289"/>
      <c r="AK49" s="425" t="s">
        <v>691</v>
      </c>
      <c r="AL49" s="425"/>
      <c r="AM49" s="425"/>
      <c r="AN49" s="425"/>
      <c r="AO49" s="425"/>
      <c r="AP49" s="425"/>
      <c r="AQ49" s="42"/>
      <c r="AR49" s="43"/>
      <c r="AS49" s="43"/>
      <c r="AT49" s="43"/>
      <c r="AU49" s="43"/>
      <c r="BC49" s="50"/>
      <c r="BD49" s="51"/>
    </row>
    <row r="50" spans="1:61" ht="18" customHeight="1">
      <c r="A50" s="36"/>
      <c r="B50" s="404"/>
      <c r="C50" s="404"/>
      <c r="D50" s="404"/>
      <c r="E50" s="404"/>
      <c r="F50" s="288" t="s">
        <v>777</v>
      </c>
      <c r="G50" s="288"/>
      <c r="H50" s="288"/>
      <c r="I50" s="288"/>
      <c r="J50" s="288"/>
      <c r="K50" s="288"/>
      <c r="L50" s="288"/>
      <c r="M50" s="288"/>
      <c r="N50" s="288"/>
      <c r="O50" s="288"/>
      <c r="P50" s="288"/>
      <c r="Q50" s="288"/>
      <c r="R50" s="288"/>
      <c r="S50" s="288"/>
      <c r="T50" s="288"/>
      <c r="U50" s="288"/>
      <c r="V50" s="288"/>
      <c r="W50" s="288"/>
      <c r="X50" s="288"/>
      <c r="Y50" s="288"/>
      <c r="Z50" s="288"/>
      <c r="AA50" s="288"/>
      <c r="AB50" s="288"/>
      <c r="AC50" s="288"/>
      <c r="AD50" s="288"/>
      <c r="AE50" s="288"/>
      <c r="AF50" s="288"/>
      <c r="AG50" s="288"/>
      <c r="AH50" s="288"/>
      <c r="AI50" s="289"/>
      <c r="AK50" s="425" t="s">
        <v>692</v>
      </c>
      <c r="AL50" s="425"/>
      <c r="AM50" s="425"/>
      <c r="AN50" s="425"/>
      <c r="AO50" s="425"/>
      <c r="AP50" s="425"/>
      <c r="AQ50" s="42"/>
      <c r="AR50" s="43"/>
      <c r="AS50" s="43"/>
      <c r="AT50" s="43"/>
      <c r="AU50" s="43"/>
      <c r="BC50" s="50"/>
      <c r="BD50" s="51"/>
    </row>
    <row r="51" spans="1:61" ht="18" customHeight="1">
      <c r="A51" s="36" t="s">
        <v>189</v>
      </c>
      <c r="B51" s="404">
        <v>0.29305555555555557</v>
      </c>
      <c r="C51" s="404"/>
      <c r="D51" s="404"/>
      <c r="E51" s="404"/>
      <c r="F51" s="288" t="s">
        <v>728</v>
      </c>
      <c r="G51" s="288"/>
      <c r="H51" s="288"/>
      <c r="I51" s="288"/>
      <c r="J51" s="288"/>
      <c r="K51" s="288"/>
      <c r="L51" s="288"/>
      <c r="M51" s="288"/>
      <c r="N51" s="288"/>
      <c r="O51" s="288"/>
      <c r="P51" s="288"/>
      <c r="Q51" s="288"/>
      <c r="R51" s="288"/>
      <c r="S51" s="288"/>
      <c r="T51" s="288"/>
      <c r="U51" s="288"/>
      <c r="V51" s="288"/>
      <c r="W51" s="288"/>
      <c r="X51" s="288"/>
      <c r="Y51" s="288"/>
      <c r="Z51" s="288"/>
      <c r="AA51" s="288"/>
      <c r="AB51" s="288"/>
      <c r="AC51" s="288"/>
      <c r="AD51" s="288"/>
      <c r="AE51" s="288"/>
      <c r="AF51" s="288"/>
      <c r="AG51" s="288"/>
      <c r="AH51" s="288"/>
      <c r="AI51" s="289"/>
      <c r="AK51" s="425" t="s">
        <v>693</v>
      </c>
      <c r="AL51" s="425"/>
      <c r="AM51" s="425"/>
      <c r="AN51" s="425"/>
      <c r="AO51" s="425"/>
      <c r="AP51" s="425"/>
      <c r="AQ51" s="42"/>
      <c r="AR51" s="43"/>
      <c r="AS51" s="43"/>
      <c r="AT51" s="43"/>
      <c r="AU51" s="43"/>
      <c r="BC51" s="50"/>
      <c r="BD51" s="51"/>
    </row>
    <row r="52" spans="1:61" ht="18" customHeight="1">
      <c r="A52" s="36"/>
      <c r="B52" s="404"/>
      <c r="C52" s="404"/>
      <c r="D52" s="404"/>
      <c r="E52" s="404"/>
      <c r="F52" s="288"/>
      <c r="G52" s="288"/>
      <c r="H52" s="288"/>
      <c r="I52" s="288"/>
      <c r="J52" s="288"/>
      <c r="K52" s="288"/>
      <c r="L52" s="288"/>
      <c r="M52" s="288"/>
      <c r="N52" s="288"/>
      <c r="O52" s="288"/>
      <c r="P52" s="288"/>
      <c r="Q52" s="288"/>
      <c r="R52" s="288"/>
      <c r="S52" s="288"/>
      <c r="T52" s="288"/>
      <c r="U52" s="288"/>
      <c r="V52" s="288"/>
      <c r="W52" s="288"/>
      <c r="X52" s="288"/>
      <c r="Y52" s="288"/>
      <c r="Z52" s="288"/>
      <c r="AA52" s="288"/>
      <c r="AB52" s="288"/>
      <c r="AC52" s="288"/>
      <c r="AD52" s="288"/>
      <c r="AE52" s="288"/>
      <c r="AF52" s="288"/>
      <c r="AG52" s="288"/>
      <c r="AH52" s="288"/>
      <c r="AI52" s="289"/>
      <c r="AK52" s="425" t="s">
        <v>694</v>
      </c>
      <c r="AL52" s="425"/>
      <c r="AM52" s="425"/>
      <c r="AN52" s="425"/>
      <c r="AO52" s="425"/>
      <c r="AP52" s="425"/>
      <c r="AQ52" s="42"/>
      <c r="AR52" s="43"/>
      <c r="AS52" s="43"/>
      <c r="AV52" s="43"/>
      <c r="AW52" s="43"/>
      <c r="AX52" s="43"/>
      <c r="AY52" s="43"/>
      <c r="AZ52" s="43"/>
      <c r="BA52" s="43"/>
      <c r="BH52" s="52"/>
      <c r="BI52" s="51"/>
    </row>
    <row r="53" spans="1:61" ht="18" customHeight="1">
      <c r="A53" s="36"/>
      <c r="B53" s="404"/>
      <c r="C53" s="404"/>
      <c r="D53" s="404"/>
      <c r="E53" s="404"/>
      <c r="F53" s="288"/>
      <c r="G53" s="288"/>
      <c r="H53" s="288"/>
      <c r="I53" s="288"/>
      <c r="J53" s="288"/>
      <c r="K53" s="288"/>
      <c r="L53" s="288"/>
      <c r="M53" s="288"/>
      <c r="N53" s="288"/>
      <c r="O53" s="288"/>
      <c r="P53" s="288"/>
      <c r="Q53" s="288"/>
      <c r="R53" s="288"/>
      <c r="S53" s="288"/>
      <c r="T53" s="288"/>
      <c r="U53" s="288"/>
      <c r="V53" s="288"/>
      <c r="W53" s="288"/>
      <c r="X53" s="288"/>
      <c r="Y53" s="288"/>
      <c r="Z53" s="288"/>
      <c r="AA53" s="288"/>
      <c r="AB53" s="288"/>
      <c r="AC53" s="288"/>
      <c r="AD53" s="288"/>
      <c r="AE53" s="288"/>
      <c r="AF53" s="288"/>
      <c r="AG53" s="288"/>
      <c r="AH53" s="288"/>
      <c r="AI53" s="289"/>
      <c r="AK53" s="425" t="s">
        <v>695</v>
      </c>
      <c r="AL53" s="425"/>
      <c r="AM53" s="425"/>
      <c r="AN53" s="425"/>
      <c r="AO53" s="425"/>
      <c r="AP53" s="425"/>
      <c r="AQ53" s="42"/>
      <c r="AR53" s="43"/>
      <c r="AS53" s="43"/>
      <c r="AT53" s="43"/>
      <c r="AU53" s="43"/>
      <c r="AV53" s="43"/>
      <c r="AW53" s="43"/>
      <c r="AX53" s="43"/>
      <c r="AY53" s="43"/>
      <c r="AZ53" s="43"/>
      <c r="BH53" s="50"/>
      <c r="BI53" s="51"/>
    </row>
    <row r="54" spans="1:61" ht="18" customHeight="1">
      <c r="A54" s="36"/>
      <c r="B54" s="404"/>
      <c r="C54" s="404"/>
      <c r="D54" s="404"/>
      <c r="E54" s="404"/>
      <c r="F54" s="288"/>
      <c r="G54" s="288"/>
      <c r="H54" s="288"/>
      <c r="I54" s="288"/>
      <c r="J54" s="288"/>
      <c r="K54" s="288"/>
      <c r="L54" s="288"/>
      <c r="M54" s="288"/>
      <c r="N54" s="288"/>
      <c r="O54" s="288"/>
      <c r="P54" s="288"/>
      <c r="Q54" s="288"/>
      <c r="R54" s="288"/>
      <c r="S54" s="288"/>
      <c r="T54" s="288"/>
      <c r="U54" s="288"/>
      <c r="V54" s="288"/>
      <c r="W54" s="288"/>
      <c r="X54" s="288"/>
      <c r="Y54" s="288"/>
      <c r="Z54" s="288"/>
      <c r="AA54" s="288"/>
      <c r="AB54" s="288"/>
      <c r="AC54" s="288"/>
      <c r="AD54" s="288"/>
      <c r="AE54" s="288"/>
      <c r="AF54" s="288"/>
      <c r="AG54" s="288"/>
      <c r="AH54" s="288"/>
      <c r="AI54" s="289"/>
      <c r="AK54" s="425" t="s">
        <v>696</v>
      </c>
      <c r="AL54" s="425"/>
      <c r="AM54" s="425"/>
      <c r="AN54" s="425"/>
      <c r="AO54" s="425"/>
      <c r="AP54" s="425"/>
      <c r="AQ54" s="42"/>
      <c r="AR54" s="43"/>
      <c r="AS54" s="43"/>
      <c r="AT54" s="43"/>
      <c r="AU54" s="43"/>
      <c r="AV54" s="43"/>
      <c r="AW54" s="43"/>
      <c r="AX54" s="43"/>
      <c r="AY54" s="43"/>
      <c r="AZ54" s="43"/>
      <c r="BH54" s="50"/>
      <c r="BI54" s="51"/>
    </row>
    <row r="55" spans="1:61" ht="18" customHeight="1">
      <c r="A55" s="36"/>
      <c r="B55" s="404"/>
      <c r="C55" s="404"/>
      <c r="D55" s="404"/>
      <c r="E55" s="404"/>
      <c r="F55" s="288"/>
      <c r="G55" s="288"/>
      <c r="H55" s="288"/>
      <c r="I55" s="288"/>
      <c r="J55" s="288"/>
      <c r="K55" s="288"/>
      <c r="L55" s="288"/>
      <c r="M55" s="288"/>
      <c r="N55" s="288"/>
      <c r="O55" s="288"/>
      <c r="P55" s="288"/>
      <c r="Q55" s="288"/>
      <c r="R55" s="288"/>
      <c r="S55" s="288"/>
      <c r="T55" s="288"/>
      <c r="U55" s="288"/>
      <c r="V55" s="288"/>
      <c r="W55" s="288"/>
      <c r="X55" s="288"/>
      <c r="Y55" s="288"/>
      <c r="Z55" s="288"/>
      <c r="AA55" s="288"/>
      <c r="AB55" s="288"/>
      <c r="AC55" s="288"/>
      <c r="AD55" s="288"/>
      <c r="AE55" s="288"/>
      <c r="AF55" s="288"/>
      <c r="AG55" s="288"/>
      <c r="AH55" s="288"/>
      <c r="AI55" s="289"/>
      <c r="AK55" s="425" t="s">
        <v>697</v>
      </c>
      <c r="AL55" s="425"/>
      <c r="AM55" s="425"/>
      <c r="AN55" s="425"/>
      <c r="AO55" s="425"/>
      <c r="AP55" s="425"/>
      <c r="AQ55" s="42"/>
      <c r="AR55" s="43"/>
      <c r="AS55" s="43"/>
      <c r="AT55" s="43"/>
      <c r="AU55" s="43"/>
      <c r="AV55" s="43"/>
      <c r="AW55" s="43"/>
      <c r="AX55" s="43"/>
      <c r="AY55" s="43"/>
      <c r="AZ55" s="43"/>
      <c r="BH55" s="50"/>
      <c r="BI55" s="51"/>
    </row>
    <row r="56" spans="1:61" ht="18" customHeight="1">
      <c r="A56" s="36"/>
      <c r="B56" s="404"/>
      <c r="C56" s="404"/>
      <c r="D56" s="404"/>
      <c r="E56" s="404"/>
      <c r="F56" s="288"/>
      <c r="G56" s="288"/>
      <c r="H56" s="288"/>
      <c r="I56" s="288"/>
      <c r="J56" s="288"/>
      <c r="K56" s="288"/>
      <c r="L56" s="288"/>
      <c r="M56" s="288"/>
      <c r="N56" s="288"/>
      <c r="O56" s="288"/>
      <c r="P56" s="288"/>
      <c r="Q56" s="288"/>
      <c r="R56" s="288"/>
      <c r="S56" s="288"/>
      <c r="T56" s="288"/>
      <c r="U56" s="288"/>
      <c r="V56" s="288"/>
      <c r="W56" s="288"/>
      <c r="X56" s="288"/>
      <c r="Y56" s="288"/>
      <c r="Z56" s="288"/>
      <c r="AA56" s="288"/>
      <c r="AB56" s="288"/>
      <c r="AC56" s="288"/>
      <c r="AD56" s="288"/>
      <c r="AE56" s="288"/>
      <c r="AF56" s="288"/>
      <c r="AG56" s="288"/>
      <c r="AH56" s="288"/>
      <c r="AI56" s="289"/>
      <c r="AK56" s="425" t="s">
        <v>698</v>
      </c>
      <c r="AL56" s="425"/>
      <c r="AM56" s="425"/>
      <c r="AN56" s="425"/>
      <c r="AO56" s="425"/>
      <c r="AP56" s="425"/>
      <c r="AQ56" s="42"/>
      <c r="AR56" s="43"/>
      <c r="AS56" s="43"/>
      <c r="AT56" s="43"/>
      <c r="AU56" s="43"/>
      <c r="AV56" s="43"/>
      <c r="AW56" s="43"/>
      <c r="AX56" s="43"/>
      <c r="AY56" s="43"/>
      <c r="AZ56" s="43"/>
      <c r="BH56" s="52"/>
      <c r="BI56" s="51"/>
    </row>
    <row r="57" spans="1:61" ht="18" customHeight="1">
      <c r="A57" s="36"/>
      <c r="B57" s="404"/>
      <c r="C57" s="404"/>
      <c r="D57" s="404"/>
      <c r="E57" s="404"/>
      <c r="F57" s="288"/>
      <c r="G57" s="288"/>
      <c r="H57" s="288"/>
      <c r="I57" s="288"/>
      <c r="J57" s="288"/>
      <c r="K57" s="288"/>
      <c r="L57" s="288"/>
      <c r="M57" s="288"/>
      <c r="N57" s="288"/>
      <c r="O57" s="288"/>
      <c r="P57" s="288"/>
      <c r="Q57" s="288"/>
      <c r="R57" s="288"/>
      <c r="S57" s="288"/>
      <c r="T57" s="288"/>
      <c r="U57" s="288"/>
      <c r="V57" s="288"/>
      <c r="W57" s="288"/>
      <c r="X57" s="288"/>
      <c r="Y57" s="288"/>
      <c r="Z57" s="288"/>
      <c r="AA57" s="288"/>
      <c r="AB57" s="288"/>
      <c r="AC57" s="288"/>
      <c r="AD57" s="288"/>
      <c r="AE57" s="288"/>
      <c r="AF57" s="288"/>
      <c r="AG57" s="288"/>
      <c r="AH57" s="288"/>
      <c r="AI57" s="289"/>
      <c r="AK57" s="425" t="s">
        <v>699</v>
      </c>
      <c r="AL57" s="425"/>
      <c r="AM57" s="425"/>
      <c r="AN57" s="425"/>
      <c r="AO57" s="425"/>
      <c r="AP57" s="425"/>
      <c r="AQ57" s="42"/>
      <c r="AR57" s="43"/>
      <c r="AS57" s="43"/>
      <c r="AT57" s="43"/>
      <c r="AU57" s="43"/>
      <c r="AV57" s="43"/>
      <c r="AW57" s="43"/>
      <c r="AX57" s="43"/>
      <c r="AY57" s="43"/>
      <c r="AZ57" s="43"/>
      <c r="BH57" s="50"/>
      <c r="BI57" s="51"/>
    </row>
    <row r="58" spans="1:61" ht="18" customHeight="1">
      <c r="A58" s="36"/>
      <c r="B58" s="404"/>
      <c r="C58" s="404"/>
      <c r="D58" s="404"/>
      <c r="E58" s="404"/>
      <c r="F58" s="288"/>
      <c r="G58" s="288"/>
      <c r="H58" s="288"/>
      <c r="I58" s="288"/>
      <c r="J58" s="288"/>
      <c r="K58" s="288"/>
      <c r="L58" s="288"/>
      <c r="M58" s="288"/>
      <c r="N58" s="288"/>
      <c r="O58" s="288"/>
      <c r="P58" s="288"/>
      <c r="Q58" s="288"/>
      <c r="R58" s="288"/>
      <c r="S58" s="288"/>
      <c r="T58" s="288"/>
      <c r="U58" s="288"/>
      <c r="V58" s="288"/>
      <c r="W58" s="288"/>
      <c r="X58" s="288"/>
      <c r="Y58" s="288"/>
      <c r="Z58" s="288"/>
      <c r="AA58" s="288"/>
      <c r="AB58" s="288"/>
      <c r="AC58" s="288"/>
      <c r="AD58" s="288"/>
      <c r="AE58" s="288"/>
      <c r="AF58" s="288"/>
      <c r="AG58" s="288"/>
      <c r="AH58" s="288"/>
      <c r="AI58" s="289"/>
      <c r="AK58" s="425" t="s">
        <v>700</v>
      </c>
      <c r="AL58" s="425"/>
      <c r="AM58" s="425"/>
      <c r="AN58" s="425"/>
      <c r="AO58" s="425"/>
      <c r="AP58" s="425"/>
      <c r="AQ58" s="42"/>
      <c r="AR58" s="43"/>
      <c r="AS58" s="43"/>
      <c r="AT58" s="43"/>
      <c r="AU58" s="43"/>
      <c r="AV58" s="43"/>
      <c r="AW58" s="43"/>
      <c r="AX58" s="43"/>
      <c r="AY58" s="43"/>
      <c r="AZ58" s="43"/>
      <c r="BH58" s="50"/>
      <c r="BI58" s="51"/>
    </row>
    <row r="59" spans="1:61" ht="18" customHeight="1">
      <c r="A59" s="36"/>
      <c r="B59" s="404"/>
      <c r="C59" s="404"/>
      <c r="D59" s="404"/>
      <c r="E59" s="404"/>
      <c r="F59" s="288"/>
      <c r="G59" s="288"/>
      <c r="H59" s="288"/>
      <c r="I59" s="288"/>
      <c r="J59" s="288"/>
      <c r="K59" s="288"/>
      <c r="L59" s="288"/>
      <c r="M59" s="288"/>
      <c r="N59" s="288"/>
      <c r="O59" s="288"/>
      <c r="P59" s="288"/>
      <c r="Q59" s="288"/>
      <c r="R59" s="288"/>
      <c r="S59" s="288"/>
      <c r="T59" s="288"/>
      <c r="U59" s="288"/>
      <c r="V59" s="288"/>
      <c r="W59" s="288"/>
      <c r="X59" s="288"/>
      <c r="Y59" s="288"/>
      <c r="Z59" s="288"/>
      <c r="AA59" s="288"/>
      <c r="AB59" s="288"/>
      <c r="AC59" s="288"/>
      <c r="AD59" s="288"/>
      <c r="AE59" s="288"/>
      <c r="AF59" s="288"/>
      <c r="AG59" s="288"/>
      <c r="AH59" s="288"/>
      <c r="AI59" s="289"/>
      <c r="AK59" s="425" t="s">
        <v>701</v>
      </c>
      <c r="AL59" s="425"/>
      <c r="AM59" s="425"/>
      <c r="AN59" s="425"/>
      <c r="AO59" s="425"/>
      <c r="AP59" s="425"/>
      <c r="AQ59" s="42"/>
      <c r="AR59" s="43"/>
      <c r="AS59" s="43"/>
      <c r="AT59" s="43"/>
      <c r="AU59" s="43"/>
      <c r="AV59" s="43"/>
      <c r="AW59" s="43"/>
      <c r="AX59" s="43"/>
      <c r="AY59" s="43"/>
      <c r="AZ59" s="43"/>
      <c r="BH59" s="50"/>
      <c r="BI59" s="51"/>
    </row>
    <row r="60" spans="1:61" ht="18" customHeight="1">
      <c r="A60" s="36"/>
      <c r="B60" s="404"/>
      <c r="C60" s="404"/>
      <c r="D60" s="404"/>
      <c r="E60" s="404"/>
      <c r="F60" s="288"/>
      <c r="G60" s="288"/>
      <c r="H60" s="288"/>
      <c r="I60" s="288"/>
      <c r="J60" s="288"/>
      <c r="K60" s="288"/>
      <c r="L60" s="288"/>
      <c r="M60" s="288"/>
      <c r="N60" s="288"/>
      <c r="O60" s="288"/>
      <c r="P60" s="288"/>
      <c r="Q60" s="288"/>
      <c r="R60" s="288"/>
      <c r="S60" s="288"/>
      <c r="T60" s="288"/>
      <c r="U60" s="288"/>
      <c r="V60" s="288"/>
      <c r="W60" s="288"/>
      <c r="X60" s="288"/>
      <c r="Y60" s="288"/>
      <c r="Z60" s="288"/>
      <c r="AA60" s="288"/>
      <c r="AB60" s="288"/>
      <c r="AC60" s="288"/>
      <c r="AD60" s="288"/>
      <c r="AE60" s="288"/>
      <c r="AF60" s="288"/>
      <c r="AG60" s="288"/>
      <c r="AH60" s="288"/>
      <c r="AI60" s="289"/>
      <c r="AK60" s="425" t="s">
        <v>702</v>
      </c>
      <c r="AL60" s="425"/>
      <c r="AM60" s="425"/>
      <c r="AN60" s="425"/>
      <c r="AO60" s="425"/>
      <c r="AP60" s="425"/>
      <c r="AQ60" s="42"/>
      <c r="AR60" s="43"/>
      <c r="AS60" s="43"/>
      <c r="AT60" s="43"/>
      <c r="AU60" s="43"/>
      <c r="AV60" s="43"/>
      <c r="AW60" s="43"/>
      <c r="AX60" s="43"/>
      <c r="AY60" s="43"/>
      <c r="AZ60" s="43"/>
      <c r="BH60" s="52"/>
      <c r="BI60" s="51"/>
    </row>
    <row r="61" spans="1:61" ht="18" customHeight="1">
      <c r="A61" s="36"/>
      <c r="B61" s="404"/>
      <c r="C61" s="404"/>
      <c r="D61" s="404"/>
      <c r="E61" s="404"/>
      <c r="F61" s="288"/>
      <c r="G61" s="288"/>
      <c r="H61" s="288"/>
      <c r="I61" s="288"/>
      <c r="J61" s="288"/>
      <c r="K61" s="288"/>
      <c r="L61" s="288"/>
      <c r="M61" s="288"/>
      <c r="N61" s="288"/>
      <c r="O61" s="288"/>
      <c r="P61" s="288"/>
      <c r="Q61" s="288"/>
      <c r="R61" s="288"/>
      <c r="S61" s="288"/>
      <c r="T61" s="288"/>
      <c r="U61" s="288"/>
      <c r="V61" s="288"/>
      <c r="W61" s="288"/>
      <c r="X61" s="288"/>
      <c r="Y61" s="288"/>
      <c r="Z61" s="288"/>
      <c r="AA61" s="288"/>
      <c r="AB61" s="288"/>
      <c r="AC61" s="288"/>
      <c r="AD61" s="288"/>
      <c r="AE61" s="288"/>
      <c r="AF61" s="288"/>
      <c r="AG61" s="288"/>
      <c r="AH61" s="288"/>
      <c r="AI61" s="289"/>
      <c r="AK61" s="425" t="s">
        <v>703</v>
      </c>
      <c r="AL61" s="425"/>
      <c r="AM61" s="425"/>
      <c r="AN61" s="425"/>
      <c r="AO61" s="425"/>
      <c r="AP61" s="425"/>
      <c r="AQ61" s="42"/>
      <c r="AR61" s="43"/>
      <c r="AS61" s="43"/>
      <c r="AT61" s="43"/>
      <c r="AU61" s="43"/>
      <c r="AV61" s="43"/>
      <c r="AW61" s="43"/>
      <c r="AX61" s="43"/>
      <c r="AY61" s="43"/>
      <c r="AZ61" s="43"/>
      <c r="BH61" s="50"/>
      <c r="BI61" s="51"/>
    </row>
    <row r="62" spans="1:61" ht="18" customHeight="1">
      <c r="A62" s="36"/>
      <c r="B62" s="404"/>
      <c r="C62" s="404"/>
      <c r="D62" s="404"/>
      <c r="E62" s="404"/>
      <c r="F62" s="288"/>
      <c r="G62" s="288"/>
      <c r="H62" s="288"/>
      <c r="I62" s="288"/>
      <c r="J62" s="288"/>
      <c r="K62" s="288"/>
      <c r="L62" s="288"/>
      <c r="M62" s="288"/>
      <c r="N62" s="288"/>
      <c r="O62" s="288"/>
      <c r="P62" s="288"/>
      <c r="Q62" s="288"/>
      <c r="R62" s="288"/>
      <c r="S62" s="288"/>
      <c r="T62" s="288"/>
      <c r="U62" s="288"/>
      <c r="V62" s="288"/>
      <c r="W62" s="288"/>
      <c r="X62" s="288"/>
      <c r="Y62" s="288"/>
      <c r="Z62" s="288"/>
      <c r="AA62" s="288"/>
      <c r="AB62" s="288"/>
      <c r="AC62" s="288"/>
      <c r="AD62" s="288"/>
      <c r="AE62" s="288"/>
      <c r="AF62" s="288"/>
      <c r="AG62" s="288"/>
      <c r="AH62" s="288"/>
      <c r="AI62" s="289"/>
      <c r="AK62" s="425"/>
      <c r="AL62" s="425"/>
      <c r="AM62" s="425"/>
      <c r="AN62" s="425"/>
      <c r="AO62" s="425"/>
      <c r="AP62" s="425"/>
      <c r="AQ62" s="42"/>
      <c r="AR62" s="43"/>
      <c r="AS62" s="43"/>
      <c r="AT62" s="43"/>
      <c r="AU62" s="43"/>
      <c r="AV62" s="43"/>
      <c r="AW62" s="43"/>
      <c r="AX62" s="43"/>
      <c r="AY62" s="43"/>
      <c r="AZ62" s="43"/>
      <c r="BH62" s="50"/>
      <c r="BI62" s="51"/>
    </row>
    <row r="63" spans="1:61" ht="18" customHeight="1">
      <c r="A63" s="36"/>
      <c r="B63" s="404"/>
      <c r="C63" s="404"/>
      <c r="D63" s="404"/>
      <c r="E63" s="404"/>
      <c r="F63" s="288"/>
      <c r="G63" s="288"/>
      <c r="H63" s="288"/>
      <c r="I63" s="288"/>
      <c r="J63" s="288"/>
      <c r="K63" s="288"/>
      <c r="L63" s="288"/>
      <c r="M63" s="288"/>
      <c r="N63" s="288"/>
      <c r="O63" s="288"/>
      <c r="P63" s="288"/>
      <c r="Q63" s="288"/>
      <c r="R63" s="288"/>
      <c r="S63" s="288"/>
      <c r="T63" s="288"/>
      <c r="U63" s="288"/>
      <c r="V63" s="288"/>
      <c r="W63" s="288"/>
      <c r="X63" s="288"/>
      <c r="Y63" s="288"/>
      <c r="Z63" s="288"/>
      <c r="AA63" s="288"/>
      <c r="AB63" s="288"/>
      <c r="AC63" s="288"/>
      <c r="AD63" s="288"/>
      <c r="AE63" s="288"/>
      <c r="AF63" s="288"/>
      <c r="AG63" s="288"/>
      <c r="AH63" s="288"/>
      <c r="AI63" s="289"/>
      <c r="AK63" s="425"/>
      <c r="AL63" s="425"/>
      <c r="AM63" s="425"/>
      <c r="AN63" s="425"/>
      <c r="AO63" s="425"/>
      <c r="AP63" s="425"/>
      <c r="AQ63" s="42"/>
      <c r="AR63" s="43"/>
      <c r="AS63" s="43"/>
      <c r="AT63" s="43"/>
      <c r="AU63" s="43"/>
      <c r="AV63" s="43"/>
      <c r="AW63" s="43"/>
      <c r="AX63" s="43"/>
      <c r="AY63" s="43"/>
      <c r="AZ63" s="43"/>
      <c r="BH63" s="52"/>
      <c r="BI63" s="51"/>
    </row>
    <row r="64" spans="1:61" ht="18" customHeight="1">
      <c r="A64" s="36"/>
      <c r="B64" s="404"/>
      <c r="C64" s="404"/>
      <c r="D64" s="404"/>
      <c r="E64" s="404"/>
      <c r="F64" s="288"/>
      <c r="G64" s="288"/>
      <c r="H64" s="288"/>
      <c r="I64" s="288"/>
      <c r="J64" s="288"/>
      <c r="K64" s="288"/>
      <c r="L64" s="288"/>
      <c r="M64" s="288"/>
      <c r="N64" s="288"/>
      <c r="O64" s="288"/>
      <c r="P64" s="288"/>
      <c r="Q64" s="288"/>
      <c r="R64" s="288"/>
      <c r="S64" s="288"/>
      <c r="T64" s="288"/>
      <c r="U64" s="288"/>
      <c r="V64" s="288"/>
      <c r="W64" s="288"/>
      <c r="X64" s="288"/>
      <c r="Y64" s="288"/>
      <c r="Z64" s="288"/>
      <c r="AA64" s="288"/>
      <c r="AB64" s="288"/>
      <c r="AC64" s="288"/>
      <c r="AD64" s="288"/>
      <c r="AE64" s="288"/>
      <c r="AF64" s="288"/>
      <c r="AG64" s="288"/>
      <c r="AH64" s="288"/>
      <c r="AI64" s="289"/>
      <c r="AK64" s="425"/>
      <c r="AL64" s="425"/>
      <c r="AM64" s="425"/>
      <c r="AN64" s="425"/>
      <c r="AO64" s="425"/>
      <c r="AP64" s="425"/>
      <c r="AQ64" s="42"/>
      <c r="AR64" s="43"/>
      <c r="AS64" s="43"/>
      <c r="AT64" s="43"/>
      <c r="AU64" s="43"/>
      <c r="AV64" s="43"/>
      <c r="AW64" s="43"/>
      <c r="AX64" s="43"/>
      <c r="AY64" s="43"/>
      <c r="AZ64" s="43"/>
      <c r="BH64" s="52"/>
      <c r="BI64" s="51"/>
    </row>
    <row r="65" spans="1:61" ht="18" customHeight="1">
      <c r="A65" s="36"/>
      <c r="B65" s="404"/>
      <c r="C65" s="404"/>
      <c r="D65" s="404"/>
      <c r="E65" s="404"/>
      <c r="F65" s="288"/>
      <c r="G65" s="288"/>
      <c r="H65" s="288"/>
      <c r="I65" s="288"/>
      <c r="J65" s="288"/>
      <c r="K65" s="288"/>
      <c r="L65" s="288"/>
      <c r="M65" s="288"/>
      <c r="N65" s="288"/>
      <c r="O65" s="288"/>
      <c r="P65" s="288"/>
      <c r="Q65" s="288"/>
      <c r="R65" s="288"/>
      <c r="S65" s="288"/>
      <c r="T65" s="288"/>
      <c r="U65" s="288"/>
      <c r="V65" s="288"/>
      <c r="W65" s="288"/>
      <c r="X65" s="288"/>
      <c r="Y65" s="288"/>
      <c r="Z65" s="288"/>
      <c r="AA65" s="288"/>
      <c r="AB65" s="288"/>
      <c r="AC65" s="288"/>
      <c r="AD65" s="288"/>
      <c r="AE65" s="288"/>
      <c r="AF65" s="288"/>
      <c r="AG65" s="288"/>
      <c r="AH65" s="288"/>
      <c r="AI65" s="289"/>
      <c r="AK65" s="425"/>
      <c r="AL65" s="425"/>
      <c r="AM65" s="425"/>
      <c r="AN65" s="425"/>
      <c r="AO65" s="425"/>
      <c r="AP65" s="425"/>
      <c r="AQ65" s="42"/>
      <c r="AR65" s="43"/>
      <c r="AS65" s="43"/>
      <c r="AT65" s="43"/>
      <c r="AU65" s="43"/>
      <c r="AV65" s="43"/>
      <c r="AW65" s="43"/>
      <c r="AX65" s="43"/>
      <c r="AY65" s="43"/>
      <c r="AZ65" s="43"/>
      <c r="BH65" s="50"/>
      <c r="BI65" s="51"/>
    </row>
    <row r="66" spans="1:61" ht="18" customHeight="1">
      <c r="A66" s="36"/>
      <c r="B66" s="404"/>
      <c r="C66" s="404"/>
      <c r="D66" s="404"/>
      <c r="E66" s="404"/>
      <c r="F66" s="288"/>
      <c r="G66" s="288"/>
      <c r="H66" s="288"/>
      <c r="I66" s="288"/>
      <c r="J66" s="288"/>
      <c r="K66" s="288"/>
      <c r="L66" s="288"/>
      <c r="M66" s="288"/>
      <c r="N66" s="288"/>
      <c r="O66" s="288"/>
      <c r="P66" s="288"/>
      <c r="Q66" s="288"/>
      <c r="R66" s="288"/>
      <c r="S66" s="288"/>
      <c r="T66" s="288"/>
      <c r="U66" s="288"/>
      <c r="V66" s="288"/>
      <c r="W66" s="288"/>
      <c r="X66" s="288"/>
      <c r="Y66" s="288"/>
      <c r="Z66" s="288"/>
      <c r="AA66" s="288"/>
      <c r="AB66" s="288"/>
      <c r="AC66" s="288"/>
      <c r="AD66" s="288"/>
      <c r="AE66" s="288"/>
      <c r="AF66" s="288"/>
      <c r="AG66" s="288"/>
      <c r="AH66" s="288"/>
      <c r="AI66" s="289"/>
      <c r="AK66" s="425"/>
      <c r="AL66" s="425"/>
      <c r="AM66" s="425"/>
      <c r="AN66" s="425"/>
      <c r="AO66" s="425"/>
      <c r="AP66" s="425"/>
      <c r="AQ66" s="42"/>
      <c r="AR66" s="43"/>
      <c r="AS66" s="43"/>
      <c r="AT66" s="43"/>
      <c r="AU66" s="43"/>
      <c r="AV66" s="43"/>
      <c r="AW66" s="43"/>
      <c r="AX66" s="43"/>
      <c r="AY66" s="43"/>
      <c r="AZ66" s="43"/>
      <c r="BH66" s="50"/>
      <c r="BI66" s="51"/>
    </row>
    <row r="67" spans="1:61" ht="18" customHeight="1">
      <c r="A67" s="36"/>
      <c r="B67" s="404"/>
      <c r="C67" s="404"/>
      <c r="D67" s="404"/>
      <c r="E67" s="404"/>
      <c r="F67" s="288"/>
      <c r="G67" s="288"/>
      <c r="H67" s="288"/>
      <c r="I67" s="288"/>
      <c r="J67" s="288"/>
      <c r="K67" s="288"/>
      <c r="L67" s="288"/>
      <c r="M67" s="288"/>
      <c r="N67" s="288"/>
      <c r="O67" s="288"/>
      <c r="P67" s="288"/>
      <c r="Q67" s="288"/>
      <c r="R67" s="288"/>
      <c r="S67" s="288"/>
      <c r="T67" s="288"/>
      <c r="U67" s="288"/>
      <c r="V67" s="288"/>
      <c r="W67" s="288"/>
      <c r="X67" s="288"/>
      <c r="Y67" s="288"/>
      <c r="Z67" s="288"/>
      <c r="AA67" s="288"/>
      <c r="AB67" s="288"/>
      <c r="AC67" s="288"/>
      <c r="AD67" s="288"/>
      <c r="AE67" s="288"/>
      <c r="AF67" s="288"/>
      <c r="AG67" s="288"/>
      <c r="AH67" s="288"/>
      <c r="AI67" s="289"/>
      <c r="AK67" s="425"/>
      <c r="AL67" s="425"/>
      <c r="AM67" s="425"/>
      <c r="AN67" s="425"/>
      <c r="AO67" s="425"/>
      <c r="AP67" s="425"/>
      <c r="AQ67" s="67"/>
      <c r="AR67" s="43"/>
      <c r="AS67" s="43"/>
      <c r="AT67" s="43"/>
      <c r="AU67" s="43"/>
      <c r="AV67" s="43"/>
      <c r="AW67" s="43"/>
      <c r="AX67" s="43"/>
      <c r="AY67" s="43"/>
      <c r="AZ67" s="43"/>
      <c r="BH67" s="50"/>
      <c r="BI67" s="51"/>
    </row>
    <row r="68" spans="1:61" ht="18" customHeight="1">
      <c r="A68" s="36"/>
      <c r="B68" s="404"/>
      <c r="C68" s="404"/>
      <c r="D68" s="404"/>
      <c r="E68" s="404"/>
      <c r="F68" s="288"/>
      <c r="G68" s="288"/>
      <c r="H68" s="288"/>
      <c r="I68" s="288"/>
      <c r="J68" s="288"/>
      <c r="K68" s="288"/>
      <c r="L68" s="288"/>
      <c r="M68" s="288"/>
      <c r="N68" s="288"/>
      <c r="O68" s="288"/>
      <c r="P68" s="288"/>
      <c r="Q68" s="288"/>
      <c r="R68" s="288"/>
      <c r="S68" s="288"/>
      <c r="T68" s="288"/>
      <c r="U68" s="288"/>
      <c r="V68" s="288"/>
      <c r="W68" s="288"/>
      <c r="X68" s="288"/>
      <c r="Y68" s="288"/>
      <c r="Z68" s="288"/>
      <c r="AA68" s="288"/>
      <c r="AB68" s="288"/>
      <c r="AC68" s="288"/>
      <c r="AD68" s="288"/>
      <c r="AE68" s="288"/>
      <c r="AF68" s="288"/>
      <c r="AG68" s="288"/>
      <c r="AH68" s="288"/>
      <c r="AI68" s="289"/>
      <c r="AK68" s="425"/>
      <c r="AL68" s="425"/>
      <c r="AM68" s="425"/>
      <c r="AN68" s="425"/>
      <c r="AO68" s="425"/>
      <c r="AP68" s="425"/>
      <c r="AQ68" s="67"/>
      <c r="AR68" s="43"/>
      <c r="AS68" s="43"/>
      <c r="AT68" s="43"/>
      <c r="AU68" s="43"/>
      <c r="AV68" s="43"/>
      <c r="AW68" s="43"/>
      <c r="AX68" s="43"/>
      <c r="AY68" s="43"/>
      <c r="AZ68" s="43"/>
      <c r="BH68" s="50"/>
      <c r="BI68" s="51"/>
    </row>
    <row r="69" spans="1:61" ht="18" customHeight="1">
      <c r="A69" s="36"/>
      <c r="B69" s="404"/>
      <c r="C69" s="404"/>
      <c r="D69" s="404"/>
      <c r="E69" s="404"/>
      <c r="F69" s="288"/>
      <c r="G69" s="288"/>
      <c r="H69" s="288"/>
      <c r="I69" s="288"/>
      <c r="J69" s="288"/>
      <c r="K69" s="288"/>
      <c r="L69" s="288"/>
      <c r="M69" s="288"/>
      <c r="N69" s="288"/>
      <c r="O69" s="288"/>
      <c r="P69" s="288"/>
      <c r="Q69" s="288"/>
      <c r="R69" s="288"/>
      <c r="S69" s="288"/>
      <c r="T69" s="288"/>
      <c r="U69" s="288"/>
      <c r="V69" s="288"/>
      <c r="W69" s="288"/>
      <c r="X69" s="288"/>
      <c r="Y69" s="288"/>
      <c r="Z69" s="288"/>
      <c r="AA69" s="288"/>
      <c r="AB69" s="288"/>
      <c r="AC69" s="288"/>
      <c r="AD69" s="288"/>
      <c r="AE69" s="288"/>
      <c r="AF69" s="288"/>
      <c r="AG69" s="288"/>
      <c r="AH69" s="288"/>
      <c r="AI69" s="289"/>
      <c r="AK69" s="425"/>
      <c r="AL69" s="425"/>
      <c r="AM69" s="425"/>
      <c r="AN69" s="425"/>
      <c r="AO69" s="425"/>
      <c r="AP69" s="425"/>
      <c r="AQ69" s="42"/>
      <c r="AR69" s="43"/>
      <c r="AS69" s="43"/>
      <c r="AT69" s="43"/>
      <c r="AU69" s="43"/>
      <c r="AV69" s="43"/>
      <c r="AW69" s="43"/>
      <c r="AX69" s="43"/>
      <c r="AY69" s="43"/>
      <c r="AZ69" s="43"/>
      <c r="BH69" s="50"/>
      <c r="BI69" s="51"/>
    </row>
    <row r="70" spans="1:61" ht="18" customHeight="1">
      <c r="A70" s="36"/>
      <c r="B70" s="404"/>
      <c r="C70" s="404"/>
      <c r="D70" s="404"/>
      <c r="E70" s="404"/>
      <c r="F70" s="288"/>
      <c r="G70" s="288"/>
      <c r="H70" s="288"/>
      <c r="I70" s="288"/>
      <c r="J70" s="288"/>
      <c r="K70" s="288"/>
      <c r="L70" s="288"/>
      <c r="M70" s="288"/>
      <c r="N70" s="288"/>
      <c r="O70" s="288"/>
      <c r="P70" s="288"/>
      <c r="Q70" s="288"/>
      <c r="R70" s="288"/>
      <c r="S70" s="288"/>
      <c r="T70" s="288"/>
      <c r="U70" s="288"/>
      <c r="V70" s="288"/>
      <c r="W70" s="288"/>
      <c r="X70" s="288"/>
      <c r="Y70" s="288"/>
      <c r="Z70" s="288"/>
      <c r="AA70" s="288"/>
      <c r="AB70" s="288"/>
      <c r="AC70" s="288"/>
      <c r="AD70" s="288"/>
      <c r="AE70" s="288"/>
      <c r="AF70" s="288"/>
      <c r="AG70" s="288"/>
      <c r="AH70" s="288"/>
      <c r="AI70" s="289"/>
      <c r="AK70" s="425"/>
      <c r="AL70" s="425"/>
      <c r="AM70" s="425"/>
      <c r="AN70" s="425"/>
      <c r="AO70" s="425"/>
      <c r="AP70" s="425"/>
      <c r="AQ70" s="42"/>
      <c r="AR70" s="43"/>
      <c r="AS70" s="43"/>
      <c r="AT70" s="43"/>
      <c r="AU70" s="43"/>
      <c r="AV70" s="43"/>
      <c r="AW70" s="43"/>
      <c r="AX70" s="43"/>
      <c r="AY70" s="43"/>
      <c r="AZ70" s="43"/>
      <c r="BH70" s="50"/>
      <c r="BI70" s="51"/>
    </row>
    <row r="71" spans="1:61" ht="18" customHeight="1">
      <c r="A71" s="36"/>
      <c r="B71" s="404"/>
      <c r="C71" s="404"/>
      <c r="D71" s="404"/>
      <c r="E71" s="404"/>
      <c r="F71" s="288"/>
      <c r="G71" s="288"/>
      <c r="H71" s="288"/>
      <c r="I71" s="288"/>
      <c r="J71" s="288"/>
      <c r="K71" s="288"/>
      <c r="L71" s="288"/>
      <c r="M71" s="288"/>
      <c r="N71" s="288"/>
      <c r="O71" s="288"/>
      <c r="P71" s="288"/>
      <c r="Q71" s="288"/>
      <c r="R71" s="288"/>
      <c r="S71" s="288"/>
      <c r="T71" s="288"/>
      <c r="U71" s="288"/>
      <c r="V71" s="288"/>
      <c r="W71" s="288"/>
      <c r="X71" s="288"/>
      <c r="Y71" s="288"/>
      <c r="Z71" s="288"/>
      <c r="AA71" s="288"/>
      <c r="AB71" s="288"/>
      <c r="AC71" s="288"/>
      <c r="AD71" s="288"/>
      <c r="AE71" s="288"/>
      <c r="AF71" s="288"/>
      <c r="AG71" s="288"/>
      <c r="AH71" s="288"/>
      <c r="AI71" s="289"/>
      <c r="AK71" s="425"/>
      <c r="AL71" s="425"/>
      <c r="AM71" s="425"/>
      <c r="AN71" s="425"/>
      <c r="AO71" s="425"/>
      <c r="AP71" s="425"/>
      <c r="AQ71" s="42"/>
      <c r="AR71" s="43"/>
      <c r="AS71" s="43"/>
      <c r="AT71" s="43"/>
      <c r="AU71" s="43"/>
      <c r="AV71" s="43"/>
      <c r="AW71" s="43"/>
      <c r="AX71" s="43"/>
      <c r="AY71" s="43"/>
      <c r="AZ71" s="43"/>
      <c r="BH71" s="52"/>
      <c r="BI71" s="51"/>
    </row>
    <row r="72" spans="1:61" ht="18" customHeight="1">
      <c r="A72" s="36"/>
      <c r="B72" s="404"/>
      <c r="C72" s="404"/>
      <c r="D72" s="404"/>
      <c r="E72" s="404"/>
      <c r="F72" s="288"/>
      <c r="G72" s="288"/>
      <c r="H72" s="288"/>
      <c r="I72" s="288"/>
      <c r="J72" s="288"/>
      <c r="K72" s="288"/>
      <c r="L72" s="288"/>
      <c r="M72" s="288"/>
      <c r="N72" s="288"/>
      <c r="O72" s="288"/>
      <c r="P72" s="288"/>
      <c r="Q72" s="288"/>
      <c r="R72" s="288"/>
      <c r="S72" s="288"/>
      <c r="T72" s="288"/>
      <c r="U72" s="288"/>
      <c r="V72" s="288"/>
      <c r="W72" s="288"/>
      <c r="X72" s="288"/>
      <c r="Y72" s="288"/>
      <c r="Z72" s="288"/>
      <c r="AA72" s="288"/>
      <c r="AB72" s="288"/>
      <c r="AC72" s="288"/>
      <c r="AD72" s="288"/>
      <c r="AE72" s="288"/>
      <c r="AF72" s="288"/>
      <c r="AG72" s="288"/>
      <c r="AH72" s="288"/>
      <c r="AI72" s="289"/>
      <c r="AK72" s="425"/>
      <c r="AL72" s="425"/>
      <c r="AM72" s="425"/>
      <c r="AN72" s="425"/>
      <c r="AO72" s="425"/>
      <c r="AP72" s="425"/>
      <c r="AQ72" s="42"/>
      <c r="AR72" s="43"/>
      <c r="AS72" s="43"/>
      <c r="AT72" s="43"/>
      <c r="AU72" s="43"/>
      <c r="AV72" s="43"/>
      <c r="AW72" s="43"/>
      <c r="AX72" s="43"/>
      <c r="AY72" s="43"/>
      <c r="AZ72" s="43"/>
      <c r="BH72" s="53"/>
      <c r="BI72" s="51"/>
    </row>
    <row r="73" spans="1:61" ht="18" customHeight="1">
      <c r="A73" s="36"/>
      <c r="B73" s="404"/>
      <c r="C73" s="404"/>
      <c r="D73" s="404"/>
      <c r="E73" s="404"/>
      <c r="F73" s="288"/>
      <c r="G73" s="288"/>
      <c r="H73" s="288"/>
      <c r="I73" s="288"/>
      <c r="J73" s="288"/>
      <c r="K73" s="288"/>
      <c r="L73" s="288"/>
      <c r="M73" s="288"/>
      <c r="N73" s="288"/>
      <c r="O73" s="288"/>
      <c r="P73" s="288"/>
      <c r="Q73" s="288"/>
      <c r="R73" s="288"/>
      <c r="S73" s="288"/>
      <c r="T73" s="288"/>
      <c r="U73" s="288"/>
      <c r="V73" s="288"/>
      <c r="W73" s="288"/>
      <c r="X73" s="288"/>
      <c r="Y73" s="288"/>
      <c r="Z73" s="288"/>
      <c r="AA73" s="288"/>
      <c r="AB73" s="288"/>
      <c r="AC73" s="288"/>
      <c r="AD73" s="288"/>
      <c r="AE73" s="288"/>
      <c r="AF73" s="288"/>
      <c r="AG73" s="288"/>
      <c r="AH73" s="288"/>
      <c r="AI73" s="289"/>
      <c r="AK73" s="425"/>
      <c r="AL73" s="425"/>
      <c r="AM73" s="425"/>
      <c r="AN73" s="425"/>
      <c r="AO73" s="425"/>
      <c r="AP73" s="425"/>
      <c r="AQ73" s="42"/>
      <c r="AR73" s="43"/>
      <c r="AS73" s="43"/>
      <c r="AT73" s="43"/>
      <c r="AU73" s="43"/>
      <c r="AV73" s="43"/>
      <c r="AW73" s="43"/>
      <c r="AX73" s="43"/>
      <c r="AY73" s="43"/>
      <c r="AZ73" s="43"/>
      <c r="BH73" s="54"/>
      <c r="BI73" s="51"/>
    </row>
    <row r="74" spans="1:61" ht="18" customHeight="1">
      <c r="A74" s="36"/>
      <c r="B74" s="404"/>
      <c r="C74" s="404"/>
      <c r="D74" s="404"/>
      <c r="E74" s="404"/>
      <c r="F74" s="288"/>
      <c r="G74" s="288"/>
      <c r="H74" s="288"/>
      <c r="I74" s="288"/>
      <c r="J74" s="288"/>
      <c r="K74" s="288"/>
      <c r="L74" s="288"/>
      <c r="M74" s="288"/>
      <c r="N74" s="288"/>
      <c r="O74" s="288"/>
      <c r="P74" s="288"/>
      <c r="Q74" s="288"/>
      <c r="R74" s="288"/>
      <c r="S74" s="288"/>
      <c r="T74" s="288"/>
      <c r="U74" s="288"/>
      <c r="V74" s="288"/>
      <c r="W74" s="288"/>
      <c r="X74" s="288"/>
      <c r="Y74" s="288"/>
      <c r="Z74" s="288"/>
      <c r="AA74" s="288"/>
      <c r="AB74" s="288"/>
      <c r="AC74" s="288"/>
      <c r="AD74" s="288"/>
      <c r="AE74" s="288"/>
      <c r="AF74" s="288"/>
      <c r="AG74" s="288"/>
      <c r="AH74" s="288"/>
      <c r="AI74" s="289"/>
      <c r="AK74" s="425"/>
      <c r="AL74" s="425"/>
      <c r="AM74" s="425"/>
      <c r="AN74" s="425"/>
      <c r="AO74" s="425"/>
      <c r="AP74" s="425"/>
      <c r="AQ74" s="42"/>
      <c r="AR74" s="43"/>
      <c r="AS74" s="43"/>
      <c r="AT74" s="43"/>
      <c r="AU74" s="43"/>
      <c r="AV74" s="43"/>
      <c r="AW74" s="43"/>
      <c r="AX74" s="43"/>
      <c r="AY74" s="43"/>
      <c r="AZ74" s="43"/>
      <c r="BH74" s="54"/>
      <c r="BI74" s="51"/>
    </row>
    <row r="75" spans="1:61" ht="18" customHeight="1">
      <c r="A75" s="36"/>
      <c r="B75" s="404"/>
      <c r="C75" s="404"/>
      <c r="D75" s="404"/>
      <c r="E75" s="404"/>
      <c r="F75" s="288"/>
      <c r="G75" s="288"/>
      <c r="H75" s="288"/>
      <c r="I75" s="288"/>
      <c r="J75" s="288"/>
      <c r="K75" s="288"/>
      <c r="L75" s="288"/>
      <c r="M75" s="288"/>
      <c r="N75" s="288"/>
      <c r="O75" s="288"/>
      <c r="P75" s="288"/>
      <c r="Q75" s="288"/>
      <c r="R75" s="288"/>
      <c r="S75" s="288"/>
      <c r="T75" s="288"/>
      <c r="U75" s="288"/>
      <c r="V75" s="288"/>
      <c r="W75" s="288"/>
      <c r="X75" s="288"/>
      <c r="Y75" s="288"/>
      <c r="Z75" s="288"/>
      <c r="AA75" s="288"/>
      <c r="AB75" s="288"/>
      <c r="AC75" s="288"/>
      <c r="AD75" s="288"/>
      <c r="AE75" s="288"/>
      <c r="AF75" s="288"/>
      <c r="AG75" s="288"/>
      <c r="AH75" s="288"/>
      <c r="AI75" s="289"/>
      <c r="AK75" s="425"/>
      <c r="AL75" s="425"/>
      <c r="AM75" s="425"/>
      <c r="AN75" s="425"/>
      <c r="AO75" s="425"/>
      <c r="AP75" s="425"/>
      <c r="AQ75" s="42"/>
      <c r="AR75" s="43"/>
      <c r="AS75" s="43"/>
      <c r="AT75" s="43"/>
      <c r="AU75" s="43"/>
      <c r="AV75" s="43"/>
      <c r="AW75" s="43"/>
      <c r="AX75" s="43"/>
      <c r="AY75" s="43"/>
      <c r="AZ75" s="43"/>
      <c r="BH75" s="53"/>
      <c r="BI75" s="51"/>
    </row>
    <row r="76" spans="1:61" ht="18" customHeight="1">
      <c r="A76" s="36"/>
      <c r="B76" s="404"/>
      <c r="C76" s="404"/>
      <c r="D76" s="404"/>
      <c r="E76" s="404"/>
      <c r="F76" s="288"/>
      <c r="G76" s="288"/>
      <c r="H76" s="288"/>
      <c r="I76" s="288"/>
      <c r="J76" s="288"/>
      <c r="K76" s="288"/>
      <c r="L76" s="288"/>
      <c r="M76" s="288"/>
      <c r="N76" s="288"/>
      <c r="O76" s="288"/>
      <c r="P76" s="288"/>
      <c r="Q76" s="288"/>
      <c r="R76" s="288"/>
      <c r="S76" s="288"/>
      <c r="T76" s="288"/>
      <c r="U76" s="288"/>
      <c r="V76" s="288"/>
      <c r="W76" s="288"/>
      <c r="X76" s="288"/>
      <c r="Y76" s="288"/>
      <c r="Z76" s="288"/>
      <c r="AA76" s="288"/>
      <c r="AB76" s="288"/>
      <c r="AC76" s="288"/>
      <c r="AD76" s="288"/>
      <c r="AE76" s="288"/>
      <c r="AF76" s="288"/>
      <c r="AG76" s="288"/>
      <c r="AH76" s="288"/>
      <c r="AI76" s="289"/>
      <c r="AK76" s="425"/>
      <c r="AL76" s="425"/>
      <c r="AM76" s="425"/>
      <c r="AN76" s="425"/>
      <c r="AO76" s="425"/>
      <c r="AP76" s="425"/>
      <c r="AQ76" s="42"/>
      <c r="AR76" s="43"/>
      <c r="AS76" s="43"/>
      <c r="AT76" s="43"/>
      <c r="AU76" s="43"/>
      <c r="AV76" s="43"/>
      <c r="AW76" s="43"/>
      <c r="AX76" s="43"/>
      <c r="AY76" s="43"/>
      <c r="AZ76" s="43"/>
      <c r="BH76" s="53"/>
      <c r="BI76" s="51"/>
    </row>
    <row r="77" spans="1:61" ht="18" customHeight="1">
      <c r="A77" s="36"/>
      <c r="B77" s="404"/>
      <c r="C77" s="404"/>
      <c r="D77" s="404"/>
      <c r="E77" s="404"/>
      <c r="F77" s="288"/>
      <c r="G77" s="288"/>
      <c r="H77" s="288"/>
      <c r="I77" s="288"/>
      <c r="J77" s="288"/>
      <c r="K77" s="288"/>
      <c r="L77" s="288"/>
      <c r="M77" s="288"/>
      <c r="N77" s="288"/>
      <c r="O77" s="288"/>
      <c r="P77" s="288"/>
      <c r="Q77" s="288"/>
      <c r="R77" s="288"/>
      <c r="S77" s="288"/>
      <c r="T77" s="288"/>
      <c r="U77" s="288"/>
      <c r="V77" s="288"/>
      <c r="W77" s="288"/>
      <c r="X77" s="288"/>
      <c r="Y77" s="288"/>
      <c r="Z77" s="288"/>
      <c r="AA77" s="288"/>
      <c r="AB77" s="288"/>
      <c r="AC77" s="288"/>
      <c r="AD77" s="288"/>
      <c r="AE77" s="288"/>
      <c r="AF77" s="288"/>
      <c r="AG77" s="288"/>
      <c r="AH77" s="288"/>
      <c r="AI77" s="289"/>
      <c r="AK77" s="425"/>
      <c r="AL77" s="425"/>
      <c r="AM77" s="425"/>
      <c r="AN77" s="425"/>
      <c r="AO77" s="425"/>
      <c r="AP77" s="425"/>
      <c r="AQ77" s="42"/>
      <c r="AR77" s="43"/>
      <c r="AS77" s="43"/>
      <c r="AT77" s="43"/>
      <c r="AU77" s="43"/>
      <c r="AV77" s="43"/>
      <c r="AW77" s="43"/>
      <c r="AX77" s="43"/>
      <c r="AY77" s="43"/>
      <c r="AZ77" s="43"/>
      <c r="BH77" s="54"/>
      <c r="BI77" s="51"/>
    </row>
    <row r="78" spans="1:61" ht="18" customHeight="1">
      <c r="A78" s="36"/>
      <c r="B78" s="404"/>
      <c r="C78" s="404"/>
      <c r="D78" s="404"/>
      <c r="E78" s="404"/>
      <c r="F78" s="288"/>
      <c r="G78" s="288"/>
      <c r="H78" s="288"/>
      <c r="I78" s="288"/>
      <c r="J78" s="288"/>
      <c r="K78" s="288"/>
      <c r="L78" s="288"/>
      <c r="M78" s="288"/>
      <c r="N78" s="288"/>
      <c r="O78" s="288"/>
      <c r="P78" s="288"/>
      <c r="Q78" s="288"/>
      <c r="R78" s="288"/>
      <c r="S78" s="288"/>
      <c r="T78" s="288"/>
      <c r="U78" s="288"/>
      <c r="V78" s="288"/>
      <c r="W78" s="288"/>
      <c r="X78" s="288"/>
      <c r="Y78" s="288"/>
      <c r="Z78" s="288"/>
      <c r="AA78" s="288"/>
      <c r="AB78" s="288"/>
      <c r="AC78" s="288"/>
      <c r="AD78" s="288"/>
      <c r="AE78" s="288"/>
      <c r="AF78" s="288"/>
      <c r="AG78" s="288"/>
      <c r="AH78" s="288"/>
      <c r="AI78" s="289"/>
      <c r="AK78" s="425"/>
      <c r="AL78" s="425"/>
      <c r="AM78" s="425"/>
      <c r="AN78" s="425"/>
      <c r="AO78" s="425"/>
      <c r="AP78" s="425"/>
      <c r="AQ78" s="42"/>
      <c r="AR78" s="43"/>
      <c r="AS78" s="43"/>
      <c r="AT78" s="43"/>
      <c r="AU78" s="43"/>
      <c r="AV78" s="43"/>
      <c r="AW78" s="43"/>
      <c r="AX78" s="43"/>
      <c r="AY78" s="43"/>
      <c r="AZ78" s="43"/>
      <c r="BH78" s="54"/>
      <c r="BI78" s="51"/>
    </row>
    <row r="79" spans="1:61" ht="18" customHeight="1">
      <c r="A79" s="36"/>
      <c r="B79" s="404"/>
      <c r="C79" s="404"/>
      <c r="D79" s="404"/>
      <c r="E79" s="404"/>
      <c r="F79" s="288"/>
      <c r="G79" s="288"/>
      <c r="H79" s="288"/>
      <c r="I79" s="288"/>
      <c r="J79" s="288"/>
      <c r="K79" s="288"/>
      <c r="L79" s="288"/>
      <c r="M79" s="288"/>
      <c r="N79" s="288"/>
      <c r="O79" s="288"/>
      <c r="P79" s="288"/>
      <c r="Q79" s="288"/>
      <c r="R79" s="288"/>
      <c r="S79" s="288"/>
      <c r="T79" s="288"/>
      <c r="U79" s="288"/>
      <c r="V79" s="288"/>
      <c r="W79" s="288"/>
      <c r="X79" s="288"/>
      <c r="Y79" s="288"/>
      <c r="Z79" s="288"/>
      <c r="AA79" s="288"/>
      <c r="AB79" s="288"/>
      <c r="AC79" s="288"/>
      <c r="AD79" s="288"/>
      <c r="AE79" s="288"/>
      <c r="AF79" s="288"/>
      <c r="AG79" s="288"/>
      <c r="AH79" s="288"/>
      <c r="AI79" s="289"/>
      <c r="AK79" s="425"/>
      <c r="AL79" s="425"/>
      <c r="AM79" s="425"/>
      <c r="AN79" s="425"/>
      <c r="AO79" s="425"/>
      <c r="AP79" s="425"/>
      <c r="AQ79" s="42"/>
      <c r="AR79" s="43"/>
      <c r="AS79" s="43"/>
      <c r="AT79" s="43"/>
      <c r="AU79" s="43"/>
      <c r="AV79" s="43"/>
      <c r="AW79" s="43"/>
      <c r="AX79" s="43"/>
      <c r="AY79" s="43"/>
      <c r="AZ79" s="43"/>
      <c r="BH79" s="54"/>
      <c r="BI79" s="51"/>
    </row>
    <row r="80" spans="1:61" ht="18" customHeight="1">
      <c r="A80" s="37"/>
      <c r="B80" s="466"/>
      <c r="C80" s="466"/>
      <c r="D80" s="466"/>
      <c r="E80" s="466"/>
      <c r="F80" s="467"/>
      <c r="G80" s="467"/>
      <c r="H80" s="467"/>
      <c r="I80" s="467"/>
      <c r="J80" s="467"/>
      <c r="K80" s="467"/>
      <c r="L80" s="467"/>
      <c r="M80" s="467"/>
      <c r="N80" s="467"/>
      <c r="O80" s="467"/>
      <c r="P80" s="467"/>
      <c r="Q80" s="467"/>
      <c r="R80" s="467"/>
      <c r="S80" s="467"/>
      <c r="T80" s="467"/>
      <c r="U80" s="467"/>
      <c r="V80" s="467"/>
      <c r="W80" s="467"/>
      <c r="X80" s="467"/>
      <c r="Y80" s="467"/>
      <c r="Z80" s="467"/>
      <c r="AA80" s="467"/>
      <c r="AB80" s="467"/>
      <c r="AC80" s="467"/>
      <c r="AD80" s="467"/>
      <c r="AE80" s="467"/>
      <c r="AF80" s="467"/>
      <c r="AG80" s="467"/>
      <c r="AH80" s="467"/>
      <c r="AI80" s="468"/>
      <c r="AK80" s="425"/>
      <c r="AL80" s="425"/>
      <c r="AM80" s="425"/>
      <c r="AN80" s="425"/>
      <c r="AO80" s="425"/>
      <c r="AP80" s="425"/>
      <c r="AQ80" s="42"/>
      <c r="AR80" s="43"/>
      <c r="AS80" s="43"/>
      <c r="AT80" s="43"/>
      <c r="AU80" s="43"/>
      <c r="AV80" s="43"/>
      <c r="AW80" s="43"/>
      <c r="AX80" s="43"/>
      <c r="AY80" s="43"/>
      <c r="AZ80" s="43"/>
      <c r="BH80" s="54"/>
      <c r="BI80" s="51"/>
    </row>
    <row r="81" spans="1:61" ht="18" customHeight="1">
      <c r="A81" s="406" t="s">
        <v>704</v>
      </c>
      <c r="B81" s="407"/>
      <c r="C81" s="407"/>
      <c r="D81" s="407"/>
      <c r="E81" s="407"/>
      <c r="F81" s="407"/>
      <c r="G81" s="407"/>
      <c r="H81" s="407"/>
      <c r="I81" s="407"/>
      <c r="J81" s="407"/>
      <c r="K81" s="407"/>
      <c r="L81" s="407"/>
      <c r="M81" s="407"/>
      <c r="N81" s="407"/>
      <c r="O81" s="407"/>
      <c r="P81" s="407"/>
      <c r="Q81" s="407"/>
      <c r="R81" s="407"/>
      <c r="S81" s="407"/>
      <c r="T81" s="407"/>
      <c r="U81" s="407"/>
      <c r="V81" s="407"/>
      <c r="W81" s="407"/>
      <c r="X81" s="407"/>
      <c r="Y81" s="407"/>
      <c r="Z81" s="407"/>
      <c r="AA81" s="407"/>
      <c r="AB81" s="407"/>
      <c r="AC81" s="407"/>
      <c r="AD81" s="407"/>
      <c r="AE81" s="407"/>
      <c r="AF81" s="407"/>
      <c r="AG81" s="407"/>
      <c r="AH81" s="407"/>
      <c r="AI81" s="408"/>
      <c r="AK81" s="425"/>
      <c r="AL81" s="425"/>
      <c r="AM81" s="425"/>
      <c r="AN81" s="425"/>
      <c r="AO81" s="425"/>
      <c r="AP81" s="425"/>
      <c r="AQ81" s="42"/>
      <c r="AR81" s="43"/>
      <c r="AS81" s="43"/>
      <c r="AT81" s="43"/>
      <c r="AU81" s="43"/>
      <c r="AV81" s="43"/>
      <c r="AW81" s="43"/>
      <c r="AX81" s="43"/>
      <c r="AY81" s="43"/>
      <c r="AZ81" s="43"/>
      <c r="BH81" s="53"/>
      <c r="BI81" s="51"/>
    </row>
    <row r="82" spans="1:61" ht="18" customHeight="1">
      <c r="A82" s="38"/>
      <c r="B82" s="465">
        <v>46168</v>
      </c>
      <c r="C82" s="465"/>
      <c r="D82" s="465"/>
      <c r="E82" s="465"/>
      <c r="F82" s="288" t="s">
        <v>723</v>
      </c>
      <c r="G82" s="288"/>
      <c r="H82" s="288"/>
      <c r="I82" s="288"/>
      <c r="J82" s="288"/>
      <c r="K82" s="288"/>
      <c r="L82" s="288"/>
      <c r="M82" s="288"/>
      <c r="N82" s="288"/>
      <c r="O82" s="288"/>
      <c r="P82" s="288"/>
      <c r="Q82" s="288"/>
      <c r="R82" s="288"/>
      <c r="S82" s="288"/>
      <c r="T82" s="288"/>
      <c r="U82" s="288"/>
      <c r="V82" s="288"/>
      <c r="W82" s="288"/>
      <c r="X82" s="288"/>
      <c r="Y82" s="288"/>
      <c r="Z82" s="288"/>
      <c r="AA82" s="288"/>
      <c r="AB82" s="288"/>
      <c r="AC82" s="288"/>
      <c r="AD82" s="288"/>
      <c r="AE82" s="288"/>
      <c r="AF82" s="288"/>
      <c r="AG82" s="288"/>
      <c r="AH82" s="288"/>
      <c r="AI82" s="289"/>
      <c r="AK82" s="425"/>
      <c r="AL82" s="425"/>
      <c r="AM82" s="425"/>
      <c r="AN82" s="425"/>
      <c r="AO82" s="425"/>
      <c r="AP82" s="425"/>
      <c r="AQ82" s="42"/>
      <c r="AR82" s="43"/>
      <c r="AS82" s="43"/>
      <c r="AT82" s="43"/>
      <c r="AU82" s="43"/>
      <c r="AV82" s="43"/>
      <c r="AW82" s="43"/>
      <c r="AX82" s="43"/>
      <c r="AY82" s="43"/>
      <c r="AZ82" s="43"/>
      <c r="BH82" s="53"/>
      <c r="BI82" s="51"/>
    </row>
    <row r="83" spans="1:61" ht="18" customHeight="1">
      <c r="A83" s="38"/>
      <c r="B83" s="465"/>
      <c r="C83" s="465"/>
      <c r="D83" s="465"/>
      <c r="E83" s="465"/>
      <c r="F83" s="288"/>
      <c r="G83" s="288"/>
      <c r="H83" s="288"/>
      <c r="I83" s="288"/>
      <c r="J83" s="288"/>
      <c r="K83" s="288"/>
      <c r="L83" s="288"/>
      <c r="M83" s="288"/>
      <c r="N83" s="288"/>
      <c r="O83" s="288"/>
      <c r="P83" s="288"/>
      <c r="Q83" s="288"/>
      <c r="R83" s="288"/>
      <c r="S83" s="288"/>
      <c r="T83" s="288"/>
      <c r="U83" s="288"/>
      <c r="V83" s="288"/>
      <c r="W83" s="288"/>
      <c r="X83" s="288"/>
      <c r="Y83" s="288"/>
      <c r="Z83" s="288"/>
      <c r="AA83" s="288"/>
      <c r="AB83" s="288"/>
      <c r="AC83" s="288"/>
      <c r="AD83" s="288"/>
      <c r="AE83" s="288"/>
      <c r="AF83" s="288"/>
      <c r="AG83" s="288"/>
      <c r="AH83" s="288"/>
      <c r="AI83" s="289"/>
      <c r="AK83" s="425"/>
      <c r="AL83" s="425"/>
      <c r="AM83" s="425"/>
      <c r="AN83" s="425"/>
      <c r="AO83" s="425"/>
      <c r="AP83" s="425"/>
      <c r="AQ83" s="42"/>
      <c r="AR83" s="43"/>
      <c r="AS83" s="43"/>
      <c r="AT83" s="43"/>
      <c r="AU83" s="43"/>
      <c r="AV83" s="43"/>
      <c r="AW83" s="43"/>
      <c r="AX83" s="43"/>
      <c r="AY83" s="43"/>
      <c r="AZ83" s="43"/>
      <c r="BH83" s="53"/>
      <c r="BI83" s="51"/>
    </row>
    <row r="84" spans="1:61" ht="18" customHeight="1">
      <c r="A84" s="38"/>
      <c r="B84" s="465"/>
      <c r="C84" s="465"/>
      <c r="D84" s="465"/>
      <c r="E84" s="465"/>
      <c r="F84" s="288"/>
      <c r="G84" s="288"/>
      <c r="H84" s="288"/>
      <c r="I84" s="288"/>
      <c r="J84" s="288"/>
      <c r="K84" s="288"/>
      <c r="L84" s="288"/>
      <c r="M84" s="288"/>
      <c r="N84" s="288"/>
      <c r="O84" s="288"/>
      <c r="P84" s="288"/>
      <c r="Q84" s="288"/>
      <c r="R84" s="288"/>
      <c r="S84" s="288"/>
      <c r="T84" s="288"/>
      <c r="U84" s="288"/>
      <c r="V84" s="288"/>
      <c r="W84" s="288"/>
      <c r="X84" s="288"/>
      <c r="Y84" s="288"/>
      <c r="Z84" s="288"/>
      <c r="AA84" s="288"/>
      <c r="AB84" s="288"/>
      <c r="AC84" s="288"/>
      <c r="AD84" s="288"/>
      <c r="AE84" s="288"/>
      <c r="AF84" s="288"/>
      <c r="AG84" s="288"/>
      <c r="AH84" s="288"/>
      <c r="AI84" s="289"/>
      <c r="AK84" s="425"/>
      <c r="AL84" s="425"/>
      <c r="AM84" s="425"/>
      <c r="AN84" s="425"/>
      <c r="AO84" s="425"/>
      <c r="AP84" s="425"/>
      <c r="AQ84" s="42"/>
      <c r="AR84" s="43"/>
      <c r="AS84" s="43"/>
      <c r="AT84" s="43"/>
      <c r="AU84" s="43"/>
      <c r="AV84" s="43"/>
      <c r="AW84" s="43"/>
      <c r="AX84" s="43"/>
      <c r="AY84" s="43"/>
      <c r="AZ84" s="43"/>
    </row>
    <row r="85" spans="1:61" ht="18" customHeight="1">
      <c r="A85" s="38"/>
      <c r="B85" s="465"/>
      <c r="C85" s="465"/>
      <c r="D85" s="465"/>
      <c r="E85" s="465"/>
      <c r="F85" s="288"/>
      <c r="G85" s="288"/>
      <c r="H85" s="288"/>
      <c r="I85" s="288"/>
      <c r="J85" s="288"/>
      <c r="K85" s="288"/>
      <c r="L85" s="288"/>
      <c r="M85" s="288"/>
      <c r="N85" s="288"/>
      <c r="O85" s="288"/>
      <c r="P85" s="288"/>
      <c r="Q85" s="288"/>
      <c r="R85" s="288"/>
      <c r="S85" s="288"/>
      <c r="T85" s="288"/>
      <c r="U85" s="288"/>
      <c r="V85" s="288"/>
      <c r="W85" s="288"/>
      <c r="X85" s="288"/>
      <c r="Y85" s="288"/>
      <c r="Z85" s="288"/>
      <c r="AA85" s="288"/>
      <c r="AB85" s="288"/>
      <c r="AC85" s="288"/>
      <c r="AD85" s="288"/>
      <c r="AE85" s="288"/>
      <c r="AF85" s="288"/>
      <c r="AG85" s="288"/>
      <c r="AH85" s="288"/>
      <c r="AI85" s="289"/>
      <c r="AK85" s="425"/>
      <c r="AL85" s="425"/>
      <c r="AM85" s="425"/>
      <c r="AN85" s="425"/>
      <c r="AO85" s="425"/>
      <c r="AP85" s="425"/>
      <c r="AQ85" s="42"/>
      <c r="AR85" s="43"/>
      <c r="AS85" s="43"/>
      <c r="AT85" s="43"/>
      <c r="AU85" s="43"/>
      <c r="AV85" s="43"/>
      <c r="AW85" s="43"/>
      <c r="AX85" s="43"/>
      <c r="AY85" s="43"/>
      <c r="AZ85" s="43"/>
    </row>
    <row r="86" spans="1:61" ht="18" customHeight="1" thickBot="1">
      <c r="A86" s="41"/>
      <c r="B86" s="540"/>
      <c r="C86" s="540"/>
      <c r="D86" s="540"/>
      <c r="E86" s="540"/>
      <c r="F86" s="541"/>
      <c r="G86" s="541"/>
      <c r="H86" s="541"/>
      <c r="I86" s="541"/>
      <c r="J86" s="541"/>
      <c r="K86" s="541"/>
      <c r="L86" s="541"/>
      <c r="M86" s="541"/>
      <c r="N86" s="541"/>
      <c r="O86" s="541"/>
      <c r="P86" s="541"/>
      <c r="Q86" s="541"/>
      <c r="R86" s="541"/>
      <c r="S86" s="541"/>
      <c r="T86" s="541"/>
      <c r="U86" s="541"/>
      <c r="V86" s="541"/>
      <c r="W86" s="541"/>
      <c r="X86" s="541"/>
      <c r="Y86" s="541"/>
      <c r="Z86" s="541"/>
      <c r="AA86" s="541"/>
      <c r="AB86" s="541"/>
      <c r="AC86" s="541"/>
      <c r="AD86" s="541"/>
      <c r="AE86" s="541"/>
      <c r="AF86" s="541"/>
      <c r="AG86" s="541"/>
      <c r="AH86" s="541"/>
      <c r="AI86" s="542"/>
      <c r="AK86" s="425"/>
      <c r="AL86" s="425"/>
      <c r="AM86" s="425"/>
      <c r="AN86" s="425"/>
      <c r="AO86" s="425"/>
      <c r="AP86" s="425"/>
      <c r="AQ86" s="42"/>
      <c r="AR86" s="43"/>
      <c r="AS86" s="43"/>
      <c r="AT86" s="43"/>
      <c r="AU86" s="43"/>
      <c r="AV86" s="43"/>
      <c r="AW86" s="43"/>
      <c r="AX86" s="43"/>
      <c r="AY86" s="43"/>
      <c r="AZ86" s="43"/>
    </row>
    <row r="87" spans="1:61" ht="14.1" customHeight="1">
      <c r="AK87" s="438"/>
      <c r="AL87" s="438"/>
      <c r="AM87" s="438"/>
      <c r="AN87" s="438"/>
      <c r="AO87" s="438"/>
      <c r="AP87" s="438"/>
      <c r="AQ87" s="119"/>
    </row>
    <row r="88" spans="1:61" ht="14.1" customHeight="1">
      <c r="AK88" s="437"/>
      <c r="AL88" s="437"/>
      <c r="AM88" s="437"/>
      <c r="AN88" s="437"/>
      <c r="AO88" s="437"/>
      <c r="AP88" s="437"/>
      <c r="AQ88" s="120"/>
    </row>
    <row r="89" spans="1:61" ht="14.1" customHeight="1">
      <c r="AK89" s="437"/>
      <c r="AL89" s="437"/>
      <c r="AM89" s="437"/>
      <c r="AN89" s="437"/>
      <c r="AO89" s="437"/>
      <c r="AP89" s="437"/>
      <c r="AQ89" s="120"/>
    </row>
    <row r="90" spans="1:61" ht="14.1" customHeight="1"/>
    <row r="91" spans="1:61" ht="14.1" customHeight="1"/>
    <row r="92" spans="1:61" ht="14.1" customHeight="1"/>
    <row r="93" spans="1:61" ht="14.1" customHeight="1"/>
    <row r="94" spans="1:61" ht="14.1" customHeight="1"/>
    <row r="95" spans="1:61" ht="14.1" customHeight="1"/>
    <row r="96" spans="1:61" ht="14.1" customHeight="1"/>
    <row r="97" ht="14.1" customHeight="1"/>
    <row r="98" ht="14.1" customHeight="1"/>
    <row r="99" ht="14.1" customHeight="1"/>
    <row r="100" ht="14.1" customHeight="1"/>
    <row r="101" ht="14.1" customHeight="1"/>
    <row r="102" ht="14.1" customHeight="1"/>
    <row r="103" ht="14.1" customHeight="1"/>
    <row r="104" ht="14.1" customHeight="1"/>
    <row r="105" ht="14.1" customHeight="1"/>
    <row r="106" ht="14.1" customHeight="1"/>
    <row r="107" ht="14.1" customHeight="1"/>
    <row r="108" ht="14.1" customHeight="1"/>
    <row r="109" ht="14.1" customHeight="1"/>
    <row r="110" ht="14.1" customHeight="1"/>
    <row r="111" ht="14.1" customHeight="1"/>
    <row r="112" ht="14.1" customHeight="1"/>
    <row r="113" ht="14.1" customHeight="1"/>
    <row r="114" ht="14.1" customHeight="1"/>
    <row r="115" ht="14.1" customHeight="1"/>
    <row r="116" ht="14.1" customHeight="1"/>
    <row r="117" ht="14.1" customHeight="1"/>
    <row r="118" ht="14.1" customHeight="1"/>
    <row r="119" ht="14.1" customHeight="1"/>
    <row r="120" ht="14.1" customHeight="1"/>
    <row r="121" ht="14.1" customHeight="1"/>
    <row r="122" ht="14.1" customHeight="1"/>
    <row r="123" ht="14.1" customHeight="1"/>
    <row r="124" ht="14.1" customHeight="1"/>
    <row r="125" ht="14.1" customHeight="1"/>
    <row r="126" ht="14.1" customHeight="1"/>
    <row r="127" ht="14.1" customHeight="1"/>
    <row r="128" ht="14.1" customHeight="1"/>
    <row r="129" ht="14.1" customHeight="1"/>
    <row r="130" ht="14.1" customHeight="1"/>
    <row r="131" ht="14.1" customHeight="1"/>
    <row r="132" ht="14.1" customHeight="1"/>
    <row r="133" ht="14.1" customHeight="1"/>
    <row r="134" ht="14.1" customHeight="1"/>
    <row r="135" ht="14.1" customHeight="1"/>
    <row r="136" ht="14.1" customHeight="1"/>
    <row r="137" ht="14.1" customHeight="1"/>
    <row r="138" ht="14.1" customHeight="1"/>
    <row r="139" ht="14.1" customHeight="1"/>
    <row r="140" ht="14.1" customHeight="1"/>
    <row r="141" ht="14.1" customHeight="1"/>
    <row r="142" ht="14.1" customHeight="1"/>
    <row r="143" ht="14.1" customHeight="1"/>
    <row r="144" ht="14.1" customHeight="1"/>
    <row r="145" ht="14.1" customHeight="1"/>
    <row r="146" ht="14.1" customHeight="1"/>
    <row r="147" ht="14.1" customHeight="1"/>
    <row r="148" ht="14.1" customHeight="1"/>
    <row r="149" ht="14.1" customHeight="1"/>
    <row r="150" ht="14.1" customHeight="1"/>
    <row r="151" ht="14.1" customHeight="1"/>
    <row r="152" ht="14.1" customHeight="1"/>
    <row r="153" ht="14.1" customHeight="1"/>
    <row r="154" ht="14.1" customHeight="1"/>
    <row r="155" ht="14.1" customHeight="1"/>
    <row r="156" ht="14.1" customHeight="1"/>
    <row r="157" ht="14.1" customHeight="1"/>
    <row r="158" ht="14.1" customHeight="1"/>
    <row r="159" ht="14.1" customHeight="1"/>
    <row r="160" ht="14.1" customHeight="1"/>
    <row r="161" ht="14.1" customHeight="1"/>
    <row r="162" ht="14.1" customHeight="1"/>
    <row r="163" ht="14.1" customHeight="1"/>
    <row r="164" ht="14.1" customHeight="1"/>
    <row r="165" ht="14.1" customHeight="1"/>
    <row r="166" ht="14.1" customHeight="1"/>
    <row r="167" ht="14.1" customHeight="1"/>
    <row r="168" ht="14.1" customHeight="1"/>
    <row r="169" ht="14.1" customHeight="1"/>
    <row r="170" ht="14.1" customHeight="1"/>
    <row r="171" ht="14.1" customHeight="1"/>
    <row r="172" ht="14.1" customHeight="1"/>
    <row r="173" ht="14.1" customHeight="1"/>
    <row r="174" ht="14.1" customHeight="1"/>
    <row r="175" ht="14.1" customHeight="1"/>
    <row r="176" ht="14.1" customHeight="1"/>
    <row r="177" ht="14.1" customHeight="1"/>
    <row r="178" ht="14.1" customHeight="1"/>
    <row r="179" ht="14.1" customHeight="1"/>
    <row r="180" ht="14.1" customHeight="1"/>
    <row r="181" ht="14.1" customHeight="1"/>
    <row r="182" ht="14.1" customHeight="1"/>
    <row r="183" ht="14.1" customHeight="1"/>
    <row r="184" ht="14.1" customHeight="1"/>
    <row r="185" ht="14.1" customHeight="1"/>
    <row r="186" ht="14.1" customHeight="1"/>
    <row r="187" ht="14.1" customHeight="1"/>
    <row r="188" ht="14.1" customHeight="1"/>
    <row r="189" ht="14.1" customHeight="1"/>
    <row r="190" ht="14.1" customHeight="1"/>
    <row r="191" ht="14.1" customHeight="1"/>
    <row r="192" ht="14.1" customHeight="1"/>
    <row r="193" ht="14.1" customHeight="1"/>
    <row r="194" ht="14.1" customHeight="1"/>
    <row r="195" ht="14.1" customHeight="1"/>
    <row r="196" ht="14.1" customHeight="1"/>
    <row r="197" ht="14.1" customHeight="1"/>
    <row r="198" ht="14.1" customHeight="1"/>
    <row r="199" ht="14.1" customHeight="1"/>
    <row r="200" ht="14.1" customHeight="1"/>
    <row r="201" ht="14.1" customHeight="1"/>
    <row r="202" ht="14.1" customHeight="1"/>
    <row r="203" ht="14.1" customHeight="1"/>
    <row r="204" ht="14.1" customHeight="1"/>
    <row r="205" ht="14.1" customHeight="1"/>
    <row r="206" ht="14.1" customHeight="1"/>
    <row r="207" ht="14.1" customHeight="1"/>
    <row r="208" ht="14.1" customHeight="1"/>
    <row r="209" ht="14.1" customHeight="1"/>
    <row r="210" ht="14.1" customHeight="1"/>
    <row r="211" ht="14.1" customHeight="1"/>
    <row r="212" ht="14.1" customHeight="1"/>
    <row r="213" ht="14.1" customHeight="1"/>
    <row r="214" ht="14.1" customHeight="1"/>
    <row r="215" ht="14.1" customHeight="1"/>
    <row r="216" ht="14.1" customHeight="1"/>
    <row r="217" ht="14.1" customHeight="1"/>
    <row r="218" ht="14.1" customHeight="1"/>
    <row r="219" ht="14.1" customHeight="1"/>
    <row r="220" ht="14.1" customHeight="1"/>
    <row r="221" ht="14.1" customHeight="1"/>
    <row r="222" ht="14.1" customHeight="1"/>
    <row r="223" ht="14.1" customHeight="1"/>
    <row r="224" ht="14.1" customHeight="1"/>
    <row r="225" ht="14.1" customHeight="1"/>
    <row r="226" ht="14.1" customHeight="1"/>
    <row r="227" ht="14.1" customHeight="1"/>
    <row r="228" ht="14.1" customHeight="1"/>
    <row r="229" ht="14.1" customHeight="1"/>
    <row r="230" ht="14.1" customHeight="1"/>
    <row r="231" ht="14.1" customHeight="1"/>
    <row r="232" ht="14.1" customHeight="1"/>
    <row r="233" ht="14.1" customHeight="1"/>
    <row r="234" ht="14.1" customHeight="1"/>
    <row r="235" ht="14.1" customHeight="1"/>
    <row r="236" ht="14.1" customHeight="1"/>
    <row r="237" ht="14.1" customHeight="1"/>
    <row r="238" ht="14.1" customHeight="1"/>
    <row r="239" ht="14.1" customHeight="1"/>
    <row r="240" ht="14.1" customHeight="1"/>
    <row r="241" ht="14.1" customHeight="1"/>
    <row r="242" ht="14.1" customHeight="1"/>
    <row r="243" ht="14.1" customHeight="1"/>
    <row r="244" ht="14.1" customHeight="1"/>
    <row r="245" ht="14.1" customHeight="1"/>
    <row r="246" ht="14.1" customHeight="1"/>
    <row r="247" ht="14.1" customHeight="1"/>
    <row r="248" ht="14.1" customHeight="1"/>
    <row r="249" ht="14.1" customHeight="1"/>
    <row r="250" ht="14.1" customHeight="1"/>
    <row r="251" ht="14.1" customHeight="1"/>
    <row r="252" ht="14.1" customHeight="1"/>
    <row r="253" ht="14.1" customHeight="1"/>
    <row r="254" ht="14.1" customHeight="1"/>
    <row r="255" ht="14.1" customHeight="1"/>
    <row r="256" ht="14.1" customHeight="1"/>
    <row r="257" ht="14.1" customHeight="1"/>
    <row r="258" ht="14.1" customHeight="1"/>
    <row r="259" ht="14.1" customHeight="1"/>
    <row r="260" ht="14.1" customHeight="1"/>
    <row r="261" ht="14.1" customHeight="1"/>
    <row r="262" ht="14.1" customHeight="1"/>
    <row r="263" ht="14.1" customHeight="1"/>
    <row r="264" ht="14.1" customHeight="1"/>
    <row r="265" ht="14.1" customHeight="1"/>
    <row r="266" ht="14.1" customHeight="1"/>
  </sheetData>
  <sheetProtection algorithmName="SHA-512" hashValue="0loLJCJhL4ad+e9W1BFBlntzNt2hf75qC+V2eugpQkoXMOcFlTwiL5DSpVRXAf1cyQ/kgBnOXO/4cSPzCUKn4A==" saltValue="4etb9yyOEqZ9UduJqdtb6g==" spinCount="100000" sheet="1" autoFilter="0"/>
  <mergeCells count="381">
    <mergeCell ref="A1:S3"/>
    <mergeCell ref="T1:Z3"/>
    <mergeCell ref="AD1:AI1"/>
    <mergeCell ref="AD2:AF4"/>
    <mergeCell ref="AG2:AI4"/>
    <mergeCell ref="A4:S5"/>
    <mergeCell ref="AK7:AP8"/>
    <mergeCell ref="AQ7:AQ8"/>
    <mergeCell ref="V8:X8"/>
    <mergeCell ref="A9:AI9"/>
    <mergeCell ref="AK9:AP9"/>
    <mergeCell ref="A10:H10"/>
    <mergeCell ref="I10:J10"/>
    <mergeCell ref="K10:L10"/>
    <mergeCell ref="M10:T10"/>
    <mergeCell ref="U10:V10"/>
    <mergeCell ref="O7:P8"/>
    <mergeCell ref="Q7:R8"/>
    <mergeCell ref="S7:T8"/>
    <mergeCell ref="V7:X7"/>
    <mergeCell ref="Y7:AA8"/>
    <mergeCell ref="AB7:AI8"/>
    <mergeCell ref="A7:E8"/>
    <mergeCell ref="F7:F8"/>
    <mergeCell ref="G7:I8"/>
    <mergeCell ref="J7:J8"/>
    <mergeCell ref="K7:M8"/>
    <mergeCell ref="N7:N8"/>
    <mergeCell ref="W10:X10"/>
    <mergeCell ref="Y10:AF10"/>
    <mergeCell ref="AG10:AH10"/>
    <mergeCell ref="AK10:AP10"/>
    <mergeCell ref="A11:H11"/>
    <mergeCell ref="I11:J11"/>
    <mergeCell ref="K11:L11"/>
    <mergeCell ref="M11:T11"/>
    <mergeCell ref="U11:V11"/>
    <mergeCell ref="W11:X11"/>
    <mergeCell ref="Y11:AF11"/>
    <mergeCell ref="AG11:AH11"/>
    <mergeCell ref="AK11:AP11"/>
    <mergeCell ref="A12:H12"/>
    <mergeCell ref="I12:J12"/>
    <mergeCell ref="K12:L12"/>
    <mergeCell ref="M12:T12"/>
    <mergeCell ref="U12:V12"/>
    <mergeCell ref="W12:X12"/>
    <mergeCell ref="Y12:AF12"/>
    <mergeCell ref="AG12:AH12"/>
    <mergeCell ref="AK12:AP12"/>
    <mergeCell ref="A13:H13"/>
    <mergeCell ref="I13:J13"/>
    <mergeCell ref="K13:L13"/>
    <mergeCell ref="M13:T13"/>
    <mergeCell ref="U13:V13"/>
    <mergeCell ref="W13:X13"/>
    <mergeCell ref="Y13:AF13"/>
    <mergeCell ref="AG13:AH13"/>
    <mergeCell ref="AK13:AP13"/>
    <mergeCell ref="A14:AI14"/>
    <mergeCell ref="AK14:AP14"/>
    <mergeCell ref="B15:I15"/>
    <mergeCell ref="J15:L15"/>
    <mergeCell ref="M15:N15"/>
    <mergeCell ref="O15:V15"/>
    <mergeCell ref="W15:Y15"/>
    <mergeCell ref="Z15:AA15"/>
    <mergeCell ref="AB15:AG15"/>
    <mergeCell ref="A18:E18"/>
    <mergeCell ref="F18:AI18"/>
    <mergeCell ref="AK18:AP18"/>
    <mergeCell ref="B19:E19"/>
    <mergeCell ref="F19:AI19"/>
    <mergeCell ref="AK19:AP19"/>
    <mergeCell ref="AH15:AI15"/>
    <mergeCell ref="AK15:AP15"/>
    <mergeCell ref="A16:AI16"/>
    <mergeCell ref="AK16:AP16"/>
    <mergeCell ref="A17:E17"/>
    <mergeCell ref="F17:AI17"/>
    <mergeCell ref="AK17:AP17"/>
    <mergeCell ref="B20:E20"/>
    <mergeCell ref="F20:AI20"/>
    <mergeCell ref="AK20:AP20"/>
    <mergeCell ref="AR20:AR23"/>
    <mergeCell ref="B21:E21"/>
    <mergeCell ref="F21:AI21"/>
    <mergeCell ref="AK21:AP21"/>
    <mergeCell ref="B22:E22"/>
    <mergeCell ref="F22:AI22"/>
    <mergeCell ref="AK22:AP22"/>
    <mergeCell ref="BA23:BB23"/>
    <mergeCell ref="B24:E24"/>
    <mergeCell ref="F24:AI24"/>
    <mergeCell ref="AK24:AP24"/>
    <mergeCell ref="AY24:AZ24"/>
    <mergeCell ref="BA24:BB24"/>
    <mergeCell ref="AS22:AT22"/>
    <mergeCell ref="AU22:AV22"/>
    <mergeCell ref="AY22:AZ22"/>
    <mergeCell ref="BA22:BB22"/>
    <mergeCell ref="B23:E23"/>
    <mergeCell ref="F23:AI23"/>
    <mergeCell ref="AK23:AP23"/>
    <mergeCell ref="AS23:AT23"/>
    <mergeCell ref="AU23:AV23"/>
    <mergeCell ref="AY23:AZ23"/>
    <mergeCell ref="B27:E27"/>
    <mergeCell ref="F27:AI27"/>
    <mergeCell ref="AK27:AP27"/>
    <mergeCell ref="AS27:AT27"/>
    <mergeCell ref="AU27:AW27"/>
    <mergeCell ref="AY27:BB27"/>
    <mergeCell ref="B25:E25"/>
    <mergeCell ref="F25:AI25"/>
    <mergeCell ref="AK25:AP25"/>
    <mergeCell ref="AY25:AZ25"/>
    <mergeCell ref="BA25:BB25"/>
    <mergeCell ref="B26:E26"/>
    <mergeCell ref="F26:AI26"/>
    <mergeCell ref="AK26:AP26"/>
    <mergeCell ref="AS26:AW26"/>
    <mergeCell ref="BA28:BB28"/>
    <mergeCell ref="B29:E29"/>
    <mergeCell ref="F29:AI29"/>
    <mergeCell ref="AK29:AP29"/>
    <mergeCell ref="AS29:AT29"/>
    <mergeCell ref="AU29:AW29"/>
    <mergeCell ref="AY29:AZ29"/>
    <mergeCell ref="BA29:BB29"/>
    <mergeCell ref="B28:E28"/>
    <mergeCell ref="F28:AI28"/>
    <mergeCell ref="AK28:AP28"/>
    <mergeCell ref="AS28:AT28"/>
    <mergeCell ref="AU28:AW28"/>
    <mergeCell ref="AY28:AZ28"/>
    <mergeCell ref="A32:AI32"/>
    <mergeCell ref="AK32:AP32"/>
    <mergeCell ref="AS32:AT32"/>
    <mergeCell ref="AU32:AW32"/>
    <mergeCell ref="AY32:AZ32"/>
    <mergeCell ref="BA32:BB32"/>
    <mergeCell ref="BA30:BB30"/>
    <mergeCell ref="B31:E31"/>
    <mergeCell ref="F31:AI31"/>
    <mergeCell ref="AK31:AP31"/>
    <mergeCell ref="AS31:AT31"/>
    <mergeCell ref="AU31:AW31"/>
    <mergeCell ref="AY31:AZ31"/>
    <mergeCell ref="BA31:BB31"/>
    <mergeCell ref="B30:E30"/>
    <mergeCell ref="F30:AI30"/>
    <mergeCell ref="AK30:AP30"/>
    <mergeCell ref="AS30:AT30"/>
    <mergeCell ref="AU30:AW30"/>
    <mergeCell ref="AY30:AZ30"/>
    <mergeCell ref="BA33:BB33"/>
    <mergeCell ref="B34:E34"/>
    <mergeCell ref="F34:AI34"/>
    <mergeCell ref="AK34:AP34"/>
    <mergeCell ref="AS34:AT34"/>
    <mergeCell ref="AU34:AW34"/>
    <mergeCell ref="AY34:AZ34"/>
    <mergeCell ref="BA34:BB34"/>
    <mergeCell ref="B33:E33"/>
    <mergeCell ref="F33:AI33"/>
    <mergeCell ref="AK33:AP33"/>
    <mergeCell ref="AS33:AT33"/>
    <mergeCell ref="AU33:AW33"/>
    <mergeCell ref="AY33:AZ33"/>
    <mergeCell ref="AY35:AZ35"/>
    <mergeCell ref="BA35:BB35"/>
    <mergeCell ref="A36:E36"/>
    <mergeCell ref="F36:K36"/>
    <mergeCell ref="L36:O36"/>
    <mergeCell ref="P36:R36"/>
    <mergeCell ref="T36:V36"/>
    <mergeCell ref="W36:AB36"/>
    <mergeCell ref="AC36:AI36"/>
    <mergeCell ref="B35:E35"/>
    <mergeCell ref="F35:V35"/>
    <mergeCell ref="W35:AB35"/>
    <mergeCell ref="AC35:AI35"/>
    <mergeCell ref="AK35:AP35"/>
    <mergeCell ref="AS35:AT35"/>
    <mergeCell ref="AK36:AP36"/>
    <mergeCell ref="AS36:AT36"/>
    <mergeCell ref="AU36:AW36"/>
    <mergeCell ref="AU35:AW35"/>
    <mergeCell ref="A39:AI39"/>
    <mergeCell ref="AK39:AP39"/>
    <mergeCell ref="AS39:AT39"/>
    <mergeCell ref="AV39:AW39"/>
    <mergeCell ref="A38:E38"/>
    <mergeCell ref="F38:K38"/>
    <mergeCell ref="L38:O38"/>
    <mergeCell ref="P38:V38"/>
    <mergeCell ref="W38:AB38"/>
    <mergeCell ref="AC38:AI38"/>
    <mergeCell ref="AD40:AI40"/>
    <mergeCell ref="A37:E37"/>
    <mergeCell ref="F37:AI37"/>
    <mergeCell ref="AK40:AP40"/>
    <mergeCell ref="AS40:AT40"/>
    <mergeCell ref="AV40:AW40"/>
    <mergeCell ref="A41:D41"/>
    <mergeCell ref="E41:G41"/>
    <mergeCell ref="I41:K41"/>
    <mergeCell ref="L41:R41"/>
    <mergeCell ref="S41:V41"/>
    <mergeCell ref="W41:Y41"/>
    <mergeCell ref="AA41:AC41"/>
    <mergeCell ref="AD41:AI41"/>
    <mergeCell ref="AK41:AP41"/>
    <mergeCell ref="A40:D40"/>
    <mergeCell ref="E40:K40"/>
    <mergeCell ref="L40:R40"/>
    <mergeCell ref="S40:V40"/>
    <mergeCell ref="W40:AC40"/>
    <mergeCell ref="AK37:AP37"/>
    <mergeCell ref="AS37:AT37"/>
    <mergeCell ref="AU37:AW37"/>
    <mergeCell ref="AK38:AP38"/>
    <mergeCell ref="A42:D42"/>
    <mergeCell ref="E42:G42"/>
    <mergeCell ref="I42:K42"/>
    <mergeCell ref="L42:R42"/>
    <mergeCell ref="S42:V42"/>
    <mergeCell ref="W42:Y42"/>
    <mergeCell ref="AA42:AC42"/>
    <mergeCell ref="AK42:AP42"/>
    <mergeCell ref="AS42:AW42"/>
    <mergeCell ref="A43:D43"/>
    <mergeCell ref="E43:G43"/>
    <mergeCell ref="I43:K43"/>
    <mergeCell ref="L43:R43"/>
    <mergeCell ref="S43:V43"/>
    <mergeCell ref="W43:Y43"/>
    <mergeCell ref="AA43:AC43"/>
    <mergeCell ref="A44:D44"/>
    <mergeCell ref="E44:G44"/>
    <mergeCell ref="I44:K44"/>
    <mergeCell ref="L44:R44"/>
    <mergeCell ref="S44:V44"/>
    <mergeCell ref="W44:Y44"/>
    <mergeCell ref="AA44:AC44"/>
    <mergeCell ref="AD44:AI44"/>
    <mergeCell ref="AD42:AI42"/>
    <mergeCell ref="AK44:AP44"/>
    <mergeCell ref="R45:U45"/>
    <mergeCell ref="W45:X45"/>
    <mergeCell ref="Z45:AA45"/>
    <mergeCell ref="AC45:AD45"/>
    <mergeCell ref="AE45:AF45"/>
    <mergeCell ref="AK45:AP45"/>
    <mergeCell ref="AD43:AI43"/>
    <mergeCell ref="AK43:AP43"/>
    <mergeCell ref="B49:E49"/>
    <mergeCell ref="F49:AI49"/>
    <mergeCell ref="AK49:AP49"/>
    <mergeCell ref="B50:E50"/>
    <mergeCell ref="F50:AI50"/>
    <mergeCell ref="AK50:AP50"/>
    <mergeCell ref="A46:AI46"/>
    <mergeCell ref="AK46:AP46"/>
    <mergeCell ref="B47:E47"/>
    <mergeCell ref="F47:AI47"/>
    <mergeCell ref="AK47:AP47"/>
    <mergeCell ref="B48:E48"/>
    <mergeCell ref="F48:AI48"/>
    <mergeCell ref="AK48:AP48"/>
    <mergeCell ref="B53:E53"/>
    <mergeCell ref="F53:AI53"/>
    <mergeCell ref="AK53:AP53"/>
    <mergeCell ref="B54:E54"/>
    <mergeCell ref="F54:AI54"/>
    <mergeCell ref="AK54:AP54"/>
    <mergeCell ref="B51:E51"/>
    <mergeCell ref="F51:AI51"/>
    <mergeCell ref="AK51:AP51"/>
    <mergeCell ref="B52:E52"/>
    <mergeCell ref="F52:AI52"/>
    <mergeCell ref="AK52:AP52"/>
    <mergeCell ref="B57:E57"/>
    <mergeCell ref="F57:AI57"/>
    <mergeCell ref="AK57:AP57"/>
    <mergeCell ref="B58:E58"/>
    <mergeCell ref="F58:AI58"/>
    <mergeCell ref="AK58:AP58"/>
    <mergeCell ref="B55:E55"/>
    <mergeCell ref="F55:AI55"/>
    <mergeCell ref="AK55:AP55"/>
    <mergeCell ref="B56:E56"/>
    <mergeCell ref="F56:AI56"/>
    <mergeCell ref="AK56:AP56"/>
    <mergeCell ref="B61:E61"/>
    <mergeCell ref="F61:AI61"/>
    <mergeCell ref="AK61:AP61"/>
    <mergeCell ref="B62:E62"/>
    <mergeCell ref="F62:AI62"/>
    <mergeCell ref="AK62:AP62"/>
    <mergeCell ref="B59:E59"/>
    <mergeCell ref="F59:AI59"/>
    <mergeCell ref="AK59:AP59"/>
    <mergeCell ref="B60:E60"/>
    <mergeCell ref="F60:AI60"/>
    <mergeCell ref="AK60:AP60"/>
    <mergeCell ref="B65:E65"/>
    <mergeCell ref="F65:AI65"/>
    <mergeCell ref="AK65:AP65"/>
    <mergeCell ref="B66:E66"/>
    <mergeCell ref="F66:AI66"/>
    <mergeCell ref="AK66:AP66"/>
    <mergeCell ref="B63:E63"/>
    <mergeCell ref="F63:AI63"/>
    <mergeCell ref="AK63:AP63"/>
    <mergeCell ref="B64:E64"/>
    <mergeCell ref="F64:AI64"/>
    <mergeCell ref="AK64:AP64"/>
    <mergeCell ref="B69:E69"/>
    <mergeCell ref="F69:AI69"/>
    <mergeCell ref="AK69:AP69"/>
    <mergeCell ref="B70:E70"/>
    <mergeCell ref="F70:AI70"/>
    <mergeCell ref="AK70:AP70"/>
    <mergeCell ref="B67:E67"/>
    <mergeCell ref="F67:AI67"/>
    <mergeCell ref="AK67:AP67"/>
    <mergeCell ref="B68:E68"/>
    <mergeCell ref="F68:AI68"/>
    <mergeCell ref="AK68:AP68"/>
    <mergeCell ref="B73:E73"/>
    <mergeCell ref="F73:AI73"/>
    <mergeCell ref="AK73:AP73"/>
    <mergeCell ref="B74:E74"/>
    <mergeCell ref="F74:AI74"/>
    <mergeCell ref="AK74:AP74"/>
    <mergeCell ref="B71:E71"/>
    <mergeCell ref="F71:AI71"/>
    <mergeCell ref="AK71:AP71"/>
    <mergeCell ref="B72:E72"/>
    <mergeCell ref="F72:AI72"/>
    <mergeCell ref="AK72:AP72"/>
    <mergeCell ref="B77:E77"/>
    <mergeCell ref="F77:AI77"/>
    <mergeCell ref="AK77:AP77"/>
    <mergeCell ref="B78:E78"/>
    <mergeCell ref="F78:AI78"/>
    <mergeCell ref="AK78:AP78"/>
    <mergeCell ref="B75:E75"/>
    <mergeCell ref="F75:AI75"/>
    <mergeCell ref="AK75:AP75"/>
    <mergeCell ref="B76:E76"/>
    <mergeCell ref="F76:AI76"/>
    <mergeCell ref="AK76:AP76"/>
    <mergeCell ref="A81:AI81"/>
    <mergeCell ref="AK81:AP81"/>
    <mergeCell ref="B82:E82"/>
    <mergeCell ref="F82:AI82"/>
    <mergeCell ref="AK82:AP82"/>
    <mergeCell ref="B83:E83"/>
    <mergeCell ref="F83:AI83"/>
    <mergeCell ref="AK83:AP83"/>
    <mergeCell ref="B79:E79"/>
    <mergeCell ref="F79:AI79"/>
    <mergeCell ref="AK79:AP79"/>
    <mergeCell ref="B80:E80"/>
    <mergeCell ref="F80:AI80"/>
    <mergeCell ref="AK80:AP80"/>
    <mergeCell ref="B86:E86"/>
    <mergeCell ref="F86:AI86"/>
    <mergeCell ref="AK86:AP86"/>
    <mergeCell ref="AK87:AP87"/>
    <mergeCell ref="AK88:AP88"/>
    <mergeCell ref="AK89:AP89"/>
    <mergeCell ref="B84:E84"/>
    <mergeCell ref="F84:AI84"/>
    <mergeCell ref="AK84:AP84"/>
    <mergeCell ref="B85:E85"/>
    <mergeCell ref="F85:AI85"/>
    <mergeCell ref="AK85:AP85"/>
  </mergeCells>
  <phoneticPr fontId="2"/>
  <conditionalFormatting sqref="AQ20:AQ28 AQ30:AQ31 AQ9 AQ11:AQ12 AQ14 AQ33:AQ34">
    <cfRule type="containsBlanks" dxfId="323" priority="12">
      <formula>LEN(TRIM(AQ9))=0</formula>
    </cfRule>
  </conditionalFormatting>
  <conditionalFormatting sqref="BC11:CF11">
    <cfRule type="containsText" dxfId="322" priority="8" operator="containsText" text="青">
      <formula>NOT(ISERROR(SEARCH("青",BC11)))</formula>
    </cfRule>
    <cfRule type="containsText" dxfId="321" priority="9" operator="containsText" text="緑">
      <formula>NOT(ISERROR(SEARCH("緑",BC11)))</formula>
    </cfRule>
    <cfRule type="containsText" dxfId="320" priority="10" operator="containsText" text="黄">
      <formula>NOT(ISERROR(SEARCH("黄",BC11)))</formula>
    </cfRule>
    <cfRule type="containsText" dxfId="319" priority="11" operator="containsText" text="赤">
      <formula>NOT(ISERROR(SEARCH("赤",BC11)))</formula>
    </cfRule>
  </conditionalFormatting>
  <conditionalFormatting sqref="V7:X8">
    <cfRule type="containsBlanks" dxfId="318" priority="7">
      <formula>LEN(TRIM(V7))=0</formula>
    </cfRule>
  </conditionalFormatting>
  <conditionalFormatting sqref="AB7:AI8">
    <cfRule type="containsBlanks" dxfId="317" priority="6">
      <formula>LEN(TRIM(AB7))=0</formula>
    </cfRule>
  </conditionalFormatting>
  <conditionalFormatting sqref="A7:E8 G7:I8 K7:M8 O7:P8">
    <cfRule type="containsBlanks" dxfId="316" priority="5">
      <formula>LEN(TRIM(A7))=0</formula>
    </cfRule>
  </conditionalFormatting>
  <conditionalFormatting sqref="W15:Y15 AH15:AI15 J15:L15">
    <cfRule type="containsBlanks" dxfId="315" priority="4">
      <formula>LEN(TRIM(J15))=0</formula>
    </cfRule>
  </conditionalFormatting>
  <conditionalFormatting sqref="L41:R44">
    <cfRule type="cellIs" dxfId="314" priority="1" operator="equal">
      <formula>0</formula>
    </cfRule>
  </conditionalFormatting>
  <conditionalFormatting sqref="P36:R36 T36:V36 L38:O38 AC38:AI38 AC36:AI36">
    <cfRule type="containsBlanks" dxfId="313" priority="3">
      <formula>LEN(TRIM(L36))=0</formula>
    </cfRule>
  </conditionalFormatting>
  <conditionalFormatting sqref="W41:Y44 AA41:AI44">
    <cfRule type="cellIs" dxfId="312" priority="2" operator="equal">
      <formula>0</formula>
    </cfRule>
  </conditionalFormatting>
  <printOptions horizontalCentered="1" verticalCentered="1"/>
  <pageMargins left="0.70866141732283472" right="0.59055118110236227" top="0.55118110236220474" bottom="0.55118110236220474" header="0.31496062992125984" footer="0.31496062992125984"/>
  <pageSetup paperSize="9" orientation="portrait" horizontalDpi="300" verticalDpi="300" r:id="rId1"/>
  <headerFooter scaleWithDoc="0" alignWithMargins="0">
    <oddFooter>&amp;C&amp;P&amp;Rヒトトヒト株式会社</oddFooter>
  </headerFooter>
  <rowBreaks count="1" manualBreakCount="1">
    <brk id="44" max="34" man="1"/>
  </rowBreaks>
  <drawing r:id="rId2"/>
  <extLst>
    <ext xmlns:x14="http://schemas.microsoft.com/office/spreadsheetml/2009/9/main" uri="{CCE6A557-97BC-4b89-ADB6-D9C93CAAB3DF}">
      <x14:dataValidations xmlns:xm="http://schemas.microsoft.com/office/excel/2006/main" count="6">
        <x14:dataValidation type="list" allowBlank="1" showInputMessage="1" showErrorMessage="1" xr:uid="{9450BDD4-0089-4B4C-865C-37D6C313D258}">
          <x14:formula1>
            <xm:f>初期値!$C$12:$C$27</xm:f>
          </x14:formula1>
          <xm:sqref>P36:R36 T36:V36</xm:sqref>
        </x14:dataValidation>
        <x14:dataValidation type="list" allowBlank="1" showInputMessage="1" showErrorMessage="1" xr:uid="{9D305164-F43C-4592-844E-0E088378E1C7}">
          <x14:formula1>
            <xm:f>初期値!$G$12:$G$24</xm:f>
          </x14:formula1>
          <xm:sqref>V7:X8</xm:sqref>
        </x14:dataValidation>
        <x14:dataValidation type="list" allowBlank="1" showInputMessage="1" showErrorMessage="1" xr:uid="{E08EE68C-B1AA-4F79-A23C-FC9B687DC033}">
          <x14:formula1>
            <xm:f>初期値!$E$12:$E$13</xm:f>
          </x14:formula1>
          <xm:sqref>L38:O38 AC38:AI38 AC36:AI36</xm:sqref>
        </x14:dataValidation>
        <x14:dataValidation type="list" allowBlank="1" showInputMessage="1" showErrorMessage="1" xr:uid="{A6F1299B-8F68-4E94-A90F-AD9BA5BC584D}">
          <x14:formula1>
            <xm:f>初期値!$N$22:$N$23</xm:f>
          </x14:formula1>
          <xm:sqref>AW23</xm:sqref>
        </x14:dataValidation>
        <x14:dataValidation type="list" allowBlank="1" showInputMessage="1" showErrorMessage="1" xr:uid="{833BBFE2-97F6-4698-A1CA-AE57138708F2}">
          <x14:formula1>
            <xm:f>初期値!$P$12:$P$27</xm:f>
          </x14:formula1>
          <xm:sqref>BA24:BB24 BA22:BB22 BA28:BB28 BA30:BB30 BA32:BB32 BA34:BB34</xm:sqref>
        </x14:dataValidation>
        <x14:dataValidation type="list" allowBlank="1" showInputMessage="1" showErrorMessage="1" xr:uid="{1D949802-6B01-4DD9-B55F-8E9CD8AF6644}">
          <x14:formula1>
            <xm:f>初期値!$N$12:$N$19</xm:f>
          </x14:formula1>
          <xm:sqref>AU22:AV22</xm:sqref>
        </x14:dataValidation>
      </x14:dataValidations>
    </ext>
  </extLs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5468052-B754-4005-9E97-137C5D676C9C}">
  <sheetPr codeName="Sheet13"/>
  <dimension ref="A1:CG266"/>
  <sheetViews>
    <sheetView topLeftCell="A10" zoomScaleNormal="100" zoomScaleSheetLayoutView="100" workbookViewId="0">
      <selection activeCell="F34" sqref="F34:AI34"/>
    </sheetView>
  </sheetViews>
  <sheetFormatPr defaultColWidth="8.875" defaultRowHeight="13.5"/>
  <cols>
    <col min="1" max="42" width="2.25" style="23" customWidth="1"/>
    <col min="43" max="43" width="6" style="23" bestFit="1" customWidth="1"/>
    <col min="44" max="44" width="4.5" style="23" bestFit="1" customWidth="1"/>
    <col min="45" max="45" width="6" style="23" bestFit="1" customWidth="1"/>
    <col min="46" max="46" width="4.5" style="23" bestFit="1" customWidth="1"/>
    <col min="47" max="47" width="9" style="23" bestFit="1" customWidth="1"/>
    <col min="48" max="48" width="8.5" style="23" bestFit="1" customWidth="1"/>
    <col min="49" max="49" width="7.5" style="23" bestFit="1" customWidth="1"/>
    <col min="50" max="50" width="6.5" style="23" bestFit="1" customWidth="1"/>
    <col min="51" max="51" width="7.5" style="23" bestFit="1" customWidth="1"/>
    <col min="52" max="52" width="2.125" style="23" customWidth="1"/>
    <col min="53" max="54" width="7.375" style="23" customWidth="1"/>
    <col min="55" max="63" width="3.625" style="23" bestFit="1" customWidth="1"/>
    <col min="64" max="84" width="4" style="23" bestFit="1" customWidth="1"/>
    <col min="85" max="16384" width="8.875" style="23"/>
  </cols>
  <sheetData>
    <row r="1" spans="1:85" ht="14.1" customHeight="1">
      <c r="A1" s="510" t="s">
        <v>551</v>
      </c>
      <c r="B1" s="510"/>
      <c r="C1" s="510"/>
      <c r="D1" s="510"/>
      <c r="E1" s="510"/>
      <c r="F1" s="510"/>
      <c r="G1" s="510"/>
      <c r="H1" s="510"/>
      <c r="I1" s="510"/>
      <c r="J1" s="510"/>
      <c r="K1" s="510"/>
      <c r="L1" s="510"/>
      <c r="M1" s="510"/>
      <c r="N1" s="510"/>
      <c r="O1" s="510"/>
      <c r="P1" s="510"/>
      <c r="Q1" s="510"/>
      <c r="R1" s="510"/>
      <c r="S1" s="510"/>
      <c r="T1" s="388"/>
      <c r="U1" s="388"/>
      <c r="V1" s="388"/>
      <c r="W1" s="388"/>
      <c r="X1" s="388"/>
      <c r="Y1" s="388"/>
      <c r="Z1" s="388"/>
      <c r="AA1" s="24"/>
      <c r="AB1" s="32"/>
      <c r="AD1" s="252" t="s">
        <v>167</v>
      </c>
      <c r="AE1" s="252"/>
      <c r="AF1" s="252"/>
      <c r="AG1" s="252"/>
      <c r="AH1" s="252"/>
      <c r="AI1" s="252"/>
      <c r="AM1" s="123">
        <v>6</v>
      </c>
      <c r="BB1"/>
    </row>
    <row r="2" spans="1:85" ht="14.1" customHeight="1">
      <c r="A2" s="510"/>
      <c r="B2" s="510"/>
      <c r="C2" s="510"/>
      <c r="D2" s="510"/>
      <c r="E2" s="510"/>
      <c r="F2" s="510"/>
      <c r="G2" s="510"/>
      <c r="H2" s="510"/>
      <c r="I2" s="510"/>
      <c r="J2" s="510"/>
      <c r="K2" s="510"/>
      <c r="L2" s="510"/>
      <c r="M2" s="510"/>
      <c r="N2" s="510"/>
      <c r="O2" s="510"/>
      <c r="P2" s="510"/>
      <c r="Q2" s="510"/>
      <c r="R2" s="510"/>
      <c r="S2" s="510"/>
      <c r="T2" s="388"/>
      <c r="U2" s="388"/>
      <c r="V2" s="388"/>
      <c r="W2" s="388"/>
      <c r="X2" s="388"/>
      <c r="Y2" s="388"/>
      <c r="Z2" s="388"/>
      <c r="AA2" s="25"/>
      <c r="AB2" s="31"/>
      <c r="AD2" s="253"/>
      <c r="AE2" s="253"/>
      <c r="AF2" s="253"/>
      <c r="AG2" s="253"/>
      <c r="AH2" s="253"/>
      <c r="AI2" s="253"/>
      <c r="BA2"/>
    </row>
    <row r="3" spans="1:85" ht="14.1" customHeight="1">
      <c r="A3" s="510"/>
      <c r="B3" s="510"/>
      <c r="C3" s="510"/>
      <c r="D3" s="510"/>
      <c r="E3" s="510"/>
      <c r="F3" s="510"/>
      <c r="G3" s="510"/>
      <c r="H3" s="510"/>
      <c r="I3" s="510"/>
      <c r="J3" s="510"/>
      <c r="K3" s="510"/>
      <c r="L3" s="510"/>
      <c r="M3" s="510"/>
      <c r="N3" s="510"/>
      <c r="O3" s="510"/>
      <c r="P3" s="510"/>
      <c r="Q3" s="510"/>
      <c r="R3" s="510"/>
      <c r="S3" s="510"/>
      <c r="T3" s="388"/>
      <c r="U3" s="388"/>
      <c r="V3" s="388"/>
      <c r="W3" s="388"/>
      <c r="X3" s="388"/>
      <c r="Y3" s="388"/>
      <c r="Z3" s="388"/>
      <c r="AA3" s="25"/>
      <c r="AB3" s="31"/>
      <c r="AD3" s="253"/>
      <c r="AE3" s="253"/>
      <c r="AF3" s="253"/>
      <c r="AG3" s="253"/>
      <c r="AH3" s="253"/>
      <c r="AI3" s="253"/>
      <c r="BA3"/>
    </row>
    <row r="4" spans="1:85" ht="14.1" customHeight="1">
      <c r="A4" s="395" t="s">
        <v>552</v>
      </c>
      <c r="B4" s="395"/>
      <c r="C4" s="395"/>
      <c r="D4" s="395"/>
      <c r="E4" s="395"/>
      <c r="F4" s="395"/>
      <c r="G4" s="395"/>
      <c r="H4" s="395"/>
      <c r="I4" s="395"/>
      <c r="J4" s="395"/>
      <c r="K4" s="395"/>
      <c r="L4" s="395"/>
      <c r="M4" s="395"/>
      <c r="N4" s="395"/>
      <c r="O4" s="395"/>
      <c r="P4" s="395"/>
      <c r="Q4" s="395"/>
      <c r="R4" s="395"/>
      <c r="S4" s="395"/>
      <c r="T4" s="155"/>
      <c r="U4" s="155"/>
      <c r="V4" s="155"/>
      <c r="W4" s="155"/>
      <c r="X4" s="155"/>
      <c r="Y4" s="155"/>
      <c r="Z4" s="155"/>
      <c r="AA4" s="26"/>
      <c r="AB4" s="31"/>
      <c r="AD4" s="253"/>
      <c r="AE4" s="253"/>
      <c r="AF4" s="253"/>
      <c r="AG4" s="253"/>
      <c r="AH4" s="253"/>
      <c r="AI4" s="253"/>
      <c r="BA4"/>
    </row>
    <row r="5" spans="1:85" ht="14.1" customHeight="1">
      <c r="A5" s="395"/>
      <c r="B5" s="395"/>
      <c r="C5" s="395"/>
      <c r="D5" s="395"/>
      <c r="E5" s="395"/>
      <c r="F5" s="395"/>
      <c r="G5" s="395"/>
      <c r="H5" s="395"/>
      <c r="I5" s="395"/>
      <c r="J5" s="395"/>
      <c r="K5" s="395"/>
      <c r="L5" s="395"/>
      <c r="M5" s="395"/>
      <c r="N5" s="395"/>
      <c r="O5" s="395"/>
      <c r="P5" s="395"/>
      <c r="Q5" s="395"/>
      <c r="R5" s="395"/>
      <c r="S5" s="395"/>
      <c r="T5" s="155"/>
      <c r="U5" s="155"/>
      <c r="V5" s="155"/>
      <c r="W5" s="155"/>
      <c r="X5" s="155"/>
      <c r="Y5" s="155"/>
      <c r="Z5" s="155"/>
      <c r="AA5" s="26"/>
      <c r="AB5" s="31"/>
      <c r="AC5" s="31"/>
      <c r="AD5" s="31"/>
      <c r="AE5" s="31"/>
      <c r="AF5" s="31"/>
      <c r="AG5" s="31"/>
      <c r="AH5" s="31"/>
      <c r="AI5" s="31"/>
      <c r="BA5"/>
    </row>
    <row r="6" spans="1:85" ht="14.1" customHeight="1" thickBot="1">
      <c r="A6" s="27"/>
      <c r="B6" s="27"/>
      <c r="C6" s="27"/>
      <c r="D6" s="27"/>
      <c r="E6" s="27"/>
      <c r="F6" s="27"/>
      <c r="G6" s="27"/>
      <c r="H6" s="27"/>
      <c r="I6" s="27"/>
      <c r="BA6"/>
    </row>
    <row r="7" spans="1:85" ht="12" customHeight="1">
      <c r="A7" s="255">
        <f>DATE(初期値!A2,初期値!A3,AM1)</f>
        <v>46179</v>
      </c>
      <c r="B7" s="256"/>
      <c r="C7" s="256"/>
      <c r="D7" s="256"/>
      <c r="E7" s="256"/>
      <c r="F7" s="259" t="s">
        <v>169</v>
      </c>
      <c r="G7" s="236">
        <f>$A$7</f>
        <v>46179</v>
      </c>
      <c r="H7" s="236"/>
      <c r="I7" s="236"/>
      <c r="J7" s="239" t="s">
        <v>170</v>
      </c>
      <c r="K7" s="261">
        <f>$A$7</f>
        <v>46179</v>
      </c>
      <c r="L7" s="261"/>
      <c r="M7" s="261"/>
      <c r="N7" s="239" t="s">
        <v>3</v>
      </c>
      <c r="O7" s="520">
        <f>$A$7</f>
        <v>46179</v>
      </c>
      <c r="P7" s="520"/>
      <c r="Q7" s="239" t="s">
        <v>292</v>
      </c>
      <c r="R7" s="240"/>
      <c r="S7" s="522" t="s">
        <v>553</v>
      </c>
      <c r="T7" s="244"/>
      <c r="U7" s="29" t="s">
        <v>554</v>
      </c>
      <c r="V7" s="518" t="s">
        <v>37</v>
      </c>
      <c r="W7" s="518"/>
      <c r="X7" s="518"/>
      <c r="Y7" s="511" t="s">
        <v>555</v>
      </c>
      <c r="Z7" s="512"/>
      <c r="AA7" s="513"/>
      <c r="AB7" s="244" t="str">
        <f>L43</f>
        <v>二野宮慧太</v>
      </c>
      <c r="AC7" s="244"/>
      <c r="AD7" s="244"/>
      <c r="AE7" s="244"/>
      <c r="AF7" s="244"/>
      <c r="AG7" s="244"/>
      <c r="AH7" s="244"/>
      <c r="AI7" s="245"/>
      <c r="AK7" s="425" t="s">
        <v>556</v>
      </c>
      <c r="AL7" s="425"/>
      <c r="AM7" s="425"/>
      <c r="AN7" s="425"/>
      <c r="AO7" s="425"/>
      <c r="AP7" s="425"/>
      <c r="AQ7" s="439" t="s">
        <v>557</v>
      </c>
      <c r="AR7" s="43"/>
      <c r="AS7" s="43"/>
      <c r="AT7" s="43"/>
      <c r="AU7" s="43"/>
      <c r="AV7" s="43"/>
      <c r="AW7" s="43"/>
      <c r="AX7" s="43"/>
      <c r="AY7" s="43"/>
      <c r="AZ7" s="43"/>
      <c r="BA7"/>
    </row>
    <row r="8" spans="1:85" ht="12" customHeight="1" thickBot="1">
      <c r="A8" s="257"/>
      <c r="B8" s="258"/>
      <c r="C8" s="258"/>
      <c r="D8" s="258"/>
      <c r="E8" s="258"/>
      <c r="F8" s="260"/>
      <c r="G8" s="237"/>
      <c r="H8" s="237"/>
      <c r="I8" s="237"/>
      <c r="J8" s="242"/>
      <c r="K8" s="262"/>
      <c r="L8" s="262"/>
      <c r="M8" s="262"/>
      <c r="N8" s="242"/>
      <c r="O8" s="521"/>
      <c r="P8" s="521"/>
      <c r="Q8" s="242"/>
      <c r="R8" s="243"/>
      <c r="S8" s="523"/>
      <c r="T8" s="246"/>
      <c r="U8" s="33" t="s">
        <v>558</v>
      </c>
      <c r="V8" s="519" t="s">
        <v>37</v>
      </c>
      <c r="W8" s="519"/>
      <c r="X8" s="519"/>
      <c r="Y8" s="514"/>
      <c r="Z8" s="515"/>
      <c r="AA8" s="516"/>
      <c r="AB8" s="246"/>
      <c r="AC8" s="246"/>
      <c r="AD8" s="246"/>
      <c r="AE8" s="246"/>
      <c r="AF8" s="246"/>
      <c r="AG8" s="246"/>
      <c r="AH8" s="246"/>
      <c r="AI8" s="247"/>
      <c r="AK8" s="425"/>
      <c r="AL8" s="425"/>
      <c r="AM8" s="425"/>
      <c r="AN8" s="425"/>
      <c r="AO8" s="425"/>
      <c r="AP8" s="425"/>
      <c r="AQ8" s="439"/>
      <c r="AR8" s="43"/>
      <c r="AS8" s="43"/>
      <c r="AT8" s="43"/>
      <c r="AU8" s="43"/>
      <c r="AV8" s="43"/>
      <c r="AW8" s="43"/>
      <c r="AX8" s="43"/>
      <c r="AY8" s="43"/>
      <c r="AZ8" s="43"/>
      <c r="BA8"/>
    </row>
    <row r="9" spans="1:85" ht="18" customHeight="1">
      <c r="A9" s="507" t="s">
        <v>559</v>
      </c>
      <c r="B9" s="508"/>
      <c r="C9" s="508"/>
      <c r="D9" s="508"/>
      <c r="E9" s="508"/>
      <c r="F9" s="508"/>
      <c r="G9" s="508"/>
      <c r="H9" s="508"/>
      <c r="I9" s="508"/>
      <c r="J9" s="508"/>
      <c r="K9" s="508"/>
      <c r="L9" s="508"/>
      <c r="M9" s="508"/>
      <c r="N9" s="508"/>
      <c r="O9" s="508"/>
      <c r="P9" s="508"/>
      <c r="Q9" s="508"/>
      <c r="R9" s="508"/>
      <c r="S9" s="508"/>
      <c r="T9" s="508"/>
      <c r="U9" s="508"/>
      <c r="V9" s="508"/>
      <c r="W9" s="508"/>
      <c r="X9" s="508"/>
      <c r="Y9" s="508"/>
      <c r="Z9" s="508"/>
      <c r="AA9" s="508"/>
      <c r="AB9" s="508"/>
      <c r="AC9" s="508"/>
      <c r="AD9" s="508"/>
      <c r="AE9" s="508"/>
      <c r="AF9" s="508"/>
      <c r="AG9" s="508"/>
      <c r="AH9" s="508"/>
      <c r="AI9" s="509"/>
      <c r="AK9" s="440" t="s">
        <v>560</v>
      </c>
      <c r="AL9" s="440"/>
      <c r="AM9" s="440"/>
      <c r="AN9" s="440"/>
      <c r="AO9" s="440"/>
      <c r="AP9" s="440"/>
      <c r="AQ9" s="42"/>
      <c r="AR9" s="43"/>
      <c r="AS9" s="44" t="s">
        <v>561</v>
      </c>
      <c r="AT9" s="44" t="s">
        <v>562</v>
      </c>
      <c r="AU9" s="44" t="s">
        <v>563</v>
      </c>
      <c r="AV9" s="44" t="s">
        <v>564</v>
      </c>
      <c r="AW9" s="45" t="s">
        <v>565</v>
      </c>
      <c r="AX9" s="45" t="s">
        <v>566</v>
      </c>
      <c r="AY9" s="44" t="s">
        <v>567</v>
      </c>
      <c r="AZ9" s="43"/>
      <c r="BB9" s="49" t="s">
        <v>568</v>
      </c>
      <c r="BC9" s="43"/>
      <c r="BD9" s="43"/>
      <c r="BE9" s="43"/>
      <c r="BF9" s="43"/>
      <c r="BG9" s="43"/>
      <c r="BH9" s="43"/>
      <c r="BI9" s="43"/>
      <c r="BJ9" s="43"/>
      <c r="BK9" s="43"/>
      <c r="BL9" s="43"/>
      <c r="BM9" s="43"/>
      <c r="BN9" s="43"/>
      <c r="BO9" s="43"/>
      <c r="BP9" s="43"/>
      <c r="BQ9" s="43"/>
      <c r="BR9" s="43"/>
      <c r="BS9" s="43"/>
      <c r="BT9" s="43"/>
      <c r="BU9" s="43"/>
      <c r="BV9" s="43"/>
      <c r="BW9" s="43"/>
      <c r="BX9" s="43"/>
      <c r="BY9" s="43"/>
      <c r="BZ9" s="43"/>
      <c r="CA9" s="43"/>
      <c r="CB9" s="43"/>
      <c r="CC9" s="43"/>
      <c r="CD9" s="43"/>
      <c r="CE9" s="43"/>
      <c r="CF9" s="43"/>
      <c r="CG9" s="43"/>
    </row>
    <row r="10" spans="1:85" ht="18" customHeight="1">
      <c r="A10" s="265" t="s">
        <v>569</v>
      </c>
      <c r="B10" s="266"/>
      <c r="C10" s="266"/>
      <c r="D10" s="266"/>
      <c r="E10" s="266"/>
      <c r="F10" s="266"/>
      <c r="G10" s="266"/>
      <c r="H10" s="266"/>
      <c r="I10" s="264">
        <f>AQ14</f>
        <v>0</v>
      </c>
      <c r="J10" s="264"/>
      <c r="K10" s="267" t="s">
        <v>176</v>
      </c>
      <c r="L10" s="268"/>
      <c r="M10" s="269" t="s">
        <v>570</v>
      </c>
      <c r="N10" s="266"/>
      <c r="O10" s="266"/>
      <c r="P10" s="266"/>
      <c r="Q10" s="266"/>
      <c r="R10" s="266"/>
      <c r="S10" s="266"/>
      <c r="T10" s="266"/>
      <c r="U10" s="264">
        <f>AQ37</f>
        <v>0</v>
      </c>
      <c r="V10" s="264"/>
      <c r="W10" s="267" t="s">
        <v>176</v>
      </c>
      <c r="X10" s="268"/>
      <c r="Y10" s="269" t="s">
        <v>571</v>
      </c>
      <c r="Z10" s="266"/>
      <c r="AA10" s="266"/>
      <c r="AB10" s="266"/>
      <c r="AC10" s="266"/>
      <c r="AD10" s="266"/>
      <c r="AE10" s="266"/>
      <c r="AF10" s="266"/>
      <c r="AG10" s="264">
        <f>AQ26+AQ25</f>
        <v>0</v>
      </c>
      <c r="AH10" s="264"/>
      <c r="AI10" s="28" t="s">
        <v>176</v>
      </c>
      <c r="AK10" s="440" t="s">
        <v>572</v>
      </c>
      <c r="AL10" s="440"/>
      <c r="AM10" s="440"/>
      <c r="AN10" s="440"/>
      <c r="AO10" s="440"/>
      <c r="AP10" s="440"/>
      <c r="AQ10" s="42"/>
      <c r="AR10" s="43"/>
      <c r="AS10" s="46">
        <v>1</v>
      </c>
      <c r="AT10" s="46"/>
      <c r="AU10" s="46" t="s">
        <v>20</v>
      </c>
      <c r="AV10" s="47" t="s">
        <v>573</v>
      </c>
      <c r="AW10" s="47" t="s">
        <v>574</v>
      </c>
      <c r="AX10" s="47">
        <v>0.33333333333333331</v>
      </c>
      <c r="AY10" s="47">
        <v>0.83333333333333337</v>
      </c>
      <c r="AZ10" s="43"/>
      <c r="BB10" s="49" t="s">
        <v>95</v>
      </c>
      <c r="BC10" s="120">
        <v>1</v>
      </c>
      <c r="BD10" s="120">
        <v>2</v>
      </c>
      <c r="BE10" s="120">
        <v>3</v>
      </c>
      <c r="BF10" s="120">
        <v>4</v>
      </c>
      <c r="BG10" s="120">
        <v>5</v>
      </c>
      <c r="BH10" s="120">
        <v>6</v>
      </c>
      <c r="BI10" s="120">
        <v>7</v>
      </c>
      <c r="BJ10" s="120">
        <v>8</v>
      </c>
      <c r="BK10" s="120">
        <v>9</v>
      </c>
      <c r="BL10" s="120">
        <v>10</v>
      </c>
      <c r="BM10" s="120">
        <v>11</v>
      </c>
      <c r="BN10" s="120">
        <v>12</v>
      </c>
      <c r="BO10" s="120">
        <v>13</v>
      </c>
      <c r="BP10" s="120">
        <v>14</v>
      </c>
      <c r="BQ10" s="120">
        <v>15</v>
      </c>
      <c r="BR10" s="120">
        <v>16</v>
      </c>
      <c r="BS10" s="120">
        <v>17</v>
      </c>
      <c r="BT10" s="120">
        <v>18</v>
      </c>
      <c r="BU10" s="120">
        <v>19</v>
      </c>
      <c r="BV10" s="120">
        <v>20</v>
      </c>
      <c r="BW10" s="120">
        <v>21</v>
      </c>
      <c r="BX10" s="120">
        <v>22</v>
      </c>
      <c r="BY10" s="120">
        <v>23</v>
      </c>
      <c r="BZ10" s="120">
        <v>24</v>
      </c>
      <c r="CA10" s="120">
        <v>25</v>
      </c>
      <c r="CB10" s="120">
        <v>26</v>
      </c>
      <c r="CC10" s="120">
        <v>27</v>
      </c>
      <c r="CD10" s="120">
        <v>28</v>
      </c>
      <c r="CE10" s="120">
        <v>29</v>
      </c>
      <c r="CF10" s="120">
        <v>30</v>
      </c>
      <c r="CG10" s="43"/>
    </row>
    <row r="11" spans="1:85" ht="18" customHeight="1">
      <c r="A11" s="265" t="s">
        <v>575</v>
      </c>
      <c r="B11" s="266"/>
      <c r="C11" s="266"/>
      <c r="D11" s="266"/>
      <c r="E11" s="266"/>
      <c r="F11" s="266"/>
      <c r="G11" s="266"/>
      <c r="H11" s="266"/>
      <c r="I11" s="264">
        <f>AQ27</f>
        <v>0</v>
      </c>
      <c r="J11" s="264"/>
      <c r="K11" s="267" t="s">
        <v>176</v>
      </c>
      <c r="L11" s="268"/>
      <c r="M11" s="269" t="s">
        <v>576</v>
      </c>
      <c r="N11" s="266"/>
      <c r="O11" s="266"/>
      <c r="P11" s="266"/>
      <c r="Q11" s="266"/>
      <c r="R11" s="266"/>
      <c r="S11" s="266"/>
      <c r="T11" s="266"/>
      <c r="U11" s="264">
        <f>AQ36</f>
        <v>0</v>
      </c>
      <c r="V11" s="264"/>
      <c r="W11" s="267" t="s">
        <v>176</v>
      </c>
      <c r="X11" s="268"/>
      <c r="Y11" s="269" t="s">
        <v>577</v>
      </c>
      <c r="Z11" s="266"/>
      <c r="AA11" s="266"/>
      <c r="AB11" s="266"/>
      <c r="AC11" s="266"/>
      <c r="AD11" s="266"/>
      <c r="AE11" s="266"/>
      <c r="AF11" s="266"/>
      <c r="AG11" s="264">
        <f>AQ34</f>
        <v>0</v>
      </c>
      <c r="AH11" s="264"/>
      <c r="AI11" s="28" t="s">
        <v>176</v>
      </c>
      <c r="AK11" s="441" t="s">
        <v>578</v>
      </c>
      <c r="AL11" s="442"/>
      <c r="AM11" s="442"/>
      <c r="AN11" s="442"/>
      <c r="AO11" s="442"/>
      <c r="AP11" s="443"/>
      <c r="AQ11" s="42"/>
      <c r="AR11" s="43"/>
      <c r="AS11" s="46">
        <v>2</v>
      </c>
      <c r="AT11" s="46"/>
      <c r="AU11" s="46"/>
      <c r="AV11" s="47" t="s">
        <v>579</v>
      </c>
      <c r="AW11" s="47" t="s">
        <v>580</v>
      </c>
      <c r="AX11" s="47">
        <v>0.33333333333333331</v>
      </c>
      <c r="AY11" s="47">
        <v>0.58333333333333337</v>
      </c>
      <c r="AZ11" s="43"/>
      <c r="BB11" s="121" t="s">
        <v>581</v>
      </c>
      <c r="BC11" s="138" t="s">
        <v>582</v>
      </c>
      <c r="BD11" s="138" t="s">
        <v>583</v>
      </c>
      <c r="BE11" s="138" t="s">
        <v>584</v>
      </c>
      <c r="BF11" s="138" t="s">
        <v>585</v>
      </c>
      <c r="BG11" s="139" t="s">
        <v>584</v>
      </c>
      <c r="BH11" s="138" t="s">
        <v>582</v>
      </c>
      <c r="BI11" s="138" t="s">
        <v>585</v>
      </c>
      <c r="BJ11" s="138" t="s">
        <v>583</v>
      </c>
      <c r="BK11" s="138" t="s">
        <v>584</v>
      </c>
      <c r="BL11" s="138" t="s">
        <v>583</v>
      </c>
      <c r="BM11" s="138" t="s">
        <v>585</v>
      </c>
      <c r="BN11" s="138" t="s">
        <v>582</v>
      </c>
      <c r="BO11" s="138" t="s">
        <v>584</v>
      </c>
      <c r="BP11" s="138" t="s">
        <v>585</v>
      </c>
      <c r="BQ11" s="138" t="s">
        <v>583</v>
      </c>
      <c r="BR11" s="138" t="s">
        <v>585</v>
      </c>
      <c r="BS11" s="138" t="s">
        <v>584</v>
      </c>
      <c r="BT11" s="138" t="s">
        <v>582</v>
      </c>
      <c r="BU11" s="138" t="s">
        <v>583</v>
      </c>
      <c r="BV11" s="138" t="s">
        <v>585</v>
      </c>
      <c r="BW11" s="138" t="s">
        <v>582</v>
      </c>
      <c r="BX11" s="138" t="s">
        <v>584</v>
      </c>
      <c r="BY11" s="138" t="s">
        <v>585</v>
      </c>
      <c r="BZ11" s="138" t="s">
        <v>583</v>
      </c>
      <c r="CA11" s="138" t="s">
        <v>582</v>
      </c>
      <c r="CB11" s="138" t="s">
        <v>585</v>
      </c>
      <c r="CC11" s="138" t="s">
        <v>584</v>
      </c>
      <c r="CD11" s="138" t="s">
        <v>582</v>
      </c>
      <c r="CE11" s="138" t="s">
        <v>585</v>
      </c>
      <c r="CF11" s="138" t="s">
        <v>583</v>
      </c>
      <c r="CG11" s="43"/>
    </row>
    <row r="12" spans="1:85" ht="18" customHeight="1">
      <c r="A12" s="265" t="s">
        <v>586</v>
      </c>
      <c r="B12" s="266"/>
      <c r="C12" s="266"/>
      <c r="D12" s="266"/>
      <c r="E12" s="266"/>
      <c r="F12" s="266"/>
      <c r="G12" s="266"/>
      <c r="H12" s="266"/>
      <c r="I12" s="264">
        <f>AQ33</f>
        <v>0</v>
      </c>
      <c r="J12" s="264"/>
      <c r="K12" s="267" t="s">
        <v>176</v>
      </c>
      <c r="L12" s="268"/>
      <c r="M12" s="269" t="s">
        <v>587</v>
      </c>
      <c r="N12" s="266"/>
      <c r="O12" s="266"/>
      <c r="P12" s="266"/>
      <c r="Q12" s="266"/>
      <c r="R12" s="266"/>
      <c r="S12" s="266"/>
      <c r="T12" s="266"/>
      <c r="U12" s="264">
        <f>AQ24</f>
        <v>0</v>
      </c>
      <c r="V12" s="264"/>
      <c r="W12" s="267" t="s">
        <v>176</v>
      </c>
      <c r="X12" s="268"/>
      <c r="Y12" s="269" t="s">
        <v>588</v>
      </c>
      <c r="Z12" s="266"/>
      <c r="AA12" s="266"/>
      <c r="AB12" s="266"/>
      <c r="AC12" s="266"/>
      <c r="AD12" s="266"/>
      <c r="AE12" s="266"/>
      <c r="AF12" s="266"/>
      <c r="AG12" s="264">
        <f>AQ20+AQ21+AQ22+AQ23</f>
        <v>0</v>
      </c>
      <c r="AH12" s="264"/>
      <c r="AI12" s="28" t="s">
        <v>176</v>
      </c>
      <c r="AK12" s="441" t="s">
        <v>589</v>
      </c>
      <c r="AL12" s="442"/>
      <c r="AM12" s="442"/>
      <c r="AN12" s="442"/>
      <c r="AO12" s="442"/>
      <c r="AP12" s="443"/>
      <c r="AQ12" s="42"/>
      <c r="AR12" s="43"/>
      <c r="AS12" s="46">
        <v>3</v>
      </c>
      <c r="AT12" s="46"/>
      <c r="AU12" s="46"/>
      <c r="AV12" s="47" t="s">
        <v>590</v>
      </c>
      <c r="AW12" s="47" t="s">
        <v>574</v>
      </c>
      <c r="AX12" s="47">
        <v>0.58333333333333337</v>
      </c>
      <c r="AY12" s="47">
        <v>0.83333333333333337</v>
      </c>
      <c r="AZ12" s="43"/>
      <c r="BB12" s="49"/>
      <c r="BC12" s="43"/>
      <c r="BD12" s="43"/>
      <c r="BE12" s="43"/>
      <c r="BF12" s="43"/>
      <c r="BG12" s="43"/>
      <c r="BH12" s="43"/>
      <c r="BI12" s="43"/>
      <c r="BJ12" s="43"/>
      <c r="BK12" s="43"/>
      <c r="BL12" s="43"/>
      <c r="BM12" s="43"/>
      <c r="BN12" s="43"/>
      <c r="BO12" s="43"/>
      <c r="BP12" s="43"/>
      <c r="BQ12" s="43"/>
      <c r="BR12" s="43"/>
      <c r="BS12" s="43"/>
      <c r="BT12" s="43"/>
      <c r="BU12" s="43"/>
      <c r="BV12" s="43"/>
      <c r="BW12" s="43"/>
      <c r="BX12" s="43"/>
      <c r="BY12" s="43"/>
      <c r="BZ12" s="43"/>
      <c r="CA12" s="43"/>
      <c r="CB12" s="43"/>
      <c r="CC12" s="43"/>
      <c r="CD12" s="43"/>
      <c r="CE12" s="43"/>
      <c r="CF12" s="43"/>
      <c r="CG12" s="43"/>
    </row>
    <row r="13" spans="1:85" ht="18" customHeight="1" thickBot="1">
      <c r="A13" s="517" t="s">
        <v>591</v>
      </c>
      <c r="B13" s="277"/>
      <c r="C13" s="277"/>
      <c r="D13" s="277"/>
      <c r="E13" s="277"/>
      <c r="F13" s="277"/>
      <c r="G13" s="277"/>
      <c r="H13" s="277"/>
      <c r="I13" s="272">
        <f>AQ30+AQ31</f>
        <v>0</v>
      </c>
      <c r="J13" s="272"/>
      <c r="K13" s="273" t="s">
        <v>176</v>
      </c>
      <c r="L13" s="274"/>
      <c r="M13" s="276" t="s">
        <v>592</v>
      </c>
      <c r="N13" s="277"/>
      <c r="O13" s="277"/>
      <c r="P13" s="277"/>
      <c r="Q13" s="277"/>
      <c r="R13" s="277"/>
      <c r="S13" s="277"/>
      <c r="T13" s="277"/>
      <c r="U13" s="272">
        <f>AQ28</f>
        <v>0</v>
      </c>
      <c r="V13" s="272"/>
      <c r="W13" s="273" t="s">
        <v>176</v>
      </c>
      <c r="X13" s="274"/>
      <c r="Y13" s="276" t="s">
        <v>593</v>
      </c>
      <c r="Z13" s="277"/>
      <c r="AA13" s="277"/>
      <c r="AB13" s="277"/>
      <c r="AC13" s="277"/>
      <c r="AD13" s="277"/>
      <c r="AE13" s="277"/>
      <c r="AF13" s="277"/>
      <c r="AG13" s="272">
        <f>AQ13</f>
        <v>0</v>
      </c>
      <c r="AH13" s="272"/>
      <c r="AI13" s="34" t="s">
        <v>176</v>
      </c>
      <c r="AK13" s="425" t="s">
        <v>594</v>
      </c>
      <c r="AL13" s="425"/>
      <c r="AM13" s="425"/>
      <c r="AN13" s="425"/>
      <c r="AO13" s="425"/>
      <c r="AP13" s="425"/>
      <c r="AQ13" s="42"/>
      <c r="AR13" s="43"/>
      <c r="AS13" s="46">
        <v>4</v>
      </c>
      <c r="AT13" s="46"/>
      <c r="AU13" s="46" t="s">
        <v>602</v>
      </c>
      <c r="AV13" s="47" t="s">
        <v>595</v>
      </c>
      <c r="AW13" s="47" t="s">
        <v>596</v>
      </c>
      <c r="AX13" s="47">
        <v>0.33333333333333331</v>
      </c>
      <c r="AY13" s="47">
        <v>0.83333333333333337</v>
      </c>
      <c r="AZ13" s="43"/>
      <c r="BB13" s="121" t="s">
        <v>597</v>
      </c>
      <c r="BC13" s="140" t="s">
        <v>20</v>
      </c>
      <c r="BD13" s="140" t="s">
        <v>119</v>
      </c>
      <c r="BE13" s="140" t="s">
        <v>20</v>
      </c>
      <c r="BF13" s="140" t="s">
        <v>20</v>
      </c>
      <c r="BG13" s="140" t="s">
        <v>20</v>
      </c>
      <c r="BH13" s="140" t="s">
        <v>20</v>
      </c>
      <c r="BI13" s="140" t="s">
        <v>80</v>
      </c>
      <c r="BJ13" s="140" t="s">
        <v>20</v>
      </c>
      <c r="BK13" s="140" t="s">
        <v>20</v>
      </c>
      <c r="BL13" s="140" t="s">
        <v>20</v>
      </c>
      <c r="BM13" s="140" t="s">
        <v>20</v>
      </c>
      <c r="BN13" s="140" t="s">
        <v>20</v>
      </c>
      <c r="BO13" s="140" t="s">
        <v>119</v>
      </c>
      <c r="BP13" s="140" t="s">
        <v>119</v>
      </c>
      <c r="BQ13" s="140" t="s">
        <v>20</v>
      </c>
      <c r="BR13" s="140" t="s">
        <v>119</v>
      </c>
      <c r="BS13" s="140" t="s">
        <v>20</v>
      </c>
      <c r="BT13" s="140" t="s">
        <v>20</v>
      </c>
      <c r="BU13" s="140" t="s">
        <v>20</v>
      </c>
      <c r="BV13" s="140" t="s">
        <v>119</v>
      </c>
      <c r="BW13" s="140" t="s">
        <v>119</v>
      </c>
      <c r="BX13" s="140" t="s">
        <v>20</v>
      </c>
      <c r="BY13" s="140" t="s">
        <v>119</v>
      </c>
      <c r="BZ13" s="140" t="s">
        <v>20</v>
      </c>
      <c r="CA13" s="140" t="s">
        <v>119</v>
      </c>
      <c r="CB13" s="140" t="s">
        <v>20</v>
      </c>
      <c r="CC13" s="140" t="s">
        <v>20</v>
      </c>
      <c r="CD13" s="140" t="s">
        <v>119</v>
      </c>
      <c r="CE13" s="140" t="s">
        <v>20</v>
      </c>
      <c r="CF13" s="140" t="s">
        <v>119</v>
      </c>
      <c r="CG13" s="43"/>
    </row>
    <row r="14" spans="1:85" ht="18" customHeight="1" thickBot="1">
      <c r="A14" s="452" t="s">
        <v>598</v>
      </c>
      <c r="B14" s="453"/>
      <c r="C14" s="453"/>
      <c r="D14" s="453"/>
      <c r="E14" s="453"/>
      <c r="F14" s="453"/>
      <c r="G14" s="453"/>
      <c r="H14" s="453"/>
      <c r="I14" s="453"/>
      <c r="J14" s="453"/>
      <c r="K14" s="453"/>
      <c r="L14" s="453"/>
      <c r="M14" s="453"/>
      <c r="N14" s="453"/>
      <c r="O14" s="453"/>
      <c r="P14" s="453"/>
      <c r="Q14" s="453"/>
      <c r="R14" s="453"/>
      <c r="S14" s="453"/>
      <c r="T14" s="453"/>
      <c r="U14" s="453"/>
      <c r="V14" s="453"/>
      <c r="W14" s="453"/>
      <c r="X14" s="453"/>
      <c r="Y14" s="453"/>
      <c r="Z14" s="453"/>
      <c r="AA14" s="453"/>
      <c r="AB14" s="453"/>
      <c r="AC14" s="453"/>
      <c r="AD14" s="453"/>
      <c r="AE14" s="453"/>
      <c r="AF14" s="453"/>
      <c r="AG14" s="453"/>
      <c r="AH14" s="453"/>
      <c r="AI14" s="454"/>
      <c r="AK14" s="440" t="s">
        <v>599</v>
      </c>
      <c r="AL14" s="440"/>
      <c r="AM14" s="440"/>
      <c r="AN14" s="440"/>
      <c r="AO14" s="440"/>
      <c r="AP14" s="440"/>
      <c r="AQ14" s="42"/>
      <c r="AR14" s="43"/>
      <c r="AS14" s="46">
        <v>5</v>
      </c>
      <c r="AT14" s="46"/>
      <c r="AU14" s="46"/>
      <c r="AV14" s="47" t="s">
        <v>600</v>
      </c>
      <c r="AW14" s="47" t="s">
        <v>596</v>
      </c>
      <c r="AX14" s="47">
        <v>0.33333333333333331</v>
      </c>
      <c r="AY14" s="47">
        <v>0.83333333333333337</v>
      </c>
      <c r="AZ14" s="43"/>
      <c r="BB14" s="121" t="s">
        <v>601</v>
      </c>
      <c r="BC14" s="162" t="s">
        <v>28</v>
      </c>
      <c r="BD14" s="162" t="s">
        <v>602</v>
      </c>
      <c r="BE14" s="162" t="s">
        <v>602</v>
      </c>
      <c r="BF14" s="162" t="s">
        <v>28</v>
      </c>
      <c r="BG14" s="162" t="s">
        <v>602</v>
      </c>
      <c r="BH14" s="162" t="s">
        <v>602</v>
      </c>
      <c r="BI14" s="162" t="s">
        <v>28</v>
      </c>
      <c r="BJ14" s="162" t="s">
        <v>28</v>
      </c>
      <c r="BK14" s="162" t="s">
        <v>602</v>
      </c>
      <c r="BL14" s="162" t="s">
        <v>28</v>
      </c>
      <c r="BM14" s="162" t="s">
        <v>602</v>
      </c>
      <c r="BN14" s="162" t="s">
        <v>28</v>
      </c>
      <c r="BO14" s="162" t="s">
        <v>28</v>
      </c>
      <c r="BP14" s="162" t="s">
        <v>76</v>
      </c>
      <c r="BQ14" s="162" t="s">
        <v>28</v>
      </c>
      <c r="BR14" s="162" t="s">
        <v>602</v>
      </c>
      <c r="BS14" s="162" t="s">
        <v>28</v>
      </c>
      <c r="BT14" s="162" t="s">
        <v>602</v>
      </c>
      <c r="BU14" s="162" t="s">
        <v>28</v>
      </c>
      <c r="BV14" s="162" t="s">
        <v>602</v>
      </c>
      <c r="BW14" s="162" t="s">
        <v>28</v>
      </c>
      <c r="BX14" s="162" t="s">
        <v>28</v>
      </c>
      <c r="BY14" s="162" t="s">
        <v>602</v>
      </c>
      <c r="BZ14" s="162" t="s">
        <v>28</v>
      </c>
      <c r="CA14" s="162" t="s">
        <v>602</v>
      </c>
      <c r="CB14" s="162" t="s">
        <v>28</v>
      </c>
      <c r="CC14" s="162" t="s">
        <v>28</v>
      </c>
      <c r="CD14" s="162" t="s">
        <v>76</v>
      </c>
      <c r="CE14" s="162" t="s">
        <v>28</v>
      </c>
      <c r="CF14" s="162" t="s">
        <v>602</v>
      </c>
      <c r="CG14" s="43"/>
    </row>
    <row r="15" spans="1:85" ht="18" customHeight="1" thickBot="1">
      <c r="A15" s="30" t="s">
        <v>189</v>
      </c>
      <c r="B15" s="264" t="s">
        <v>603</v>
      </c>
      <c r="C15" s="264"/>
      <c r="D15" s="264"/>
      <c r="E15" s="264"/>
      <c r="F15" s="264"/>
      <c r="G15" s="264"/>
      <c r="H15" s="264"/>
      <c r="I15" s="264"/>
      <c r="J15" s="278">
        <f>AQ9+AQ10</f>
        <v>0</v>
      </c>
      <c r="K15" s="278"/>
      <c r="L15" s="278"/>
      <c r="M15" s="264" t="s">
        <v>176</v>
      </c>
      <c r="N15" s="264"/>
      <c r="O15" s="264" t="s">
        <v>604</v>
      </c>
      <c r="P15" s="264"/>
      <c r="Q15" s="264"/>
      <c r="R15" s="264"/>
      <c r="S15" s="264"/>
      <c r="T15" s="264"/>
      <c r="U15" s="264"/>
      <c r="V15" s="264"/>
      <c r="W15" s="278">
        <f>AQ11+AQ12</f>
        <v>0</v>
      </c>
      <c r="X15" s="278"/>
      <c r="Y15" s="278"/>
      <c r="Z15" s="264" t="s">
        <v>176</v>
      </c>
      <c r="AA15" s="264"/>
      <c r="AB15" s="503" t="s">
        <v>605</v>
      </c>
      <c r="AC15" s="503"/>
      <c r="AD15" s="503"/>
      <c r="AE15" s="503"/>
      <c r="AF15" s="503"/>
      <c r="AG15" s="503"/>
      <c r="AH15" s="281" t="s">
        <v>582</v>
      </c>
      <c r="AI15" s="282"/>
      <c r="AK15" s="425" t="s">
        <v>606</v>
      </c>
      <c r="AL15" s="425"/>
      <c r="AM15" s="425"/>
      <c r="AN15" s="425"/>
      <c r="AO15" s="425"/>
      <c r="AP15" s="425"/>
      <c r="AQ15" s="42"/>
      <c r="AR15" s="43"/>
      <c r="AS15" s="46">
        <v>6</v>
      </c>
      <c r="AT15" s="46"/>
      <c r="AU15" s="46"/>
      <c r="AV15" s="47" t="s">
        <v>607</v>
      </c>
      <c r="AW15" s="47" t="s">
        <v>596</v>
      </c>
      <c r="AX15" s="47">
        <v>0.33333333333333331</v>
      </c>
      <c r="AY15" s="47">
        <v>0.83333333333333337</v>
      </c>
      <c r="AZ15" s="43"/>
      <c r="BB15" s="121" t="s">
        <v>31</v>
      </c>
      <c r="BC15" s="163" t="s">
        <v>119</v>
      </c>
      <c r="BD15" s="164"/>
      <c r="BE15" s="165" t="s">
        <v>28</v>
      </c>
      <c r="BF15" s="165" t="s">
        <v>119</v>
      </c>
      <c r="BG15" s="164"/>
      <c r="BH15" s="164"/>
      <c r="BI15" s="164"/>
      <c r="BJ15" s="164"/>
      <c r="BK15" s="165" t="s">
        <v>119</v>
      </c>
      <c r="BL15" s="165" t="s">
        <v>602</v>
      </c>
      <c r="BM15" s="165" t="s">
        <v>119</v>
      </c>
      <c r="BN15" s="165" t="s">
        <v>602</v>
      </c>
      <c r="BO15" s="164"/>
      <c r="BP15" s="164"/>
      <c r="BQ15" s="165" t="s">
        <v>608</v>
      </c>
      <c r="BR15" s="165" t="s">
        <v>20</v>
      </c>
      <c r="BS15" s="165" t="s">
        <v>602</v>
      </c>
      <c r="BT15" s="165" t="s">
        <v>119</v>
      </c>
      <c r="BU15" s="165" t="s">
        <v>602</v>
      </c>
      <c r="BV15" s="164"/>
      <c r="BW15" s="164"/>
      <c r="BX15" s="165" t="s">
        <v>119</v>
      </c>
      <c r="BY15" s="165" t="s">
        <v>20</v>
      </c>
      <c r="BZ15" s="165" t="s">
        <v>602</v>
      </c>
      <c r="CA15" s="165" t="s">
        <v>20</v>
      </c>
      <c r="CB15" s="165" t="s">
        <v>602</v>
      </c>
      <c r="CC15" s="165" t="s">
        <v>602</v>
      </c>
      <c r="CD15" s="164"/>
      <c r="CE15" s="165" t="s">
        <v>119</v>
      </c>
      <c r="CF15" s="165" t="s">
        <v>20</v>
      </c>
      <c r="CG15" s="43"/>
    </row>
    <row r="16" spans="1:85" ht="18" customHeight="1">
      <c r="A16" s="504" t="s">
        <v>609</v>
      </c>
      <c r="B16" s="505"/>
      <c r="C16" s="505"/>
      <c r="D16" s="505"/>
      <c r="E16" s="505"/>
      <c r="F16" s="505"/>
      <c r="G16" s="505"/>
      <c r="H16" s="505"/>
      <c r="I16" s="505"/>
      <c r="J16" s="505"/>
      <c r="K16" s="505"/>
      <c r="L16" s="505"/>
      <c r="M16" s="505"/>
      <c r="N16" s="505"/>
      <c r="O16" s="505"/>
      <c r="P16" s="505"/>
      <c r="Q16" s="505"/>
      <c r="R16" s="505"/>
      <c r="S16" s="505"/>
      <c r="T16" s="505"/>
      <c r="U16" s="505"/>
      <c r="V16" s="505"/>
      <c r="W16" s="505"/>
      <c r="X16" s="505"/>
      <c r="Y16" s="505"/>
      <c r="Z16" s="505"/>
      <c r="AA16" s="505"/>
      <c r="AB16" s="505"/>
      <c r="AC16" s="505"/>
      <c r="AD16" s="505"/>
      <c r="AE16" s="505"/>
      <c r="AF16" s="505"/>
      <c r="AG16" s="505"/>
      <c r="AH16" s="505"/>
      <c r="AI16" s="506"/>
      <c r="AK16" s="425" t="s">
        <v>610</v>
      </c>
      <c r="AL16" s="425"/>
      <c r="AM16" s="425"/>
      <c r="AN16" s="425"/>
      <c r="AO16" s="425"/>
      <c r="AP16" s="425"/>
      <c r="AQ16" s="42"/>
      <c r="AR16" s="43"/>
      <c r="AS16" s="46">
        <v>7</v>
      </c>
      <c r="AT16" s="46"/>
      <c r="AU16" s="46" t="s">
        <v>61</v>
      </c>
      <c r="AV16" s="47" t="s">
        <v>611</v>
      </c>
      <c r="AW16" s="47" t="s">
        <v>612</v>
      </c>
      <c r="AX16" s="47">
        <v>0.83333333333333337</v>
      </c>
      <c r="AY16" s="47" t="s">
        <v>613</v>
      </c>
      <c r="AZ16" s="43"/>
      <c r="BB16" s="121" t="s">
        <v>614</v>
      </c>
      <c r="BC16" s="142" t="s">
        <v>20</v>
      </c>
      <c r="BD16" s="140" t="s">
        <v>67</v>
      </c>
      <c r="BE16" s="142" t="s">
        <v>42</v>
      </c>
      <c r="BF16" s="142" t="s">
        <v>20</v>
      </c>
      <c r="BG16" s="142" t="s">
        <v>42</v>
      </c>
      <c r="BH16" s="142" t="s">
        <v>61</v>
      </c>
      <c r="BI16" s="142" t="s">
        <v>67</v>
      </c>
      <c r="BJ16" s="142" t="s">
        <v>67</v>
      </c>
      <c r="BK16" s="142" t="s">
        <v>42</v>
      </c>
      <c r="BL16" s="142" t="s">
        <v>42</v>
      </c>
      <c r="BM16" s="142" t="s">
        <v>67</v>
      </c>
      <c r="BN16" s="142" t="s">
        <v>67</v>
      </c>
      <c r="BO16" s="142" t="s">
        <v>42</v>
      </c>
      <c r="BP16" s="142" t="s">
        <v>67</v>
      </c>
      <c r="BQ16" s="142" t="s">
        <v>20</v>
      </c>
      <c r="BR16" s="142" t="s">
        <v>71</v>
      </c>
      <c r="BS16" s="142" t="s">
        <v>67</v>
      </c>
      <c r="BT16" s="142" t="s">
        <v>67</v>
      </c>
      <c r="BU16" s="142" t="s">
        <v>61</v>
      </c>
      <c r="BV16" s="142" t="s">
        <v>42</v>
      </c>
      <c r="BW16" s="142" t="s">
        <v>49</v>
      </c>
      <c r="BX16" s="142" t="s">
        <v>20</v>
      </c>
      <c r="BY16" s="142" t="s">
        <v>71</v>
      </c>
      <c r="BZ16" s="142" t="s">
        <v>42</v>
      </c>
      <c r="CA16" s="142" t="s">
        <v>20</v>
      </c>
      <c r="CB16" s="142" t="s">
        <v>61</v>
      </c>
      <c r="CC16" s="142" t="s">
        <v>42</v>
      </c>
      <c r="CD16" s="142" t="s">
        <v>49</v>
      </c>
      <c r="CE16" s="142" t="s">
        <v>20</v>
      </c>
      <c r="CF16" s="143" t="s">
        <v>71</v>
      </c>
      <c r="CG16" s="43"/>
    </row>
    <row r="17" spans="1:85" ht="18" customHeight="1">
      <c r="A17" s="396" t="s">
        <v>615</v>
      </c>
      <c r="B17" s="397"/>
      <c r="C17" s="397"/>
      <c r="D17" s="397"/>
      <c r="E17" s="397"/>
      <c r="F17" s="398" t="s">
        <v>616</v>
      </c>
      <c r="G17" s="398"/>
      <c r="H17" s="398"/>
      <c r="I17" s="398"/>
      <c r="J17" s="398"/>
      <c r="K17" s="398"/>
      <c r="L17" s="398"/>
      <c r="M17" s="398"/>
      <c r="N17" s="398"/>
      <c r="O17" s="398"/>
      <c r="P17" s="398"/>
      <c r="Q17" s="398"/>
      <c r="R17" s="398"/>
      <c r="S17" s="398"/>
      <c r="T17" s="398"/>
      <c r="U17" s="398"/>
      <c r="V17" s="398"/>
      <c r="W17" s="398"/>
      <c r="X17" s="398"/>
      <c r="Y17" s="398"/>
      <c r="Z17" s="398"/>
      <c r="AA17" s="398"/>
      <c r="AB17" s="398"/>
      <c r="AC17" s="398"/>
      <c r="AD17" s="398"/>
      <c r="AE17" s="398"/>
      <c r="AF17" s="398"/>
      <c r="AG17" s="398"/>
      <c r="AH17" s="398"/>
      <c r="AI17" s="399"/>
      <c r="AK17" s="425" t="s">
        <v>617</v>
      </c>
      <c r="AL17" s="425"/>
      <c r="AM17" s="425"/>
      <c r="AN17" s="425"/>
      <c r="AO17" s="425"/>
      <c r="AP17" s="425"/>
      <c r="AQ17" s="42"/>
      <c r="AR17" s="43"/>
      <c r="AS17" s="46">
        <v>8</v>
      </c>
      <c r="AT17" s="46"/>
      <c r="AU17" s="46" t="s">
        <v>42</v>
      </c>
      <c r="AV17" s="47" t="s">
        <v>618</v>
      </c>
      <c r="AW17" s="47" t="s">
        <v>612</v>
      </c>
      <c r="AX17" s="47">
        <v>0.83333333333333337</v>
      </c>
      <c r="AY17" s="47" t="s">
        <v>613</v>
      </c>
      <c r="AZ17" s="43"/>
      <c r="BB17" s="121" t="s">
        <v>619</v>
      </c>
      <c r="BC17" s="141" t="s">
        <v>67</v>
      </c>
      <c r="BD17" s="140" t="s">
        <v>42</v>
      </c>
      <c r="BE17" s="141" t="s">
        <v>71</v>
      </c>
      <c r="BF17" s="140" t="s">
        <v>67</v>
      </c>
      <c r="BG17" s="140" t="s">
        <v>61</v>
      </c>
      <c r="BH17" s="140" t="s">
        <v>42</v>
      </c>
      <c r="BI17" s="140" t="s">
        <v>49</v>
      </c>
      <c r="BJ17" s="140" t="s">
        <v>61</v>
      </c>
      <c r="BK17" s="140" t="s">
        <v>71</v>
      </c>
      <c r="BL17" s="140" t="s">
        <v>67</v>
      </c>
      <c r="BM17" s="140" t="s">
        <v>49</v>
      </c>
      <c r="BN17" s="140" t="s">
        <v>49</v>
      </c>
      <c r="BO17" s="140" t="s">
        <v>61</v>
      </c>
      <c r="BP17" s="140" t="s">
        <v>49</v>
      </c>
      <c r="BQ17" s="140" t="s">
        <v>67</v>
      </c>
      <c r="BR17" s="140" t="s">
        <v>42</v>
      </c>
      <c r="BS17" s="140" t="s">
        <v>42</v>
      </c>
      <c r="BT17" s="140" t="s">
        <v>49</v>
      </c>
      <c r="BU17" s="140" t="s">
        <v>42</v>
      </c>
      <c r="BV17" s="140" t="s">
        <v>61</v>
      </c>
      <c r="BW17" s="140" t="s">
        <v>71</v>
      </c>
      <c r="BX17" s="140" t="s">
        <v>67</v>
      </c>
      <c r="BY17" s="140" t="s">
        <v>42</v>
      </c>
      <c r="BZ17" s="140" t="s">
        <v>67</v>
      </c>
      <c r="CA17" s="140" t="s">
        <v>67</v>
      </c>
      <c r="CB17" s="140" t="s">
        <v>49</v>
      </c>
      <c r="CC17" s="140" t="s">
        <v>61</v>
      </c>
      <c r="CD17" s="140" t="s">
        <v>71</v>
      </c>
      <c r="CE17" s="140" t="s">
        <v>67</v>
      </c>
      <c r="CF17" s="140" t="s">
        <v>42</v>
      </c>
      <c r="CG17" s="43"/>
    </row>
    <row r="18" spans="1:85" ht="18" customHeight="1">
      <c r="A18" s="501" t="s">
        <v>620</v>
      </c>
      <c r="B18" s="502"/>
      <c r="C18" s="502"/>
      <c r="D18" s="502"/>
      <c r="E18" s="502"/>
      <c r="F18" s="400" t="s">
        <v>616</v>
      </c>
      <c r="G18" s="400"/>
      <c r="H18" s="400"/>
      <c r="I18" s="400"/>
      <c r="J18" s="400"/>
      <c r="K18" s="400"/>
      <c r="L18" s="400"/>
      <c r="M18" s="400"/>
      <c r="N18" s="400"/>
      <c r="O18" s="400"/>
      <c r="P18" s="400"/>
      <c r="Q18" s="400"/>
      <c r="R18" s="400"/>
      <c r="S18" s="400"/>
      <c r="T18" s="400"/>
      <c r="U18" s="400"/>
      <c r="V18" s="400"/>
      <c r="W18" s="400"/>
      <c r="X18" s="400"/>
      <c r="Y18" s="400"/>
      <c r="Z18" s="400"/>
      <c r="AA18" s="400"/>
      <c r="AB18" s="400"/>
      <c r="AC18" s="400"/>
      <c r="AD18" s="400"/>
      <c r="AE18" s="400"/>
      <c r="AF18" s="400"/>
      <c r="AG18" s="400"/>
      <c r="AH18" s="400"/>
      <c r="AI18" s="401"/>
      <c r="AK18" s="425" t="s">
        <v>621</v>
      </c>
      <c r="AL18" s="425"/>
      <c r="AM18" s="425"/>
      <c r="AN18" s="425"/>
      <c r="AO18" s="425"/>
      <c r="AP18" s="425"/>
      <c r="AQ18" s="42"/>
      <c r="AR18" s="43"/>
      <c r="AS18" s="46">
        <v>9</v>
      </c>
      <c r="AT18" s="46"/>
      <c r="AU18" s="46"/>
      <c r="AV18" s="47" t="s">
        <v>622</v>
      </c>
      <c r="AW18" s="47" t="s">
        <v>612</v>
      </c>
      <c r="AX18" s="47">
        <v>0.83333333333333337</v>
      </c>
      <c r="AY18" s="47" t="s">
        <v>613</v>
      </c>
      <c r="AZ18" s="43"/>
    </row>
    <row r="19" spans="1:85" ht="18" customHeight="1" thickBot="1">
      <c r="A19" s="35" t="s">
        <v>189</v>
      </c>
      <c r="B19" s="405">
        <v>0.56944444444444442</v>
      </c>
      <c r="C19" s="405"/>
      <c r="D19" s="405"/>
      <c r="E19" s="405"/>
      <c r="F19" s="402" t="s">
        <v>714</v>
      </c>
      <c r="G19" s="402"/>
      <c r="H19" s="402"/>
      <c r="I19" s="402"/>
      <c r="J19" s="402"/>
      <c r="K19" s="402"/>
      <c r="L19" s="402"/>
      <c r="M19" s="402"/>
      <c r="N19" s="402"/>
      <c r="O19" s="402"/>
      <c r="P19" s="402"/>
      <c r="Q19" s="402"/>
      <c r="R19" s="402"/>
      <c r="S19" s="402"/>
      <c r="T19" s="402"/>
      <c r="U19" s="402"/>
      <c r="V19" s="402"/>
      <c r="W19" s="402"/>
      <c r="X19" s="402"/>
      <c r="Y19" s="402"/>
      <c r="Z19" s="402"/>
      <c r="AA19" s="402"/>
      <c r="AB19" s="402"/>
      <c r="AC19" s="402"/>
      <c r="AD19" s="402"/>
      <c r="AE19" s="402"/>
      <c r="AF19" s="402"/>
      <c r="AG19" s="402"/>
      <c r="AH19" s="402"/>
      <c r="AI19" s="403"/>
      <c r="AK19" s="524" t="s">
        <v>623</v>
      </c>
      <c r="AL19" s="524"/>
      <c r="AM19" s="524"/>
      <c r="AN19" s="524"/>
      <c r="AO19" s="524"/>
      <c r="AP19" s="524"/>
      <c r="AQ19" s="58"/>
      <c r="AR19" s="43"/>
      <c r="AS19" s="46">
        <v>10</v>
      </c>
      <c r="AT19" s="46"/>
      <c r="AU19" s="46"/>
      <c r="AV19" s="47" t="s">
        <v>111</v>
      </c>
      <c r="AW19" s="47" t="s">
        <v>612</v>
      </c>
      <c r="AX19" s="47">
        <v>0.83333333333333337</v>
      </c>
      <c r="AY19" s="47" t="s">
        <v>613</v>
      </c>
      <c r="AZ19" s="43"/>
    </row>
    <row r="20" spans="1:85" ht="18" customHeight="1">
      <c r="A20" s="36" t="s">
        <v>189</v>
      </c>
      <c r="B20" s="404">
        <v>0.56944444444444442</v>
      </c>
      <c r="C20" s="404"/>
      <c r="D20" s="404"/>
      <c r="E20" s="404"/>
      <c r="F20" s="288" t="s">
        <v>778</v>
      </c>
      <c r="G20" s="288"/>
      <c r="H20" s="288"/>
      <c r="I20" s="288"/>
      <c r="J20" s="288"/>
      <c r="K20" s="288"/>
      <c r="L20" s="288"/>
      <c r="M20" s="288"/>
      <c r="N20" s="288"/>
      <c r="O20" s="288"/>
      <c r="P20" s="288"/>
      <c r="Q20" s="288"/>
      <c r="R20" s="288"/>
      <c r="S20" s="288"/>
      <c r="T20" s="288"/>
      <c r="U20" s="288"/>
      <c r="V20" s="288"/>
      <c r="W20" s="288"/>
      <c r="X20" s="288"/>
      <c r="Y20" s="288"/>
      <c r="Z20" s="288"/>
      <c r="AA20" s="288"/>
      <c r="AB20" s="288"/>
      <c r="AC20" s="288"/>
      <c r="AD20" s="288"/>
      <c r="AE20" s="288"/>
      <c r="AF20" s="288"/>
      <c r="AG20" s="288"/>
      <c r="AH20" s="288"/>
      <c r="AI20" s="289"/>
      <c r="AK20" s="447" t="s">
        <v>624</v>
      </c>
      <c r="AL20" s="448"/>
      <c r="AM20" s="448"/>
      <c r="AN20" s="448"/>
      <c r="AO20" s="448"/>
      <c r="AP20" s="448"/>
      <c r="AQ20" s="62"/>
      <c r="AR20" s="426" t="s">
        <v>625</v>
      </c>
      <c r="AS20" s="146">
        <v>11</v>
      </c>
      <c r="AT20" s="46"/>
      <c r="AU20" s="46"/>
      <c r="AV20" s="47" t="s">
        <v>111</v>
      </c>
      <c r="AW20" s="47" t="s">
        <v>612</v>
      </c>
      <c r="AX20" s="47">
        <v>0.83333333333333337</v>
      </c>
      <c r="AY20" s="47" t="s">
        <v>613</v>
      </c>
      <c r="AZ20" s="43"/>
    </row>
    <row r="21" spans="1:85" ht="18" customHeight="1" thickBot="1">
      <c r="A21" s="36"/>
      <c r="B21" s="404"/>
      <c r="C21" s="404"/>
      <c r="D21" s="404"/>
      <c r="E21" s="404"/>
      <c r="F21" s="288" t="s">
        <v>779</v>
      </c>
      <c r="G21" s="288"/>
      <c r="H21" s="288"/>
      <c r="I21" s="288"/>
      <c r="J21" s="288"/>
      <c r="K21" s="288"/>
      <c r="L21" s="288"/>
      <c r="M21" s="288"/>
      <c r="N21" s="288"/>
      <c r="O21" s="288"/>
      <c r="P21" s="288"/>
      <c r="Q21" s="288"/>
      <c r="R21" s="288"/>
      <c r="S21" s="288"/>
      <c r="T21" s="288"/>
      <c r="U21" s="288"/>
      <c r="V21" s="288"/>
      <c r="W21" s="288"/>
      <c r="X21" s="288"/>
      <c r="Y21" s="288"/>
      <c r="Z21" s="288"/>
      <c r="AA21" s="288"/>
      <c r="AB21" s="288"/>
      <c r="AC21" s="288"/>
      <c r="AD21" s="288"/>
      <c r="AE21" s="288"/>
      <c r="AF21" s="288"/>
      <c r="AG21" s="288"/>
      <c r="AH21" s="288"/>
      <c r="AI21" s="289"/>
      <c r="AK21" s="429" t="s">
        <v>626</v>
      </c>
      <c r="AL21" s="430"/>
      <c r="AM21" s="430"/>
      <c r="AN21" s="430"/>
      <c r="AO21" s="430"/>
      <c r="AP21" s="430"/>
      <c r="AQ21" s="63"/>
      <c r="AR21" s="427"/>
      <c r="AW21" s="43"/>
      <c r="AX21" s="43"/>
      <c r="AY21" s="43"/>
      <c r="AZ21" s="43"/>
    </row>
    <row r="22" spans="1:85" ht="18" customHeight="1">
      <c r="A22" s="36" t="s">
        <v>189</v>
      </c>
      <c r="B22" s="404">
        <v>0.58333333333333337</v>
      </c>
      <c r="C22" s="404"/>
      <c r="D22" s="404"/>
      <c r="E22" s="404"/>
      <c r="F22" s="288" t="s">
        <v>261</v>
      </c>
      <c r="G22" s="288"/>
      <c r="H22" s="288"/>
      <c r="I22" s="288"/>
      <c r="J22" s="288"/>
      <c r="K22" s="288"/>
      <c r="L22" s="288"/>
      <c r="M22" s="288"/>
      <c r="N22" s="288"/>
      <c r="O22" s="288"/>
      <c r="P22" s="288"/>
      <c r="Q22" s="288"/>
      <c r="R22" s="288"/>
      <c r="S22" s="288"/>
      <c r="T22" s="288"/>
      <c r="U22" s="288"/>
      <c r="V22" s="288"/>
      <c r="W22" s="288"/>
      <c r="X22" s="288"/>
      <c r="Y22" s="288"/>
      <c r="Z22" s="288"/>
      <c r="AA22" s="288"/>
      <c r="AB22" s="288"/>
      <c r="AC22" s="288"/>
      <c r="AD22" s="288"/>
      <c r="AE22" s="288"/>
      <c r="AF22" s="288"/>
      <c r="AG22" s="288"/>
      <c r="AH22" s="288"/>
      <c r="AI22" s="289"/>
      <c r="AK22" s="429" t="s">
        <v>627</v>
      </c>
      <c r="AL22" s="430"/>
      <c r="AM22" s="430"/>
      <c r="AN22" s="430"/>
      <c r="AO22" s="430"/>
      <c r="AP22" s="430"/>
      <c r="AQ22" s="63"/>
      <c r="AR22" s="427"/>
      <c r="AS22" s="433" t="s">
        <v>628</v>
      </c>
      <c r="AT22" s="434"/>
      <c r="AU22" s="435"/>
      <c r="AV22" s="435"/>
      <c r="AW22" s="60" t="s">
        <v>74</v>
      </c>
      <c r="AY22" s="413" t="s">
        <v>629</v>
      </c>
      <c r="AZ22" s="413"/>
      <c r="BA22" s="412"/>
      <c r="BB22" s="412"/>
    </row>
    <row r="23" spans="1:85" ht="18" customHeight="1" thickBot="1">
      <c r="A23" s="36" t="s">
        <v>189</v>
      </c>
      <c r="B23" s="404">
        <v>0.83333333333333337</v>
      </c>
      <c r="C23" s="404"/>
      <c r="D23" s="404"/>
      <c r="E23" s="404"/>
      <c r="F23" s="288" t="s">
        <v>780</v>
      </c>
      <c r="G23" s="288"/>
      <c r="H23" s="288"/>
      <c r="I23" s="288"/>
      <c r="J23" s="288"/>
      <c r="K23" s="288"/>
      <c r="L23" s="288"/>
      <c r="M23" s="288"/>
      <c r="N23" s="288"/>
      <c r="O23" s="288"/>
      <c r="P23" s="288"/>
      <c r="Q23" s="288"/>
      <c r="R23" s="288"/>
      <c r="S23" s="288"/>
      <c r="T23" s="288"/>
      <c r="U23" s="288"/>
      <c r="V23" s="288"/>
      <c r="W23" s="288"/>
      <c r="X23" s="288"/>
      <c r="Y23" s="288"/>
      <c r="Z23" s="288"/>
      <c r="AA23" s="288"/>
      <c r="AB23" s="288"/>
      <c r="AC23" s="288"/>
      <c r="AD23" s="288"/>
      <c r="AE23" s="288"/>
      <c r="AF23" s="288"/>
      <c r="AG23" s="288"/>
      <c r="AH23" s="288"/>
      <c r="AI23" s="289"/>
      <c r="AK23" s="431" t="s">
        <v>630</v>
      </c>
      <c r="AL23" s="432"/>
      <c r="AM23" s="432"/>
      <c r="AN23" s="432"/>
      <c r="AO23" s="432"/>
      <c r="AP23" s="432"/>
      <c r="AQ23" s="64"/>
      <c r="AR23" s="428"/>
      <c r="AS23" s="536" t="s">
        <v>631</v>
      </c>
      <c r="AT23" s="246"/>
      <c r="AU23" s="537"/>
      <c r="AV23" s="537"/>
      <c r="AW23" s="56" t="s">
        <v>632</v>
      </c>
      <c r="AY23" s="413" t="s">
        <v>633</v>
      </c>
      <c r="AZ23" s="413"/>
      <c r="BA23" s="412"/>
      <c r="BB23" s="412"/>
    </row>
    <row r="24" spans="1:85" ht="18" customHeight="1" thickBot="1">
      <c r="A24" s="36" t="s">
        <v>189</v>
      </c>
      <c r="B24" s="404">
        <v>9.7222222222222224E-3</v>
      </c>
      <c r="C24" s="404"/>
      <c r="D24" s="404"/>
      <c r="E24" s="404"/>
      <c r="F24" s="288" t="s">
        <v>781</v>
      </c>
      <c r="G24" s="288"/>
      <c r="H24" s="288"/>
      <c r="I24" s="288"/>
      <c r="J24" s="288"/>
      <c r="K24" s="288"/>
      <c r="L24" s="288"/>
      <c r="M24" s="288"/>
      <c r="N24" s="288"/>
      <c r="O24" s="288"/>
      <c r="P24" s="288"/>
      <c r="Q24" s="288"/>
      <c r="R24" s="288"/>
      <c r="S24" s="288"/>
      <c r="T24" s="288"/>
      <c r="U24" s="288"/>
      <c r="V24" s="288"/>
      <c r="W24" s="288"/>
      <c r="X24" s="288"/>
      <c r="Y24" s="288"/>
      <c r="Z24" s="288"/>
      <c r="AA24" s="288"/>
      <c r="AB24" s="288"/>
      <c r="AC24" s="288"/>
      <c r="AD24" s="288"/>
      <c r="AE24" s="288"/>
      <c r="AF24" s="288"/>
      <c r="AG24" s="288"/>
      <c r="AH24" s="288"/>
      <c r="AI24" s="289"/>
      <c r="AK24" s="527" t="s">
        <v>634</v>
      </c>
      <c r="AL24" s="528"/>
      <c r="AM24" s="528"/>
      <c r="AN24" s="528"/>
      <c r="AO24" s="528"/>
      <c r="AP24" s="528"/>
      <c r="AQ24" s="65"/>
      <c r="AR24" s="43"/>
      <c r="AY24" s="413" t="s">
        <v>635</v>
      </c>
      <c r="AZ24" s="413"/>
      <c r="BA24" s="412"/>
      <c r="BB24" s="412"/>
    </row>
    <row r="25" spans="1:85" ht="18" customHeight="1">
      <c r="A25" s="36" t="s">
        <v>189</v>
      </c>
      <c r="B25" s="404">
        <v>2.9861111111111113E-2</v>
      </c>
      <c r="C25" s="404"/>
      <c r="D25" s="404"/>
      <c r="E25" s="404"/>
      <c r="F25" s="288" t="s">
        <v>782</v>
      </c>
      <c r="G25" s="288"/>
      <c r="H25" s="288"/>
      <c r="I25" s="288"/>
      <c r="J25" s="288"/>
      <c r="K25" s="288"/>
      <c r="L25" s="288"/>
      <c r="M25" s="288"/>
      <c r="N25" s="288"/>
      <c r="O25" s="288"/>
      <c r="P25" s="288"/>
      <c r="Q25" s="288"/>
      <c r="R25" s="288"/>
      <c r="S25" s="288"/>
      <c r="T25" s="288"/>
      <c r="U25" s="288"/>
      <c r="V25" s="288"/>
      <c r="W25" s="288"/>
      <c r="X25" s="288"/>
      <c r="Y25" s="288"/>
      <c r="Z25" s="288"/>
      <c r="AA25" s="288"/>
      <c r="AB25" s="288"/>
      <c r="AC25" s="288"/>
      <c r="AD25" s="288"/>
      <c r="AE25" s="288"/>
      <c r="AF25" s="288"/>
      <c r="AG25" s="288"/>
      <c r="AH25" s="288"/>
      <c r="AI25" s="289"/>
      <c r="AK25" s="529" t="s">
        <v>636</v>
      </c>
      <c r="AL25" s="529"/>
      <c r="AM25" s="529"/>
      <c r="AN25" s="529"/>
      <c r="AO25" s="529"/>
      <c r="AP25" s="529"/>
      <c r="AQ25" s="66"/>
      <c r="AR25" s="43"/>
      <c r="AY25" s="413" t="s">
        <v>637</v>
      </c>
      <c r="AZ25" s="413"/>
      <c r="BA25" s="412"/>
      <c r="BB25" s="412"/>
    </row>
    <row r="26" spans="1:85" ht="18" customHeight="1">
      <c r="A26" s="36"/>
      <c r="B26" s="404"/>
      <c r="C26" s="404"/>
      <c r="D26" s="404"/>
      <c r="E26" s="404"/>
      <c r="F26" s="288"/>
      <c r="G26" s="288"/>
      <c r="H26" s="288"/>
      <c r="I26" s="288"/>
      <c r="J26" s="288"/>
      <c r="K26" s="288"/>
      <c r="L26" s="288"/>
      <c r="M26" s="288"/>
      <c r="N26" s="288"/>
      <c r="O26" s="288"/>
      <c r="P26" s="288"/>
      <c r="Q26" s="288"/>
      <c r="R26" s="288"/>
      <c r="S26" s="288"/>
      <c r="T26" s="288"/>
      <c r="U26" s="288"/>
      <c r="V26" s="288"/>
      <c r="W26" s="288"/>
      <c r="X26" s="288"/>
      <c r="Y26" s="288"/>
      <c r="Z26" s="288"/>
      <c r="AA26" s="288"/>
      <c r="AB26" s="288"/>
      <c r="AC26" s="288"/>
      <c r="AD26" s="288"/>
      <c r="AE26" s="288"/>
      <c r="AF26" s="288"/>
      <c r="AG26" s="288"/>
      <c r="AH26" s="288"/>
      <c r="AI26" s="289"/>
      <c r="AK26" s="436" t="s">
        <v>638</v>
      </c>
      <c r="AL26" s="436"/>
      <c r="AM26" s="436"/>
      <c r="AN26" s="436"/>
      <c r="AO26" s="436"/>
      <c r="AP26" s="436"/>
      <c r="AQ26" s="67"/>
      <c r="AR26" s="43"/>
      <c r="AS26" s="548" t="s">
        <v>639</v>
      </c>
      <c r="AT26" s="549"/>
      <c r="AU26" s="549"/>
      <c r="AV26" s="549"/>
      <c r="AW26" s="550"/>
      <c r="AY26" s="147"/>
      <c r="AZ26" s="147"/>
      <c r="BA26" s="147"/>
      <c r="BB26" s="147"/>
    </row>
    <row r="27" spans="1:85" ht="18" customHeight="1">
      <c r="A27" s="36" t="s">
        <v>189</v>
      </c>
      <c r="B27" s="404">
        <v>0.29166666666666669</v>
      </c>
      <c r="C27" s="404"/>
      <c r="D27" s="404"/>
      <c r="E27" s="404"/>
      <c r="F27" s="288" t="s">
        <v>728</v>
      </c>
      <c r="G27" s="288"/>
      <c r="H27" s="288"/>
      <c r="I27" s="288"/>
      <c r="J27" s="288"/>
      <c r="K27" s="288"/>
      <c r="L27" s="288"/>
      <c r="M27" s="288"/>
      <c r="N27" s="288"/>
      <c r="O27" s="288"/>
      <c r="P27" s="288"/>
      <c r="Q27" s="288"/>
      <c r="R27" s="288"/>
      <c r="S27" s="288"/>
      <c r="T27" s="288"/>
      <c r="U27" s="288"/>
      <c r="V27" s="288"/>
      <c r="W27" s="288"/>
      <c r="X27" s="288"/>
      <c r="Y27" s="288"/>
      <c r="Z27" s="288"/>
      <c r="AA27" s="288"/>
      <c r="AB27" s="288"/>
      <c r="AC27" s="288"/>
      <c r="AD27" s="288"/>
      <c r="AE27" s="288"/>
      <c r="AF27" s="288"/>
      <c r="AG27" s="288"/>
      <c r="AH27" s="288"/>
      <c r="AI27" s="289"/>
      <c r="AK27" s="436" t="s">
        <v>640</v>
      </c>
      <c r="AL27" s="436"/>
      <c r="AM27" s="436"/>
      <c r="AN27" s="436"/>
      <c r="AO27" s="436"/>
      <c r="AP27" s="436"/>
      <c r="AQ27" s="67"/>
      <c r="AR27" s="43"/>
      <c r="AS27" s="458" t="s">
        <v>641</v>
      </c>
      <c r="AT27" s="460"/>
      <c r="AU27" s="458" t="s">
        <v>642</v>
      </c>
      <c r="AV27" s="459"/>
      <c r="AW27" s="460"/>
      <c r="AY27" s="411" t="s">
        <v>643</v>
      </c>
      <c r="AZ27" s="411"/>
      <c r="BA27" s="411"/>
      <c r="BB27" s="411"/>
    </row>
    <row r="28" spans="1:85" ht="18" customHeight="1" thickBot="1">
      <c r="A28" s="36"/>
      <c r="B28" s="404"/>
      <c r="C28" s="404"/>
      <c r="D28" s="404"/>
      <c r="E28" s="404"/>
      <c r="F28" s="288"/>
      <c r="G28" s="288"/>
      <c r="H28" s="288"/>
      <c r="I28" s="288"/>
      <c r="J28" s="288"/>
      <c r="K28" s="288"/>
      <c r="L28" s="288"/>
      <c r="M28" s="288"/>
      <c r="N28" s="288"/>
      <c r="O28" s="288"/>
      <c r="P28" s="288"/>
      <c r="Q28" s="288"/>
      <c r="R28" s="288"/>
      <c r="S28" s="288"/>
      <c r="T28" s="288"/>
      <c r="U28" s="288"/>
      <c r="V28" s="288"/>
      <c r="W28" s="288"/>
      <c r="X28" s="288"/>
      <c r="Y28" s="288"/>
      <c r="Z28" s="288"/>
      <c r="AA28" s="288"/>
      <c r="AB28" s="288"/>
      <c r="AC28" s="288"/>
      <c r="AD28" s="288"/>
      <c r="AE28" s="288"/>
      <c r="AF28" s="288"/>
      <c r="AG28" s="288"/>
      <c r="AH28" s="288"/>
      <c r="AI28" s="289"/>
      <c r="AK28" s="436" t="s">
        <v>644</v>
      </c>
      <c r="AL28" s="436"/>
      <c r="AM28" s="436"/>
      <c r="AN28" s="436"/>
      <c r="AO28" s="436"/>
      <c r="AP28" s="436"/>
      <c r="AQ28" s="67"/>
      <c r="AR28" s="43"/>
      <c r="AS28" s="538" t="s">
        <v>645</v>
      </c>
      <c r="AT28" s="539"/>
      <c r="AU28" s="533" t="s">
        <v>646</v>
      </c>
      <c r="AV28" s="534"/>
      <c r="AW28" s="535"/>
      <c r="AY28" s="413" t="s">
        <v>647</v>
      </c>
      <c r="AZ28" s="413"/>
      <c r="BA28" s="412"/>
      <c r="BB28" s="412"/>
    </row>
    <row r="29" spans="1:85" ht="18" customHeight="1" thickBot="1">
      <c r="A29" s="36"/>
      <c r="B29" s="404"/>
      <c r="C29" s="404"/>
      <c r="D29" s="404"/>
      <c r="E29" s="404"/>
      <c r="F29" s="288"/>
      <c r="G29" s="288"/>
      <c r="H29" s="288"/>
      <c r="I29" s="288"/>
      <c r="J29" s="288"/>
      <c r="K29" s="288"/>
      <c r="L29" s="288"/>
      <c r="M29" s="288"/>
      <c r="N29" s="288"/>
      <c r="O29" s="288"/>
      <c r="P29" s="288"/>
      <c r="Q29" s="288"/>
      <c r="R29" s="288"/>
      <c r="S29" s="288"/>
      <c r="T29" s="288"/>
      <c r="U29" s="288"/>
      <c r="V29" s="288"/>
      <c r="W29" s="288"/>
      <c r="X29" s="288"/>
      <c r="Y29" s="288"/>
      <c r="Z29" s="288"/>
      <c r="AA29" s="288"/>
      <c r="AB29" s="288"/>
      <c r="AC29" s="288"/>
      <c r="AD29" s="288"/>
      <c r="AE29" s="288"/>
      <c r="AF29" s="288"/>
      <c r="AG29" s="288"/>
      <c r="AH29" s="288"/>
      <c r="AI29" s="289"/>
      <c r="AK29" s="524"/>
      <c r="AL29" s="524"/>
      <c r="AM29" s="524"/>
      <c r="AN29" s="524"/>
      <c r="AO29" s="524"/>
      <c r="AP29" s="524"/>
      <c r="AQ29" s="58"/>
      <c r="AR29" s="43"/>
      <c r="AS29" s="551"/>
      <c r="AT29" s="552"/>
      <c r="AU29" s="434"/>
      <c r="AV29" s="434"/>
      <c r="AW29" s="553"/>
      <c r="AY29" s="413" t="s">
        <v>633</v>
      </c>
      <c r="AZ29" s="413"/>
      <c r="BA29" s="412"/>
      <c r="BB29" s="412"/>
    </row>
    <row r="30" spans="1:85" ht="18" customHeight="1">
      <c r="A30" s="36"/>
      <c r="B30" s="404"/>
      <c r="C30" s="404"/>
      <c r="D30" s="404"/>
      <c r="E30" s="404"/>
      <c r="F30" s="288"/>
      <c r="G30" s="288"/>
      <c r="H30" s="288"/>
      <c r="I30" s="288"/>
      <c r="J30" s="288"/>
      <c r="K30" s="288"/>
      <c r="L30" s="288"/>
      <c r="M30" s="288"/>
      <c r="N30" s="288"/>
      <c r="O30" s="288"/>
      <c r="P30" s="288"/>
      <c r="Q30" s="288"/>
      <c r="R30" s="288"/>
      <c r="S30" s="288"/>
      <c r="T30" s="288"/>
      <c r="U30" s="288"/>
      <c r="V30" s="288"/>
      <c r="W30" s="288"/>
      <c r="X30" s="288"/>
      <c r="Y30" s="288"/>
      <c r="Z30" s="288"/>
      <c r="AA30" s="288"/>
      <c r="AB30" s="288"/>
      <c r="AC30" s="288"/>
      <c r="AD30" s="288"/>
      <c r="AE30" s="288"/>
      <c r="AF30" s="288"/>
      <c r="AG30" s="288"/>
      <c r="AH30" s="288"/>
      <c r="AI30" s="289"/>
      <c r="AK30" s="449" t="s">
        <v>648</v>
      </c>
      <c r="AL30" s="450"/>
      <c r="AM30" s="450"/>
      <c r="AN30" s="450"/>
      <c r="AO30" s="450"/>
      <c r="AP30" s="450"/>
      <c r="AQ30" s="62"/>
      <c r="AR30" s="43"/>
      <c r="AS30" s="554"/>
      <c r="AT30" s="532"/>
      <c r="AU30" s="439"/>
      <c r="AV30" s="439"/>
      <c r="AW30" s="555"/>
      <c r="AY30" s="413" t="s">
        <v>649</v>
      </c>
      <c r="AZ30" s="413"/>
      <c r="BA30" s="412"/>
      <c r="BB30" s="412"/>
    </row>
    <row r="31" spans="1:85" ht="18" customHeight="1" thickBot="1">
      <c r="A31" s="37"/>
      <c r="B31" s="466"/>
      <c r="C31" s="466"/>
      <c r="D31" s="466"/>
      <c r="E31" s="466"/>
      <c r="F31" s="467"/>
      <c r="G31" s="467"/>
      <c r="H31" s="467"/>
      <c r="I31" s="467"/>
      <c r="J31" s="467"/>
      <c r="K31" s="467"/>
      <c r="L31" s="467"/>
      <c r="M31" s="467"/>
      <c r="N31" s="467"/>
      <c r="O31" s="467"/>
      <c r="P31" s="467"/>
      <c r="Q31" s="467"/>
      <c r="R31" s="467"/>
      <c r="S31" s="467"/>
      <c r="T31" s="467"/>
      <c r="U31" s="467"/>
      <c r="V31" s="467"/>
      <c r="W31" s="467"/>
      <c r="X31" s="467"/>
      <c r="Y31" s="467"/>
      <c r="Z31" s="467"/>
      <c r="AA31" s="467"/>
      <c r="AB31" s="467"/>
      <c r="AC31" s="467"/>
      <c r="AD31" s="467"/>
      <c r="AE31" s="467"/>
      <c r="AF31" s="467"/>
      <c r="AG31" s="467"/>
      <c r="AH31" s="467"/>
      <c r="AI31" s="468"/>
      <c r="AK31" s="451" t="s">
        <v>650</v>
      </c>
      <c r="AL31" s="416"/>
      <c r="AM31" s="416"/>
      <c r="AN31" s="416"/>
      <c r="AO31" s="416"/>
      <c r="AP31" s="416"/>
      <c r="AQ31" s="64"/>
      <c r="AR31" s="48"/>
      <c r="AS31" s="556"/>
      <c r="AT31" s="557"/>
      <c r="AU31" s="424"/>
      <c r="AV31" s="424"/>
      <c r="AW31" s="491"/>
      <c r="AY31" s="413" t="s">
        <v>637</v>
      </c>
      <c r="AZ31" s="413"/>
      <c r="BA31" s="412"/>
      <c r="BB31" s="412"/>
    </row>
    <row r="32" spans="1:85" ht="18" customHeight="1" thickBot="1">
      <c r="A32" s="406" t="s">
        <v>651</v>
      </c>
      <c r="B32" s="407"/>
      <c r="C32" s="407"/>
      <c r="D32" s="407"/>
      <c r="E32" s="407"/>
      <c r="F32" s="407"/>
      <c r="G32" s="407"/>
      <c r="H32" s="407"/>
      <c r="I32" s="407"/>
      <c r="J32" s="407"/>
      <c r="K32" s="407"/>
      <c r="L32" s="407"/>
      <c r="M32" s="407"/>
      <c r="N32" s="407"/>
      <c r="O32" s="407"/>
      <c r="P32" s="407"/>
      <c r="Q32" s="407"/>
      <c r="R32" s="407"/>
      <c r="S32" s="407"/>
      <c r="T32" s="407"/>
      <c r="U32" s="407"/>
      <c r="V32" s="407"/>
      <c r="W32" s="407"/>
      <c r="X32" s="407"/>
      <c r="Y32" s="407"/>
      <c r="Z32" s="407"/>
      <c r="AA32" s="407"/>
      <c r="AB32" s="407"/>
      <c r="AC32" s="407"/>
      <c r="AD32" s="407"/>
      <c r="AE32" s="407"/>
      <c r="AF32" s="407"/>
      <c r="AG32" s="407"/>
      <c r="AH32" s="407"/>
      <c r="AI32" s="408"/>
      <c r="AK32" s="531"/>
      <c r="AL32" s="531"/>
      <c r="AM32" s="531"/>
      <c r="AN32" s="531"/>
      <c r="AO32" s="531"/>
      <c r="AP32" s="531"/>
      <c r="AQ32" s="61"/>
      <c r="AR32" s="48"/>
      <c r="AS32" s="558"/>
      <c r="AT32" s="558"/>
      <c r="AU32" s="559"/>
      <c r="AV32" s="559"/>
      <c r="AW32" s="559"/>
      <c r="AY32" s="413" t="s">
        <v>652</v>
      </c>
      <c r="AZ32" s="413"/>
      <c r="BA32" s="412"/>
      <c r="BB32" s="412"/>
    </row>
    <row r="33" spans="1:80" ht="18" customHeight="1">
      <c r="A33" s="39"/>
      <c r="B33" s="546" t="s">
        <v>653</v>
      </c>
      <c r="C33" s="546"/>
      <c r="D33" s="546"/>
      <c r="E33" s="546"/>
      <c r="F33" s="417" t="str" cm="1">
        <f t="array" ref="F33">_xlfn.TEXTJOIN("/",TRUE,IF(AS29:AS31&lt;&gt;"",TEXT(AS29:AS31,"h:mm")&amp;" "&amp;AU29:AU31,""))</f>
        <v/>
      </c>
      <c r="G33" s="418"/>
      <c r="H33" s="418"/>
      <c r="I33" s="418"/>
      <c r="J33" s="418"/>
      <c r="K33" s="418"/>
      <c r="L33" s="418"/>
      <c r="M33" s="418"/>
      <c r="N33" s="418"/>
      <c r="O33" s="418"/>
      <c r="P33" s="418"/>
      <c r="Q33" s="418"/>
      <c r="R33" s="418"/>
      <c r="S33" s="418"/>
      <c r="T33" s="418"/>
      <c r="U33" s="418"/>
      <c r="V33" s="418"/>
      <c r="W33" s="418"/>
      <c r="X33" s="418"/>
      <c r="Y33" s="418"/>
      <c r="Z33" s="418"/>
      <c r="AA33" s="418"/>
      <c r="AB33" s="418"/>
      <c r="AC33" s="418"/>
      <c r="AD33" s="418"/>
      <c r="AE33" s="418"/>
      <c r="AF33" s="418"/>
      <c r="AG33" s="418"/>
      <c r="AH33" s="418"/>
      <c r="AI33" s="419"/>
      <c r="AK33" s="449" t="s">
        <v>654</v>
      </c>
      <c r="AL33" s="450"/>
      <c r="AM33" s="450"/>
      <c r="AN33" s="450"/>
      <c r="AO33" s="450"/>
      <c r="AP33" s="450"/>
      <c r="AQ33" s="60"/>
      <c r="AR33" s="48"/>
      <c r="AS33" s="532"/>
      <c r="AT33" s="532"/>
      <c r="AU33" s="439"/>
      <c r="AV33" s="439"/>
      <c r="AW33" s="439"/>
      <c r="AY33" s="413" t="s">
        <v>655</v>
      </c>
      <c r="AZ33" s="413"/>
      <c r="BA33" s="412"/>
      <c r="BB33" s="412"/>
    </row>
    <row r="34" spans="1:80" ht="18" customHeight="1" thickBot="1">
      <c r="A34" s="39"/>
      <c r="B34" s="546" t="s">
        <v>656</v>
      </c>
      <c r="C34" s="546"/>
      <c r="D34" s="546"/>
      <c r="E34" s="546"/>
      <c r="F34" s="420" t="s">
        <v>79</v>
      </c>
      <c r="G34" s="420"/>
      <c r="H34" s="420"/>
      <c r="I34" s="420"/>
      <c r="J34" s="420"/>
      <c r="K34" s="420"/>
      <c r="L34" s="420"/>
      <c r="M34" s="420"/>
      <c r="N34" s="420"/>
      <c r="O34" s="420"/>
      <c r="P34" s="420"/>
      <c r="Q34" s="420"/>
      <c r="R34" s="420"/>
      <c r="S34" s="420"/>
      <c r="T34" s="420"/>
      <c r="U34" s="420"/>
      <c r="V34" s="420"/>
      <c r="W34" s="420"/>
      <c r="X34" s="420"/>
      <c r="Y34" s="420"/>
      <c r="Z34" s="420"/>
      <c r="AA34" s="420"/>
      <c r="AB34" s="420"/>
      <c r="AC34" s="421"/>
      <c r="AD34" s="421"/>
      <c r="AE34" s="421"/>
      <c r="AF34" s="421"/>
      <c r="AG34" s="421"/>
      <c r="AH34" s="421"/>
      <c r="AI34" s="422"/>
      <c r="AK34" s="451" t="s">
        <v>657</v>
      </c>
      <c r="AL34" s="416"/>
      <c r="AM34" s="416"/>
      <c r="AN34" s="416"/>
      <c r="AO34" s="416"/>
      <c r="AP34" s="416"/>
      <c r="AQ34" s="56"/>
      <c r="AR34" s="48"/>
      <c r="AS34" s="532"/>
      <c r="AT34" s="532"/>
      <c r="AU34" s="439"/>
      <c r="AV34" s="439"/>
      <c r="AW34" s="439"/>
      <c r="AY34" s="413" t="s">
        <v>658</v>
      </c>
      <c r="AZ34" s="413"/>
      <c r="BA34" s="412"/>
      <c r="BB34" s="412"/>
    </row>
    <row r="35" spans="1:80" ht="18" customHeight="1" thickBot="1">
      <c r="A35" s="57"/>
      <c r="B35" s="547" t="s">
        <v>659</v>
      </c>
      <c r="C35" s="547"/>
      <c r="D35" s="547"/>
      <c r="E35" s="547"/>
      <c r="F35" s="389" t="s">
        <v>660</v>
      </c>
      <c r="G35" s="389"/>
      <c r="H35" s="389"/>
      <c r="I35" s="389"/>
      <c r="J35" s="389"/>
      <c r="K35" s="389"/>
      <c r="L35" s="389"/>
      <c r="M35" s="389"/>
      <c r="N35" s="389"/>
      <c r="O35" s="389"/>
      <c r="P35" s="389"/>
      <c r="Q35" s="389"/>
      <c r="R35" s="389"/>
      <c r="S35" s="389"/>
      <c r="T35" s="389"/>
      <c r="U35" s="389"/>
      <c r="V35" s="389"/>
      <c r="W35" s="390" t="s">
        <v>661</v>
      </c>
      <c r="X35" s="391"/>
      <c r="Y35" s="391"/>
      <c r="Z35" s="391"/>
      <c r="AA35" s="391"/>
      <c r="AB35" s="391"/>
      <c r="AC35" s="392" t="s">
        <v>662</v>
      </c>
      <c r="AD35" s="393"/>
      <c r="AE35" s="393"/>
      <c r="AF35" s="393"/>
      <c r="AG35" s="393"/>
      <c r="AH35" s="393"/>
      <c r="AI35" s="394"/>
      <c r="AK35" s="531"/>
      <c r="AL35" s="531"/>
      <c r="AM35" s="531"/>
      <c r="AN35" s="531"/>
      <c r="AO35" s="531"/>
      <c r="AP35" s="531"/>
      <c r="AQ35" s="61"/>
      <c r="AR35" s="48"/>
      <c r="AS35" s="532"/>
      <c r="AT35" s="532"/>
      <c r="AU35" s="439"/>
      <c r="AV35" s="439"/>
      <c r="AW35" s="439"/>
      <c r="AY35" s="413" t="s">
        <v>663</v>
      </c>
      <c r="AZ35" s="413"/>
      <c r="BA35" s="412"/>
      <c r="BB35" s="412"/>
    </row>
    <row r="36" spans="1:80" ht="18" customHeight="1" thickBot="1">
      <c r="A36" s="492" t="s">
        <v>664</v>
      </c>
      <c r="B36" s="493"/>
      <c r="C36" s="493"/>
      <c r="D36" s="493"/>
      <c r="E36" s="493"/>
      <c r="F36" s="498">
        <v>4.1666666666666664E-2</v>
      </c>
      <c r="G36" s="439"/>
      <c r="H36" s="439"/>
      <c r="I36" s="439"/>
      <c r="J36" s="439"/>
      <c r="K36" s="439"/>
      <c r="L36" s="499" t="s">
        <v>665</v>
      </c>
      <c r="M36" s="489"/>
      <c r="N36" s="489"/>
      <c r="O36" s="500"/>
      <c r="P36" s="410" t="s">
        <v>62</v>
      </c>
      <c r="Q36" s="410"/>
      <c r="R36" s="410"/>
      <c r="S36" s="55" t="s">
        <v>666</v>
      </c>
      <c r="T36" s="410" t="s">
        <v>43</v>
      </c>
      <c r="U36" s="410"/>
      <c r="V36" s="530"/>
      <c r="W36" s="489" t="s">
        <v>667</v>
      </c>
      <c r="X36" s="489"/>
      <c r="Y36" s="489"/>
      <c r="Z36" s="489"/>
      <c r="AA36" s="489"/>
      <c r="AB36" s="489"/>
      <c r="AC36" s="490" t="s">
        <v>722</v>
      </c>
      <c r="AD36" s="487"/>
      <c r="AE36" s="487"/>
      <c r="AF36" s="487"/>
      <c r="AG36" s="487"/>
      <c r="AH36" s="487"/>
      <c r="AI36" s="488"/>
      <c r="AK36" s="525" t="s">
        <v>668</v>
      </c>
      <c r="AL36" s="526"/>
      <c r="AM36" s="526"/>
      <c r="AN36" s="526"/>
      <c r="AO36" s="526"/>
      <c r="AP36" s="526"/>
      <c r="AQ36" s="117"/>
      <c r="AR36" s="48"/>
      <c r="AS36" s="532"/>
      <c r="AT36" s="532"/>
      <c r="AU36" s="439"/>
      <c r="AV36" s="439"/>
      <c r="AW36" s="439"/>
      <c r="BH36" s="50"/>
      <c r="BI36" s="51"/>
    </row>
    <row r="37" spans="1:80" ht="18" customHeight="1" thickBot="1">
      <c r="A37" s="494" t="s">
        <v>669</v>
      </c>
      <c r="B37" s="495"/>
      <c r="C37" s="495"/>
      <c r="D37" s="495"/>
      <c r="E37" s="495"/>
      <c r="F37" s="487"/>
      <c r="G37" s="487"/>
      <c r="H37" s="487"/>
      <c r="I37" s="487"/>
      <c r="J37" s="487"/>
      <c r="K37" s="487"/>
      <c r="L37" s="487"/>
      <c r="M37" s="487"/>
      <c r="N37" s="487"/>
      <c r="O37" s="487"/>
      <c r="P37" s="487"/>
      <c r="Q37" s="487"/>
      <c r="R37" s="487"/>
      <c r="S37" s="487"/>
      <c r="T37" s="487"/>
      <c r="U37" s="487"/>
      <c r="V37" s="487"/>
      <c r="W37" s="487"/>
      <c r="X37" s="487"/>
      <c r="Y37" s="487"/>
      <c r="Z37" s="487"/>
      <c r="AA37" s="487"/>
      <c r="AB37" s="487"/>
      <c r="AC37" s="487"/>
      <c r="AD37" s="487"/>
      <c r="AE37" s="487"/>
      <c r="AF37" s="487"/>
      <c r="AG37" s="487"/>
      <c r="AH37" s="487"/>
      <c r="AI37" s="488"/>
      <c r="AK37" s="544" t="s">
        <v>240</v>
      </c>
      <c r="AL37" s="545"/>
      <c r="AM37" s="545"/>
      <c r="AN37" s="545"/>
      <c r="AO37" s="545"/>
      <c r="AP37" s="545"/>
      <c r="AQ37" s="122"/>
      <c r="AR37" s="48"/>
      <c r="AS37" s="532"/>
      <c r="AT37" s="532"/>
      <c r="AU37" s="439"/>
      <c r="AV37" s="439"/>
      <c r="AW37" s="439"/>
      <c r="BH37" s="50"/>
      <c r="BI37" s="51"/>
    </row>
    <row r="38" spans="1:80" ht="18" customHeight="1" thickBot="1">
      <c r="A38" s="496" t="s">
        <v>670</v>
      </c>
      <c r="B38" s="497"/>
      <c r="C38" s="497"/>
      <c r="D38" s="497"/>
      <c r="E38" s="497"/>
      <c r="F38" s="416" t="s">
        <v>667</v>
      </c>
      <c r="G38" s="416"/>
      <c r="H38" s="416"/>
      <c r="I38" s="416"/>
      <c r="J38" s="416"/>
      <c r="K38" s="416"/>
      <c r="L38" s="424" t="s">
        <v>722</v>
      </c>
      <c r="M38" s="424"/>
      <c r="N38" s="424"/>
      <c r="O38" s="424"/>
      <c r="P38" s="416" t="s">
        <v>671</v>
      </c>
      <c r="Q38" s="416"/>
      <c r="R38" s="416"/>
      <c r="S38" s="416"/>
      <c r="T38" s="416"/>
      <c r="U38" s="416"/>
      <c r="V38" s="416"/>
      <c r="W38" s="416" t="s">
        <v>667</v>
      </c>
      <c r="X38" s="416"/>
      <c r="Y38" s="416"/>
      <c r="Z38" s="416"/>
      <c r="AA38" s="416"/>
      <c r="AB38" s="416"/>
      <c r="AC38" s="424" t="s">
        <v>722</v>
      </c>
      <c r="AD38" s="424"/>
      <c r="AE38" s="424"/>
      <c r="AF38" s="424"/>
      <c r="AG38" s="424"/>
      <c r="AH38" s="424"/>
      <c r="AI38" s="491"/>
      <c r="AK38" s="543"/>
      <c r="AL38" s="543"/>
      <c r="AM38" s="543"/>
      <c r="AN38" s="543"/>
      <c r="AO38" s="543"/>
      <c r="AP38" s="543"/>
      <c r="AQ38" s="59"/>
      <c r="AR38" s="48"/>
      <c r="BC38" s="50"/>
      <c r="BD38" s="51"/>
    </row>
    <row r="39" spans="1:80" ht="18" customHeight="1">
      <c r="A39" s="452" t="s">
        <v>672</v>
      </c>
      <c r="B39" s="453"/>
      <c r="C39" s="453"/>
      <c r="D39" s="453"/>
      <c r="E39" s="453"/>
      <c r="F39" s="453"/>
      <c r="G39" s="453"/>
      <c r="H39" s="453"/>
      <c r="I39" s="453"/>
      <c r="J39" s="453"/>
      <c r="K39" s="453"/>
      <c r="L39" s="453"/>
      <c r="M39" s="453"/>
      <c r="N39" s="453"/>
      <c r="O39" s="453"/>
      <c r="P39" s="453"/>
      <c r="Q39" s="453"/>
      <c r="R39" s="453"/>
      <c r="S39" s="453"/>
      <c r="T39" s="453"/>
      <c r="U39" s="453"/>
      <c r="V39" s="453"/>
      <c r="W39" s="453"/>
      <c r="X39" s="453"/>
      <c r="Y39" s="453"/>
      <c r="Z39" s="453"/>
      <c r="AA39" s="453"/>
      <c r="AB39" s="453"/>
      <c r="AC39" s="453"/>
      <c r="AD39" s="453"/>
      <c r="AE39" s="453"/>
      <c r="AF39" s="453"/>
      <c r="AG39" s="453"/>
      <c r="AH39" s="453"/>
      <c r="AI39" s="454"/>
      <c r="AK39" s="444" t="s">
        <v>673</v>
      </c>
      <c r="AL39" s="444"/>
      <c r="AM39" s="444"/>
      <c r="AN39" s="444"/>
      <c r="AO39" s="444"/>
      <c r="AP39" s="444"/>
      <c r="AQ39" s="42"/>
      <c r="AR39" s="48"/>
      <c r="AS39" s="423" t="s">
        <v>526</v>
      </c>
      <c r="AT39" s="423"/>
      <c r="AU39" s="148">
        <v>38</v>
      </c>
      <c r="AV39" s="423" t="s">
        <v>528</v>
      </c>
      <c r="AW39" s="423"/>
      <c r="BC39" s="50"/>
      <c r="BD39" s="51"/>
    </row>
    <row r="40" spans="1:80" ht="18" customHeight="1">
      <c r="A40" s="464" t="s">
        <v>674</v>
      </c>
      <c r="B40" s="459"/>
      <c r="C40" s="459"/>
      <c r="D40" s="459"/>
      <c r="E40" s="470" t="s">
        <v>675</v>
      </c>
      <c r="F40" s="471"/>
      <c r="G40" s="471"/>
      <c r="H40" s="471"/>
      <c r="I40" s="471"/>
      <c r="J40" s="471"/>
      <c r="K40" s="472"/>
      <c r="L40" s="458" t="s">
        <v>676</v>
      </c>
      <c r="M40" s="459"/>
      <c r="N40" s="459"/>
      <c r="O40" s="459"/>
      <c r="P40" s="459"/>
      <c r="Q40" s="459"/>
      <c r="R40" s="460"/>
      <c r="S40" s="458" t="s">
        <v>677</v>
      </c>
      <c r="T40" s="459"/>
      <c r="U40" s="459"/>
      <c r="V40" s="459"/>
      <c r="W40" s="470" t="s">
        <v>675</v>
      </c>
      <c r="X40" s="471"/>
      <c r="Y40" s="471"/>
      <c r="Z40" s="471"/>
      <c r="AA40" s="471"/>
      <c r="AB40" s="471"/>
      <c r="AC40" s="472"/>
      <c r="AD40" s="458" t="s">
        <v>678</v>
      </c>
      <c r="AE40" s="459"/>
      <c r="AF40" s="459"/>
      <c r="AG40" s="459"/>
      <c r="AH40" s="459"/>
      <c r="AI40" s="463"/>
      <c r="AK40" s="444" t="s">
        <v>679</v>
      </c>
      <c r="AL40" s="444"/>
      <c r="AM40" s="444"/>
      <c r="AN40" s="444"/>
      <c r="AO40" s="444"/>
      <c r="AP40" s="444"/>
      <c r="AQ40" s="42"/>
      <c r="AR40" s="48"/>
      <c r="AS40" s="423" t="s">
        <v>527</v>
      </c>
      <c r="AT40" s="423"/>
      <c r="AU40" s="148">
        <v>35</v>
      </c>
      <c r="AV40" s="560">
        <v>0.69389999999999996</v>
      </c>
      <c r="AW40" s="560"/>
      <c r="BC40" s="50"/>
      <c r="BD40" s="51"/>
    </row>
    <row r="41" spans="1:80" ht="18" customHeight="1">
      <c r="A41" s="464" t="s">
        <v>16</v>
      </c>
      <c r="B41" s="459"/>
      <c r="C41" s="459"/>
      <c r="D41" s="459"/>
      <c r="E41" s="469">
        <f>AX10</f>
        <v>0.33333333333333331</v>
      </c>
      <c r="F41" s="456"/>
      <c r="G41" s="456"/>
      <c r="H41" s="144" t="s">
        <v>680</v>
      </c>
      <c r="I41" s="456">
        <f>AY10</f>
        <v>0.83333333333333337</v>
      </c>
      <c r="J41" s="456"/>
      <c r="K41" s="457"/>
      <c r="L41" s="458" t="str">
        <f>AU10</f>
        <v>三角龍彦</v>
      </c>
      <c r="M41" s="459"/>
      <c r="N41" s="459"/>
      <c r="O41" s="459"/>
      <c r="P41" s="459"/>
      <c r="Q41" s="459"/>
      <c r="R41" s="460"/>
      <c r="S41" s="409"/>
      <c r="T41" s="410"/>
      <c r="U41" s="410"/>
      <c r="V41" s="410"/>
      <c r="W41" s="414"/>
      <c r="X41" s="415"/>
      <c r="Y41" s="415"/>
      <c r="Z41" s="40"/>
      <c r="AA41" s="415"/>
      <c r="AB41" s="415"/>
      <c r="AC41" s="461"/>
      <c r="AD41" s="409">
        <f>AU14</f>
        <v>0</v>
      </c>
      <c r="AE41" s="410"/>
      <c r="AF41" s="410"/>
      <c r="AG41" s="410"/>
      <c r="AH41" s="410"/>
      <c r="AI41" s="462"/>
      <c r="AK41" s="444" t="s">
        <v>681</v>
      </c>
      <c r="AL41" s="444"/>
      <c r="AM41" s="444"/>
      <c r="AN41" s="444"/>
      <c r="AO41" s="444"/>
      <c r="AP41" s="444"/>
      <c r="AQ41" s="42"/>
      <c r="AR41" s="48"/>
      <c r="BC41" s="50"/>
      <c r="BD41" s="51"/>
    </row>
    <row r="42" spans="1:80" ht="18" customHeight="1">
      <c r="A42" s="464" t="s">
        <v>24</v>
      </c>
      <c r="B42" s="459"/>
      <c r="C42" s="459"/>
      <c r="D42" s="459"/>
      <c r="E42" s="469">
        <f>AX13</f>
        <v>0.33333333333333331</v>
      </c>
      <c r="F42" s="456"/>
      <c r="G42" s="456"/>
      <c r="H42" s="144" t="s">
        <v>680</v>
      </c>
      <c r="I42" s="456">
        <f>AY12</f>
        <v>0.83333333333333337</v>
      </c>
      <c r="J42" s="456"/>
      <c r="K42" s="457"/>
      <c r="L42" s="458" t="str">
        <f>AU13</f>
        <v>木村重明</v>
      </c>
      <c r="M42" s="459"/>
      <c r="N42" s="459"/>
      <c r="O42" s="459"/>
      <c r="P42" s="459"/>
      <c r="Q42" s="459"/>
      <c r="R42" s="460"/>
      <c r="S42" s="409"/>
      <c r="T42" s="410"/>
      <c r="U42" s="410"/>
      <c r="V42" s="410"/>
      <c r="W42" s="414"/>
      <c r="X42" s="415"/>
      <c r="Y42" s="415"/>
      <c r="Z42" s="136"/>
      <c r="AA42" s="415"/>
      <c r="AB42" s="415"/>
      <c r="AC42" s="461"/>
      <c r="AD42" s="409">
        <f>AU15</f>
        <v>0</v>
      </c>
      <c r="AE42" s="410"/>
      <c r="AF42" s="410"/>
      <c r="AG42" s="410"/>
      <c r="AH42" s="410"/>
      <c r="AI42" s="462"/>
      <c r="AK42" s="445" t="s">
        <v>682</v>
      </c>
      <c r="AL42" s="445"/>
      <c r="AM42" s="445"/>
      <c r="AN42" s="445"/>
      <c r="AO42" s="445"/>
      <c r="AP42" s="445"/>
      <c r="AQ42" s="42"/>
      <c r="AR42" s="48"/>
      <c r="AS42" s="561" t="s">
        <v>683</v>
      </c>
      <c r="AT42" s="561"/>
      <c r="AU42" s="561"/>
      <c r="AV42" s="561"/>
      <c r="AW42" s="561"/>
      <c r="BC42" s="50"/>
      <c r="BD42" s="51"/>
    </row>
    <row r="43" spans="1:80" ht="18" customHeight="1">
      <c r="A43" s="464" t="s">
        <v>38</v>
      </c>
      <c r="B43" s="459"/>
      <c r="C43" s="459"/>
      <c r="D43" s="459"/>
      <c r="E43" s="469">
        <f>AX16</f>
        <v>0.83333333333333337</v>
      </c>
      <c r="F43" s="456"/>
      <c r="G43" s="456"/>
      <c r="H43" s="144" t="s">
        <v>680</v>
      </c>
      <c r="I43" s="456" t="str">
        <f>AY16</f>
        <v>翌8:00</v>
      </c>
      <c r="J43" s="456"/>
      <c r="K43" s="457"/>
      <c r="L43" s="458" t="str">
        <f>AU16</f>
        <v>二野宮慧太</v>
      </c>
      <c r="M43" s="459"/>
      <c r="N43" s="459"/>
      <c r="O43" s="459"/>
      <c r="P43" s="459"/>
      <c r="Q43" s="459"/>
      <c r="R43" s="460"/>
      <c r="S43" s="409"/>
      <c r="T43" s="410"/>
      <c r="U43" s="410"/>
      <c r="V43" s="410"/>
      <c r="W43" s="414"/>
      <c r="X43" s="415"/>
      <c r="Y43" s="415"/>
      <c r="Z43" s="136"/>
      <c r="AA43" s="415"/>
      <c r="AB43" s="415"/>
      <c r="AC43" s="461"/>
      <c r="AD43" s="486">
        <f>AU18</f>
        <v>0</v>
      </c>
      <c r="AE43" s="410"/>
      <c r="AF43" s="410"/>
      <c r="AG43" s="410"/>
      <c r="AH43" s="410"/>
      <c r="AI43" s="462"/>
      <c r="AK43" s="444" t="s">
        <v>684</v>
      </c>
      <c r="AL43" s="444"/>
      <c r="AM43" s="444"/>
      <c r="AN43" s="444"/>
      <c r="AO43" s="444"/>
      <c r="AP43" s="444"/>
      <c r="AQ43" s="42"/>
      <c r="AR43" s="43"/>
      <c r="AW43"/>
      <c r="AX43"/>
      <c r="AY43"/>
      <c r="AZ43"/>
      <c r="BA43"/>
      <c r="BB43"/>
      <c r="BC43" s="50"/>
      <c r="BD43" s="51"/>
      <c r="BE43"/>
      <c r="BF43"/>
      <c r="BG43"/>
      <c r="BH43"/>
      <c r="BI43"/>
      <c r="BJ43"/>
      <c r="BK43"/>
      <c r="BL43"/>
      <c r="BM43"/>
      <c r="BN43"/>
      <c r="BO43"/>
      <c r="BP43"/>
      <c r="BQ43"/>
      <c r="BR43"/>
      <c r="BS43"/>
      <c r="BT43"/>
      <c r="BU43"/>
      <c r="BV43"/>
      <c r="BW43"/>
      <c r="BX43"/>
      <c r="BY43"/>
      <c r="BZ43"/>
      <c r="CA43"/>
      <c r="CB43"/>
    </row>
    <row r="44" spans="1:80" ht="18" customHeight="1" thickBot="1">
      <c r="A44" s="473" t="s">
        <v>45</v>
      </c>
      <c r="B44" s="474"/>
      <c r="C44" s="474"/>
      <c r="D44" s="474"/>
      <c r="E44" s="475">
        <f>AX17</f>
        <v>0.83333333333333337</v>
      </c>
      <c r="F44" s="476"/>
      <c r="G44" s="476"/>
      <c r="H44" s="145" t="s">
        <v>680</v>
      </c>
      <c r="I44" s="476" t="str">
        <f>AY17</f>
        <v>翌8:00</v>
      </c>
      <c r="J44" s="476"/>
      <c r="K44" s="477"/>
      <c r="L44" s="478" t="str">
        <f>AU17</f>
        <v>山本喜久</v>
      </c>
      <c r="M44" s="478"/>
      <c r="N44" s="478"/>
      <c r="O44" s="478"/>
      <c r="P44" s="478"/>
      <c r="Q44" s="478"/>
      <c r="R44" s="478"/>
      <c r="S44" s="479"/>
      <c r="T44" s="480"/>
      <c r="U44" s="480"/>
      <c r="V44" s="480"/>
      <c r="W44" s="481"/>
      <c r="X44" s="482"/>
      <c r="Y44" s="482"/>
      <c r="Z44" s="137"/>
      <c r="AA44" s="482"/>
      <c r="AB44" s="482"/>
      <c r="AC44" s="483"/>
      <c r="AD44" s="484">
        <f>AU19</f>
        <v>0</v>
      </c>
      <c r="AE44" s="480"/>
      <c r="AF44" s="480"/>
      <c r="AG44" s="480"/>
      <c r="AH44" s="480"/>
      <c r="AI44" s="485"/>
      <c r="AK44" s="446" t="s">
        <v>685</v>
      </c>
      <c r="AL44" s="446"/>
      <c r="AM44" s="446"/>
      <c r="AN44" s="446"/>
      <c r="AO44" s="446"/>
      <c r="AP44" s="446"/>
      <c r="AQ44" s="42"/>
      <c r="AR44" s="43"/>
      <c r="BC44" s="50"/>
      <c r="BD44" s="51"/>
    </row>
    <row r="45" spans="1:80" ht="18" customHeight="1" thickBot="1">
      <c r="A45" s="27"/>
      <c r="B45" s="27"/>
      <c r="C45" s="27"/>
      <c r="D45" s="27"/>
      <c r="E45" s="27"/>
      <c r="F45" s="27"/>
      <c r="G45" s="27"/>
      <c r="H45" s="27"/>
      <c r="I45" s="27"/>
      <c r="R45" s="307">
        <f>A7</f>
        <v>46179</v>
      </c>
      <c r="S45" s="308"/>
      <c r="T45" s="308"/>
      <c r="U45" s="308"/>
      <c r="V45" s="23" t="s">
        <v>169</v>
      </c>
      <c r="W45" s="309">
        <f>G7</f>
        <v>46179</v>
      </c>
      <c r="X45" s="308"/>
      <c r="Y45" s="23" t="s">
        <v>170</v>
      </c>
      <c r="Z45" s="310">
        <f>K7</f>
        <v>46179</v>
      </c>
      <c r="AA45" s="308"/>
      <c r="AB45" s="23" t="s">
        <v>3</v>
      </c>
      <c r="AC45" s="455">
        <f>O7</f>
        <v>46179</v>
      </c>
      <c r="AD45" s="308"/>
      <c r="AE45" s="308" t="s">
        <v>292</v>
      </c>
      <c r="AF45" s="308"/>
      <c r="AK45" s="425" t="s">
        <v>686</v>
      </c>
      <c r="AL45" s="425"/>
      <c r="AM45" s="425"/>
      <c r="AN45" s="425"/>
      <c r="AO45" s="425"/>
      <c r="AP45" s="425"/>
      <c r="AQ45" s="42"/>
      <c r="AR45" s="43"/>
      <c r="BC45" s="50"/>
      <c r="BD45" s="51"/>
    </row>
    <row r="46" spans="1:80" customFormat="1" ht="18" customHeight="1">
      <c r="A46" s="452" t="s">
        <v>598</v>
      </c>
      <c r="B46" s="453"/>
      <c r="C46" s="453"/>
      <c r="D46" s="453"/>
      <c r="E46" s="453"/>
      <c r="F46" s="453"/>
      <c r="G46" s="453"/>
      <c r="H46" s="453"/>
      <c r="I46" s="453"/>
      <c r="J46" s="453"/>
      <c r="K46" s="453"/>
      <c r="L46" s="453"/>
      <c r="M46" s="453"/>
      <c r="N46" s="453"/>
      <c r="O46" s="453"/>
      <c r="P46" s="453"/>
      <c r="Q46" s="453"/>
      <c r="R46" s="453"/>
      <c r="S46" s="453"/>
      <c r="T46" s="453"/>
      <c r="U46" s="453"/>
      <c r="V46" s="453"/>
      <c r="W46" s="453"/>
      <c r="X46" s="453"/>
      <c r="Y46" s="453"/>
      <c r="Z46" s="453"/>
      <c r="AA46" s="453"/>
      <c r="AB46" s="453"/>
      <c r="AC46" s="453"/>
      <c r="AD46" s="453"/>
      <c r="AE46" s="453"/>
      <c r="AF46" s="453"/>
      <c r="AG46" s="453"/>
      <c r="AH46" s="453"/>
      <c r="AI46" s="454"/>
      <c r="AK46" s="425" t="s">
        <v>687</v>
      </c>
      <c r="AL46" s="425"/>
      <c r="AM46" s="425"/>
      <c r="AN46" s="425"/>
      <c r="AO46" s="425"/>
      <c r="AP46" s="425"/>
      <c r="AQ46" s="42"/>
      <c r="AR46" s="43"/>
      <c r="AW46" s="23"/>
      <c r="AX46" s="23"/>
      <c r="AY46" s="23"/>
      <c r="AZ46" s="23"/>
      <c r="BA46" s="23"/>
      <c r="BB46" s="23"/>
      <c r="BC46" s="50"/>
      <c r="BD46" s="51"/>
      <c r="BE46" s="23"/>
      <c r="BF46" s="23"/>
      <c r="BG46" s="23"/>
      <c r="BH46" s="23"/>
      <c r="BI46" s="23"/>
      <c r="BJ46" s="23"/>
      <c r="BK46" s="23"/>
      <c r="BL46" s="23"/>
      <c r="BM46" s="23"/>
      <c r="BN46" s="23"/>
      <c r="BO46" s="23"/>
      <c r="BP46" s="23"/>
      <c r="BQ46" s="23"/>
      <c r="BR46" s="23"/>
      <c r="BS46" s="23"/>
      <c r="BT46" s="23"/>
      <c r="BU46" s="23"/>
      <c r="BV46" s="23"/>
      <c r="BW46" s="23"/>
      <c r="BX46" s="23"/>
      <c r="BY46" s="23"/>
      <c r="BZ46" s="23"/>
      <c r="CA46" s="23"/>
      <c r="CB46" s="23"/>
    </row>
    <row r="47" spans="1:80" ht="18" customHeight="1">
      <c r="A47" s="36"/>
      <c r="B47" s="404"/>
      <c r="C47" s="404"/>
      <c r="D47" s="404"/>
      <c r="E47" s="404"/>
      <c r="F47" s="288"/>
      <c r="G47" s="288"/>
      <c r="H47" s="288"/>
      <c r="I47" s="288"/>
      <c r="J47" s="288"/>
      <c r="K47" s="288"/>
      <c r="L47" s="288"/>
      <c r="M47" s="288"/>
      <c r="N47" s="288"/>
      <c r="O47" s="288"/>
      <c r="P47" s="288"/>
      <c r="Q47" s="288"/>
      <c r="R47" s="288"/>
      <c r="S47" s="288"/>
      <c r="T47" s="288"/>
      <c r="U47" s="288"/>
      <c r="V47" s="288"/>
      <c r="W47" s="288"/>
      <c r="X47" s="288"/>
      <c r="Y47" s="288"/>
      <c r="Z47" s="288"/>
      <c r="AA47" s="288"/>
      <c r="AB47" s="288"/>
      <c r="AC47" s="288"/>
      <c r="AD47" s="288"/>
      <c r="AE47" s="288"/>
      <c r="AF47" s="288"/>
      <c r="AG47" s="288"/>
      <c r="AH47" s="288"/>
      <c r="AI47" s="289"/>
      <c r="AK47" s="425" t="s">
        <v>688</v>
      </c>
      <c r="AL47" s="425"/>
      <c r="AM47" s="425"/>
      <c r="AN47" s="425"/>
      <c r="AO47" s="425"/>
      <c r="AP47" s="425"/>
      <c r="AQ47" s="42"/>
      <c r="AR47" s="43"/>
      <c r="AS47" s="120" t="s">
        <v>189</v>
      </c>
      <c r="AT47" s="43" t="s">
        <v>689</v>
      </c>
      <c r="AU47" s="43"/>
      <c r="BC47" s="50"/>
      <c r="BD47" s="51"/>
    </row>
    <row r="48" spans="1:80" ht="18" customHeight="1">
      <c r="A48" s="36"/>
      <c r="B48" s="404"/>
      <c r="C48" s="404"/>
      <c r="D48" s="404"/>
      <c r="E48" s="404"/>
      <c r="F48" s="288"/>
      <c r="G48" s="288"/>
      <c r="H48" s="288"/>
      <c r="I48" s="288"/>
      <c r="J48" s="288"/>
      <c r="K48" s="288"/>
      <c r="L48" s="288"/>
      <c r="M48" s="288"/>
      <c r="N48" s="288"/>
      <c r="O48" s="288"/>
      <c r="P48" s="288"/>
      <c r="Q48" s="288"/>
      <c r="R48" s="288"/>
      <c r="S48" s="288"/>
      <c r="T48" s="288"/>
      <c r="U48" s="288"/>
      <c r="V48" s="288"/>
      <c r="W48" s="288"/>
      <c r="X48" s="288"/>
      <c r="Y48" s="288"/>
      <c r="Z48" s="288"/>
      <c r="AA48" s="288"/>
      <c r="AB48" s="288"/>
      <c r="AC48" s="288"/>
      <c r="AD48" s="288"/>
      <c r="AE48" s="288"/>
      <c r="AF48" s="288"/>
      <c r="AG48" s="288"/>
      <c r="AH48" s="288"/>
      <c r="AI48" s="289"/>
      <c r="AK48" s="425" t="s">
        <v>690</v>
      </c>
      <c r="AL48" s="425"/>
      <c r="AM48" s="425"/>
      <c r="AN48" s="425"/>
      <c r="AO48" s="425"/>
      <c r="AP48" s="425"/>
      <c r="AQ48" s="42"/>
      <c r="AR48" s="43"/>
      <c r="AS48" s="43"/>
      <c r="AT48" s="43"/>
      <c r="AU48" s="43"/>
      <c r="BC48" s="50"/>
      <c r="BD48" s="51"/>
    </row>
    <row r="49" spans="1:61" ht="18" customHeight="1">
      <c r="A49" s="36"/>
      <c r="B49" s="404"/>
      <c r="C49" s="404"/>
      <c r="D49" s="404"/>
      <c r="E49" s="404"/>
      <c r="F49" s="288"/>
      <c r="G49" s="288"/>
      <c r="H49" s="288"/>
      <c r="I49" s="288"/>
      <c r="J49" s="288"/>
      <c r="K49" s="288"/>
      <c r="L49" s="288"/>
      <c r="M49" s="288"/>
      <c r="N49" s="288"/>
      <c r="O49" s="288"/>
      <c r="P49" s="288"/>
      <c r="Q49" s="288"/>
      <c r="R49" s="288"/>
      <c r="S49" s="288"/>
      <c r="T49" s="288"/>
      <c r="U49" s="288"/>
      <c r="V49" s="288"/>
      <c r="W49" s="288"/>
      <c r="X49" s="288"/>
      <c r="Y49" s="288"/>
      <c r="Z49" s="288"/>
      <c r="AA49" s="288"/>
      <c r="AB49" s="288"/>
      <c r="AC49" s="288"/>
      <c r="AD49" s="288"/>
      <c r="AE49" s="288"/>
      <c r="AF49" s="288"/>
      <c r="AG49" s="288"/>
      <c r="AH49" s="288"/>
      <c r="AI49" s="289"/>
      <c r="AK49" s="425" t="s">
        <v>691</v>
      </c>
      <c r="AL49" s="425"/>
      <c r="AM49" s="425"/>
      <c r="AN49" s="425"/>
      <c r="AO49" s="425"/>
      <c r="AP49" s="425"/>
      <c r="AQ49" s="42"/>
      <c r="AR49" s="43"/>
      <c r="AS49" s="43"/>
      <c r="AT49" s="43"/>
      <c r="AU49" s="43"/>
      <c r="BC49" s="50"/>
      <c r="BD49" s="51"/>
    </row>
    <row r="50" spans="1:61" ht="18" customHeight="1">
      <c r="A50" s="36"/>
      <c r="B50" s="404"/>
      <c r="C50" s="404"/>
      <c r="D50" s="404"/>
      <c r="E50" s="404"/>
      <c r="F50" s="288"/>
      <c r="G50" s="288"/>
      <c r="H50" s="288"/>
      <c r="I50" s="288"/>
      <c r="J50" s="288"/>
      <c r="K50" s="288"/>
      <c r="L50" s="288"/>
      <c r="M50" s="288"/>
      <c r="N50" s="288"/>
      <c r="O50" s="288"/>
      <c r="P50" s="288"/>
      <c r="Q50" s="288"/>
      <c r="R50" s="288"/>
      <c r="S50" s="288"/>
      <c r="T50" s="288"/>
      <c r="U50" s="288"/>
      <c r="V50" s="288"/>
      <c r="W50" s="288"/>
      <c r="X50" s="288"/>
      <c r="Y50" s="288"/>
      <c r="Z50" s="288"/>
      <c r="AA50" s="288"/>
      <c r="AB50" s="288"/>
      <c r="AC50" s="288"/>
      <c r="AD50" s="288"/>
      <c r="AE50" s="288"/>
      <c r="AF50" s="288"/>
      <c r="AG50" s="288"/>
      <c r="AH50" s="288"/>
      <c r="AI50" s="289"/>
      <c r="AK50" s="425" t="s">
        <v>692</v>
      </c>
      <c r="AL50" s="425"/>
      <c r="AM50" s="425"/>
      <c r="AN50" s="425"/>
      <c r="AO50" s="425"/>
      <c r="AP50" s="425"/>
      <c r="AQ50" s="42"/>
      <c r="AR50" s="43"/>
      <c r="AS50" s="43"/>
      <c r="AT50" s="43"/>
      <c r="AU50" s="43"/>
      <c r="BC50" s="50"/>
      <c r="BD50" s="51"/>
    </row>
    <row r="51" spans="1:61" ht="18" customHeight="1">
      <c r="A51" s="36"/>
      <c r="B51" s="404"/>
      <c r="C51" s="404"/>
      <c r="D51" s="404"/>
      <c r="E51" s="404"/>
      <c r="F51" s="288"/>
      <c r="G51" s="288"/>
      <c r="H51" s="288"/>
      <c r="I51" s="288"/>
      <c r="J51" s="288"/>
      <c r="K51" s="288"/>
      <c r="L51" s="288"/>
      <c r="M51" s="288"/>
      <c r="N51" s="288"/>
      <c r="O51" s="288"/>
      <c r="P51" s="288"/>
      <c r="Q51" s="288"/>
      <c r="R51" s="288"/>
      <c r="S51" s="288"/>
      <c r="T51" s="288"/>
      <c r="U51" s="288"/>
      <c r="V51" s="288"/>
      <c r="W51" s="288"/>
      <c r="X51" s="288"/>
      <c r="Y51" s="288"/>
      <c r="Z51" s="288"/>
      <c r="AA51" s="288"/>
      <c r="AB51" s="288"/>
      <c r="AC51" s="288"/>
      <c r="AD51" s="288"/>
      <c r="AE51" s="288"/>
      <c r="AF51" s="288"/>
      <c r="AG51" s="288"/>
      <c r="AH51" s="288"/>
      <c r="AI51" s="289"/>
      <c r="AK51" s="425" t="s">
        <v>693</v>
      </c>
      <c r="AL51" s="425"/>
      <c r="AM51" s="425"/>
      <c r="AN51" s="425"/>
      <c r="AO51" s="425"/>
      <c r="AP51" s="425"/>
      <c r="AQ51" s="42"/>
      <c r="AR51" s="43"/>
      <c r="AS51" s="43"/>
      <c r="AT51" s="43"/>
      <c r="AU51" s="43"/>
      <c r="BC51" s="50"/>
      <c r="BD51" s="51"/>
    </row>
    <row r="52" spans="1:61" ht="18" customHeight="1">
      <c r="A52" s="36"/>
      <c r="B52" s="404"/>
      <c r="C52" s="404"/>
      <c r="D52" s="404"/>
      <c r="E52" s="404"/>
      <c r="F52" s="288"/>
      <c r="G52" s="288"/>
      <c r="H52" s="288"/>
      <c r="I52" s="288"/>
      <c r="J52" s="288"/>
      <c r="K52" s="288"/>
      <c r="L52" s="288"/>
      <c r="M52" s="288"/>
      <c r="N52" s="288"/>
      <c r="O52" s="288"/>
      <c r="P52" s="288"/>
      <c r="Q52" s="288"/>
      <c r="R52" s="288"/>
      <c r="S52" s="288"/>
      <c r="T52" s="288"/>
      <c r="U52" s="288"/>
      <c r="V52" s="288"/>
      <c r="W52" s="288"/>
      <c r="X52" s="288"/>
      <c r="Y52" s="288"/>
      <c r="Z52" s="288"/>
      <c r="AA52" s="288"/>
      <c r="AB52" s="288"/>
      <c r="AC52" s="288"/>
      <c r="AD52" s="288"/>
      <c r="AE52" s="288"/>
      <c r="AF52" s="288"/>
      <c r="AG52" s="288"/>
      <c r="AH52" s="288"/>
      <c r="AI52" s="289"/>
      <c r="AK52" s="425" t="s">
        <v>694</v>
      </c>
      <c r="AL52" s="425"/>
      <c r="AM52" s="425"/>
      <c r="AN52" s="425"/>
      <c r="AO52" s="425"/>
      <c r="AP52" s="425"/>
      <c r="AQ52" s="42"/>
      <c r="AR52" s="43"/>
      <c r="AS52" s="43"/>
      <c r="AV52" s="43"/>
      <c r="AW52" s="43"/>
      <c r="AX52" s="43"/>
      <c r="AY52" s="43"/>
      <c r="AZ52" s="43"/>
      <c r="BA52" s="43"/>
      <c r="BH52" s="52"/>
      <c r="BI52" s="51"/>
    </row>
    <row r="53" spans="1:61" ht="18" customHeight="1">
      <c r="A53" s="36"/>
      <c r="B53" s="404"/>
      <c r="C53" s="404"/>
      <c r="D53" s="404"/>
      <c r="E53" s="404"/>
      <c r="F53" s="288"/>
      <c r="G53" s="288"/>
      <c r="H53" s="288"/>
      <c r="I53" s="288"/>
      <c r="J53" s="288"/>
      <c r="K53" s="288"/>
      <c r="L53" s="288"/>
      <c r="M53" s="288"/>
      <c r="N53" s="288"/>
      <c r="O53" s="288"/>
      <c r="P53" s="288"/>
      <c r="Q53" s="288"/>
      <c r="R53" s="288"/>
      <c r="S53" s="288"/>
      <c r="T53" s="288"/>
      <c r="U53" s="288"/>
      <c r="V53" s="288"/>
      <c r="W53" s="288"/>
      <c r="X53" s="288"/>
      <c r="Y53" s="288"/>
      <c r="Z53" s="288"/>
      <c r="AA53" s="288"/>
      <c r="AB53" s="288"/>
      <c r="AC53" s="288"/>
      <c r="AD53" s="288"/>
      <c r="AE53" s="288"/>
      <c r="AF53" s="288"/>
      <c r="AG53" s="288"/>
      <c r="AH53" s="288"/>
      <c r="AI53" s="289"/>
      <c r="AK53" s="425" t="s">
        <v>695</v>
      </c>
      <c r="AL53" s="425"/>
      <c r="AM53" s="425"/>
      <c r="AN53" s="425"/>
      <c r="AO53" s="425"/>
      <c r="AP53" s="425"/>
      <c r="AQ53" s="42"/>
      <c r="AR53" s="43"/>
      <c r="AS53" s="43"/>
      <c r="AT53" s="43"/>
      <c r="AU53" s="43"/>
      <c r="AV53" s="43"/>
      <c r="AW53" s="43"/>
      <c r="AX53" s="43"/>
      <c r="AY53" s="43"/>
      <c r="AZ53" s="43"/>
      <c r="BH53" s="50"/>
      <c r="BI53" s="51"/>
    </row>
    <row r="54" spans="1:61" ht="18" customHeight="1">
      <c r="A54" s="36"/>
      <c r="B54" s="404"/>
      <c r="C54" s="404"/>
      <c r="D54" s="404"/>
      <c r="E54" s="404"/>
      <c r="F54" s="288"/>
      <c r="G54" s="288"/>
      <c r="H54" s="288"/>
      <c r="I54" s="288"/>
      <c r="J54" s="288"/>
      <c r="K54" s="288"/>
      <c r="L54" s="288"/>
      <c r="M54" s="288"/>
      <c r="N54" s="288"/>
      <c r="O54" s="288"/>
      <c r="P54" s="288"/>
      <c r="Q54" s="288"/>
      <c r="R54" s="288"/>
      <c r="S54" s="288"/>
      <c r="T54" s="288"/>
      <c r="U54" s="288"/>
      <c r="V54" s="288"/>
      <c r="W54" s="288"/>
      <c r="X54" s="288"/>
      <c r="Y54" s="288"/>
      <c r="Z54" s="288"/>
      <c r="AA54" s="288"/>
      <c r="AB54" s="288"/>
      <c r="AC54" s="288"/>
      <c r="AD54" s="288"/>
      <c r="AE54" s="288"/>
      <c r="AF54" s="288"/>
      <c r="AG54" s="288"/>
      <c r="AH54" s="288"/>
      <c r="AI54" s="289"/>
      <c r="AK54" s="425" t="s">
        <v>696</v>
      </c>
      <c r="AL54" s="425"/>
      <c r="AM54" s="425"/>
      <c r="AN54" s="425"/>
      <c r="AO54" s="425"/>
      <c r="AP54" s="425"/>
      <c r="AQ54" s="42"/>
      <c r="AR54" s="43"/>
      <c r="AS54" s="43"/>
      <c r="AT54" s="43"/>
      <c r="AU54" s="43"/>
      <c r="AV54" s="43"/>
      <c r="AW54" s="43"/>
      <c r="AX54" s="43"/>
      <c r="AY54" s="43"/>
      <c r="AZ54" s="43"/>
      <c r="BH54" s="50"/>
      <c r="BI54" s="51"/>
    </row>
    <row r="55" spans="1:61" ht="18" customHeight="1">
      <c r="A55" s="36"/>
      <c r="B55" s="404"/>
      <c r="C55" s="404"/>
      <c r="D55" s="404"/>
      <c r="E55" s="404"/>
      <c r="F55" s="288"/>
      <c r="G55" s="288"/>
      <c r="H55" s="288"/>
      <c r="I55" s="288"/>
      <c r="J55" s="288"/>
      <c r="K55" s="288"/>
      <c r="L55" s="288"/>
      <c r="M55" s="288"/>
      <c r="N55" s="288"/>
      <c r="O55" s="288"/>
      <c r="P55" s="288"/>
      <c r="Q55" s="288"/>
      <c r="R55" s="288"/>
      <c r="S55" s="288"/>
      <c r="T55" s="288"/>
      <c r="U55" s="288"/>
      <c r="V55" s="288"/>
      <c r="W55" s="288"/>
      <c r="X55" s="288"/>
      <c r="Y55" s="288"/>
      <c r="Z55" s="288"/>
      <c r="AA55" s="288"/>
      <c r="AB55" s="288"/>
      <c r="AC55" s="288"/>
      <c r="AD55" s="288"/>
      <c r="AE55" s="288"/>
      <c r="AF55" s="288"/>
      <c r="AG55" s="288"/>
      <c r="AH55" s="288"/>
      <c r="AI55" s="289"/>
      <c r="AK55" s="425" t="s">
        <v>697</v>
      </c>
      <c r="AL55" s="425"/>
      <c r="AM55" s="425"/>
      <c r="AN55" s="425"/>
      <c r="AO55" s="425"/>
      <c r="AP55" s="425"/>
      <c r="AQ55" s="42"/>
      <c r="AR55" s="43"/>
      <c r="AS55" s="43"/>
      <c r="AT55" s="43"/>
      <c r="AU55" s="43"/>
      <c r="AV55" s="43"/>
      <c r="AW55" s="43"/>
      <c r="AX55" s="43"/>
      <c r="AY55" s="43"/>
      <c r="AZ55" s="43"/>
      <c r="BH55" s="50"/>
      <c r="BI55" s="51"/>
    </row>
    <row r="56" spans="1:61" ht="18" customHeight="1">
      <c r="A56" s="36"/>
      <c r="B56" s="404"/>
      <c r="C56" s="404"/>
      <c r="D56" s="404"/>
      <c r="E56" s="404"/>
      <c r="F56" s="288"/>
      <c r="G56" s="288"/>
      <c r="H56" s="288"/>
      <c r="I56" s="288"/>
      <c r="J56" s="288"/>
      <c r="K56" s="288"/>
      <c r="L56" s="288"/>
      <c r="M56" s="288"/>
      <c r="N56" s="288"/>
      <c r="O56" s="288"/>
      <c r="P56" s="288"/>
      <c r="Q56" s="288"/>
      <c r="R56" s="288"/>
      <c r="S56" s="288"/>
      <c r="T56" s="288"/>
      <c r="U56" s="288"/>
      <c r="V56" s="288"/>
      <c r="W56" s="288"/>
      <c r="X56" s="288"/>
      <c r="Y56" s="288"/>
      <c r="Z56" s="288"/>
      <c r="AA56" s="288"/>
      <c r="AB56" s="288"/>
      <c r="AC56" s="288"/>
      <c r="AD56" s="288"/>
      <c r="AE56" s="288"/>
      <c r="AF56" s="288"/>
      <c r="AG56" s="288"/>
      <c r="AH56" s="288"/>
      <c r="AI56" s="289"/>
      <c r="AK56" s="425" t="s">
        <v>698</v>
      </c>
      <c r="AL56" s="425"/>
      <c r="AM56" s="425"/>
      <c r="AN56" s="425"/>
      <c r="AO56" s="425"/>
      <c r="AP56" s="425"/>
      <c r="AQ56" s="42"/>
      <c r="AR56" s="43"/>
      <c r="AS56" s="43"/>
      <c r="AT56" s="43"/>
      <c r="AU56" s="43"/>
      <c r="AV56" s="43"/>
      <c r="AW56" s="43"/>
      <c r="AX56" s="43"/>
      <c r="AY56" s="43"/>
      <c r="AZ56" s="43"/>
      <c r="BH56" s="52"/>
      <c r="BI56" s="51"/>
    </row>
    <row r="57" spans="1:61" ht="18" customHeight="1">
      <c r="A57" s="36"/>
      <c r="B57" s="404"/>
      <c r="C57" s="404"/>
      <c r="D57" s="404"/>
      <c r="E57" s="404"/>
      <c r="F57" s="288"/>
      <c r="G57" s="288"/>
      <c r="H57" s="288"/>
      <c r="I57" s="288"/>
      <c r="J57" s="288"/>
      <c r="K57" s="288"/>
      <c r="L57" s="288"/>
      <c r="M57" s="288"/>
      <c r="N57" s="288"/>
      <c r="O57" s="288"/>
      <c r="P57" s="288"/>
      <c r="Q57" s="288"/>
      <c r="R57" s="288"/>
      <c r="S57" s="288"/>
      <c r="T57" s="288"/>
      <c r="U57" s="288"/>
      <c r="V57" s="288"/>
      <c r="W57" s="288"/>
      <c r="X57" s="288"/>
      <c r="Y57" s="288"/>
      <c r="Z57" s="288"/>
      <c r="AA57" s="288"/>
      <c r="AB57" s="288"/>
      <c r="AC57" s="288"/>
      <c r="AD57" s="288"/>
      <c r="AE57" s="288"/>
      <c r="AF57" s="288"/>
      <c r="AG57" s="288"/>
      <c r="AH57" s="288"/>
      <c r="AI57" s="289"/>
      <c r="AK57" s="425" t="s">
        <v>699</v>
      </c>
      <c r="AL57" s="425"/>
      <c r="AM57" s="425"/>
      <c r="AN57" s="425"/>
      <c r="AO57" s="425"/>
      <c r="AP57" s="425"/>
      <c r="AQ57" s="42"/>
      <c r="AR57" s="43"/>
      <c r="AS57" s="43"/>
      <c r="AT57" s="43"/>
      <c r="AU57" s="43"/>
      <c r="AV57" s="43"/>
      <c r="AW57" s="43"/>
      <c r="AX57" s="43"/>
      <c r="AY57" s="43"/>
      <c r="AZ57" s="43"/>
      <c r="BH57" s="50"/>
      <c r="BI57" s="51"/>
    </row>
    <row r="58" spans="1:61" ht="18" customHeight="1">
      <c r="A58" s="36"/>
      <c r="B58" s="404"/>
      <c r="C58" s="404"/>
      <c r="D58" s="404"/>
      <c r="E58" s="404"/>
      <c r="F58" s="288"/>
      <c r="G58" s="288"/>
      <c r="H58" s="288"/>
      <c r="I58" s="288"/>
      <c r="J58" s="288"/>
      <c r="K58" s="288"/>
      <c r="L58" s="288"/>
      <c r="M58" s="288"/>
      <c r="N58" s="288"/>
      <c r="O58" s="288"/>
      <c r="P58" s="288"/>
      <c r="Q58" s="288"/>
      <c r="R58" s="288"/>
      <c r="S58" s="288"/>
      <c r="T58" s="288"/>
      <c r="U58" s="288"/>
      <c r="V58" s="288"/>
      <c r="W58" s="288"/>
      <c r="X58" s="288"/>
      <c r="Y58" s="288"/>
      <c r="Z58" s="288"/>
      <c r="AA58" s="288"/>
      <c r="AB58" s="288"/>
      <c r="AC58" s="288"/>
      <c r="AD58" s="288"/>
      <c r="AE58" s="288"/>
      <c r="AF58" s="288"/>
      <c r="AG58" s="288"/>
      <c r="AH58" s="288"/>
      <c r="AI58" s="289"/>
      <c r="AK58" s="425" t="s">
        <v>700</v>
      </c>
      <c r="AL58" s="425"/>
      <c r="AM58" s="425"/>
      <c r="AN58" s="425"/>
      <c r="AO58" s="425"/>
      <c r="AP58" s="425"/>
      <c r="AQ58" s="42"/>
      <c r="AR58" s="43"/>
      <c r="AS58" s="43"/>
      <c r="AT58" s="43"/>
      <c r="AU58" s="43"/>
      <c r="AV58" s="43"/>
      <c r="AW58" s="43"/>
      <c r="AX58" s="43"/>
      <c r="AY58" s="43"/>
      <c r="AZ58" s="43"/>
      <c r="BH58" s="50"/>
      <c r="BI58" s="51"/>
    </row>
    <row r="59" spans="1:61" ht="18" customHeight="1">
      <c r="A59" s="36"/>
      <c r="B59" s="404"/>
      <c r="C59" s="404"/>
      <c r="D59" s="404"/>
      <c r="E59" s="404"/>
      <c r="F59" s="288"/>
      <c r="G59" s="288"/>
      <c r="H59" s="288"/>
      <c r="I59" s="288"/>
      <c r="J59" s="288"/>
      <c r="K59" s="288"/>
      <c r="L59" s="288"/>
      <c r="M59" s="288"/>
      <c r="N59" s="288"/>
      <c r="O59" s="288"/>
      <c r="P59" s="288"/>
      <c r="Q59" s="288"/>
      <c r="R59" s="288"/>
      <c r="S59" s="288"/>
      <c r="T59" s="288"/>
      <c r="U59" s="288"/>
      <c r="V59" s="288"/>
      <c r="W59" s="288"/>
      <c r="X59" s="288"/>
      <c r="Y59" s="288"/>
      <c r="Z59" s="288"/>
      <c r="AA59" s="288"/>
      <c r="AB59" s="288"/>
      <c r="AC59" s="288"/>
      <c r="AD59" s="288"/>
      <c r="AE59" s="288"/>
      <c r="AF59" s="288"/>
      <c r="AG59" s="288"/>
      <c r="AH59" s="288"/>
      <c r="AI59" s="289"/>
      <c r="AK59" s="425" t="s">
        <v>701</v>
      </c>
      <c r="AL59" s="425"/>
      <c r="AM59" s="425"/>
      <c r="AN59" s="425"/>
      <c r="AO59" s="425"/>
      <c r="AP59" s="425"/>
      <c r="AQ59" s="42"/>
      <c r="AR59" s="43"/>
      <c r="AS59" s="43"/>
      <c r="AT59" s="43"/>
      <c r="AU59" s="43"/>
      <c r="AV59" s="43"/>
      <c r="AW59" s="43"/>
      <c r="AX59" s="43"/>
      <c r="AY59" s="43"/>
      <c r="AZ59" s="43"/>
      <c r="BH59" s="50"/>
      <c r="BI59" s="51"/>
    </row>
    <row r="60" spans="1:61" ht="18" customHeight="1">
      <c r="A60" s="36"/>
      <c r="B60" s="404"/>
      <c r="C60" s="404"/>
      <c r="D60" s="404"/>
      <c r="E60" s="404"/>
      <c r="F60" s="288"/>
      <c r="G60" s="288"/>
      <c r="H60" s="288"/>
      <c r="I60" s="288"/>
      <c r="J60" s="288"/>
      <c r="K60" s="288"/>
      <c r="L60" s="288"/>
      <c r="M60" s="288"/>
      <c r="N60" s="288"/>
      <c r="O60" s="288"/>
      <c r="P60" s="288"/>
      <c r="Q60" s="288"/>
      <c r="R60" s="288"/>
      <c r="S60" s="288"/>
      <c r="T60" s="288"/>
      <c r="U60" s="288"/>
      <c r="V60" s="288"/>
      <c r="W60" s="288"/>
      <c r="X60" s="288"/>
      <c r="Y60" s="288"/>
      <c r="Z60" s="288"/>
      <c r="AA60" s="288"/>
      <c r="AB60" s="288"/>
      <c r="AC60" s="288"/>
      <c r="AD60" s="288"/>
      <c r="AE60" s="288"/>
      <c r="AF60" s="288"/>
      <c r="AG60" s="288"/>
      <c r="AH60" s="288"/>
      <c r="AI60" s="289"/>
      <c r="AK60" s="425" t="s">
        <v>702</v>
      </c>
      <c r="AL60" s="425"/>
      <c r="AM60" s="425"/>
      <c r="AN60" s="425"/>
      <c r="AO60" s="425"/>
      <c r="AP60" s="425"/>
      <c r="AQ60" s="42"/>
      <c r="AR60" s="43"/>
      <c r="AS60" s="43"/>
      <c r="AT60" s="43"/>
      <c r="AU60" s="43"/>
      <c r="AV60" s="43"/>
      <c r="AW60" s="43"/>
      <c r="AX60" s="43"/>
      <c r="AY60" s="43"/>
      <c r="AZ60" s="43"/>
      <c r="BH60" s="52"/>
      <c r="BI60" s="51"/>
    </row>
    <row r="61" spans="1:61" ht="18" customHeight="1">
      <c r="A61" s="36"/>
      <c r="B61" s="404"/>
      <c r="C61" s="404"/>
      <c r="D61" s="404"/>
      <c r="E61" s="404"/>
      <c r="F61" s="288"/>
      <c r="G61" s="288"/>
      <c r="H61" s="288"/>
      <c r="I61" s="288"/>
      <c r="J61" s="288"/>
      <c r="K61" s="288"/>
      <c r="L61" s="288"/>
      <c r="M61" s="288"/>
      <c r="N61" s="288"/>
      <c r="O61" s="288"/>
      <c r="P61" s="288"/>
      <c r="Q61" s="288"/>
      <c r="R61" s="288"/>
      <c r="S61" s="288"/>
      <c r="T61" s="288"/>
      <c r="U61" s="288"/>
      <c r="V61" s="288"/>
      <c r="W61" s="288"/>
      <c r="X61" s="288"/>
      <c r="Y61" s="288"/>
      <c r="Z61" s="288"/>
      <c r="AA61" s="288"/>
      <c r="AB61" s="288"/>
      <c r="AC61" s="288"/>
      <c r="AD61" s="288"/>
      <c r="AE61" s="288"/>
      <c r="AF61" s="288"/>
      <c r="AG61" s="288"/>
      <c r="AH61" s="288"/>
      <c r="AI61" s="289"/>
      <c r="AK61" s="425" t="s">
        <v>703</v>
      </c>
      <c r="AL61" s="425"/>
      <c r="AM61" s="425"/>
      <c r="AN61" s="425"/>
      <c r="AO61" s="425"/>
      <c r="AP61" s="425"/>
      <c r="AQ61" s="42"/>
      <c r="AR61" s="43"/>
      <c r="AS61" s="43"/>
      <c r="AT61" s="43"/>
      <c r="AU61" s="43"/>
      <c r="AV61" s="43"/>
      <c r="AW61" s="43"/>
      <c r="AX61" s="43"/>
      <c r="AY61" s="43"/>
      <c r="AZ61" s="43"/>
      <c r="BH61" s="50"/>
      <c r="BI61" s="51"/>
    </row>
    <row r="62" spans="1:61" ht="18" customHeight="1">
      <c r="A62" s="36"/>
      <c r="B62" s="404"/>
      <c r="C62" s="404"/>
      <c r="D62" s="404"/>
      <c r="E62" s="404"/>
      <c r="F62" s="288"/>
      <c r="G62" s="288"/>
      <c r="H62" s="288"/>
      <c r="I62" s="288"/>
      <c r="J62" s="288"/>
      <c r="K62" s="288"/>
      <c r="L62" s="288"/>
      <c r="M62" s="288"/>
      <c r="N62" s="288"/>
      <c r="O62" s="288"/>
      <c r="P62" s="288"/>
      <c r="Q62" s="288"/>
      <c r="R62" s="288"/>
      <c r="S62" s="288"/>
      <c r="T62" s="288"/>
      <c r="U62" s="288"/>
      <c r="V62" s="288"/>
      <c r="W62" s="288"/>
      <c r="X62" s="288"/>
      <c r="Y62" s="288"/>
      <c r="Z62" s="288"/>
      <c r="AA62" s="288"/>
      <c r="AB62" s="288"/>
      <c r="AC62" s="288"/>
      <c r="AD62" s="288"/>
      <c r="AE62" s="288"/>
      <c r="AF62" s="288"/>
      <c r="AG62" s="288"/>
      <c r="AH62" s="288"/>
      <c r="AI62" s="289"/>
      <c r="AK62" s="425"/>
      <c r="AL62" s="425"/>
      <c r="AM62" s="425"/>
      <c r="AN62" s="425"/>
      <c r="AO62" s="425"/>
      <c r="AP62" s="425"/>
      <c r="AQ62" s="42"/>
      <c r="AR62" s="43"/>
      <c r="AS62" s="43"/>
      <c r="AT62" s="43"/>
      <c r="AU62" s="43"/>
      <c r="AV62" s="43"/>
      <c r="AW62" s="43"/>
      <c r="AX62" s="43"/>
      <c r="AY62" s="43"/>
      <c r="AZ62" s="43"/>
      <c r="BH62" s="50"/>
      <c r="BI62" s="51"/>
    </row>
    <row r="63" spans="1:61" ht="18" customHeight="1">
      <c r="A63" s="36"/>
      <c r="B63" s="404"/>
      <c r="C63" s="404"/>
      <c r="D63" s="404"/>
      <c r="E63" s="404"/>
      <c r="F63" s="288"/>
      <c r="G63" s="288"/>
      <c r="H63" s="288"/>
      <c r="I63" s="288"/>
      <c r="J63" s="288"/>
      <c r="K63" s="288"/>
      <c r="L63" s="288"/>
      <c r="M63" s="288"/>
      <c r="N63" s="288"/>
      <c r="O63" s="288"/>
      <c r="P63" s="288"/>
      <c r="Q63" s="288"/>
      <c r="R63" s="288"/>
      <c r="S63" s="288"/>
      <c r="T63" s="288"/>
      <c r="U63" s="288"/>
      <c r="V63" s="288"/>
      <c r="W63" s="288"/>
      <c r="X63" s="288"/>
      <c r="Y63" s="288"/>
      <c r="Z63" s="288"/>
      <c r="AA63" s="288"/>
      <c r="AB63" s="288"/>
      <c r="AC63" s="288"/>
      <c r="AD63" s="288"/>
      <c r="AE63" s="288"/>
      <c r="AF63" s="288"/>
      <c r="AG63" s="288"/>
      <c r="AH63" s="288"/>
      <c r="AI63" s="289"/>
      <c r="AK63" s="425"/>
      <c r="AL63" s="425"/>
      <c r="AM63" s="425"/>
      <c r="AN63" s="425"/>
      <c r="AO63" s="425"/>
      <c r="AP63" s="425"/>
      <c r="AQ63" s="42"/>
      <c r="AR63" s="43"/>
      <c r="AS63" s="43"/>
      <c r="AT63" s="43"/>
      <c r="AU63" s="43"/>
      <c r="AV63" s="43"/>
      <c r="AW63" s="43"/>
      <c r="AX63" s="43"/>
      <c r="AY63" s="43"/>
      <c r="AZ63" s="43"/>
      <c r="BH63" s="52"/>
      <c r="BI63" s="51"/>
    </row>
    <row r="64" spans="1:61" ht="18" customHeight="1">
      <c r="A64" s="36"/>
      <c r="B64" s="404"/>
      <c r="C64" s="404"/>
      <c r="D64" s="404"/>
      <c r="E64" s="404"/>
      <c r="F64" s="288"/>
      <c r="G64" s="288"/>
      <c r="H64" s="288"/>
      <c r="I64" s="288"/>
      <c r="J64" s="288"/>
      <c r="K64" s="288"/>
      <c r="L64" s="288"/>
      <c r="M64" s="288"/>
      <c r="N64" s="288"/>
      <c r="O64" s="288"/>
      <c r="P64" s="288"/>
      <c r="Q64" s="288"/>
      <c r="R64" s="288"/>
      <c r="S64" s="288"/>
      <c r="T64" s="288"/>
      <c r="U64" s="288"/>
      <c r="V64" s="288"/>
      <c r="W64" s="288"/>
      <c r="X64" s="288"/>
      <c r="Y64" s="288"/>
      <c r="Z64" s="288"/>
      <c r="AA64" s="288"/>
      <c r="AB64" s="288"/>
      <c r="AC64" s="288"/>
      <c r="AD64" s="288"/>
      <c r="AE64" s="288"/>
      <c r="AF64" s="288"/>
      <c r="AG64" s="288"/>
      <c r="AH64" s="288"/>
      <c r="AI64" s="289"/>
      <c r="AK64" s="425"/>
      <c r="AL64" s="425"/>
      <c r="AM64" s="425"/>
      <c r="AN64" s="425"/>
      <c r="AO64" s="425"/>
      <c r="AP64" s="425"/>
      <c r="AQ64" s="42"/>
      <c r="AR64" s="43"/>
      <c r="AS64" s="43"/>
      <c r="AT64" s="43"/>
      <c r="AU64" s="43"/>
      <c r="AV64" s="43"/>
      <c r="AW64" s="43"/>
      <c r="AX64" s="43"/>
      <c r="AY64" s="43"/>
      <c r="AZ64" s="43"/>
      <c r="BH64" s="52"/>
      <c r="BI64" s="51"/>
    </row>
    <row r="65" spans="1:61" ht="18" customHeight="1">
      <c r="A65" s="36"/>
      <c r="B65" s="404"/>
      <c r="C65" s="404"/>
      <c r="D65" s="404"/>
      <c r="E65" s="404"/>
      <c r="F65" s="288"/>
      <c r="G65" s="288"/>
      <c r="H65" s="288"/>
      <c r="I65" s="288"/>
      <c r="J65" s="288"/>
      <c r="K65" s="288"/>
      <c r="L65" s="288"/>
      <c r="M65" s="288"/>
      <c r="N65" s="288"/>
      <c r="O65" s="288"/>
      <c r="P65" s="288"/>
      <c r="Q65" s="288"/>
      <c r="R65" s="288"/>
      <c r="S65" s="288"/>
      <c r="T65" s="288"/>
      <c r="U65" s="288"/>
      <c r="V65" s="288"/>
      <c r="W65" s="288"/>
      <c r="X65" s="288"/>
      <c r="Y65" s="288"/>
      <c r="Z65" s="288"/>
      <c r="AA65" s="288"/>
      <c r="AB65" s="288"/>
      <c r="AC65" s="288"/>
      <c r="AD65" s="288"/>
      <c r="AE65" s="288"/>
      <c r="AF65" s="288"/>
      <c r="AG65" s="288"/>
      <c r="AH65" s="288"/>
      <c r="AI65" s="289"/>
      <c r="AK65" s="425"/>
      <c r="AL65" s="425"/>
      <c r="AM65" s="425"/>
      <c r="AN65" s="425"/>
      <c r="AO65" s="425"/>
      <c r="AP65" s="425"/>
      <c r="AQ65" s="42"/>
      <c r="AR65" s="43"/>
      <c r="AS65" s="43"/>
      <c r="AT65" s="43"/>
      <c r="AU65" s="43"/>
      <c r="AV65" s="43"/>
      <c r="AW65" s="43"/>
      <c r="AX65" s="43"/>
      <c r="AY65" s="43"/>
      <c r="AZ65" s="43"/>
      <c r="BH65" s="50"/>
      <c r="BI65" s="51"/>
    </row>
    <row r="66" spans="1:61" ht="18" customHeight="1">
      <c r="A66" s="36"/>
      <c r="B66" s="404"/>
      <c r="C66" s="404"/>
      <c r="D66" s="404"/>
      <c r="E66" s="404"/>
      <c r="F66" s="288"/>
      <c r="G66" s="288"/>
      <c r="H66" s="288"/>
      <c r="I66" s="288"/>
      <c r="J66" s="288"/>
      <c r="K66" s="288"/>
      <c r="L66" s="288"/>
      <c r="M66" s="288"/>
      <c r="N66" s="288"/>
      <c r="O66" s="288"/>
      <c r="P66" s="288"/>
      <c r="Q66" s="288"/>
      <c r="R66" s="288"/>
      <c r="S66" s="288"/>
      <c r="T66" s="288"/>
      <c r="U66" s="288"/>
      <c r="V66" s="288"/>
      <c r="W66" s="288"/>
      <c r="X66" s="288"/>
      <c r="Y66" s="288"/>
      <c r="Z66" s="288"/>
      <c r="AA66" s="288"/>
      <c r="AB66" s="288"/>
      <c r="AC66" s="288"/>
      <c r="AD66" s="288"/>
      <c r="AE66" s="288"/>
      <c r="AF66" s="288"/>
      <c r="AG66" s="288"/>
      <c r="AH66" s="288"/>
      <c r="AI66" s="289"/>
      <c r="AK66" s="425"/>
      <c r="AL66" s="425"/>
      <c r="AM66" s="425"/>
      <c r="AN66" s="425"/>
      <c r="AO66" s="425"/>
      <c r="AP66" s="425"/>
      <c r="AQ66" s="42"/>
      <c r="AR66" s="43"/>
      <c r="AS66" s="43"/>
      <c r="AT66" s="43"/>
      <c r="AU66" s="43"/>
      <c r="AV66" s="43"/>
      <c r="AW66" s="43"/>
      <c r="AX66" s="43"/>
      <c r="AY66" s="43"/>
      <c r="AZ66" s="43"/>
      <c r="BH66" s="50"/>
      <c r="BI66" s="51"/>
    </row>
    <row r="67" spans="1:61" ht="18" customHeight="1">
      <c r="A67" s="36"/>
      <c r="B67" s="404"/>
      <c r="C67" s="404"/>
      <c r="D67" s="404"/>
      <c r="E67" s="404"/>
      <c r="F67" s="288"/>
      <c r="G67" s="288"/>
      <c r="H67" s="288"/>
      <c r="I67" s="288"/>
      <c r="J67" s="288"/>
      <c r="K67" s="288"/>
      <c r="L67" s="288"/>
      <c r="M67" s="288"/>
      <c r="N67" s="288"/>
      <c r="O67" s="288"/>
      <c r="P67" s="288"/>
      <c r="Q67" s="288"/>
      <c r="R67" s="288"/>
      <c r="S67" s="288"/>
      <c r="T67" s="288"/>
      <c r="U67" s="288"/>
      <c r="V67" s="288"/>
      <c r="W67" s="288"/>
      <c r="X67" s="288"/>
      <c r="Y67" s="288"/>
      <c r="Z67" s="288"/>
      <c r="AA67" s="288"/>
      <c r="AB67" s="288"/>
      <c r="AC67" s="288"/>
      <c r="AD67" s="288"/>
      <c r="AE67" s="288"/>
      <c r="AF67" s="288"/>
      <c r="AG67" s="288"/>
      <c r="AH67" s="288"/>
      <c r="AI67" s="289"/>
      <c r="AK67" s="425"/>
      <c r="AL67" s="425"/>
      <c r="AM67" s="425"/>
      <c r="AN67" s="425"/>
      <c r="AO67" s="425"/>
      <c r="AP67" s="425"/>
      <c r="AQ67" s="67"/>
      <c r="AR67" s="43"/>
      <c r="AS67" s="43"/>
      <c r="AT67" s="43"/>
      <c r="AU67" s="43"/>
      <c r="AV67" s="43"/>
      <c r="AW67" s="43"/>
      <c r="AX67" s="43"/>
      <c r="AY67" s="43"/>
      <c r="AZ67" s="43"/>
      <c r="BH67" s="50"/>
      <c r="BI67" s="51"/>
    </row>
    <row r="68" spans="1:61" ht="18" customHeight="1">
      <c r="A68" s="36"/>
      <c r="B68" s="404"/>
      <c r="C68" s="404"/>
      <c r="D68" s="404"/>
      <c r="E68" s="404"/>
      <c r="F68" s="288"/>
      <c r="G68" s="288"/>
      <c r="H68" s="288"/>
      <c r="I68" s="288"/>
      <c r="J68" s="288"/>
      <c r="K68" s="288"/>
      <c r="L68" s="288"/>
      <c r="M68" s="288"/>
      <c r="N68" s="288"/>
      <c r="O68" s="288"/>
      <c r="P68" s="288"/>
      <c r="Q68" s="288"/>
      <c r="R68" s="288"/>
      <c r="S68" s="288"/>
      <c r="T68" s="288"/>
      <c r="U68" s="288"/>
      <c r="V68" s="288"/>
      <c r="W68" s="288"/>
      <c r="X68" s="288"/>
      <c r="Y68" s="288"/>
      <c r="Z68" s="288"/>
      <c r="AA68" s="288"/>
      <c r="AB68" s="288"/>
      <c r="AC68" s="288"/>
      <c r="AD68" s="288"/>
      <c r="AE68" s="288"/>
      <c r="AF68" s="288"/>
      <c r="AG68" s="288"/>
      <c r="AH68" s="288"/>
      <c r="AI68" s="289"/>
      <c r="AK68" s="425"/>
      <c r="AL68" s="425"/>
      <c r="AM68" s="425"/>
      <c r="AN68" s="425"/>
      <c r="AO68" s="425"/>
      <c r="AP68" s="425"/>
      <c r="AQ68" s="67"/>
      <c r="AR68" s="43"/>
      <c r="AS68" s="43"/>
      <c r="AT68" s="43"/>
      <c r="AU68" s="43"/>
      <c r="AV68" s="43"/>
      <c r="AW68" s="43"/>
      <c r="AX68" s="43"/>
      <c r="AY68" s="43"/>
      <c r="AZ68" s="43"/>
      <c r="BH68" s="50"/>
      <c r="BI68" s="51"/>
    </row>
    <row r="69" spans="1:61" ht="18" customHeight="1">
      <c r="A69" s="36"/>
      <c r="B69" s="404"/>
      <c r="C69" s="404"/>
      <c r="D69" s="404"/>
      <c r="E69" s="404"/>
      <c r="F69" s="288"/>
      <c r="G69" s="288"/>
      <c r="H69" s="288"/>
      <c r="I69" s="288"/>
      <c r="J69" s="288"/>
      <c r="K69" s="288"/>
      <c r="L69" s="288"/>
      <c r="M69" s="288"/>
      <c r="N69" s="288"/>
      <c r="O69" s="288"/>
      <c r="P69" s="288"/>
      <c r="Q69" s="288"/>
      <c r="R69" s="288"/>
      <c r="S69" s="288"/>
      <c r="T69" s="288"/>
      <c r="U69" s="288"/>
      <c r="V69" s="288"/>
      <c r="W69" s="288"/>
      <c r="X69" s="288"/>
      <c r="Y69" s="288"/>
      <c r="Z69" s="288"/>
      <c r="AA69" s="288"/>
      <c r="AB69" s="288"/>
      <c r="AC69" s="288"/>
      <c r="AD69" s="288"/>
      <c r="AE69" s="288"/>
      <c r="AF69" s="288"/>
      <c r="AG69" s="288"/>
      <c r="AH69" s="288"/>
      <c r="AI69" s="289"/>
      <c r="AK69" s="425"/>
      <c r="AL69" s="425"/>
      <c r="AM69" s="425"/>
      <c r="AN69" s="425"/>
      <c r="AO69" s="425"/>
      <c r="AP69" s="425"/>
      <c r="AQ69" s="42"/>
      <c r="AR69" s="43"/>
      <c r="AS69" s="43"/>
      <c r="AT69" s="43"/>
      <c r="AU69" s="43"/>
      <c r="AV69" s="43"/>
      <c r="AW69" s="43"/>
      <c r="AX69" s="43"/>
      <c r="AY69" s="43"/>
      <c r="AZ69" s="43"/>
      <c r="BH69" s="50"/>
      <c r="BI69" s="51"/>
    </row>
    <row r="70" spans="1:61" ht="18" customHeight="1">
      <c r="A70" s="36"/>
      <c r="B70" s="404"/>
      <c r="C70" s="404"/>
      <c r="D70" s="404"/>
      <c r="E70" s="404"/>
      <c r="F70" s="288"/>
      <c r="G70" s="288"/>
      <c r="H70" s="288"/>
      <c r="I70" s="288"/>
      <c r="J70" s="288"/>
      <c r="K70" s="288"/>
      <c r="L70" s="288"/>
      <c r="M70" s="288"/>
      <c r="N70" s="288"/>
      <c r="O70" s="288"/>
      <c r="P70" s="288"/>
      <c r="Q70" s="288"/>
      <c r="R70" s="288"/>
      <c r="S70" s="288"/>
      <c r="T70" s="288"/>
      <c r="U70" s="288"/>
      <c r="V70" s="288"/>
      <c r="W70" s="288"/>
      <c r="X70" s="288"/>
      <c r="Y70" s="288"/>
      <c r="Z70" s="288"/>
      <c r="AA70" s="288"/>
      <c r="AB70" s="288"/>
      <c r="AC70" s="288"/>
      <c r="AD70" s="288"/>
      <c r="AE70" s="288"/>
      <c r="AF70" s="288"/>
      <c r="AG70" s="288"/>
      <c r="AH70" s="288"/>
      <c r="AI70" s="289"/>
      <c r="AK70" s="425"/>
      <c r="AL70" s="425"/>
      <c r="AM70" s="425"/>
      <c r="AN70" s="425"/>
      <c r="AO70" s="425"/>
      <c r="AP70" s="425"/>
      <c r="AQ70" s="42"/>
      <c r="AR70" s="43"/>
      <c r="AS70" s="43"/>
      <c r="AT70" s="43"/>
      <c r="AU70" s="43"/>
      <c r="AV70" s="43"/>
      <c r="AW70" s="43"/>
      <c r="AX70" s="43"/>
      <c r="AY70" s="43"/>
      <c r="AZ70" s="43"/>
      <c r="BH70" s="50"/>
      <c r="BI70" s="51"/>
    </row>
    <row r="71" spans="1:61" ht="18" customHeight="1">
      <c r="A71" s="36"/>
      <c r="B71" s="404"/>
      <c r="C71" s="404"/>
      <c r="D71" s="404"/>
      <c r="E71" s="404"/>
      <c r="F71" s="288"/>
      <c r="G71" s="288"/>
      <c r="H71" s="288"/>
      <c r="I71" s="288"/>
      <c r="J71" s="288"/>
      <c r="K71" s="288"/>
      <c r="L71" s="288"/>
      <c r="M71" s="288"/>
      <c r="N71" s="288"/>
      <c r="O71" s="288"/>
      <c r="P71" s="288"/>
      <c r="Q71" s="288"/>
      <c r="R71" s="288"/>
      <c r="S71" s="288"/>
      <c r="T71" s="288"/>
      <c r="U71" s="288"/>
      <c r="V71" s="288"/>
      <c r="W71" s="288"/>
      <c r="X71" s="288"/>
      <c r="Y71" s="288"/>
      <c r="Z71" s="288"/>
      <c r="AA71" s="288"/>
      <c r="AB71" s="288"/>
      <c r="AC71" s="288"/>
      <c r="AD71" s="288"/>
      <c r="AE71" s="288"/>
      <c r="AF71" s="288"/>
      <c r="AG71" s="288"/>
      <c r="AH71" s="288"/>
      <c r="AI71" s="289"/>
      <c r="AK71" s="425"/>
      <c r="AL71" s="425"/>
      <c r="AM71" s="425"/>
      <c r="AN71" s="425"/>
      <c r="AO71" s="425"/>
      <c r="AP71" s="425"/>
      <c r="AQ71" s="42"/>
      <c r="AR71" s="43"/>
      <c r="AS71" s="43"/>
      <c r="AT71" s="43"/>
      <c r="AU71" s="43"/>
      <c r="AV71" s="43"/>
      <c r="AW71" s="43"/>
      <c r="AX71" s="43"/>
      <c r="AY71" s="43"/>
      <c r="AZ71" s="43"/>
      <c r="BH71" s="52"/>
      <c r="BI71" s="51"/>
    </row>
    <row r="72" spans="1:61" ht="18" customHeight="1">
      <c r="A72" s="36"/>
      <c r="B72" s="404"/>
      <c r="C72" s="404"/>
      <c r="D72" s="404"/>
      <c r="E72" s="404"/>
      <c r="F72" s="288"/>
      <c r="G72" s="288"/>
      <c r="H72" s="288"/>
      <c r="I72" s="288"/>
      <c r="J72" s="288"/>
      <c r="K72" s="288"/>
      <c r="L72" s="288"/>
      <c r="M72" s="288"/>
      <c r="N72" s="288"/>
      <c r="O72" s="288"/>
      <c r="P72" s="288"/>
      <c r="Q72" s="288"/>
      <c r="R72" s="288"/>
      <c r="S72" s="288"/>
      <c r="T72" s="288"/>
      <c r="U72" s="288"/>
      <c r="V72" s="288"/>
      <c r="W72" s="288"/>
      <c r="X72" s="288"/>
      <c r="Y72" s="288"/>
      <c r="Z72" s="288"/>
      <c r="AA72" s="288"/>
      <c r="AB72" s="288"/>
      <c r="AC72" s="288"/>
      <c r="AD72" s="288"/>
      <c r="AE72" s="288"/>
      <c r="AF72" s="288"/>
      <c r="AG72" s="288"/>
      <c r="AH72" s="288"/>
      <c r="AI72" s="289"/>
      <c r="AK72" s="425"/>
      <c r="AL72" s="425"/>
      <c r="AM72" s="425"/>
      <c r="AN72" s="425"/>
      <c r="AO72" s="425"/>
      <c r="AP72" s="425"/>
      <c r="AQ72" s="42"/>
      <c r="AR72" s="43"/>
      <c r="AS72" s="43"/>
      <c r="AT72" s="43"/>
      <c r="AU72" s="43"/>
      <c r="AV72" s="43"/>
      <c r="AW72" s="43"/>
      <c r="AX72" s="43"/>
      <c r="AY72" s="43"/>
      <c r="AZ72" s="43"/>
      <c r="BH72" s="53"/>
      <c r="BI72" s="51"/>
    </row>
    <row r="73" spans="1:61" ht="18" customHeight="1">
      <c r="A73" s="36"/>
      <c r="B73" s="404"/>
      <c r="C73" s="404"/>
      <c r="D73" s="404"/>
      <c r="E73" s="404"/>
      <c r="F73" s="288"/>
      <c r="G73" s="288"/>
      <c r="H73" s="288"/>
      <c r="I73" s="288"/>
      <c r="J73" s="288"/>
      <c r="K73" s="288"/>
      <c r="L73" s="288"/>
      <c r="M73" s="288"/>
      <c r="N73" s="288"/>
      <c r="O73" s="288"/>
      <c r="P73" s="288"/>
      <c r="Q73" s="288"/>
      <c r="R73" s="288"/>
      <c r="S73" s="288"/>
      <c r="T73" s="288"/>
      <c r="U73" s="288"/>
      <c r="V73" s="288"/>
      <c r="W73" s="288"/>
      <c r="X73" s="288"/>
      <c r="Y73" s="288"/>
      <c r="Z73" s="288"/>
      <c r="AA73" s="288"/>
      <c r="AB73" s="288"/>
      <c r="AC73" s="288"/>
      <c r="AD73" s="288"/>
      <c r="AE73" s="288"/>
      <c r="AF73" s="288"/>
      <c r="AG73" s="288"/>
      <c r="AH73" s="288"/>
      <c r="AI73" s="289"/>
      <c r="AK73" s="425"/>
      <c r="AL73" s="425"/>
      <c r="AM73" s="425"/>
      <c r="AN73" s="425"/>
      <c r="AO73" s="425"/>
      <c r="AP73" s="425"/>
      <c r="AQ73" s="42"/>
      <c r="AR73" s="43"/>
      <c r="AS73" s="43"/>
      <c r="AT73" s="43"/>
      <c r="AU73" s="43"/>
      <c r="AV73" s="43"/>
      <c r="AW73" s="43"/>
      <c r="AX73" s="43"/>
      <c r="AY73" s="43"/>
      <c r="AZ73" s="43"/>
      <c r="BH73" s="54"/>
      <c r="BI73" s="51"/>
    </row>
    <row r="74" spans="1:61" ht="18" customHeight="1">
      <c r="A74" s="36"/>
      <c r="B74" s="404"/>
      <c r="C74" s="404"/>
      <c r="D74" s="404"/>
      <c r="E74" s="404"/>
      <c r="F74" s="288"/>
      <c r="G74" s="288"/>
      <c r="H74" s="288"/>
      <c r="I74" s="288"/>
      <c r="J74" s="288"/>
      <c r="K74" s="288"/>
      <c r="L74" s="288"/>
      <c r="M74" s="288"/>
      <c r="N74" s="288"/>
      <c r="O74" s="288"/>
      <c r="P74" s="288"/>
      <c r="Q74" s="288"/>
      <c r="R74" s="288"/>
      <c r="S74" s="288"/>
      <c r="T74" s="288"/>
      <c r="U74" s="288"/>
      <c r="V74" s="288"/>
      <c r="W74" s="288"/>
      <c r="X74" s="288"/>
      <c r="Y74" s="288"/>
      <c r="Z74" s="288"/>
      <c r="AA74" s="288"/>
      <c r="AB74" s="288"/>
      <c r="AC74" s="288"/>
      <c r="AD74" s="288"/>
      <c r="AE74" s="288"/>
      <c r="AF74" s="288"/>
      <c r="AG74" s="288"/>
      <c r="AH74" s="288"/>
      <c r="AI74" s="289"/>
      <c r="AK74" s="425"/>
      <c r="AL74" s="425"/>
      <c r="AM74" s="425"/>
      <c r="AN74" s="425"/>
      <c r="AO74" s="425"/>
      <c r="AP74" s="425"/>
      <c r="AQ74" s="42"/>
      <c r="AR74" s="43"/>
      <c r="AS74" s="43"/>
      <c r="AT74" s="43"/>
      <c r="AU74" s="43"/>
      <c r="AV74" s="43"/>
      <c r="AW74" s="43"/>
      <c r="AX74" s="43"/>
      <c r="AY74" s="43"/>
      <c r="AZ74" s="43"/>
      <c r="BH74" s="54"/>
      <c r="BI74" s="51"/>
    </row>
    <row r="75" spans="1:61" ht="18" customHeight="1">
      <c r="A75" s="36"/>
      <c r="B75" s="404"/>
      <c r="C75" s="404"/>
      <c r="D75" s="404"/>
      <c r="E75" s="404"/>
      <c r="F75" s="288"/>
      <c r="G75" s="288"/>
      <c r="H75" s="288"/>
      <c r="I75" s="288"/>
      <c r="J75" s="288"/>
      <c r="K75" s="288"/>
      <c r="L75" s="288"/>
      <c r="M75" s="288"/>
      <c r="N75" s="288"/>
      <c r="O75" s="288"/>
      <c r="P75" s="288"/>
      <c r="Q75" s="288"/>
      <c r="R75" s="288"/>
      <c r="S75" s="288"/>
      <c r="T75" s="288"/>
      <c r="U75" s="288"/>
      <c r="V75" s="288"/>
      <c r="W75" s="288"/>
      <c r="X75" s="288"/>
      <c r="Y75" s="288"/>
      <c r="Z75" s="288"/>
      <c r="AA75" s="288"/>
      <c r="AB75" s="288"/>
      <c r="AC75" s="288"/>
      <c r="AD75" s="288"/>
      <c r="AE75" s="288"/>
      <c r="AF75" s="288"/>
      <c r="AG75" s="288"/>
      <c r="AH75" s="288"/>
      <c r="AI75" s="289"/>
      <c r="AK75" s="425"/>
      <c r="AL75" s="425"/>
      <c r="AM75" s="425"/>
      <c r="AN75" s="425"/>
      <c r="AO75" s="425"/>
      <c r="AP75" s="425"/>
      <c r="AQ75" s="42"/>
      <c r="AR75" s="43"/>
      <c r="AS75" s="43"/>
      <c r="AT75" s="43"/>
      <c r="AU75" s="43"/>
      <c r="AV75" s="43"/>
      <c r="AW75" s="43"/>
      <c r="AX75" s="43"/>
      <c r="AY75" s="43"/>
      <c r="AZ75" s="43"/>
      <c r="BH75" s="53"/>
      <c r="BI75" s="51"/>
    </row>
    <row r="76" spans="1:61" ht="18" customHeight="1">
      <c r="A76" s="36"/>
      <c r="B76" s="404"/>
      <c r="C76" s="404"/>
      <c r="D76" s="404"/>
      <c r="E76" s="404"/>
      <c r="F76" s="288"/>
      <c r="G76" s="288"/>
      <c r="H76" s="288"/>
      <c r="I76" s="288"/>
      <c r="J76" s="288"/>
      <c r="K76" s="288"/>
      <c r="L76" s="288"/>
      <c r="M76" s="288"/>
      <c r="N76" s="288"/>
      <c r="O76" s="288"/>
      <c r="P76" s="288"/>
      <c r="Q76" s="288"/>
      <c r="R76" s="288"/>
      <c r="S76" s="288"/>
      <c r="T76" s="288"/>
      <c r="U76" s="288"/>
      <c r="V76" s="288"/>
      <c r="W76" s="288"/>
      <c r="X76" s="288"/>
      <c r="Y76" s="288"/>
      <c r="Z76" s="288"/>
      <c r="AA76" s="288"/>
      <c r="AB76" s="288"/>
      <c r="AC76" s="288"/>
      <c r="AD76" s="288"/>
      <c r="AE76" s="288"/>
      <c r="AF76" s="288"/>
      <c r="AG76" s="288"/>
      <c r="AH76" s="288"/>
      <c r="AI76" s="289"/>
      <c r="AK76" s="425"/>
      <c r="AL76" s="425"/>
      <c r="AM76" s="425"/>
      <c r="AN76" s="425"/>
      <c r="AO76" s="425"/>
      <c r="AP76" s="425"/>
      <c r="AQ76" s="42"/>
      <c r="AR76" s="43"/>
      <c r="AS76" s="43"/>
      <c r="AT76" s="43"/>
      <c r="AU76" s="43"/>
      <c r="AV76" s="43"/>
      <c r="AW76" s="43"/>
      <c r="AX76" s="43"/>
      <c r="AY76" s="43"/>
      <c r="AZ76" s="43"/>
      <c r="BH76" s="53"/>
      <c r="BI76" s="51"/>
    </row>
    <row r="77" spans="1:61" ht="18" customHeight="1">
      <c r="A77" s="36"/>
      <c r="B77" s="404"/>
      <c r="C77" s="404"/>
      <c r="D77" s="404"/>
      <c r="E77" s="404"/>
      <c r="F77" s="288"/>
      <c r="G77" s="288"/>
      <c r="H77" s="288"/>
      <c r="I77" s="288"/>
      <c r="J77" s="288"/>
      <c r="K77" s="288"/>
      <c r="L77" s="288"/>
      <c r="M77" s="288"/>
      <c r="N77" s="288"/>
      <c r="O77" s="288"/>
      <c r="P77" s="288"/>
      <c r="Q77" s="288"/>
      <c r="R77" s="288"/>
      <c r="S77" s="288"/>
      <c r="T77" s="288"/>
      <c r="U77" s="288"/>
      <c r="V77" s="288"/>
      <c r="W77" s="288"/>
      <c r="X77" s="288"/>
      <c r="Y77" s="288"/>
      <c r="Z77" s="288"/>
      <c r="AA77" s="288"/>
      <c r="AB77" s="288"/>
      <c r="AC77" s="288"/>
      <c r="AD77" s="288"/>
      <c r="AE77" s="288"/>
      <c r="AF77" s="288"/>
      <c r="AG77" s="288"/>
      <c r="AH77" s="288"/>
      <c r="AI77" s="289"/>
      <c r="AK77" s="425"/>
      <c r="AL77" s="425"/>
      <c r="AM77" s="425"/>
      <c r="AN77" s="425"/>
      <c r="AO77" s="425"/>
      <c r="AP77" s="425"/>
      <c r="AQ77" s="42"/>
      <c r="AR77" s="43"/>
      <c r="AS77" s="43"/>
      <c r="AT77" s="43"/>
      <c r="AU77" s="43"/>
      <c r="AV77" s="43"/>
      <c r="AW77" s="43"/>
      <c r="AX77" s="43"/>
      <c r="AY77" s="43"/>
      <c r="AZ77" s="43"/>
      <c r="BH77" s="54"/>
      <c r="BI77" s="51"/>
    </row>
    <row r="78" spans="1:61" ht="18" customHeight="1">
      <c r="A78" s="36"/>
      <c r="B78" s="404"/>
      <c r="C78" s="404"/>
      <c r="D78" s="404"/>
      <c r="E78" s="404"/>
      <c r="F78" s="288"/>
      <c r="G78" s="288"/>
      <c r="H78" s="288"/>
      <c r="I78" s="288"/>
      <c r="J78" s="288"/>
      <c r="K78" s="288"/>
      <c r="L78" s="288"/>
      <c r="M78" s="288"/>
      <c r="N78" s="288"/>
      <c r="O78" s="288"/>
      <c r="P78" s="288"/>
      <c r="Q78" s="288"/>
      <c r="R78" s="288"/>
      <c r="S78" s="288"/>
      <c r="T78" s="288"/>
      <c r="U78" s="288"/>
      <c r="V78" s="288"/>
      <c r="W78" s="288"/>
      <c r="X78" s="288"/>
      <c r="Y78" s="288"/>
      <c r="Z78" s="288"/>
      <c r="AA78" s="288"/>
      <c r="AB78" s="288"/>
      <c r="AC78" s="288"/>
      <c r="AD78" s="288"/>
      <c r="AE78" s="288"/>
      <c r="AF78" s="288"/>
      <c r="AG78" s="288"/>
      <c r="AH78" s="288"/>
      <c r="AI78" s="289"/>
      <c r="AK78" s="425"/>
      <c r="AL78" s="425"/>
      <c r="AM78" s="425"/>
      <c r="AN78" s="425"/>
      <c r="AO78" s="425"/>
      <c r="AP78" s="425"/>
      <c r="AQ78" s="42"/>
      <c r="AR78" s="43"/>
      <c r="AS78" s="43"/>
      <c r="AT78" s="43"/>
      <c r="AU78" s="43"/>
      <c r="AV78" s="43"/>
      <c r="AW78" s="43"/>
      <c r="AX78" s="43"/>
      <c r="AY78" s="43"/>
      <c r="AZ78" s="43"/>
      <c r="BH78" s="54"/>
      <c r="BI78" s="51"/>
    </row>
    <row r="79" spans="1:61" ht="18" customHeight="1">
      <c r="A79" s="36"/>
      <c r="B79" s="404"/>
      <c r="C79" s="404"/>
      <c r="D79" s="404"/>
      <c r="E79" s="404"/>
      <c r="F79" s="288"/>
      <c r="G79" s="288"/>
      <c r="H79" s="288"/>
      <c r="I79" s="288"/>
      <c r="J79" s="288"/>
      <c r="K79" s="288"/>
      <c r="L79" s="288"/>
      <c r="M79" s="288"/>
      <c r="N79" s="288"/>
      <c r="O79" s="288"/>
      <c r="P79" s="288"/>
      <c r="Q79" s="288"/>
      <c r="R79" s="288"/>
      <c r="S79" s="288"/>
      <c r="T79" s="288"/>
      <c r="U79" s="288"/>
      <c r="V79" s="288"/>
      <c r="W79" s="288"/>
      <c r="X79" s="288"/>
      <c r="Y79" s="288"/>
      <c r="Z79" s="288"/>
      <c r="AA79" s="288"/>
      <c r="AB79" s="288"/>
      <c r="AC79" s="288"/>
      <c r="AD79" s="288"/>
      <c r="AE79" s="288"/>
      <c r="AF79" s="288"/>
      <c r="AG79" s="288"/>
      <c r="AH79" s="288"/>
      <c r="AI79" s="289"/>
      <c r="AK79" s="425"/>
      <c r="AL79" s="425"/>
      <c r="AM79" s="425"/>
      <c r="AN79" s="425"/>
      <c r="AO79" s="425"/>
      <c r="AP79" s="425"/>
      <c r="AQ79" s="42"/>
      <c r="AR79" s="43"/>
      <c r="AS79" s="43"/>
      <c r="AT79" s="43"/>
      <c r="AU79" s="43"/>
      <c r="AV79" s="43"/>
      <c r="AW79" s="43"/>
      <c r="AX79" s="43"/>
      <c r="AY79" s="43"/>
      <c r="AZ79" s="43"/>
      <c r="BH79" s="54"/>
      <c r="BI79" s="51"/>
    </row>
    <row r="80" spans="1:61" ht="18" customHeight="1">
      <c r="A80" s="37"/>
      <c r="B80" s="466"/>
      <c r="C80" s="466"/>
      <c r="D80" s="466"/>
      <c r="E80" s="466"/>
      <c r="F80" s="467"/>
      <c r="G80" s="467"/>
      <c r="H80" s="467"/>
      <c r="I80" s="467"/>
      <c r="J80" s="467"/>
      <c r="K80" s="467"/>
      <c r="L80" s="467"/>
      <c r="M80" s="467"/>
      <c r="N80" s="467"/>
      <c r="O80" s="467"/>
      <c r="P80" s="467"/>
      <c r="Q80" s="467"/>
      <c r="R80" s="467"/>
      <c r="S80" s="467"/>
      <c r="T80" s="467"/>
      <c r="U80" s="467"/>
      <c r="V80" s="467"/>
      <c r="W80" s="467"/>
      <c r="X80" s="467"/>
      <c r="Y80" s="467"/>
      <c r="Z80" s="467"/>
      <c r="AA80" s="467"/>
      <c r="AB80" s="467"/>
      <c r="AC80" s="467"/>
      <c r="AD80" s="467"/>
      <c r="AE80" s="467"/>
      <c r="AF80" s="467"/>
      <c r="AG80" s="467"/>
      <c r="AH80" s="467"/>
      <c r="AI80" s="468"/>
      <c r="AK80" s="425"/>
      <c r="AL80" s="425"/>
      <c r="AM80" s="425"/>
      <c r="AN80" s="425"/>
      <c r="AO80" s="425"/>
      <c r="AP80" s="425"/>
      <c r="AQ80" s="42"/>
      <c r="AR80" s="43"/>
      <c r="AS80" s="43"/>
      <c r="AT80" s="43"/>
      <c r="AU80" s="43"/>
      <c r="AV80" s="43"/>
      <c r="AW80" s="43"/>
      <c r="AX80" s="43"/>
      <c r="AY80" s="43"/>
      <c r="AZ80" s="43"/>
      <c r="BH80" s="54"/>
      <c r="BI80" s="51"/>
    </row>
    <row r="81" spans="1:61" ht="18" customHeight="1">
      <c r="A81" s="406" t="s">
        <v>704</v>
      </c>
      <c r="B81" s="407"/>
      <c r="C81" s="407"/>
      <c r="D81" s="407"/>
      <c r="E81" s="407"/>
      <c r="F81" s="407"/>
      <c r="G81" s="407"/>
      <c r="H81" s="407"/>
      <c r="I81" s="407"/>
      <c r="J81" s="407"/>
      <c r="K81" s="407"/>
      <c r="L81" s="407"/>
      <c r="M81" s="407"/>
      <c r="N81" s="407"/>
      <c r="O81" s="407"/>
      <c r="P81" s="407"/>
      <c r="Q81" s="407"/>
      <c r="R81" s="407"/>
      <c r="S81" s="407"/>
      <c r="T81" s="407"/>
      <c r="U81" s="407"/>
      <c r="V81" s="407"/>
      <c r="W81" s="407"/>
      <c r="X81" s="407"/>
      <c r="Y81" s="407"/>
      <c r="Z81" s="407"/>
      <c r="AA81" s="407"/>
      <c r="AB81" s="407"/>
      <c r="AC81" s="407"/>
      <c r="AD81" s="407"/>
      <c r="AE81" s="407"/>
      <c r="AF81" s="407"/>
      <c r="AG81" s="407"/>
      <c r="AH81" s="407"/>
      <c r="AI81" s="408"/>
      <c r="AK81" s="425"/>
      <c r="AL81" s="425"/>
      <c r="AM81" s="425"/>
      <c r="AN81" s="425"/>
      <c r="AO81" s="425"/>
      <c r="AP81" s="425"/>
      <c r="AQ81" s="42"/>
      <c r="AR81" s="43"/>
      <c r="AS81" s="43"/>
      <c r="AT81" s="43"/>
      <c r="AU81" s="43"/>
      <c r="AV81" s="43"/>
      <c r="AW81" s="43"/>
      <c r="AX81" s="43"/>
      <c r="AY81" s="43"/>
      <c r="AZ81" s="43"/>
      <c r="BH81" s="53"/>
      <c r="BI81" s="51"/>
    </row>
    <row r="82" spans="1:61" ht="18" customHeight="1">
      <c r="A82" s="38"/>
      <c r="B82" s="465">
        <v>46150</v>
      </c>
      <c r="C82" s="465"/>
      <c r="D82" s="465"/>
      <c r="E82" s="465"/>
      <c r="F82" s="288" t="s">
        <v>705</v>
      </c>
      <c r="G82" s="288"/>
      <c r="H82" s="288"/>
      <c r="I82" s="288"/>
      <c r="J82" s="288"/>
      <c r="K82" s="288"/>
      <c r="L82" s="288"/>
      <c r="M82" s="288"/>
      <c r="N82" s="288"/>
      <c r="O82" s="288"/>
      <c r="P82" s="288"/>
      <c r="Q82" s="288"/>
      <c r="R82" s="288"/>
      <c r="S82" s="288"/>
      <c r="T82" s="288"/>
      <c r="U82" s="288"/>
      <c r="V82" s="288"/>
      <c r="W82" s="288"/>
      <c r="X82" s="288"/>
      <c r="Y82" s="288"/>
      <c r="Z82" s="288"/>
      <c r="AA82" s="288"/>
      <c r="AB82" s="288"/>
      <c r="AC82" s="288"/>
      <c r="AD82" s="288"/>
      <c r="AE82" s="288"/>
      <c r="AF82" s="288"/>
      <c r="AG82" s="288"/>
      <c r="AH82" s="288"/>
      <c r="AI82" s="289"/>
      <c r="AK82" s="425"/>
      <c r="AL82" s="425"/>
      <c r="AM82" s="425"/>
      <c r="AN82" s="425"/>
      <c r="AO82" s="425"/>
      <c r="AP82" s="425"/>
      <c r="AQ82" s="42"/>
      <c r="AR82" s="43"/>
      <c r="AS82" s="43"/>
      <c r="AT82" s="43"/>
      <c r="AU82" s="43"/>
      <c r="AV82" s="43"/>
      <c r="AW82" s="43"/>
      <c r="AX82" s="43"/>
      <c r="AY82" s="43"/>
      <c r="AZ82" s="43"/>
      <c r="BH82" s="53"/>
      <c r="BI82" s="51"/>
    </row>
    <row r="83" spans="1:61" ht="18" customHeight="1">
      <c r="A83" s="38"/>
      <c r="B83" s="465">
        <v>46161</v>
      </c>
      <c r="C83" s="465"/>
      <c r="D83" s="465"/>
      <c r="E83" s="465"/>
      <c r="F83" s="288" t="s">
        <v>706</v>
      </c>
      <c r="G83" s="288"/>
      <c r="H83" s="288"/>
      <c r="I83" s="288"/>
      <c r="J83" s="288"/>
      <c r="K83" s="288"/>
      <c r="L83" s="288"/>
      <c r="M83" s="288"/>
      <c r="N83" s="288"/>
      <c r="O83" s="288"/>
      <c r="P83" s="288"/>
      <c r="Q83" s="288"/>
      <c r="R83" s="288"/>
      <c r="S83" s="288"/>
      <c r="T83" s="288"/>
      <c r="U83" s="288"/>
      <c r="V83" s="288"/>
      <c r="W83" s="288"/>
      <c r="X83" s="288"/>
      <c r="Y83" s="288"/>
      <c r="Z83" s="288"/>
      <c r="AA83" s="288"/>
      <c r="AB83" s="288"/>
      <c r="AC83" s="288"/>
      <c r="AD83" s="288"/>
      <c r="AE83" s="288"/>
      <c r="AF83" s="288"/>
      <c r="AG83" s="288"/>
      <c r="AH83" s="288"/>
      <c r="AI83" s="289"/>
      <c r="AK83" s="425"/>
      <c r="AL83" s="425"/>
      <c r="AM83" s="425"/>
      <c r="AN83" s="425"/>
      <c r="AO83" s="425"/>
      <c r="AP83" s="425"/>
      <c r="AQ83" s="42"/>
      <c r="AR83" s="43"/>
      <c r="AS83" s="43"/>
      <c r="AT83" s="43"/>
      <c r="AU83" s="43"/>
      <c r="AV83" s="43"/>
      <c r="AW83" s="43"/>
      <c r="AX83" s="43"/>
      <c r="AY83" s="43"/>
      <c r="AZ83" s="43"/>
      <c r="BH83" s="53"/>
      <c r="BI83" s="51"/>
    </row>
    <row r="84" spans="1:61" ht="18" customHeight="1">
      <c r="A84" s="38"/>
      <c r="B84" s="465">
        <v>46168</v>
      </c>
      <c r="C84" s="465"/>
      <c r="D84" s="465"/>
      <c r="E84" s="465"/>
      <c r="F84" s="288" t="s">
        <v>723</v>
      </c>
      <c r="G84" s="288"/>
      <c r="H84" s="288"/>
      <c r="I84" s="288"/>
      <c r="J84" s="288"/>
      <c r="K84" s="288"/>
      <c r="L84" s="288"/>
      <c r="M84" s="288"/>
      <c r="N84" s="288"/>
      <c r="O84" s="288"/>
      <c r="P84" s="288"/>
      <c r="Q84" s="288"/>
      <c r="R84" s="288"/>
      <c r="S84" s="288"/>
      <c r="T84" s="288"/>
      <c r="U84" s="288"/>
      <c r="V84" s="288"/>
      <c r="W84" s="288"/>
      <c r="X84" s="288"/>
      <c r="Y84" s="288"/>
      <c r="Z84" s="288"/>
      <c r="AA84" s="288"/>
      <c r="AB84" s="288"/>
      <c r="AC84" s="288"/>
      <c r="AD84" s="288"/>
      <c r="AE84" s="288"/>
      <c r="AF84" s="288"/>
      <c r="AG84" s="288"/>
      <c r="AH84" s="288"/>
      <c r="AI84" s="289"/>
      <c r="AK84" s="425"/>
      <c r="AL84" s="425"/>
      <c r="AM84" s="425"/>
      <c r="AN84" s="425"/>
      <c r="AO84" s="425"/>
      <c r="AP84" s="425"/>
      <c r="AQ84" s="42"/>
      <c r="AR84" s="43"/>
      <c r="AS84" s="43"/>
      <c r="AT84" s="43"/>
      <c r="AU84" s="43"/>
      <c r="AV84" s="43"/>
      <c r="AW84" s="43"/>
      <c r="AX84" s="43"/>
      <c r="AY84" s="43"/>
      <c r="AZ84" s="43"/>
    </row>
    <row r="85" spans="1:61" ht="18" customHeight="1">
      <c r="A85" s="38"/>
      <c r="B85" s="465"/>
      <c r="C85" s="465"/>
      <c r="D85" s="465"/>
      <c r="E85" s="465"/>
      <c r="F85" s="288"/>
      <c r="G85" s="288"/>
      <c r="H85" s="288"/>
      <c r="I85" s="288"/>
      <c r="J85" s="288"/>
      <c r="K85" s="288"/>
      <c r="L85" s="288"/>
      <c r="M85" s="288"/>
      <c r="N85" s="288"/>
      <c r="O85" s="288"/>
      <c r="P85" s="288"/>
      <c r="Q85" s="288"/>
      <c r="R85" s="288"/>
      <c r="S85" s="288"/>
      <c r="T85" s="288"/>
      <c r="U85" s="288"/>
      <c r="V85" s="288"/>
      <c r="W85" s="288"/>
      <c r="X85" s="288"/>
      <c r="Y85" s="288"/>
      <c r="Z85" s="288"/>
      <c r="AA85" s="288"/>
      <c r="AB85" s="288"/>
      <c r="AC85" s="288"/>
      <c r="AD85" s="288"/>
      <c r="AE85" s="288"/>
      <c r="AF85" s="288"/>
      <c r="AG85" s="288"/>
      <c r="AH85" s="288"/>
      <c r="AI85" s="289"/>
      <c r="AK85" s="425"/>
      <c r="AL85" s="425"/>
      <c r="AM85" s="425"/>
      <c r="AN85" s="425"/>
      <c r="AO85" s="425"/>
      <c r="AP85" s="425"/>
      <c r="AQ85" s="42"/>
      <c r="AR85" s="43"/>
      <c r="AS85" s="43"/>
      <c r="AT85" s="43"/>
      <c r="AU85" s="43"/>
      <c r="AV85" s="43"/>
      <c r="AW85" s="43"/>
      <c r="AX85" s="43"/>
      <c r="AY85" s="43"/>
      <c r="AZ85" s="43"/>
    </row>
    <row r="86" spans="1:61" ht="18" customHeight="1" thickBot="1">
      <c r="A86" s="41"/>
      <c r="B86" s="540"/>
      <c r="C86" s="540"/>
      <c r="D86" s="540"/>
      <c r="E86" s="540"/>
      <c r="F86" s="541"/>
      <c r="G86" s="541"/>
      <c r="H86" s="541"/>
      <c r="I86" s="541"/>
      <c r="J86" s="541"/>
      <c r="K86" s="541"/>
      <c r="L86" s="541"/>
      <c r="M86" s="541"/>
      <c r="N86" s="541"/>
      <c r="O86" s="541"/>
      <c r="P86" s="541"/>
      <c r="Q86" s="541"/>
      <c r="R86" s="541"/>
      <c r="S86" s="541"/>
      <c r="T86" s="541"/>
      <c r="U86" s="541"/>
      <c r="V86" s="541"/>
      <c r="W86" s="541"/>
      <c r="X86" s="541"/>
      <c r="Y86" s="541"/>
      <c r="Z86" s="541"/>
      <c r="AA86" s="541"/>
      <c r="AB86" s="541"/>
      <c r="AC86" s="541"/>
      <c r="AD86" s="541"/>
      <c r="AE86" s="541"/>
      <c r="AF86" s="541"/>
      <c r="AG86" s="541"/>
      <c r="AH86" s="541"/>
      <c r="AI86" s="542"/>
      <c r="AK86" s="425"/>
      <c r="AL86" s="425"/>
      <c r="AM86" s="425"/>
      <c r="AN86" s="425"/>
      <c r="AO86" s="425"/>
      <c r="AP86" s="425"/>
      <c r="AQ86" s="42"/>
      <c r="AR86" s="43"/>
      <c r="AS86" s="43"/>
      <c r="AT86" s="43"/>
      <c r="AU86" s="43"/>
      <c r="AV86" s="43"/>
      <c r="AW86" s="43"/>
      <c r="AX86" s="43"/>
      <c r="AY86" s="43"/>
      <c r="AZ86" s="43"/>
    </row>
    <row r="87" spans="1:61" ht="14.1" customHeight="1">
      <c r="AK87" s="438"/>
      <c r="AL87" s="438"/>
      <c r="AM87" s="438"/>
      <c r="AN87" s="438"/>
      <c r="AO87" s="438"/>
      <c r="AP87" s="438"/>
      <c r="AQ87" s="119"/>
    </row>
    <row r="88" spans="1:61" ht="14.1" customHeight="1">
      <c r="AK88" s="437"/>
      <c r="AL88" s="437"/>
      <c r="AM88" s="437"/>
      <c r="AN88" s="437"/>
      <c r="AO88" s="437"/>
      <c r="AP88" s="437"/>
      <c r="AQ88" s="120"/>
    </row>
    <row r="89" spans="1:61" ht="14.1" customHeight="1">
      <c r="AK89" s="437"/>
      <c r="AL89" s="437"/>
      <c r="AM89" s="437"/>
      <c r="AN89" s="437"/>
      <c r="AO89" s="437"/>
      <c r="AP89" s="437"/>
      <c r="AQ89" s="120"/>
    </row>
    <row r="90" spans="1:61" ht="14.1" customHeight="1"/>
    <row r="91" spans="1:61" ht="14.1" customHeight="1"/>
    <row r="92" spans="1:61" ht="14.1" customHeight="1"/>
    <row r="93" spans="1:61" ht="14.1" customHeight="1"/>
    <row r="94" spans="1:61" ht="14.1" customHeight="1"/>
    <row r="95" spans="1:61" ht="14.1" customHeight="1"/>
    <row r="96" spans="1:61" ht="14.1" customHeight="1"/>
    <row r="97" ht="14.1" customHeight="1"/>
    <row r="98" ht="14.1" customHeight="1"/>
    <row r="99" ht="14.1" customHeight="1"/>
    <row r="100" ht="14.1" customHeight="1"/>
    <row r="101" ht="14.1" customHeight="1"/>
    <row r="102" ht="14.1" customHeight="1"/>
    <row r="103" ht="14.1" customHeight="1"/>
    <row r="104" ht="14.1" customHeight="1"/>
    <row r="105" ht="14.1" customHeight="1"/>
    <row r="106" ht="14.1" customHeight="1"/>
    <row r="107" ht="14.1" customHeight="1"/>
    <row r="108" ht="14.1" customHeight="1"/>
    <row r="109" ht="14.1" customHeight="1"/>
    <row r="110" ht="14.1" customHeight="1"/>
    <row r="111" ht="14.1" customHeight="1"/>
    <row r="112" ht="14.1" customHeight="1"/>
    <row r="113" ht="14.1" customHeight="1"/>
    <row r="114" ht="14.1" customHeight="1"/>
    <row r="115" ht="14.1" customHeight="1"/>
    <row r="116" ht="14.1" customHeight="1"/>
    <row r="117" ht="14.1" customHeight="1"/>
    <row r="118" ht="14.1" customHeight="1"/>
    <row r="119" ht="14.1" customHeight="1"/>
    <row r="120" ht="14.1" customHeight="1"/>
    <row r="121" ht="14.1" customHeight="1"/>
    <row r="122" ht="14.1" customHeight="1"/>
    <row r="123" ht="14.1" customHeight="1"/>
    <row r="124" ht="14.1" customHeight="1"/>
    <row r="125" ht="14.1" customHeight="1"/>
    <row r="126" ht="14.1" customHeight="1"/>
    <row r="127" ht="14.1" customHeight="1"/>
    <row r="128" ht="14.1" customHeight="1"/>
    <row r="129" ht="14.1" customHeight="1"/>
    <row r="130" ht="14.1" customHeight="1"/>
    <row r="131" ht="14.1" customHeight="1"/>
    <row r="132" ht="14.1" customHeight="1"/>
    <row r="133" ht="14.1" customHeight="1"/>
    <row r="134" ht="14.1" customHeight="1"/>
    <row r="135" ht="14.1" customHeight="1"/>
    <row r="136" ht="14.1" customHeight="1"/>
    <row r="137" ht="14.1" customHeight="1"/>
    <row r="138" ht="14.1" customHeight="1"/>
    <row r="139" ht="14.1" customHeight="1"/>
    <row r="140" ht="14.1" customHeight="1"/>
    <row r="141" ht="14.1" customHeight="1"/>
    <row r="142" ht="14.1" customHeight="1"/>
    <row r="143" ht="14.1" customHeight="1"/>
    <row r="144" ht="14.1" customHeight="1"/>
    <row r="145" ht="14.1" customHeight="1"/>
    <row r="146" ht="14.1" customHeight="1"/>
    <row r="147" ht="14.1" customHeight="1"/>
    <row r="148" ht="14.1" customHeight="1"/>
    <row r="149" ht="14.1" customHeight="1"/>
    <row r="150" ht="14.1" customHeight="1"/>
    <row r="151" ht="14.1" customHeight="1"/>
    <row r="152" ht="14.1" customHeight="1"/>
    <row r="153" ht="14.1" customHeight="1"/>
    <row r="154" ht="14.1" customHeight="1"/>
    <row r="155" ht="14.1" customHeight="1"/>
    <row r="156" ht="14.1" customHeight="1"/>
    <row r="157" ht="14.1" customHeight="1"/>
    <row r="158" ht="14.1" customHeight="1"/>
    <row r="159" ht="14.1" customHeight="1"/>
    <row r="160" ht="14.1" customHeight="1"/>
    <row r="161" ht="14.1" customHeight="1"/>
    <row r="162" ht="14.1" customHeight="1"/>
    <row r="163" ht="14.1" customHeight="1"/>
    <row r="164" ht="14.1" customHeight="1"/>
    <row r="165" ht="14.1" customHeight="1"/>
    <row r="166" ht="14.1" customHeight="1"/>
    <row r="167" ht="14.1" customHeight="1"/>
    <row r="168" ht="14.1" customHeight="1"/>
    <row r="169" ht="14.1" customHeight="1"/>
    <row r="170" ht="14.1" customHeight="1"/>
    <row r="171" ht="14.1" customHeight="1"/>
    <row r="172" ht="14.1" customHeight="1"/>
    <row r="173" ht="14.1" customHeight="1"/>
    <row r="174" ht="14.1" customHeight="1"/>
    <row r="175" ht="14.1" customHeight="1"/>
    <row r="176" ht="14.1" customHeight="1"/>
    <row r="177" ht="14.1" customHeight="1"/>
    <row r="178" ht="14.1" customHeight="1"/>
    <row r="179" ht="14.1" customHeight="1"/>
    <row r="180" ht="14.1" customHeight="1"/>
    <row r="181" ht="14.1" customHeight="1"/>
    <row r="182" ht="14.1" customHeight="1"/>
    <row r="183" ht="14.1" customHeight="1"/>
    <row r="184" ht="14.1" customHeight="1"/>
    <row r="185" ht="14.1" customHeight="1"/>
    <row r="186" ht="14.1" customHeight="1"/>
    <row r="187" ht="14.1" customHeight="1"/>
    <row r="188" ht="14.1" customHeight="1"/>
    <row r="189" ht="14.1" customHeight="1"/>
    <row r="190" ht="14.1" customHeight="1"/>
    <row r="191" ht="14.1" customHeight="1"/>
    <row r="192" ht="14.1" customHeight="1"/>
    <row r="193" ht="14.1" customHeight="1"/>
    <row r="194" ht="14.1" customHeight="1"/>
    <row r="195" ht="14.1" customHeight="1"/>
    <row r="196" ht="14.1" customHeight="1"/>
    <row r="197" ht="14.1" customHeight="1"/>
    <row r="198" ht="14.1" customHeight="1"/>
    <row r="199" ht="14.1" customHeight="1"/>
    <row r="200" ht="14.1" customHeight="1"/>
    <row r="201" ht="14.1" customHeight="1"/>
    <row r="202" ht="14.1" customHeight="1"/>
    <row r="203" ht="14.1" customHeight="1"/>
    <row r="204" ht="14.1" customHeight="1"/>
    <row r="205" ht="14.1" customHeight="1"/>
    <row r="206" ht="14.1" customHeight="1"/>
    <row r="207" ht="14.1" customHeight="1"/>
    <row r="208" ht="14.1" customHeight="1"/>
    <row r="209" ht="14.1" customHeight="1"/>
    <row r="210" ht="14.1" customHeight="1"/>
    <row r="211" ht="14.1" customHeight="1"/>
    <row r="212" ht="14.1" customHeight="1"/>
    <row r="213" ht="14.1" customHeight="1"/>
    <row r="214" ht="14.1" customHeight="1"/>
    <row r="215" ht="14.1" customHeight="1"/>
    <row r="216" ht="14.1" customHeight="1"/>
    <row r="217" ht="14.1" customHeight="1"/>
    <row r="218" ht="14.1" customHeight="1"/>
    <row r="219" ht="14.1" customHeight="1"/>
    <row r="220" ht="14.1" customHeight="1"/>
    <row r="221" ht="14.1" customHeight="1"/>
    <row r="222" ht="14.1" customHeight="1"/>
    <row r="223" ht="14.1" customHeight="1"/>
    <row r="224" ht="14.1" customHeight="1"/>
    <row r="225" ht="14.1" customHeight="1"/>
    <row r="226" ht="14.1" customHeight="1"/>
    <row r="227" ht="14.1" customHeight="1"/>
    <row r="228" ht="14.1" customHeight="1"/>
    <row r="229" ht="14.1" customHeight="1"/>
    <row r="230" ht="14.1" customHeight="1"/>
    <row r="231" ht="14.1" customHeight="1"/>
    <row r="232" ht="14.1" customHeight="1"/>
    <row r="233" ht="14.1" customHeight="1"/>
    <row r="234" ht="14.1" customHeight="1"/>
    <row r="235" ht="14.1" customHeight="1"/>
    <row r="236" ht="14.1" customHeight="1"/>
    <row r="237" ht="14.1" customHeight="1"/>
    <row r="238" ht="14.1" customHeight="1"/>
    <row r="239" ht="14.1" customHeight="1"/>
    <row r="240" ht="14.1" customHeight="1"/>
    <row r="241" ht="14.1" customHeight="1"/>
    <row r="242" ht="14.1" customHeight="1"/>
    <row r="243" ht="14.1" customHeight="1"/>
    <row r="244" ht="14.1" customHeight="1"/>
    <row r="245" ht="14.1" customHeight="1"/>
    <row r="246" ht="14.1" customHeight="1"/>
    <row r="247" ht="14.1" customHeight="1"/>
    <row r="248" ht="14.1" customHeight="1"/>
    <row r="249" ht="14.1" customHeight="1"/>
    <row r="250" ht="14.1" customHeight="1"/>
    <row r="251" ht="14.1" customHeight="1"/>
    <row r="252" ht="14.1" customHeight="1"/>
    <row r="253" ht="14.1" customHeight="1"/>
    <row r="254" ht="14.1" customHeight="1"/>
    <row r="255" ht="14.1" customHeight="1"/>
    <row r="256" ht="14.1" customHeight="1"/>
    <row r="257" ht="14.1" customHeight="1"/>
    <row r="258" ht="14.1" customHeight="1"/>
    <row r="259" ht="14.1" customHeight="1"/>
    <row r="260" ht="14.1" customHeight="1"/>
    <row r="261" ht="14.1" customHeight="1"/>
    <row r="262" ht="14.1" customHeight="1"/>
    <row r="263" ht="14.1" customHeight="1"/>
    <row r="264" ht="14.1" customHeight="1"/>
    <row r="265" ht="14.1" customHeight="1"/>
    <row r="266" ht="14.1" customHeight="1"/>
  </sheetData>
  <sheetProtection algorithmName="SHA-512" hashValue="0loLJCJhL4ad+e9W1BFBlntzNt2hf75qC+V2eugpQkoXMOcFlTwiL5DSpVRXAf1cyQ/kgBnOXO/4cSPzCUKn4A==" saltValue="4etb9yyOEqZ9UduJqdtb6g==" spinCount="100000" sheet="1" autoFilter="0"/>
  <mergeCells count="381">
    <mergeCell ref="A1:S3"/>
    <mergeCell ref="T1:Z3"/>
    <mergeCell ref="AD1:AI1"/>
    <mergeCell ref="AD2:AF4"/>
    <mergeCell ref="AG2:AI4"/>
    <mergeCell ref="A4:S5"/>
    <mergeCell ref="AK7:AP8"/>
    <mergeCell ref="AQ7:AQ8"/>
    <mergeCell ref="V8:X8"/>
    <mergeCell ref="A9:AI9"/>
    <mergeCell ref="AK9:AP9"/>
    <mergeCell ref="A10:H10"/>
    <mergeCell ref="I10:J10"/>
    <mergeCell ref="K10:L10"/>
    <mergeCell ref="M10:T10"/>
    <mergeCell ref="U10:V10"/>
    <mergeCell ref="O7:P8"/>
    <mergeCell ref="Q7:R8"/>
    <mergeCell ref="S7:T8"/>
    <mergeCell ref="V7:X7"/>
    <mergeCell ref="Y7:AA8"/>
    <mergeCell ref="AB7:AI8"/>
    <mergeCell ref="A7:E8"/>
    <mergeCell ref="F7:F8"/>
    <mergeCell ref="G7:I8"/>
    <mergeCell ref="J7:J8"/>
    <mergeCell ref="K7:M8"/>
    <mergeCell ref="N7:N8"/>
    <mergeCell ref="W10:X10"/>
    <mergeCell ref="Y10:AF10"/>
    <mergeCell ref="AG10:AH10"/>
    <mergeCell ref="AK10:AP10"/>
    <mergeCell ref="A11:H11"/>
    <mergeCell ref="I11:J11"/>
    <mergeCell ref="K11:L11"/>
    <mergeCell ref="M11:T11"/>
    <mergeCell ref="U11:V11"/>
    <mergeCell ref="W11:X11"/>
    <mergeCell ref="Y11:AF11"/>
    <mergeCell ref="AG11:AH11"/>
    <mergeCell ref="AK11:AP11"/>
    <mergeCell ref="A12:H12"/>
    <mergeCell ref="I12:J12"/>
    <mergeCell ref="K12:L12"/>
    <mergeCell ref="M12:T12"/>
    <mergeCell ref="U12:V12"/>
    <mergeCell ref="W12:X12"/>
    <mergeCell ref="Y12:AF12"/>
    <mergeCell ref="AG12:AH12"/>
    <mergeCell ref="AK12:AP12"/>
    <mergeCell ref="A13:H13"/>
    <mergeCell ref="I13:J13"/>
    <mergeCell ref="K13:L13"/>
    <mergeCell ref="M13:T13"/>
    <mergeCell ref="U13:V13"/>
    <mergeCell ref="W13:X13"/>
    <mergeCell ref="Y13:AF13"/>
    <mergeCell ref="AG13:AH13"/>
    <mergeCell ref="AK13:AP13"/>
    <mergeCell ref="A14:AI14"/>
    <mergeCell ref="AK14:AP14"/>
    <mergeCell ref="B15:I15"/>
    <mergeCell ref="J15:L15"/>
    <mergeCell ref="M15:N15"/>
    <mergeCell ref="O15:V15"/>
    <mergeCell ref="W15:Y15"/>
    <mergeCell ref="Z15:AA15"/>
    <mergeCell ref="AB15:AG15"/>
    <mergeCell ref="A18:E18"/>
    <mergeCell ref="F18:AI18"/>
    <mergeCell ref="AK18:AP18"/>
    <mergeCell ref="B19:E19"/>
    <mergeCell ref="F19:AI19"/>
    <mergeCell ref="AK19:AP19"/>
    <mergeCell ref="AH15:AI15"/>
    <mergeCell ref="AK15:AP15"/>
    <mergeCell ref="A16:AI16"/>
    <mergeCell ref="AK16:AP16"/>
    <mergeCell ref="A17:E17"/>
    <mergeCell ref="F17:AI17"/>
    <mergeCell ref="AK17:AP17"/>
    <mergeCell ref="B20:E20"/>
    <mergeCell ref="F20:AI20"/>
    <mergeCell ref="AK20:AP20"/>
    <mergeCell ref="AR20:AR23"/>
    <mergeCell ref="B21:E21"/>
    <mergeCell ref="F21:AI21"/>
    <mergeCell ref="AK21:AP21"/>
    <mergeCell ref="B22:E22"/>
    <mergeCell ref="F22:AI22"/>
    <mergeCell ref="AK22:AP22"/>
    <mergeCell ref="BA23:BB23"/>
    <mergeCell ref="B24:E24"/>
    <mergeCell ref="F24:AI24"/>
    <mergeCell ref="AK24:AP24"/>
    <mergeCell ref="AY24:AZ24"/>
    <mergeCell ref="BA24:BB24"/>
    <mergeCell ref="AS22:AT22"/>
    <mergeCell ref="AU22:AV22"/>
    <mergeCell ref="AY22:AZ22"/>
    <mergeCell ref="BA22:BB22"/>
    <mergeCell ref="B23:E23"/>
    <mergeCell ref="F23:AI23"/>
    <mergeCell ref="AK23:AP23"/>
    <mergeCell ref="AS23:AT23"/>
    <mergeCell ref="AU23:AV23"/>
    <mergeCell ref="AY23:AZ23"/>
    <mergeCell ref="B27:E27"/>
    <mergeCell ref="F27:AI27"/>
    <mergeCell ref="AK27:AP27"/>
    <mergeCell ref="AS27:AT27"/>
    <mergeCell ref="AU27:AW27"/>
    <mergeCell ref="AY27:BB27"/>
    <mergeCell ref="B25:E25"/>
    <mergeCell ref="F25:AI25"/>
    <mergeCell ref="AK25:AP25"/>
    <mergeCell ref="AY25:AZ25"/>
    <mergeCell ref="BA25:BB25"/>
    <mergeCell ref="B26:E26"/>
    <mergeCell ref="F26:AI26"/>
    <mergeCell ref="AK26:AP26"/>
    <mergeCell ref="AS26:AW26"/>
    <mergeCell ref="BA28:BB28"/>
    <mergeCell ref="B29:E29"/>
    <mergeCell ref="F29:AI29"/>
    <mergeCell ref="AK29:AP29"/>
    <mergeCell ref="AS29:AT29"/>
    <mergeCell ref="AU29:AW29"/>
    <mergeCell ref="AY29:AZ29"/>
    <mergeCell ref="BA29:BB29"/>
    <mergeCell ref="B28:E28"/>
    <mergeCell ref="F28:AI28"/>
    <mergeCell ref="AK28:AP28"/>
    <mergeCell ref="AS28:AT28"/>
    <mergeCell ref="AU28:AW28"/>
    <mergeCell ref="AY28:AZ28"/>
    <mergeCell ref="A32:AI32"/>
    <mergeCell ref="AK32:AP32"/>
    <mergeCell ref="AS32:AT32"/>
    <mergeCell ref="AU32:AW32"/>
    <mergeCell ref="AY32:AZ32"/>
    <mergeCell ref="BA32:BB32"/>
    <mergeCell ref="BA30:BB30"/>
    <mergeCell ref="B31:E31"/>
    <mergeCell ref="F31:AI31"/>
    <mergeCell ref="AK31:AP31"/>
    <mergeCell ref="AS31:AT31"/>
    <mergeCell ref="AU31:AW31"/>
    <mergeCell ref="AY31:AZ31"/>
    <mergeCell ref="BA31:BB31"/>
    <mergeCell ref="B30:E30"/>
    <mergeCell ref="F30:AI30"/>
    <mergeCell ref="AK30:AP30"/>
    <mergeCell ref="AS30:AT30"/>
    <mergeCell ref="AU30:AW30"/>
    <mergeCell ref="AY30:AZ30"/>
    <mergeCell ref="BA33:BB33"/>
    <mergeCell ref="B34:E34"/>
    <mergeCell ref="F34:AI34"/>
    <mergeCell ref="AK34:AP34"/>
    <mergeCell ref="AS34:AT34"/>
    <mergeCell ref="AU34:AW34"/>
    <mergeCell ref="AY34:AZ34"/>
    <mergeCell ref="BA34:BB34"/>
    <mergeCell ref="B33:E33"/>
    <mergeCell ref="F33:AI33"/>
    <mergeCell ref="AK33:AP33"/>
    <mergeCell ref="AS33:AT33"/>
    <mergeCell ref="AU33:AW33"/>
    <mergeCell ref="AY33:AZ33"/>
    <mergeCell ref="AY35:AZ35"/>
    <mergeCell ref="BA35:BB35"/>
    <mergeCell ref="A36:E36"/>
    <mergeCell ref="F36:K36"/>
    <mergeCell ref="L36:O36"/>
    <mergeCell ref="P36:R36"/>
    <mergeCell ref="T36:V36"/>
    <mergeCell ref="W36:AB36"/>
    <mergeCell ref="AC36:AI36"/>
    <mergeCell ref="B35:E35"/>
    <mergeCell ref="F35:V35"/>
    <mergeCell ref="W35:AB35"/>
    <mergeCell ref="AC35:AI35"/>
    <mergeCell ref="AK35:AP35"/>
    <mergeCell ref="AS35:AT35"/>
    <mergeCell ref="AK36:AP36"/>
    <mergeCell ref="AS36:AT36"/>
    <mergeCell ref="AU36:AW36"/>
    <mergeCell ref="AU35:AW35"/>
    <mergeCell ref="A39:AI39"/>
    <mergeCell ref="AK39:AP39"/>
    <mergeCell ref="AS39:AT39"/>
    <mergeCell ref="AV39:AW39"/>
    <mergeCell ref="A38:E38"/>
    <mergeCell ref="F38:K38"/>
    <mergeCell ref="L38:O38"/>
    <mergeCell ref="P38:V38"/>
    <mergeCell ref="W38:AB38"/>
    <mergeCell ref="AC38:AI38"/>
    <mergeCell ref="AD40:AI40"/>
    <mergeCell ref="A37:E37"/>
    <mergeCell ref="F37:AI37"/>
    <mergeCell ref="AK40:AP40"/>
    <mergeCell ref="AS40:AT40"/>
    <mergeCell ref="AV40:AW40"/>
    <mergeCell ref="A41:D41"/>
    <mergeCell ref="E41:G41"/>
    <mergeCell ref="I41:K41"/>
    <mergeCell ref="L41:R41"/>
    <mergeCell ref="S41:V41"/>
    <mergeCell ref="W41:Y41"/>
    <mergeCell ref="AA41:AC41"/>
    <mergeCell ref="AD41:AI41"/>
    <mergeCell ref="AK41:AP41"/>
    <mergeCell ref="A40:D40"/>
    <mergeCell ref="E40:K40"/>
    <mergeCell ref="L40:R40"/>
    <mergeCell ref="S40:V40"/>
    <mergeCell ref="W40:AC40"/>
    <mergeCell ref="AK37:AP37"/>
    <mergeCell ref="AS37:AT37"/>
    <mergeCell ref="AU37:AW37"/>
    <mergeCell ref="AK38:AP38"/>
    <mergeCell ref="A42:D42"/>
    <mergeCell ref="E42:G42"/>
    <mergeCell ref="I42:K42"/>
    <mergeCell ref="L42:R42"/>
    <mergeCell ref="S42:V42"/>
    <mergeCell ref="W42:Y42"/>
    <mergeCell ref="AA42:AC42"/>
    <mergeCell ref="AK42:AP42"/>
    <mergeCell ref="AS42:AW42"/>
    <mergeCell ref="A43:D43"/>
    <mergeCell ref="E43:G43"/>
    <mergeCell ref="I43:K43"/>
    <mergeCell ref="L43:R43"/>
    <mergeCell ref="S43:V43"/>
    <mergeCell ref="W43:Y43"/>
    <mergeCell ref="AA43:AC43"/>
    <mergeCell ref="A44:D44"/>
    <mergeCell ref="E44:G44"/>
    <mergeCell ref="I44:K44"/>
    <mergeCell ref="L44:R44"/>
    <mergeCell ref="S44:V44"/>
    <mergeCell ref="W44:Y44"/>
    <mergeCell ref="AA44:AC44"/>
    <mergeCell ref="AD44:AI44"/>
    <mergeCell ref="AD42:AI42"/>
    <mergeCell ref="AK44:AP44"/>
    <mergeCell ref="R45:U45"/>
    <mergeCell ref="W45:X45"/>
    <mergeCell ref="Z45:AA45"/>
    <mergeCell ref="AC45:AD45"/>
    <mergeCell ref="AE45:AF45"/>
    <mergeCell ref="AK45:AP45"/>
    <mergeCell ref="AD43:AI43"/>
    <mergeCell ref="AK43:AP43"/>
    <mergeCell ref="B49:E49"/>
    <mergeCell ref="F49:AI49"/>
    <mergeCell ref="AK49:AP49"/>
    <mergeCell ref="B50:E50"/>
    <mergeCell ref="F50:AI50"/>
    <mergeCell ref="AK50:AP50"/>
    <mergeCell ref="A46:AI46"/>
    <mergeCell ref="AK46:AP46"/>
    <mergeCell ref="B47:E47"/>
    <mergeCell ref="F47:AI47"/>
    <mergeCell ref="AK47:AP47"/>
    <mergeCell ref="B48:E48"/>
    <mergeCell ref="F48:AI48"/>
    <mergeCell ref="AK48:AP48"/>
    <mergeCell ref="B53:E53"/>
    <mergeCell ref="F53:AI53"/>
    <mergeCell ref="AK53:AP53"/>
    <mergeCell ref="B54:E54"/>
    <mergeCell ref="F54:AI54"/>
    <mergeCell ref="AK54:AP54"/>
    <mergeCell ref="B51:E51"/>
    <mergeCell ref="F51:AI51"/>
    <mergeCell ref="AK51:AP51"/>
    <mergeCell ref="B52:E52"/>
    <mergeCell ref="F52:AI52"/>
    <mergeCell ref="AK52:AP52"/>
    <mergeCell ref="B57:E57"/>
    <mergeCell ref="F57:AI57"/>
    <mergeCell ref="AK57:AP57"/>
    <mergeCell ref="B58:E58"/>
    <mergeCell ref="F58:AI58"/>
    <mergeCell ref="AK58:AP58"/>
    <mergeCell ref="B55:E55"/>
    <mergeCell ref="F55:AI55"/>
    <mergeCell ref="AK55:AP55"/>
    <mergeCell ref="B56:E56"/>
    <mergeCell ref="F56:AI56"/>
    <mergeCell ref="AK56:AP56"/>
    <mergeCell ref="B61:E61"/>
    <mergeCell ref="F61:AI61"/>
    <mergeCell ref="AK61:AP61"/>
    <mergeCell ref="B62:E62"/>
    <mergeCell ref="F62:AI62"/>
    <mergeCell ref="AK62:AP62"/>
    <mergeCell ref="B59:E59"/>
    <mergeCell ref="F59:AI59"/>
    <mergeCell ref="AK59:AP59"/>
    <mergeCell ref="B60:E60"/>
    <mergeCell ref="F60:AI60"/>
    <mergeCell ref="AK60:AP60"/>
    <mergeCell ref="B65:E65"/>
    <mergeCell ref="F65:AI65"/>
    <mergeCell ref="AK65:AP65"/>
    <mergeCell ref="B66:E66"/>
    <mergeCell ref="F66:AI66"/>
    <mergeCell ref="AK66:AP66"/>
    <mergeCell ref="B63:E63"/>
    <mergeCell ref="F63:AI63"/>
    <mergeCell ref="AK63:AP63"/>
    <mergeCell ref="B64:E64"/>
    <mergeCell ref="F64:AI64"/>
    <mergeCell ref="AK64:AP64"/>
    <mergeCell ref="B69:E69"/>
    <mergeCell ref="F69:AI69"/>
    <mergeCell ref="AK69:AP69"/>
    <mergeCell ref="B70:E70"/>
    <mergeCell ref="F70:AI70"/>
    <mergeCell ref="AK70:AP70"/>
    <mergeCell ref="B67:E67"/>
    <mergeCell ref="F67:AI67"/>
    <mergeCell ref="AK67:AP67"/>
    <mergeCell ref="B68:E68"/>
    <mergeCell ref="F68:AI68"/>
    <mergeCell ref="AK68:AP68"/>
    <mergeCell ref="B73:E73"/>
    <mergeCell ref="F73:AI73"/>
    <mergeCell ref="AK73:AP73"/>
    <mergeCell ref="B74:E74"/>
    <mergeCell ref="F74:AI74"/>
    <mergeCell ref="AK74:AP74"/>
    <mergeCell ref="B71:E71"/>
    <mergeCell ref="F71:AI71"/>
    <mergeCell ref="AK71:AP71"/>
    <mergeCell ref="B72:E72"/>
    <mergeCell ref="F72:AI72"/>
    <mergeCell ref="AK72:AP72"/>
    <mergeCell ref="B77:E77"/>
    <mergeCell ref="F77:AI77"/>
    <mergeCell ref="AK77:AP77"/>
    <mergeCell ref="B78:E78"/>
    <mergeCell ref="F78:AI78"/>
    <mergeCell ref="AK78:AP78"/>
    <mergeCell ref="B75:E75"/>
    <mergeCell ref="F75:AI75"/>
    <mergeCell ref="AK75:AP75"/>
    <mergeCell ref="B76:E76"/>
    <mergeCell ref="F76:AI76"/>
    <mergeCell ref="AK76:AP76"/>
    <mergeCell ref="A81:AI81"/>
    <mergeCell ref="AK81:AP81"/>
    <mergeCell ref="B82:E82"/>
    <mergeCell ref="F82:AI82"/>
    <mergeCell ref="AK82:AP82"/>
    <mergeCell ref="B83:E83"/>
    <mergeCell ref="F83:AI83"/>
    <mergeCell ref="AK83:AP83"/>
    <mergeCell ref="B79:E79"/>
    <mergeCell ref="F79:AI79"/>
    <mergeCell ref="AK79:AP79"/>
    <mergeCell ref="B80:E80"/>
    <mergeCell ref="F80:AI80"/>
    <mergeCell ref="AK80:AP80"/>
    <mergeCell ref="B86:E86"/>
    <mergeCell ref="F86:AI86"/>
    <mergeCell ref="AK86:AP86"/>
    <mergeCell ref="AK87:AP87"/>
    <mergeCell ref="AK88:AP88"/>
    <mergeCell ref="AK89:AP89"/>
    <mergeCell ref="B84:E84"/>
    <mergeCell ref="F84:AI84"/>
    <mergeCell ref="AK84:AP84"/>
    <mergeCell ref="B85:E85"/>
    <mergeCell ref="F85:AI85"/>
    <mergeCell ref="AK85:AP85"/>
  </mergeCells>
  <phoneticPr fontId="2"/>
  <conditionalFormatting sqref="AQ20:AQ28 AQ30:AQ31 AQ9 AQ11:AQ12 AQ14 AQ33:AQ34">
    <cfRule type="containsBlanks" dxfId="311" priority="12">
      <formula>LEN(TRIM(AQ9))=0</formula>
    </cfRule>
  </conditionalFormatting>
  <conditionalFormatting sqref="BC11:CF11">
    <cfRule type="containsText" dxfId="310" priority="8" operator="containsText" text="青">
      <formula>NOT(ISERROR(SEARCH("青",BC11)))</formula>
    </cfRule>
    <cfRule type="containsText" dxfId="309" priority="9" operator="containsText" text="緑">
      <formula>NOT(ISERROR(SEARCH("緑",BC11)))</formula>
    </cfRule>
    <cfRule type="containsText" dxfId="308" priority="10" operator="containsText" text="黄">
      <formula>NOT(ISERROR(SEARCH("黄",BC11)))</formula>
    </cfRule>
    <cfRule type="containsText" dxfId="307" priority="11" operator="containsText" text="赤">
      <formula>NOT(ISERROR(SEARCH("赤",BC11)))</formula>
    </cfRule>
  </conditionalFormatting>
  <conditionalFormatting sqref="V7:X8">
    <cfRule type="containsBlanks" dxfId="306" priority="7">
      <formula>LEN(TRIM(V7))=0</formula>
    </cfRule>
  </conditionalFormatting>
  <conditionalFormatting sqref="AB7:AI8">
    <cfRule type="containsBlanks" dxfId="305" priority="6">
      <formula>LEN(TRIM(AB7))=0</formula>
    </cfRule>
  </conditionalFormatting>
  <conditionalFormatting sqref="A7:E8 G7:I8 K7:M8 O7:P8">
    <cfRule type="containsBlanks" dxfId="304" priority="5">
      <formula>LEN(TRIM(A7))=0</formula>
    </cfRule>
  </conditionalFormatting>
  <conditionalFormatting sqref="W15:Y15 AH15:AI15 J15:L15">
    <cfRule type="containsBlanks" dxfId="303" priority="4">
      <formula>LEN(TRIM(J15))=0</formula>
    </cfRule>
  </conditionalFormatting>
  <conditionalFormatting sqref="L41:R44">
    <cfRule type="cellIs" dxfId="302" priority="1" operator="equal">
      <formula>0</formula>
    </cfRule>
  </conditionalFormatting>
  <conditionalFormatting sqref="P36:R36 T36:V36 L38:O38 AC38:AI38 AC36:AI36">
    <cfRule type="containsBlanks" dxfId="301" priority="3">
      <formula>LEN(TRIM(L36))=0</formula>
    </cfRule>
  </conditionalFormatting>
  <conditionalFormatting sqref="W41:Y44 AA41:AI44">
    <cfRule type="cellIs" dxfId="300" priority="2" operator="equal">
      <formula>0</formula>
    </cfRule>
  </conditionalFormatting>
  <printOptions horizontalCentered="1" verticalCentered="1"/>
  <pageMargins left="0.70866141732283472" right="0.59055118110236227" top="0.55118110236220474" bottom="0.55118110236220474" header="0.31496062992125984" footer="0.31496062992125984"/>
  <pageSetup paperSize="9" orientation="portrait" horizontalDpi="300" verticalDpi="300" r:id="rId1"/>
  <headerFooter scaleWithDoc="0" alignWithMargins="0">
    <oddFooter>&amp;C&amp;P&amp;Rヒトトヒト株式会社</oddFooter>
  </headerFooter>
  <rowBreaks count="1" manualBreakCount="1">
    <brk id="44" max="34" man="1"/>
  </rowBreaks>
  <drawing r:id="rId2"/>
  <extLst>
    <ext xmlns:x14="http://schemas.microsoft.com/office/spreadsheetml/2009/9/main" uri="{CCE6A557-97BC-4b89-ADB6-D9C93CAAB3DF}">
      <x14:dataValidations xmlns:xm="http://schemas.microsoft.com/office/excel/2006/main" count="6">
        <x14:dataValidation type="list" allowBlank="1" showInputMessage="1" showErrorMessage="1" xr:uid="{4CBB19DA-C107-4221-A27C-EA18576CED29}">
          <x14:formula1>
            <xm:f>初期値!$C$12:$C$27</xm:f>
          </x14:formula1>
          <xm:sqref>P36:R36 T36:V36</xm:sqref>
        </x14:dataValidation>
        <x14:dataValidation type="list" allowBlank="1" showInputMessage="1" showErrorMessage="1" xr:uid="{B89F1D56-BB6F-459F-8E15-6CD7F6ECBEC3}">
          <x14:formula1>
            <xm:f>初期値!$G$12:$G$24</xm:f>
          </x14:formula1>
          <xm:sqref>V7:X8</xm:sqref>
        </x14:dataValidation>
        <x14:dataValidation type="list" allowBlank="1" showInputMessage="1" showErrorMessage="1" xr:uid="{01849AD9-615D-43B4-9D42-89DACD34CA0D}">
          <x14:formula1>
            <xm:f>初期値!$E$12:$E$13</xm:f>
          </x14:formula1>
          <xm:sqref>L38:O38 AC38:AI38 AC36:AI36</xm:sqref>
        </x14:dataValidation>
        <x14:dataValidation type="list" allowBlank="1" showInputMessage="1" showErrorMessage="1" xr:uid="{CC1F6571-361C-4BAD-8D93-42B73581CC35}">
          <x14:formula1>
            <xm:f>初期値!$N$22:$N$23</xm:f>
          </x14:formula1>
          <xm:sqref>AW23</xm:sqref>
        </x14:dataValidation>
        <x14:dataValidation type="list" allowBlank="1" showInputMessage="1" showErrorMessage="1" xr:uid="{A6E793C1-09CE-4079-AB03-6A6749ED8FFD}">
          <x14:formula1>
            <xm:f>初期値!$P$12:$P$27</xm:f>
          </x14:formula1>
          <xm:sqref>BA24:BB24 BA22:BB22 BA28:BB28 BA30:BB30 BA32:BB32 BA34:BB34</xm:sqref>
        </x14:dataValidation>
        <x14:dataValidation type="list" allowBlank="1" showInputMessage="1" showErrorMessage="1" xr:uid="{7F731930-53A7-4584-84DA-950D81ADD36C}">
          <x14:formula1>
            <xm:f>初期値!$N$12:$N$19</xm:f>
          </x14:formula1>
          <xm:sqref>AU22:AV22</xm:sqref>
        </x14:dataValidation>
      </x14:dataValidations>
    </ext>
  </extLst>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6213B66-3677-426A-8B1A-3A04B7B40FAA}">
  <sheetPr codeName="Sheet14"/>
  <dimension ref="A1:CG266"/>
  <sheetViews>
    <sheetView topLeftCell="A4" zoomScaleNormal="100" zoomScaleSheetLayoutView="100" workbookViewId="0">
      <selection activeCell="AU29" sqref="AU29:AW30"/>
    </sheetView>
  </sheetViews>
  <sheetFormatPr defaultColWidth="8.875" defaultRowHeight="13.5"/>
  <cols>
    <col min="1" max="42" width="2.25" style="23" customWidth="1"/>
    <col min="43" max="43" width="6" style="23" bestFit="1" customWidth="1"/>
    <col min="44" max="44" width="4.5" style="23" bestFit="1" customWidth="1"/>
    <col min="45" max="45" width="6" style="23" bestFit="1" customWidth="1"/>
    <col min="46" max="46" width="4.5" style="23" bestFit="1" customWidth="1"/>
    <col min="47" max="47" width="9" style="23" bestFit="1" customWidth="1"/>
    <col min="48" max="48" width="8.5" style="23" bestFit="1" customWidth="1"/>
    <col min="49" max="49" width="7.5" style="23" bestFit="1" customWidth="1"/>
    <col min="50" max="50" width="6.5" style="23" bestFit="1" customWidth="1"/>
    <col min="51" max="51" width="7.5" style="23" bestFit="1" customWidth="1"/>
    <col min="52" max="52" width="2.125" style="23" customWidth="1"/>
    <col min="53" max="54" width="7.375" style="23" customWidth="1"/>
    <col min="55" max="63" width="3.625" style="23" bestFit="1" customWidth="1"/>
    <col min="64" max="84" width="4" style="23" bestFit="1" customWidth="1"/>
    <col min="85" max="16384" width="8.875" style="23"/>
  </cols>
  <sheetData>
    <row r="1" spans="1:85" ht="14.1" customHeight="1">
      <c r="A1" s="510" t="s">
        <v>551</v>
      </c>
      <c r="B1" s="510"/>
      <c r="C1" s="510"/>
      <c r="D1" s="510"/>
      <c r="E1" s="510"/>
      <c r="F1" s="510"/>
      <c r="G1" s="510"/>
      <c r="H1" s="510"/>
      <c r="I1" s="510"/>
      <c r="J1" s="510"/>
      <c r="K1" s="510"/>
      <c r="L1" s="510"/>
      <c r="M1" s="510"/>
      <c r="N1" s="510"/>
      <c r="O1" s="510"/>
      <c r="P1" s="510"/>
      <c r="Q1" s="510"/>
      <c r="R1" s="510"/>
      <c r="S1" s="510"/>
      <c r="T1" s="388"/>
      <c r="U1" s="388"/>
      <c r="V1" s="388"/>
      <c r="W1" s="388"/>
      <c r="X1" s="388"/>
      <c r="Y1" s="388"/>
      <c r="Z1" s="388"/>
      <c r="AA1" s="24"/>
      <c r="AB1" s="32"/>
      <c r="AD1" s="252" t="s">
        <v>167</v>
      </c>
      <c r="AE1" s="252"/>
      <c r="AF1" s="252"/>
      <c r="AG1" s="252"/>
      <c r="AH1" s="252"/>
      <c r="AI1" s="252"/>
      <c r="AM1" s="123">
        <v>7</v>
      </c>
      <c r="BB1"/>
    </row>
    <row r="2" spans="1:85" ht="14.1" customHeight="1">
      <c r="A2" s="510"/>
      <c r="B2" s="510"/>
      <c r="C2" s="510"/>
      <c r="D2" s="510"/>
      <c r="E2" s="510"/>
      <c r="F2" s="510"/>
      <c r="G2" s="510"/>
      <c r="H2" s="510"/>
      <c r="I2" s="510"/>
      <c r="J2" s="510"/>
      <c r="K2" s="510"/>
      <c r="L2" s="510"/>
      <c r="M2" s="510"/>
      <c r="N2" s="510"/>
      <c r="O2" s="510"/>
      <c r="P2" s="510"/>
      <c r="Q2" s="510"/>
      <c r="R2" s="510"/>
      <c r="S2" s="510"/>
      <c r="T2" s="388"/>
      <c r="U2" s="388"/>
      <c r="V2" s="388"/>
      <c r="W2" s="388"/>
      <c r="X2" s="388"/>
      <c r="Y2" s="388"/>
      <c r="Z2" s="388"/>
      <c r="AA2" s="25"/>
      <c r="AB2" s="31"/>
      <c r="AD2" s="253"/>
      <c r="AE2" s="253"/>
      <c r="AF2" s="253"/>
      <c r="AG2" s="253"/>
      <c r="AH2" s="253"/>
      <c r="AI2" s="253"/>
      <c r="BA2"/>
    </row>
    <row r="3" spans="1:85" ht="14.1" customHeight="1">
      <c r="A3" s="510"/>
      <c r="B3" s="510"/>
      <c r="C3" s="510"/>
      <c r="D3" s="510"/>
      <c r="E3" s="510"/>
      <c r="F3" s="510"/>
      <c r="G3" s="510"/>
      <c r="H3" s="510"/>
      <c r="I3" s="510"/>
      <c r="J3" s="510"/>
      <c r="K3" s="510"/>
      <c r="L3" s="510"/>
      <c r="M3" s="510"/>
      <c r="N3" s="510"/>
      <c r="O3" s="510"/>
      <c r="P3" s="510"/>
      <c r="Q3" s="510"/>
      <c r="R3" s="510"/>
      <c r="S3" s="510"/>
      <c r="T3" s="388"/>
      <c r="U3" s="388"/>
      <c r="V3" s="388"/>
      <c r="W3" s="388"/>
      <c r="X3" s="388"/>
      <c r="Y3" s="388"/>
      <c r="Z3" s="388"/>
      <c r="AA3" s="25"/>
      <c r="AB3" s="31"/>
      <c r="AD3" s="253"/>
      <c r="AE3" s="253"/>
      <c r="AF3" s="253"/>
      <c r="AG3" s="253"/>
      <c r="AH3" s="253"/>
      <c r="AI3" s="253"/>
      <c r="BA3"/>
    </row>
    <row r="4" spans="1:85" ht="14.1" customHeight="1">
      <c r="A4" s="395" t="s">
        <v>552</v>
      </c>
      <c r="B4" s="395"/>
      <c r="C4" s="395"/>
      <c r="D4" s="395"/>
      <c r="E4" s="395"/>
      <c r="F4" s="395"/>
      <c r="G4" s="395"/>
      <c r="H4" s="395"/>
      <c r="I4" s="395"/>
      <c r="J4" s="395"/>
      <c r="K4" s="395"/>
      <c r="L4" s="395"/>
      <c r="M4" s="395"/>
      <c r="N4" s="395"/>
      <c r="O4" s="395"/>
      <c r="P4" s="395"/>
      <c r="Q4" s="395"/>
      <c r="R4" s="395"/>
      <c r="S4" s="395"/>
      <c r="T4" s="155"/>
      <c r="U4" s="155"/>
      <c r="V4" s="155"/>
      <c r="W4" s="155"/>
      <c r="X4" s="155"/>
      <c r="Y4" s="155"/>
      <c r="Z4" s="155"/>
      <c r="AA4" s="26"/>
      <c r="AB4" s="31"/>
      <c r="AD4" s="253"/>
      <c r="AE4" s="253"/>
      <c r="AF4" s="253"/>
      <c r="AG4" s="253"/>
      <c r="AH4" s="253"/>
      <c r="AI4" s="253"/>
      <c r="BA4"/>
    </row>
    <row r="5" spans="1:85" ht="14.1" customHeight="1">
      <c r="A5" s="395"/>
      <c r="B5" s="395"/>
      <c r="C5" s="395"/>
      <c r="D5" s="395"/>
      <c r="E5" s="395"/>
      <c r="F5" s="395"/>
      <c r="G5" s="395"/>
      <c r="H5" s="395"/>
      <c r="I5" s="395"/>
      <c r="J5" s="395"/>
      <c r="K5" s="395"/>
      <c r="L5" s="395"/>
      <c r="M5" s="395"/>
      <c r="N5" s="395"/>
      <c r="O5" s="395"/>
      <c r="P5" s="395"/>
      <c r="Q5" s="395"/>
      <c r="R5" s="395"/>
      <c r="S5" s="395"/>
      <c r="T5" s="155"/>
      <c r="U5" s="155"/>
      <c r="V5" s="155"/>
      <c r="W5" s="155"/>
      <c r="X5" s="155"/>
      <c r="Y5" s="155"/>
      <c r="Z5" s="155"/>
      <c r="AA5" s="26"/>
      <c r="AB5" s="31"/>
      <c r="AC5" s="31"/>
      <c r="AD5" s="31"/>
      <c r="AE5" s="31"/>
      <c r="AF5" s="31"/>
      <c r="AG5" s="31"/>
      <c r="AH5" s="31"/>
      <c r="AI5" s="31"/>
      <c r="BA5"/>
    </row>
    <row r="6" spans="1:85" ht="14.1" customHeight="1" thickBot="1">
      <c r="A6" s="27"/>
      <c r="B6" s="27"/>
      <c r="C6" s="27"/>
      <c r="D6" s="27"/>
      <c r="E6" s="27"/>
      <c r="F6" s="27"/>
      <c r="G6" s="27"/>
      <c r="H6" s="27"/>
      <c r="I6" s="27"/>
      <c r="BA6"/>
    </row>
    <row r="7" spans="1:85" ht="12" customHeight="1">
      <c r="A7" s="255">
        <f>DATE(初期値!A2,初期値!A3,AM1)</f>
        <v>46180</v>
      </c>
      <c r="B7" s="256"/>
      <c r="C7" s="256"/>
      <c r="D7" s="256"/>
      <c r="E7" s="256"/>
      <c r="F7" s="259" t="s">
        <v>169</v>
      </c>
      <c r="G7" s="236">
        <f>$A$7</f>
        <v>46180</v>
      </c>
      <c r="H7" s="236"/>
      <c r="I7" s="236"/>
      <c r="J7" s="239" t="s">
        <v>170</v>
      </c>
      <c r="K7" s="261">
        <f>$A$7</f>
        <v>46180</v>
      </c>
      <c r="L7" s="261"/>
      <c r="M7" s="261"/>
      <c r="N7" s="239" t="s">
        <v>3</v>
      </c>
      <c r="O7" s="520">
        <f>$A$7</f>
        <v>46180</v>
      </c>
      <c r="P7" s="520"/>
      <c r="Q7" s="239" t="s">
        <v>292</v>
      </c>
      <c r="R7" s="240"/>
      <c r="S7" s="522" t="s">
        <v>553</v>
      </c>
      <c r="T7" s="244"/>
      <c r="U7" s="29" t="s">
        <v>554</v>
      </c>
      <c r="V7" s="518" t="s">
        <v>37</v>
      </c>
      <c r="W7" s="518"/>
      <c r="X7" s="518"/>
      <c r="Y7" s="511" t="s">
        <v>555</v>
      </c>
      <c r="Z7" s="512"/>
      <c r="AA7" s="513"/>
      <c r="AB7" s="244" t="str">
        <f>L43</f>
        <v>片山薫</v>
      </c>
      <c r="AC7" s="244"/>
      <c r="AD7" s="244"/>
      <c r="AE7" s="244"/>
      <c r="AF7" s="244"/>
      <c r="AG7" s="244"/>
      <c r="AH7" s="244"/>
      <c r="AI7" s="245"/>
      <c r="AK7" s="425" t="s">
        <v>556</v>
      </c>
      <c r="AL7" s="425"/>
      <c r="AM7" s="425"/>
      <c r="AN7" s="425"/>
      <c r="AO7" s="425"/>
      <c r="AP7" s="425"/>
      <c r="AQ7" s="439" t="s">
        <v>557</v>
      </c>
      <c r="AR7" s="43"/>
      <c r="AS7" s="43"/>
      <c r="AT7" s="43"/>
      <c r="AU7" s="43"/>
      <c r="AV7" s="43"/>
      <c r="AW7" s="43"/>
      <c r="AX7" s="43"/>
      <c r="AY7" s="43"/>
      <c r="AZ7" s="43"/>
      <c r="BA7"/>
    </row>
    <row r="8" spans="1:85" ht="12" customHeight="1" thickBot="1">
      <c r="A8" s="257"/>
      <c r="B8" s="258"/>
      <c r="C8" s="258"/>
      <c r="D8" s="258"/>
      <c r="E8" s="258"/>
      <c r="F8" s="260"/>
      <c r="G8" s="237"/>
      <c r="H8" s="237"/>
      <c r="I8" s="237"/>
      <c r="J8" s="242"/>
      <c r="K8" s="262"/>
      <c r="L8" s="262"/>
      <c r="M8" s="262"/>
      <c r="N8" s="242"/>
      <c r="O8" s="521"/>
      <c r="P8" s="521"/>
      <c r="Q8" s="242"/>
      <c r="R8" s="243"/>
      <c r="S8" s="523"/>
      <c r="T8" s="246"/>
      <c r="U8" s="33" t="s">
        <v>558</v>
      </c>
      <c r="V8" s="519" t="s">
        <v>63</v>
      </c>
      <c r="W8" s="519"/>
      <c r="X8" s="519"/>
      <c r="Y8" s="514"/>
      <c r="Z8" s="515"/>
      <c r="AA8" s="516"/>
      <c r="AB8" s="246"/>
      <c r="AC8" s="246"/>
      <c r="AD8" s="246"/>
      <c r="AE8" s="246"/>
      <c r="AF8" s="246"/>
      <c r="AG8" s="246"/>
      <c r="AH8" s="246"/>
      <c r="AI8" s="247"/>
      <c r="AK8" s="425"/>
      <c r="AL8" s="425"/>
      <c r="AM8" s="425"/>
      <c r="AN8" s="425"/>
      <c r="AO8" s="425"/>
      <c r="AP8" s="425"/>
      <c r="AQ8" s="439"/>
      <c r="AR8" s="43"/>
      <c r="AS8" s="43"/>
      <c r="AT8" s="43"/>
      <c r="AU8" s="43"/>
      <c r="AV8" s="43"/>
      <c r="AW8" s="43"/>
      <c r="AX8" s="43"/>
      <c r="AY8" s="43"/>
      <c r="AZ8" s="43"/>
      <c r="BA8"/>
    </row>
    <row r="9" spans="1:85" ht="18" customHeight="1">
      <c r="A9" s="507" t="s">
        <v>559</v>
      </c>
      <c r="B9" s="508"/>
      <c r="C9" s="508"/>
      <c r="D9" s="508"/>
      <c r="E9" s="508"/>
      <c r="F9" s="508"/>
      <c r="G9" s="508"/>
      <c r="H9" s="508"/>
      <c r="I9" s="508"/>
      <c r="J9" s="508"/>
      <c r="K9" s="508"/>
      <c r="L9" s="508"/>
      <c r="M9" s="508"/>
      <c r="N9" s="508"/>
      <c r="O9" s="508"/>
      <c r="P9" s="508"/>
      <c r="Q9" s="508"/>
      <c r="R9" s="508"/>
      <c r="S9" s="508"/>
      <c r="T9" s="508"/>
      <c r="U9" s="508"/>
      <c r="V9" s="508"/>
      <c r="W9" s="508"/>
      <c r="X9" s="508"/>
      <c r="Y9" s="508"/>
      <c r="Z9" s="508"/>
      <c r="AA9" s="508"/>
      <c r="AB9" s="508"/>
      <c r="AC9" s="508"/>
      <c r="AD9" s="508"/>
      <c r="AE9" s="508"/>
      <c r="AF9" s="508"/>
      <c r="AG9" s="508"/>
      <c r="AH9" s="508"/>
      <c r="AI9" s="509"/>
      <c r="AK9" s="440" t="s">
        <v>560</v>
      </c>
      <c r="AL9" s="440"/>
      <c r="AM9" s="440"/>
      <c r="AN9" s="440"/>
      <c r="AO9" s="440"/>
      <c r="AP9" s="440"/>
      <c r="AQ9" s="42">
        <v>6</v>
      </c>
      <c r="AR9" s="43"/>
      <c r="AS9" s="44" t="s">
        <v>561</v>
      </c>
      <c r="AT9" s="44" t="s">
        <v>562</v>
      </c>
      <c r="AU9" s="44" t="s">
        <v>563</v>
      </c>
      <c r="AV9" s="44" t="s">
        <v>564</v>
      </c>
      <c r="AW9" s="45" t="s">
        <v>565</v>
      </c>
      <c r="AX9" s="45" t="s">
        <v>566</v>
      </c>
      <c r="AY9" s="44" t="s">
        <v>567</v>
      </c>
      <c r="AZ9" s="43"/>
      <c r="BB9" s="49" t="s">
        <v>568</v>
      </c>
      <c r="BC9" s="43"/>
      <c r="BD9" s="43"/>
      <c r="BE9" s="43"/>
      <c r="BF9" s="43"/>
      <c r="BG9" s="43"/>
      <c r="BH9" s="43"/>
      <c r="BI9" s="43"/>
      <c r="BJ9" s="43"/>
      <c r="BK9" s="43"/>
      <c r="BL9" s="43"/>
      <c r="BM9" s="43"/>
      <c r="BN9" s="43"/>
      <c r="BO9" s="43"/>
      <c r="BP9" s="43"/>
      <c r="BQ9" s="43"/>
      <c r="BR9" s="43"/>
      <c r="BS9" s="43"/>
      <c r="BT9" s="43"/>
      <c r="BU9" s="43"/>
      <c r="BV9" s="43"/>
      <c r="BW9" s="43"/>
      <c r="BX9" s="43"/>
      <c r="BY9" s="43"/>
      <c r="BZ9" s="43"/>
      <c r="CA9" s="43"/>
      <c r="CB9" s="43"/>
      <c r="CC9" s="43"/>
      <c r="CD9" s="43"/>
      <c r="CE9" s="43"/>
      <c r="CF9" s="43"/>
      <c r="CG9" s="43"/>
    </row>
    <row r="10" spans="1:85" ht="18" customHeight="1">
      <c r="A10" s="265" t="s">
        <v>569</v>
      </c>
      <c r="B10" s="266"/>
      <c r="C10" s="266"/>
      <c r="D10" s="266"/>
      <c r="E10" s="266"/>
      <c r="F10" s="266"/>
      <c r="G10" s="266"/>
      <c r="H10" s="266"/>
      <c r="I10" s="264">
        <f>AQ14</f>
        <v>2</v>
      </c>
      <c r="J10" s="264"/>
      <c r="K10" s="267" t="s">
        <v>176</v>
      </c>
      <c r="L10" s="268"/>
      <c r="M10" s="269" t="s">
        <v>570</v>
      </c>
      <c r="N10" s="266"/>
      <c r="O10" s="266"/>
      <c r="P10" s="266"/>
      <c r="Q10" s="266"/>
      <c r="R10" s="266"/>
      <c r="S10" s="266"/>
      <c r="T10" s="266"/>
      <c r="U10" s="264">
        <f>AQ37</f>
        <v>0</v>
      </c>
      <c r="V10" s="264"/>
      <c r="W10" s="267" t="s">
        <v>176</v>
      </c>
      <c r="X10" s="268"/>
      <c r="Y10" s="269" t="s">
        <v>571</v>
      </c>
      <c r="Z10" s="266"/>
      <c r="AA10" s="266"/>
      <c r="AB10" s="266"/>
      <c r="AC10" s="266"/>
      <c r="AD10" s="266"/>
      <c r="AE10" s="266"/>
      <c r="AF10" s="266"/>
      <c r="AG10" s="264">
        <f>AQ26+AQ25</f>
        <v>0</v>
      </c>
      <c r="AH10" s="264"/>
      <c r="AI10" s="28" t="s">
        <v>176</v>
      </c>
      <c r="AK10" s="440" t="s">
        <v>572</v>
      </c>
      <c r="AL10" s="440"/>
      <c r="AM10" s="440"/>
      <c r="AN10" s="440"/>
      <c r="AO10" s="440"/>
      <c r="AP10" s="440"/>
      <c r="AQ10" s="42"/>
      <c r="AR10" s="43"/>
      <c r="AS10" s="46">
        <v>1</v>
      </c>
      <c r="AT10" s="46"/>
      <c r="AU10" s="46" t="s">
        <v>80</v>
      </c>
      <c r="AV10" s="47" t="s">
        <v>573</v>
      </c>
      <c r="AW10" s="47" t="s">
        <v>574</v>
      </c>
      <c r="AX10" s="47">
        <v>0.33333333333333331</v>
      </c>
      <c r="AY10" s="47">
        <v>0.83333333333333337</v>
      </c>
      <c r="AZ10" s="43"/>
      <c r="BB10" s="49" t="s">
        <v>95</v>
      </c>
      <c r="BC10" s="120">
        <v>1</v>
      </c>
      <c r="BD10" s="120">
        <v>2</v>
      </c>
      <c r="BE10" s="120">
        <v>3</v>
      </c>
      <c r="BF10" s="120">
        <v>4</v>
      </c>
      <c r="BG10" s="120">
        <v>5</v>
      </c>
      <c r="BH10" s="120">
        <v>6</v>
      </c>
      <c r="BI10" s="120">
        <v>7</v>
      </c>
      <c r="BJ10" s="120">
        <v>8</v>
      </c>
      <c r="BK10" s="120">
        <v>9</v>
      </c>
      <c r="BL10" s="120">
        <v>10</v>
      </c>
      <c r="BM10" s="120">
        <v>11</v>
      </c>
      <c r="BN10" s="120">
        <v>12</v>
      </c>
      <c r="BO10" s="120">
        <v>13</v>
      </c>
      <c r="BP10" s="120">
        <v>14</v>
      </c>
      <c r="BQ10" s="120">
        <v>15</v>
      </c>
      <c r="BR10" s="120">
        <v>16</v>
      </c>
      <c r="BS10" s="120">
        <v>17</v>
      </c>
      <c r="BT10" s="120">
        <v>18</v>
      </c>
      <c r="BU10" s="120">
        <v>19</v>
      </c>
      <c r="BV10" s="120">
        <v>20</v>
      </c>
      <c r="BW10" s="120">
        <v>21</v>
      </c>
      <c r="BX10" s="120">
        <v>22</v>
      </c>
      <c r="BY10" s="120">
        <v>23</v>
      </c>
      <c r="BZ10" s="120">
        <v>24</v>
      </c>
      <c r="CA10" s="120">
        <v>25</v>
      </c>
      <c r="CB10" s="120">
        <v>26</v>
      </c>
      <c r="CC10" s="120">
        <v>27</v>
      </c>
      <c r="CD10" s="120">
        <v>28</v>
      </c>
      <c r="CE10" s="120">
        <v>29</v>
      </c>
      <c r="CF10" s="120">
        <v>30</v>
      </c>
      <c r="CG10" s="43"/>
    </row>
    <row r="11" spans="1:85" ht="18" customHeight="1">
      <c r="A11" s="265" t="s">
        <v>575</v>
      </c>
      <c r="B11" s="266"/>
      <c r="C11" s="266"/>
      <c r="D11" s="266"/>
      <c r="E11" s="266"/>
      <c r="F11" s="266"/>
      <c r="G11" s="266"/>
      <c r="H11" s="266"/>
      <c r="I11" s="264">
        <f>AQ27</f>
        <v>0</v>
      </c>
      <c r="J11" s="264"/>
      <c r="K11" s="267" t="s">
        <v>176</v>
      </c>
      <c r="L11" s="268"/>
      <c r="M11" s="269" t="s">
        <v>576</v>
      </c>
      <c r="N11" s="266"/>
      <c r="O11" s="266"/>
      <c r="P11" s="266"/>
      <c r="Q11" s="266"/>
      <c r="R11" s="266"/>
      <c r="S11" s="266"/>
      <c r="T11" s="266"/>
      <c r="U11" s="264">
        <f>AQ36</f>
        <v>0</v>
      </c>
      <c r="V11" s="264"/>
      <c r="W11" s="267" t="s">
        <v>176</v>
      </c>
      <c r="X11" s="268"/>
      <c r="Y11" s="269" t="s">
        <v>577</v>
      </c>
      <c r="Z11" s="266"/>
      <c r="AA11" s="266"/>
      <c r="AB11" s="266"/>
      <c r="AC11" s="266"/>
      <c r="AD11" s="266"/>
      <c r="AE11" s="266"/>
      <c r="AF11" s="266"/>
      <c r="AG11" s="264">
        <f>AQ34</f>
        <v>0</v>
      </c>
      <c r="AH11" s="264"/>
      <c r="AI11" s="28" t="s">
        <v>176</v>
      </c>
      <c r="AK11" s="441" t="s">
        <v>578</v>
      </c>
      <c r="AL11" s="442"/>
      <c r="AM11" s="442"/>
      <c r="AN11" s="442"/>
      <c r="AO11" s="442"/>
      <c r="AP11" s="443"/>
      <c r="AQ11" s="42">
        <v>25</v>
      </c>
      <c r="AR11" s="43"/>
      <c r="AS11" s="46">
        <v>2</v>
      </c>
      <c r="AT11" s="46"/>
      <c r="AU11" s="46"/>
      <c r="AV11" s="47" t="s">
        <v>579</v>
      </c>
      <c r="AW11" s="47" t="s">
        <v>580</v>
      </c>
      <c r="AX11" s="47">
        <v>0.33333333333333331</v>
      </c>
      <c r="AY11" s="47">
        <v>0.58333333333333337</v>
      </c>
      <c r="AZ11" s="43"/>
      <c r="BB11" s="121" t="s">
        <v>581</v>
      </c>
      <c r="BC11" s="138" t="s">
        <v>582</v>
      </c>
      <c r="BD11" s="138" t="s">
        <v>583</v>
      </c>
      <c r="BE11" s="138" t="s">
        <v>584</v>
      </c>
      <c r="BF11" s="138" t="s">
        <v>585</v>
      </c>
      <c r="BG11" s="139" t="s">
        <v>584</v>
      </c>
      <c r="BH11" s="138" t="s">
        <v>582</v>
      </c>
      <c r="BI11" s="138" t="s">
        <v>585</v>
      </c>
      <c r="BJ11" s="138" t="s">
        <v>583</v>
      </c>
      <c r="BK11" s="138" t="s">
        <v>584</v>
      </c>
      <c r="BL11" s="138" t="s">
        <v>583</v>
      </c>
      <c r="BM11" s="138" t="s">
        <v>585</v>
      </c>
      <c r="BN11" s="138" t="s">
        <v>582</v>
      </c>
      <c r="BO11" s="138" t="s">
        <v>584</v>
      </c>
      <c r="BP11" s="138" t="s">
        <v>585</v>
      </c>
      <c r="BQ11" s="138" t="s">
        <v>583</v>
      </c>
      <c r="BR11" s="138" t="s">
        <v>585</v>
      </c>
      <c r="BS11" s="138" t="s">
        <v>584</v>
      </c>
      <c r="BT11" s="138" t="s">
        <v>582</v>
      </c>
      <c r="BU11" s="138" t="s">
        <v>583</v>
      </c>
      <c r="BV11" s="138" t="s">
        <v>585</v>
      </c>
      <c r="BW11" s="138" t="s">
        <v>582</v>
      </c>
      <c r="BX11" s="138" t="s">
        <v>584</v>
      </c>
      <c r="BY11" s="138" t="s">
        <v>585</v>
      </c>
      <c r="BZ11" s="138" t="s">
        <v>583</v>
      </c>
      <c r="CA11" s="138" t="s">
        <v>582</v>
      </c>
      <c r="CB11" s="138" t="s">
        <v>585</v>
      </c>
      <c r="CC11" s="138" t="s">
        <v>584</v>
      </c>
      <c r="CD11" s="138" t="s">
        <v>582</v>
      </c>
      <c r="CE11" s="138" t="s">
        <v>585</v>
      </c>
      <c r="CF11" s="138" t="s">
        <v>583</v>
      </c>
      <c r="CG11" s="43"/>
    </row>
    <row r="12" spans="1:85" ht="18" customHeight="1">
      <c r="A12" s="265" t="s">
        <v>586</v>
      </c>
      <c r="B12" s="266"/>
      <c r="C12" s="266"/>
      <c r="D12" s="266"/>
      <c r="E12" s="266"/>
      <c r="F12" s="266"/>
      <c r="G12" s="266"/>
      <c r="H12" s="266"/>
      <c r="I12" s="264">
        <f>AQ33</f>
        <v>0</v>
      </c>
      <c r="J12" s="264"/>
      <c r="K12" s="267" t="s">
        <v>176</v>
      </c>
      <c r="L12" s="268"/>
      <c r="M12" s="269" t="s">
        <v>587</v>
      </c>
      <c r="N12" s="266"/>
      <c r="O12" s="266"/>
      <c r="P12" s="266"/>
      <c r="Q12" s="266"/>
      <c r="R12" s="266"/>
      <c r="S12" s="266"/>
      <c r="T12" s="266"/>
      <c r="U12" s="264">
        <f>AQ24</f>
        <v>0</v>
      </c>
      <c r="V12" s="264"/>
      <c r="W12" s="267" t="s">
        <v>176</v>
      </c>
      <c r="X12" s="268"/>
      <c r="Y12" s="269" t="s">
        <v>588</v>
      </c>
      <c r="Z12" s="266"/>
      <c r="AA12" s="266"/>
      <c r="AB12" s="266"/>
      <c r="AC12" s="266"/>
      <c r="AD12" s="266"/>
      <c r="AE12" s="266"/>
      <c r="AF12" s="266"/>
      <c r="AG12" s="264">
        <f>AQ20+AQ21+AQ22+AQ23</f>
        <v>0</v>
      </c>
      <c r="AH12" s="264"/>
      <c r="AI12" s="28" t="s">
        <v>176</v>
      </c>
      <c r="AK12" s="441" t="s">
        <v>589</v>
      </c>
      <c r="AL12" s="442"/>
      <c r="AM12" s="442"/>
      <c r="AN12" s="442"/>
      <c r="AO12" s="442"/>
      <c r="AP12" s="443"/>
      <c r="AQ12" s="42">
        <v>14</v>
      </c>
      <c r="AR12" s="43"/>
      <c r="AS12" s="46">
        <v>3</v>
      </c>
      <c r="AT12" s="46"/>
      <c r="AU12" s="46"/>
      <c r="AV12" s="47" t="s">
        <v>590</v>
      </c>
      <c r="AW12" s="47" t="s">
        <v>574</v>
      </c>
      <c r="AX12" s="47">
        <v>0.58333333333333337</v>
      </c>
      <c r="AY12" s="47">
        <v>0.83333333333333337</v>
      </c>
      <c r="AZ12" s="43"/>
      <c r="BB12" s="49"/>
      <c r="BC12" s="43"/>
      <c r="BD12" s="43"/>
      <c r="BE12" s="43"/>
      <c r="BF12" s="43"/>
      <c r="BG12" s="43"/>
      <c r="BH12" s="43"/>
      <c r="BI12" s="43"/>
      <c r="BJ12" s="43"/>
      <c r="BK12" s="43"/>
      <c r="BL12" s="43"/>
      <c r="BM12" s="43"/>
      <c r="BN12" s="43"/>
      <c r="BO12" s="43"/>
      <c r="BP12" s="43"/>
      <c r="BQ12" s="43"/>
      <c r="BR12" s="43"/>
      <c r="BS12" s="43"/>
      <c r="BT12" s="43"/>
      <c r="BU12" s="43"/>
      <c r="BV12" s="43"/>
      <c r="BW12" s="43"/>
      <c r="BX12" s="43"/>
      <c r="BY12" s="43"/>
      <c r="BZ12" s="43"/>
      <c r="CA12" s="43"/>
      <c r="CB12" s="43"/>
      <c r="CC12" s="43"/>
      <c r="CD12" s="43"/>
      <c r="CE12" s="43"/>
      <c r="CF12" s="43"/>
      <c r="CG12" s="43"/>
    </row>
    <row r="13" spans="1:85" ht="18" customHeight="1" thickBot="1">
      <c r="A13" s="517" t="s">
        <v>591</v>
      </c>
      <c r="B13" s="277"/>
      <c r="C13" s="277"/>
      <c r="D13" s="277"/>
      <c r="E13" s="277"/>
      <c r="F13" s="277"/>
      <c r="G13" s="277"/>
      <c r="H13" s="277"/>
      <c r="I13" s="272">
        <f>AQ30+AQ31</f>
        <v>0</v>
      </c>
      <c r="J13" s="272"/>
      <c r="K13" s="273" t="s">
        <v>176</v>
      </c>
      <c r="L13" s="274"/>
      <c r="M13" s="276" t="s">
        <v>592</v>
      </c>
      <c r="N13" s="277"/>
      <c r="O13" s="277"/>
      <c r="P13" s="277"/>
      <c r="Q13" s="277"/>
      <c r="R13" s="277"/>
      <c r="S13" s="277"/>
      <c r="T13" s="277"/>
      <c r="U13" s="272">
        <f>AQ28</f>
        <v>0</v>
      </c>
      <c r="V13" s="272"/>
      <c r="W13" s="273" t="s">
        <v>176</v>
      </c>
      <c r="X13" s="274"/>
      <c r="Y13" s="276" t="s">
        <v>593</v>
      </c>
      <c r="Z13" s="277"/>
      <c r="AA13" s="277"/>
      <c r="AB13" s="277"/>
      <c r="AC13" s="277"/>
      <c r="AD13" s="277"/>
      <c r="AE13" s="277"/>
      <c r="AF13" s="277"/>
      <c r="AG13" s="272">
        <f>AQ13</f>
        <v>0</v>
      </c>
      <c r="AH13" s="272"/>
      <c r="AI13" s="34" t="s">
        <v>176</v>
      </c>
      <c r="AK13" s="425" t="s">
        <v>594</v>
      </c>
      <c r="AL13" s="425"/>
      <c r="AM13" s="425"/>
      <c r="AN13" s="425"/>
      <c r="AO13" s="425"/>
      <c r="AP13" s="425"/>
      <c r="AQ13" s="42"/>
      <c r="AR13" s="43"/>
      <c r="AS13" s="46">
        <v>4</v>
      </c>
      <c r="AT13" s="46"/>
      <c r="AU13" s="46" t="s">
        <v>28</v>
      </c>
      <c r="AV13" s="47" t="s">
        <v>595</v>
      </c>
      <c r="AW13" s="47" t="s">
        <v>596</v>
      </c>
      <c r="AX13" s="47">
        <v>0.33333333333333331</v>
      </c>
      <c r="AY13" s="47">
        <v>0.83333333333333337</v>
      </c>
      <c r="AZ13" s="43"/>
      <c r="BB13" s="121" t="s">
        <v>597</v>
      </c>
      <c r="BC13" s="140" t="s">
        <v>20</v>
      </c>
      <c r="BD13" s="140" t="s">
        <v>119</v>
      </c>
      <c r="BE13" s="140" t="s">
        <v>20</v>
      </c>
      <c r="BF13" s="140" t="s">
        <v>20</v>
      </c>
      <c r="BG13" s="140" t="s">
        <v>20</v>
      </c>
      <c r="BH13" s="140" t="s">
        <v>20</v>
      </c>
      <c r="BI13" s="140" t="s">
        <v>80</v>
      </c>
      <c r="BJ13" s="140" t="s">
        <v>20</v>
      </c>
      <c r="BK13" s="140" t="s">
        <v>20</v>
      </c>
      <c r="BL13" s="140" t="s">
        <v>20</v>
      </c>
      <c r="BM13" s="140" t="s">
        <v>20</v>
      </c>
      <c r="BN13" s="140" t="s">
        <v>20</v>
      </c>
      <c r="BO13" s="140" t="s">
        <v>119</v>
      </c>
      <c r="BP13" s="140" t="s">
        <v>119</v>
      </c>
      <c r="BQ13" s="140" t="s">
        <v>20</v>
      </c>
      <c r="BR13" s="140" t="s">
        <v>119</v>
      </c>
      <c r="BS13" s="140" t="s">
        <v>20</v>
      </c>
      <c r="BT13" s="140" t="s">
        <v>20</v>
      </c>
      <c r="BU13" s="140" t="s">
        <v>20</v>
      </c>
      <c r="BV13" s="140" t="s">
        <v>119</v>
      </c>
      <c r="BW13" s="140" t="s">
        <v>119</v>
      </c>
      <c r="BX13" s="140" t="s">
        <v>20</v>
      </c>
      <c r="BY13" s="140" t="s">
        <v>119</v>
      </c>
      <c r="BZ13" s="140" t="s">
        <v>20</v>
      </c>
      <c r="CA13" s="140" t="s">
        <v>119</v>
      </c>
      <c r="CB13" s="140" t="s">
        <v>20</v>
      </c>
      <c r="CC13" s="140" t="s">
        <v>20</v>
      </c>
      <c r="CD13" s="140" t="s">
        <v>119</v>
      </c>
      <c r="CE13" s="140" t="s">
        <v>20</v>
      </c>
      <c r="CF13" s="140" t="s">
        <v>119</v>
      </c>
      <c r="CG13" s="43"/>
    </row>
    <row r="14" spans="1:85" ht="18" customHeight="1" thickBot="1">
      <c r="A14" s="452" t="s">
        <v>598</v>
      </c>
      <c r="B14" s="453"/>
      <c r="C14" s="453"/>
      <c r="D14" s="453"/>
      <c r="E14" s="453"/>
      <c r="F14" s="453"/>
      <c r="G14" s="453"/>
      <c r="H14" s="453"/>
      <c r="I14" s="453"/>
      <c r="J14" s="453"/>
      <c r="K14" s="453"/>
      <c r="L14" s="453"/>
      <c r="M14" s="453"/>
      <c r="N14" s="453"/>
      <c r="O14" s="453"/>
      <c r="P14" s="453"/>
      <c r="Q14" s="453"/>
      <c r="R14" s="453"/>
      <c r="S14" s="453"/>
      <c r="T14" s="453"/>
      <c r="U14" s="453"/>
      <c r="V14" s="453"/>
      <c r="W14" s="453"/>
      <c r="X14" s="453"/>
      <c r="Y14" s="453"/>
      <c r="Z14" s="453"/>
      <c r="AA14" s="453"/>
      <c r="AB14" s="453"/>
      <c r="AC14" s="453"/>
      <c r="AD14" s="453"/>
      <c r="AE14" s="453"/>
      <c r="AF14" s="453"/>
      <c r="AG14" s="453"/>
      <c r="AH14" s="453"/>
      <c r="AI14" s="454"/>
      <c r="AK14" s="440" t="s">
        <v>599</v>
      </c>
      <c r="AL14" s="440"/>
      <c r="AM14" s="440"/>
      <c r="AN14" s="440"/>
      <c r="AO14" s="440"/>
      <c r="AP14" s="440"/>
      <c r="AQ14" s="42">
        <v>2</v>
      </c>
      <c r="AR14" s="43"/>
      <c r="AS14" s="46">
        <v>5</v>
      </c>
      <c r="AT14" s="46"/>
      <c r="AU14" s="46"/>
      <c r="AV14" s="47" t="s">
        <v>600</v>
      </c>
      <c r="AW14" s="47" t="s">
        <v>596</v>
      </c>
      <c r="AX14" s="47">
        <v>0.33333333333333331</v>
      </c>
      <c r="AY14" s="47">
        <v>0.83333333333333337</v>
      </c>
      <c r="AZ14" s="43"/>
      <c r="BB14" s="121" t="s">
        <v>601</v>
      </c>
      <c r="BC14" s="162" t="s">
        <v>28</v>
      </c>
      <c r="BD14" s="162" t="s">
        <v>602</v>
      </c>
      <c r="BE14" s="162" t="s">
        <v>602</v>
      </c>
      <c r="BF14" s="162" t="s">
        <v>28</v>
      </c>
      <c r="BG14" s="162" t="s">
        <v>602</v>
      </c>
      <c r="BH14" s="162" t="s">
        <v>602</v>
      </c>
      <c r="BI14" s="162" t="s">
        <v>28</v>
      </c>
      <c r="BJ14" s="162" t="s">
        <v>28</v>
      </c>
      <c r="BK14" s="162" t="s">
        <v>602</v>
      </c>
      <c r="BL14" s="162" t="s">
        <v>28</v>
      </c>
      <c r="BM14" s="162" t="s">
        <v>602</v>
      </c>
      <c r="BN14" s="162" t="s">
        <v>28</v>
      </c>
      <c r="BO14" s="162" t="s">
        <v>28</v>
      </c>
      <c r="BP14" s="162" t="s">
        <v>76</v>
      </c>
      <c r="BQ14" s="162" t="s">
        <v>28</v>
      </c>
      <c r="BR14" s="162" t="s">
        <v>602</v>
      </c>
      <c r="BS14" s="162" t="s">
        <v>28</v>
      </c>
      <c r="BT14" s="162" t="s">
        <v>602</v>
      </c>
      <c r="BU14" s="162" t="s">
        <v>28</v>
      </c>
      <c r="BV14" s="162" t="s">
        <v>602</v>
      </c>
      <c r="BW14" s="162" t="s">
        <v>28</v>
      </c>
      <c r="BX14" s="162" t="s">
        <v>28</v>
      </c>
      <c r="BY14" s="162" t="s">
        <v>602</v>
      </c>
      <c r="BZ14" s="162" t="s">
        <v>28</v>
      </c>
      <c r="CA14" s="162" t="s">
        <v>602</v>
      </c>
      <c r="CB14" s="162" t="s">
        <v>28</v>
      </c>
      <c r="CC14" s="162" t="s">
        <v>28</v>
      </c>
      <c r="CD14" s="162" t="s">
        <v>76</v>
      </c>
      <c r="CE14" s="162" t="s">
        <v>28</v>
      </c>
      <c r="CF14" s="162" t="s">
        <v>602</v>
      </c>
      <c r="CG14" s="43"/>
    </row>
    <row r="15" spans="1:85" ht="18" customHeight="1" thickBot="1">
      <c r="A15" s="30" t="s">
        <v>189</v>
      </c>
      <c r="B15" s="264" t="s">
        <v>603</v>
      </c>
      <c r="C15" s="264"/>
      <c r="D15" s="264"/>
      <c r="E15" s="264"/>
      <c r="F15" s="264"/>
      <c r="G15" s="264"/>
      <c r="H15" s="264"/>
      <c r="I15" s="264"/>
      <c r="J15" s="278">
        <f>AQ9+AQ10</f>
        <v>6</v>
      </c>
      <c r="K15" s="278"/>
      <c r="L15" s="278"/>
      <c r="M15" s="264" t="s">
        <v>176</v>
      </c>
      <c r="N15" s="264"/>
      <c r="O15" s="264" t="s">
        <v>604</v>
      </c>
      <c r="P15" s="264"/>
      <c r="Q15" s="264"/>
      <c r="R15" s="264"/>
      <c r="S15" s="264"/>
      <c r="T15" s="264"/>
      <c r="U15" s="264"/>
      <c r="V15" s="264"/>
      <c r="W15" s="278">
        <f>AQ11+AQ12</f>
        <v>39</v>
      </c>
      <c r="X15" s="278"/>
      <c r="Y15" s="278"/>
      <c r="Z15" s="264" t="s">
        <v>176</v>
      </c>
      <c r="AA15" s="264"/>
      <c r="AB15" s="503" t="s">
        <v>605</v>
      </c>
      <c r="AC15" s="503"/>
      <c r="AD15" s="503"/>
      <c r="AE15" s="503"/>
      <c r="AF15" s="503"/>
      <c r="AG15" s="503"/>
      <c r="AH15" s="281" t="s">
        <v>585</v>
      </c>
      <c r="AI15" s="282"/>
      <c r="AK15" s="425" t="s">
        <v>606</v>
      </c>
      <c r="AL15" s="425"/>
      <c r="AM15" s="425"/>
      <c r="AN15" s="425"/>
      <c r="AO15" s="425"/>
      <c r="AP15" s="425"/>
      <c r="AQ15" s="42"/>
      <c r="AR15" s="43"/>
      <c r="AS15" s="46">
        <v>6</v>
      </c>
      <c r="AT15" s="46"/>
      <c r="AU15" s="46"/>
      <c r="AV15" s="47" t="s">
        <v>607</v>
      </c>
      <c r="AW15" s="47" t="s">
        <v>596</v>
      </c>
      <c r="AX15" s="47">
        <v>0.33333333333333331</v>
      </c>
      <c r="AY15" s="47">
        <v>0.83333333333333337</v>
      </c>
      <c r="AZ15" s="43"/>
      <c r="BB15" s="121" t="s">
        <v>31</v>
      </c>
      <c r="BC15" s="163" t="s">
        <v>119</v>
      </c>
      <c r="BD15" s="164"/>
      <c r="BE15" s="165" t="s">
        <v>28</v>
      </c>
      <c r="BF15" s="165" t="s">
        <v>119</v>
      </c>
      <c r="BG15" s="164"/>
      <c r="BH15" s="164"/>
      <c r="BI15" s="164"/>
      <c r="BJ15" s="164"/>
      <c r="BK15" s="165" t="s">
        <v>119</v>
      </c>
      <c r="BL15" s="165" t="s">
        <v>602</v>
      </c>
      <c r="BM15" s="165" t="s">
        <v>119</v>
      </c>
      <c r="BN15" s="165" t="s">
        <v>602</v>
      </c>
      <c r="BO15" s="164"/>
      <c r="BP15" s="164"/>
      <c r="BQ15" s="165" t="s">
        <v>608</v>
      </c>
      <c r="BR15" s="165" t="s">
        <v>20</v>
      </c>
      <c r="BS15" s="165" t="s">
        <v>602</v>
      </c>
      <c r="BT15" s="165" t="s">
        <v>119</v>
      </c>
      <c r="BU15" s="165" t="s">
        <v>602</v>
      </c>
      <c r="BV15" s="164"/>
      <c r="BW15" s="164"/>
      <c r="BX15" s="165" t="s">
        <v>119</v>
      </c>
      <c r="BY15" s="165" t="s">
        <v>20</v>
      </c>
      <c r="BZ15" s="165" t="s">
        <v>602</v>
      </c>
      <c r="CA15" s="165" t="s">
        <v>20</v>
      </c>
      <c r="CB15" s="165" t="s">
        <v>602</v>
      </c>
      <c r="CC15" s="165" t="s">
        <v>602</v>
      </c>
      <c r="CD15" s="164"/>
      <c r="CE15" s="165" t="s">
        <v>119</v>
      </c>
      <c r="CF15" s="165" t="s">
        <v>20</v>
      </c>
      <c r="CG15" s="43"/>
    </row>
    <row r="16" spans="1:85" ht="18" customHeight="1">
      <c r="A16" s="504" t="s">
        <v>609</v>
      </c>
      <c r="B16" s="505"/>
      <c r="C16" s="505"/>
      <c r="D16" s="505"/>
      <c r="E16" s="505"/>
      <c r="F16" s="505"/>
      <c r="G16" s="505"/>
      <c r="H16" s="505"/>
      <c r="I16" s="505"/>
      <c r="J16" s="505"/>
      <c r="K16" s="505"/>
      <c r="L16" s="505"/>
      <c r="M16" s="505"/>
      <c r="N16" s="505"/>
      <c r="O16" s="505"/>
      <c r="P16" s="505"/>
      <c r="Q16" s="505"/>
      <c r="R16" s="505"/>
      <c r="S16" s="505"/>
      <c r="T16" s="505"/>
      <c r="U16" s="505"/>
      <c r="V16" s="505"/>
      <c r="W16" s="505"/>
      <c r="X16" s="505"/>
      <c r="Y16" s="505"/>
      <c r="Z16" s="505"/>
      <c r="AA16" s="505"/>
      <c r="AB16" s="505"/>
      <c r="AC16" s="505"/>
      <c r="AD16" s="505"/>
      <c r="AE16" s="505"/>
      <c r="AF16" s="505"/>
      <c r="AG16" s="505"/>
      <c r="AH16" s="505"/>
      <c r="AI16" s="506"/>
      <c r="AK16" s="425" t="s">
        <v>610</v>
      </c>
      <c r="AL16" s="425"/>
      <c r="AM16" s="425"/>
      <c r="AN16" s="425"/>
      <c r="AO16" s="425"/>
      <c r="AP16" s="425"/>
      <c r="AQ16" s="42"/>
      <c r="AR16" s="43"/>
      <c r="AS16" s="46">
        <v>7</v>
      </c>
      <c r="AT16" s="46"/>
      <c r="AU16" s="46" t="s">
        <v>67</v>
      </c>
      <c r="AV16" s="47" t="s">
        <v>611</v>
      </c>
      <c r="AW16" s="47" t="s">
        <v>612</v>
      </c>
      <c r="AX16" s="47">
        <v>0.83333333333333337</v>
      </c>
      <c r="AY16" s="47" t="s">
        <v>613</v>
      </c>
      <c r="AZ16" s="43"/>
      <c r="BB16" s="121" t="s">
        <v>614</v>
      </c>
      <c r="BC16" s="142" t="s">
        <v>20</v>
      </c>
      <c r="BD16" s="140" t="s">
        <v>67</v>
      </c>
      <c r="BE16" s="142" t="s">
        <v>42</v>
      </c>
      <c r="BF16" s="142" t="s">
        <v>20</v>
      </c>
      <c r="BG16" s="142" t="s">
        <v>42</v>
      </c>
      <c r="BH16" s="142" t="s">
        <v>61</v>
      </c>
      <c r="BI16" s="142" t="s">
        <v>67</v>
      </c>
      <c r="BJ16" s="142" t="s">
        <v>67</v>
      </c>
      <c r="BK16" s="142" t="s">
        <v>42</v>
      </c>
      <c r="BL16" s="142" t="s">
        <v>42</v>
      </c>
      <c r="BM16" s="142" t="s">
        <v>67</v>
      </c>
      <c r="BN16" s="142" t="s">
        <v>67</v>
      </c>
      <c r="BO16" s="142" t="s">
        <v>42</v>
      </c>
      <c r="BP16" s="142" t="s">
        <v>67</v>
      </c>
      <c r="BQ16" s="142" t="s">
        <v>20</v>
      </c>
      <c r="BR16" s="142" t="s">
        <v>71</v>
      </c>
      <c r="BS16" s="142" t="s">
        <v>67</v>
      </c>
      <c r="BT16" s="142" t="s">
        <v>67</v>
      </c>
      <c r="BU16" s="142" t="s">
        <v>61</v>
      </c>
      <c r="BV16" s="142" t="s">
        <v>42</v>
      </c>
      <c r="BW16" s="142" t="s">
        <v>49</v>
      </c>
      <c r="BX16" s="142" t="s">
        <v>20</v>
      </c>
      <c r="BY16" s="142" t="s">
        <v>71</v>
      </c>
      <c r="BZ16" s="142" t="s">
        <v>42</v>
      </c>
      <c r="CA16" s="142" t="s">
        <v>20</v>
      </c>
      <c r="CB16" s="142" t="s">
        <v>61</v>
      </c>
      <c r="CC16" s="142" t="s">
        <v>42</v>
      </c>
      <c r="CD16" s="142" t="s">
        <v>49</v>
      </c>
      <c r="CE16" s="142" t="s">
        <v>20</v>
      </c>
      <c r="CF16" s="143" t="s">
        <v>71</v>
      </c>
      <c r="CG16" s="43"/>
    </row>
    <row r="17" spans="1:85" ht="18" customHeight="1">
      <c r="A17" s="396" t="s">
        <v>615</v>
      </c>
      <c r="B17" s="397"/>
      <c r="C17" s="397"/>
      <c r="D17" s="397"/>
      <c r="E17" s="397"/>
      <c r="F17" s="398" t="s">
        <v>616</v>
      </c>
      <c r="G17" s="398"/>
      <c r="H17" s="398"/>
      <c r="I17" s="398"/>
      <c r="J17" s="398"/>
      <c r="K17" s="398"/>
      <c r="L17" s="398"/>
      <c r="M17" s="398"/>
      <c r="N17" s="398"/>
      <c r="O17" s="398"/>
      <c r="P17" s="398"/>
      <c r="Q17" s="398"/>
      <c r="R17" s="398"/>
      <c r="S17" s="398"/>
      <c r="T17" s="398"/>
      <c r="U17" s="398"/>
      <c r="V17" s="398"/>
      <c r="W17" s="398"/>
      <c r="X17" s="398"/>
      <c r="Y17" s="398"/>
      <c r="Z17" s="398"/>
      <c r="AA17" s="398"/>
      <c r="AB17" s="398"/>
      <c r="AC17" s="398"/>
      <c r="AD17" s="398"/>
      <c r="AE17" s="398"/>
      <c r="AF17" s="398"/>
      <c r="AG17" s="398"/>
      <c r="AH17" s="398"/>
      <c r="AI17" s="399"/>
      <c r="AK17" s="425" t="s">
        <v>617</v>
      </c>
      <c r="AL17" s="425"/>
      <c r="AM17" s="425"/>
      <c r="AN17" s="425"/>
      <c r="AO17" s="425"/>
      <c r="AP17" s="425"/>
      <c r="AQ17" s="42"/>
      <c r="AR17" s="43"/>
      <c r="AS17" s="46">
        <v>8</v>
      </c>
      <c r="AT17" s="46"/>
      <c r="AU17" s="46" t="s">
        <v>49</v>
      </c>
      <c r="AV17" s="47" t="s">
        <v>618</v>
      </c>
      <c r="AW17" s="47" t="s">
        <v>612</v>
      </c>
      <c r="AX17" s="47">
        <v>0.83333333333333337</v>
      </c>
      <c r="AY17" s="47" t="s">
        <v>613</v>
      </c>
      <c r="AZ17" s="43"/>
      <c r="BB17" s="121" t="s">
        <v>619</v>
      </c>
      <c r="BC17" s="141" t="s">
        <v>67</v>
      </c>
      <c r="BD17" s="140" t="s">
        <v>42</v>
      </c>
      <c r="BE17" s="141" t="s">
        <v>71</v>
      </c>
      <c r="BF17" s="140" t="s">
        <v>67</v>
      </c>
      <c r="BG17" s="140" t="s">
        <v>61</v>
      </c>
      <c r="BH17" s="140" t="s">
        <v>42</v>
      </c>
      <c r="BI17" s="140" t="s">
        <v>49</v>
      </c>
      <c r="BJ17" s="140" t="s">
        <v>61</v>
      </c>
      <c r="BK17" s="140" t="s">
        <v>71</v>
      </c>
      <c r="BL17" s="140" t="s">
        <v>67</v>
      </c>
      <c r="BM17" s="140" t="s">
        <v>49</v>
      </c>
      <c r="BN17" s="140" t="s">
        <v>49</v>
      </c>
      <c r="BO17" s="140" t="s">
        <v>61</v>
      </c>
      <c r="BP17" s="140" t="s">
        <v>49</v>
      </c>
      <c r="BQ17" s="140" t="s">
        <v>67</v>
      </c>
      <c r="BR17" s="140" t="s">
        <v>42</v>
      </c>
      <c r="BS17" s="140" t="s">
        <v>42</v>
      </c>
      <c r="BT17" s="140" t="s">
        <v>49</v>
      </c>
      <c r="BU17" s="140" t="s">
        <v>42</v>
      </c>
      <c r="BV17" s="140" t="s">
        <v>61</v>
      </c>
      <c r="BW17" s="140" t="s">
        <v>71</v>
      </c>
      <c r="BX17" s="140" t="s">
        <v>67</v>
      </c>
      <c r="BY17" s="140" t="s">
        <v>42</v>
      </c>
      <c r="BZ17" s="140" t="s">
        <v>67</v>
      </c>
      <c r="CA17" s="140" t="s">
        <v>67</v>
      </c>
      <c r="CB17" s="140" t="s">
        <v>49</v>
      </c>
      <c r="CC17" s="140" t="s">
        <v>61</v>
      </c>
      <c r="CD17" s="140" t="s">
        <v>71</v>
      </c>
      <c r="CE17" s="140" t="s">
        <v>67</v>
      </c>
      <c r="CF17" s="140" t="s">
        <v>42</v>
      </c>
      <c r="CG17" s="43"/>
    </row>
    <row r="18" spans="1:85" ht="18" customHeight="1">
      <c r="A18" s="501" t="s">
        <v>620</v>
      </c>
      <c r="B18" s="502"/>
      <c r="C18" s="502"/>
      <c r="D18" s="502"/>
      <c r="E18" s="502"/>
      <c r="F18" s="400" t="s">
        <v>616</v>
      </c>
      <c r="G18" s="400"/>
      <c r="H18" s="400"/>
      <c r="I18" s="400"/>
      <c r="J18" s="400"/>
      <c r="K18" s="400"/>
      <c r="L18" s="400"/>
      <c r="M18" s="400"/>
      <c r="N18" s="400"/>
      <c r="O18" s="400"/>
      <c r="P18" s="400"/>
      <c r="Q18" s="400"/>
      <c r="R18" s="400"/>
      <c r="S18" s="400"/>
      <c r="T18" s="400"/>
      <c r="U18" s="400"/>
      <c r="V18" s="400"/>
      <c r="W18" s="400"/>
      <c r="X18" s="400"/>
      <c r="Y18" s="400"/>
      <c r="Z18" s="400"/>
      <c r="AA18" s="400"/>
      <c r="AB18" s="400"/>
      <c r="AC18" s="400"/>
      <c r="AD18" s="400"/>
      <c r="AE18" s="400"/>
      <c r="AF18" s="400"/>
      <c r="AG18" s="400"/>
      <c r="AH18" s="400"/>
      <c r="AI18" s="401"/>
      <c r="AK18" s="425" t="s">
        <v>621</v>
      </c>
      <c r="AL18" s="425"/>
      <c r="AM18" s="425"/>
      <c r="AN18" s="425"/>
      <c r="AO18" s="425"/>
      <c r="AP18" s="425"/>
      <c r="AQ18" s="42"/>
      <c r="AR18" s="43"/>
      <c r="AS18" s="46">
        <v>9</v>
      </c>
      <c r="AT18" s="46"/>
      <c r="AU18" s="46"/>
      <c r="AV18" s="47" t="s">
        <v>622</v>
      </c>
      <c r="AW18" s="47" t="s">
        <v>612</v>
      </c>
      <c r="AX18" s="47">
        <v>0.83333333333333337</v>
      </c>
      <c r="AY18" s="47" t="s">
        <v>613</v>
      </c>
      <c r="AZ18" s="43"/>
    </row>
    <row r="19" spans="1:85" ht="18" customHeight="1" thickBot="1">
      <c r="A19" s="35" t="s">
        <v>189</v>
      </c>
      <c r="B19" s="405">
        <v>0.56736111111111109</v>
      </c>
      <c r="C19" s="405"/>
      <c r="D19" s="405"/>
      <c r="E19" s="405"/>
      <c r="F19" s="402" t="s">
        <v>783</v>
      </c>
      <c r="G19" s="402"/>
      <c r="H19" s="402"/>
      <c r="I19" s="402"/>
      <c r="J19" s="402"/>
      <c r="K19" s="402"/>
      <c r="L19" s="402"/>
      <c r="M19" s="402"/>
      <c r="N19" s="402"/>
      <c r="O19" s="402"/>
      <c r="P19" s="402"/>
      <c r="Q19" s="402"/>
      <c r="R19" s="402"/>
      <c r="S19" s="402"/>
      <c r="T19" s="402"/>
      <c r="U19" s="402"/>
      <c r="V19" s="402"/>
      <c r="W19" s="402"/>
      <c r="X19" s="402"/>
      <c r="Y19" s="402"/>
      <c r="Z19" s="402"/>
      <c r="AA19" s="402"/>
      <c r="AB19" s="402"/>
      <c r="AC19" s="402"/>
      <c r="AD19" s="402"/>
      <c r="AE19" s="402"/>
      <c r="AF19" s="402"/>
      <c r="AG19" s="402"/>
      <c r="AH19" s="402"/>
      <c r="AI19" s="403"/>
      <c r="AK19" s="524" t="s">
        <v>623</v>
      </c>
      <c r="AL19" s="524"/>
      <c r="AM19" s="524"/>
      <c r="AN19" s="524"/>
      <c r="AO19" s="524"/>
      <c r="AP19" s="524"/>
      <c r="AQ19" s="58"/>
      <c r="AR19" s="43"/>
      <c r="AS19" s="46">
        <v>10</v>
      </c>
      <c r="AT19" s="46"/>
      <c r="AU19" s="46"/>
      <c r="AV19" s="47" t="s">
        <v>111</v>
      </c>
      <c r="AW19" s="47" t="s">
        <v>612</v>
      </c>
      <c r="AX19" s="47">
        <v>0.83333333333333337</v>
      </c>
      <c r="AY19" s="47" t="s">
        <v>613</v>
      </c>
      <c r="AZ19" s="43"/>
    </row>
    <row r="20" spans="1:85" ht="18" customHeight="1">
      <c r="A20" s="36" t="s">
        <v>189</v>
      </c>
      <c r="B20" s="404">
        <v>0.89444444444444449</v>
      </c>
      <c r="C20" s="404"/>
      <c r="D20" s="404"/>
      <c r="E20" s="404"/>
      <c r="F20" s="288" t="s">
        <v>783</v>
      </c>
      <c r="G20" s="288"/>
      <c r="H20" s="288"/>
      <c r="I20" s="288"/>
      <c r="J20" s="288"/>
      <c r="K20" s="288"/>
      <c r="L20" s="288"/>
      <c r="M20" s="288"/>
      <c r="N20" s="288"/>
      <c r="O20" s="288"/>
      <c r="P20" s="288"/>
      <c r="Q20" s="288"/>
      <c r="R20" s="288"/>
      <c r="S20" s="288"/>
      <c r="T20" s="288"/>
      <c r="U20" s="288"/>
      <c r="V20" s="288"/>
      <c r="W20" s="288"/>
      <c r="X20" s="288"/>
      <c r="Y20" s="288"/>
      <c r="Z20" s="288"/>
      <c r="AA20" s="288"/>
      <c r="AB20" s="288"/>
      <c r="AC20" s="288"/>
      <c r="AD20" s="288"/>
      <c r="AE20" s="288"/>
      <c r="AF20" s="288"/>
      <c r="AG20" s="288"/>
      <c r="AH20" s="288"/>
      <c r="AI20" s="289"/>
      <c r="AK20" s="447" t="s">
        <v>624</v>
      </c>
      <c r="AL20" s="448"/>
      <c r="AM20" s="448"/>
      <c r="AN20" s="448"/>
      <c r="AO20" s="448"/>
      <c r="AP20" s="448"/>
      <c r="AQ20" s="62"/>
      <c r="AR20" s="426" t="s">
        <v>625</v>
      </c>
      <c r="AS20" s="146">
        <v>11</v>
      </c>
      <c r="AT20" s="46"/>
      <c r="AU20" s="46"/>
      <c r="AV20" s="47" t="s">
        <v>111</v>
      </c>
      <c r="AW20" s="47" t="s">
        <v>612</v>
      </c>
      <c r="AX20" s="47">
        <v>0.83333333333333337</v>
      </c>
      <c r="AY20" s="47" t="s">
        <v>613</v>
      </c>
      <c r="AZ20" s="43"/>
    </row>
    <row r="21" spans="1:85" ht="18" customHeight="1" thickBot="1">
      <c r="A21" s="36" t="s">
        <v>189</v>
      </c>
      <c r="B21" s="404">
        <v>2.7777777777777779E-3</v>
      </c>
      <c r="C21" s="404"/>
      <c r="D21" s="404"/>
      <c r="E21" s="404"/>
      <c r="F21" s="288" t="s">
        <v>784</v>
      </c>
      <c r="G21" s="288"/>
      <c r="H21" s="288"/>
      <c r="I21" s="288"/>
      <c r="J21" s="288"/>
      <c r="K21" s="288"/>
      <c r="L21" s="288"/>
      <c r="M21" s="288"/>
      <c r="N21" s="288"/>
      <c r="O21" s="288"/>
      <c r="P21" s="288"/>
      <c r="Q21" s="288"/>
      <c r="R21" s="288"/>
      <c r="S21" s="288"/>
      <c r="T21" s="288"/>
      <c r="U21" s="288"/>
      <c r="V21" s="288"/>
      <c r="W21" s="288"/>
      <c r="X21" s="288"/>
      <c r="Y21" s="288"/>
      <c r="Z21" s="288"/>
      <c r="AA21" s="288"/>
      <c r="AB21" s="288"/>
      <c r="AC21" s="288"/>
      <c r="AD21" s="288"/>
      <c r="AE21" s="288"/>
      <c r="AF21" s="288"/>
      <c r="AG21" s="288"/>
      <c r="AH21" s="288"/>
      <c r="AI21" s="289"/>
      <c r="AK21" s="429" t="s">
        <v>626</v>
      </c>
      <c r="AL21" s="430"/>
      <c r="AM21" s="430"/>
      <c r="AN21" s="430"/>
      <c r="AO21" s="430"/>
      <c r="AP21" s="430"/>
      <c r="AQ21" s="63"/>
      <c r="AR21" s="427"/>
      <c r="AW21" s="43"/>
      <c r="AX21" s="43"/>
      <c r="AY21" s="43"/>
      <c r="AZ21" s="43"/>
    </row>
    <row r="22" spans="1:85" ht="18" customHeight="1">
      <c r="A22" s="36" t="s">
        <v>189</v>
      </c>
      <c r="B22" s="404">
        <v>7.6388888888888895E-2</v>
      </c>
      <c r="C22" s="404"/>
      <c r="D22" s="404"/>
      <c r="E22" s="404"/>
      <c r="F22" s="288" t="s">
        <v>785</v>
      </c>
      <c r="G22" s="288"/>
      <c r="H22" s="288"/>
      <c r="I22" s="288"/>
      <c r="J22" s="288"/>
      <c r="K22" s="288"/>
      <c r="L22" s="288"/>
      <c r="M22" s="288"/>
      <c r="N22" s="288"/>
      <c r="O22" s="288"/>
      <c r="P22" s="288"/>
      <c r="Q22" s="288"/>
      <c r="R22" s="288"/>
      <c r="S22" s="288"/>
      <c r="T22" s="288"/>
      <c r="U22" s="288"/>
      <c r="V22" s="288"/>
      <c r="W22" s="288"/>
      <c r="X22" s="288"/>
      <c r="Y22" s="288"/>
      <c r="Z22" s="288"/>
      <c r="AA22" s="288"/>
      <c r="AB22" s="288"/>
      <c r="AC22" s="288"/>
      <c r="AD22" s="288"/>
      <c r="AE22" s="288"/>
      <c r="AF22" s="288"/>
      <c r="AG22" s="288"/>
      <c r="AH22" s="288"/>
      <c r="AI22" s="289"/>
      <c r="AK22" s="429" t="s">
        <v>627</v>
      </c>
      <c r="AL22" s="430"/>
      <c r="AM22" s="430"/>
      <c r="AN22" s="430"/>
      <c r="AO22" s="430"/>
      <c r="AP22" s="430"/>
      <c r="AQ22" s="63"/>
      <c r="AR22" s="427"/>
      <c r="AS22" s="433" t="s">
        <v>628</v>
      </c>
      <c r="AT22" s="434"/>
      <c r="AU22" s="435"/>
      <c r="AV22" s="435"/>
      <c r="AW22" s="60" t="s">
        <v>74</v>
      </c>
      <c r="AY22" s="413" t="s">
        <v>629</v>
      </c>
      <c r="AZ22" s="413"/>
      <c r="BA22" s="412"/>
      <c r="BB22" s="412"/>
    </row>
    <row r="23" spans="1:85" ht="18" customHeight="1" thickBot="1">
      <c r="A23" s="36" t="s">
        <v>189</v>
      </c>
      <c r="B23" s="404">
        <v>0.29166666666666669</v>
      </c>
      <c r="C23" s="404"/>
      <c r="D23" s="404"/>
      <c r="E23" s="404"/>
      <c r="F23" s="288" t="s">
        <v>728</v>
      </c>
      <c r="G23" s="288"/>
      <c r="H23" s="288"/>
      <c r="I23" s="288"/>
      <c r="J23" s="288"/>
      <c r="K23" s="288"/>
      <c r="L23" s="288"/>
      <c r="M23" s="288"/>
      <c r="N23" s="288"/>
      <c r="O23" s="288"/>
      <c r="P23" s="288"/>
      <c r="Q23" s="288"/>
      <c r="R23" s="288"/>
      <c r="S23" s="288"/>
      <c r="T23" s="288"/>
      <c r="U23" s="288"/>
      <c r="V23" s="288"/>
      <c r="W23" s="288"/>
      <c r="X23" s="288"/>
      <c r="Y23" s="288"/>
      <c r="Z23" s="288"/>
      <c r="AA23" s="288"/>
      <c r="AB23" s="288"/>
      <c r="AC23" s="288"/>
      <c r="AD23" s="288"/>
      <c r="AE23" s="288"/>
      <c r="AF23" s="288"/>
      <c r="AG23" s="288"/>
      <c r="AH23" s="288"/>
      <c r="AI23" s="289"/>
      <c r="AK23" s="431" t="s">
        <v>630</v>
      </c>
      <c r="AL23" s="432"/>
      <c r="AM23" s="432"/>
      <c r="AN23" s="432"/>
      <c r="AO23" s="432"/>
      <c r="AP23" s="432"/>
      <c r="AQ23" s="64"/>
      <c r="AR23" s="428"/>
      <c r="AS23" s="536" t="s">
        <v>631</v>
      </c>
      <c r="AT23" s="246"/>
      <c r="AU23" s="537"/>
      <c r="AV23" s="537"/>
      <c r="AW23" s="56" t="s">
        <v>632</v>
      </c>
      <c r="AY23" s="413" t="s">
        <v>633</v>
      </c>
      <c r="AZ23" s="413"/>
      <c r="BA23" s="412"/>
      <c r="BB23" s="412"/>
    </row>
    <row r="24" spans="1:85" ht="18" customHeight="1" thickBot="1">
      <c r="A24" s="36"/>
      <c r="B24" s="404"/>
      <c r="C24" s="404"/>
      <c r="D24" s="404"/>
      <c r="E24" s="404"/>
      <c r="F24" s="288"/>
      <c r="G24" s="288"/>
      <c r="H24" s="288"/>
      <c r="I24" s="288"/>
      <c r="J24" s="288"/>
      <c r="K24" s="288"/>
      <c r="L24" s="288"/>
      <c r="M24" s="288"/>
      <c r="N24" s="288"/>
      <c r="O24" s="288"/>
      <c r="P24" s="288"/>
      <c r="Q24" s="288"/>
      <c r="R24" s="288"/>
      <c r="S24" s="288"/>
      <c r="T24" s="288"/>
      <c r="U24" s="288"/>
      <c r="V24" s="288"/>
      <c r="W24" s="288"/>
      <c r="X24" s="288"/>
      <c r="Y24" s="288"/>
      <c r="Z24" s="288"/>
      <c r="AA24" s="288"/>
      <c r="AB24" s="288"/>
      <c r="AC24" s="288"/>
      <c r="AD24" s="288"/>
      <c r="AE24" s="288"/>
      <c r="AF24" s="288"/>
      <c r="AG24" s="288"/>
      <c r="AH24" s="288"/>
      <c r="AI24" s="289"/>
      <c r="AK24" s="527" t="s">
        <v>634</v>
      </c>
      <c r="AL24" s="528"/>
      <c r="AM24" s="528"/>
      <c r="AN24" s="528"/>
      <c r="AO24" s="528"/>
      <c r="AP24" s="528"/>
      <c r="AQ24" s="65"/>
      <c r="AR24" s="43"/>
      <c r="AY24" s="413" t="s">
        <v>635</v>
      </c>
      <c r="AZ24" s="413"/>
      <c r="BA24" s="412"/>
      <c r="BB24" s="412"/>
    </row>
    <row r="25" spans="1:85" ht="18" customHeight="1">
      <c r="A25" s="36"/>
      <c r="B25" s="404"/>
      <c r="C25" s="404"/>
      <c r="D25" s="404"/>
      <c r="E25" s="404"/>
      <c r="F25" s="288"/>
      <c r="G25" s="288"/>
      <c r="H25" s="288"/>
      <c r="I25" s="288"/>
      <c r="J25" s="288"/>
      <c r="K25" s="288"/>
      <c r="L25" s="288"/>
      <c r="M25" s="288"/>
      <c r="N25" s="288"/>
      <c r="O25" s="288"/>
      <c r="P25" s="288"/>
      <c r="Q25" s="288"/>
      <c r="R25" s="288"/>
      <c r="S25" s="288"/>
      <c r="T25" s="288"/>
      <c r="U25" s="288"/>
      <c r="V25" s="288"/>
      <c r="W25" s="288"/>
      <c r="X25" s="288"/>
      <c r="Y25" s="288"/>
      <c r="Z25" s="288"/>
      <c r="AA25" s="288"/>
      <c r="AB25" s="288"/>
      <c r="AC25" s="288"/>
      <c r="AD25" s="288"/>
      <c r="AE25" s="288"/>
      <c r="AF25" s="288"/>
      <c r="AG25" s="288"/>
      <c r="AH25" s="288"/>
      <c r="AI25" s="289"/>
      <c r="AK25" s="529" t="s">
        <v>636</v>
      </c>
      <c r="AL25" s="529"/>
      <c r="AM25" s="529"/>
      <c r="AN25" s="529"/>
      <c r="AO25" s="529"/>
      <c r="AP25" s="529"/>
      <c r="AQ25" s="66"/>
      <c r="AR25" s="43"/>
      <c r="AY25" s="413" t="s">
        <v>637</v>
      </c>
      <c r="AZ25" s="413"/>
      <c r="BA25" s="412"/>
      <c r="BB25" s="412"/>
    </row>
    <row r="26" spans="1:85" ht="18" customHeight="1">
      <c r="A26" s="36"/>
      <c r="B26" s="404"/>
      <c r="C26" s="404"/>
      <c r="D26" s="404"/>
      <c r="E26" s="404"/>
      <c r="F26" s="288"/>
      <c r="G26" s="288"/>
      <c r="H26" s="288"/>
      <c r="I26" s="288"/>
      <c r="J26" s="288"/>
      <c r="K26" s="288"/>
      <c r="L26" s="288"/>
      <c r="M26" s="288"/>
      <c r="N26" s="288"/>
      <c r="O26" s="288"/>
      <c r="P26" s="288"/>
      <c r="Q26" s="288"/>
      <c r="R26" s="288"/>
      <c r="S26" s="288"/>
      <c r="T26" s="288"/>
      <c r="U26" s="288"/>
      <c r="V26" s="288"/>
      <c r="W26" s="288"/>
      <c r="X26" s="288"/>
      <c r="Y26" s="288"/>
      <c r="Z26" s="288"/>
      <c r="AA26" s="288"/>
      <c r="AB26" s="288"/>
      <c r="AC26" s="288"/>
      <c r="AD26" s="288"/>
      <c r="AE26" s="288"/>
      <c r="AF26" s="288"/>
      <c r="AG26" s="288"/>
      <c r="AH26" s="288"/>
      <c r="AI26" s="289"/>
      <c r="AK26" s="436" t="s">
        <v>638</v>
      </c>
      <c r="AL26" s="436"/>
      <c r="AM26" s="436"/>
      <c r="AN26" s="436"/>
      <c r="AO26" s="436"/>
      <c r="AP26" s="436"/>
      <c r="AQ26" s="67"/>
      <c r="AR26" s="43"/>
      <c r="AS26" s="548" t="s">
        <v>639</v>
      </c>
      <c r="AT26" s="549"/>
      <c r="AU26" s="549"/>
      <c r="AV26" s="549"/>
      <c r="AW26" s="550"/>
      <c r="AY26" s="147"/>
      <c r="AZ26" s="147"/>
      <c r="BA26" s="147"/>
      <c r="BB26" s="147"/>
    </row>
    <row r="27" spans="1:85" ht="18" customHeight="1">
      <c r="A27" s="36"/>
      <c r="B27" s="404"/>
      <c r="C27" s="404"/>
      <c r="D27" s="404"/>
      <c r="E27" s="404"/>
      <c r="F27" s="288"/>
      <c r="G27" s="288"/>
      <c r="H27" s="288"/>
      <c r="I27" s="288"/>
      <c r="J27" s="288"/>
      <c r="K27" s="288"/>
      <c r="L27" s="288"/>
      <c r="M27" s="288"/>
      <c r="N27" s="288"/>
      <c r="O27" s="288"/>
      <c r="P27" s="288"/>
      <c r="Q27" s="288"/>
      <c r="R27" s="288"/>
      <c r="S27" s="288"/>
      <c r="T27" s="288"/>
      <c r="U27" s="288"/>
      <c r="V27" s="288"/>
      <c r="W27" s="288"/>
      <c r="X27" s="288"/>
      <c r="Y27" s="288"/>
      <c r="Z27" s="288"/>
      <c r="AA27" s="288"/>
      <c r="AB27" s="288"/>
      <c r="AC27" s="288"/>
      <c r="AD27" s="288"/>
      <c r="AE27" s="288"/>
      <c r="AF27" s="288"/>
      <c r="AG27" s="288"/>
      <c r="AH27" s="288"/>
      <c r="AI27" s="289"/>
      <c r="AK27" s="436" t="s">
        <v>640</v>
      </c>
      <c r="AL27" s="436"/>
      <c r="AM27" s="436"/>
      <c r="AN27" s="436"/>
      <c r="AO27" s="436"/>
      <c r="AP27" s="436"/>
      <c r="AQ27" s="67"/>
      <c r="AR27" s="43"/>
      <c r="AS27" s="458" t="s">
        <v>641</v>
      </c>
      <c r="AT27" s="460"/>
      <c r="AU27" s="458" t="s">
        <v>642</v>
      </c>
      <c r="AV27" s="459"/>
      <c r="AW27" s="460"/>
      <c r="AY27" s="411" t="s">
        <v>643</v>
      </c>
      <c r="AZ27" s="411"/>
      <c r="BA27" s="411"/>
      <c r="BB27" s="411"/>
    </row>
    <row r="28" spans="1:85" ht="18" customHeight="1" thickBot="1">
      <c r="A28" s="36"/>
      <c r="B28" s="404"/>
      <c r="C28" s="404"/>
      <c r="D28" s="404"/>
      <c r="E28" s="404"/>
      <c r="F28" s="288"/>
      <c r="G28" s="288"/>
      <c r="H28" s="288"/>
      <c r="I28" s="288"/>
      <c r="J28" s="288"/>
      <c r="K28" s="288"/>
      <c r="L28" s="288"/>
      <c r="M28" s="288"/>
      <c r="N28" s="288"/>
      <c r="O28" s="288"/>
      <c r="P28" s="288"/>
      <c r="Q28" s="288"/>
      <c r="R28" s="288"/>
      <c r="S28" s="288"/>
      <c r="T28" s="288"/>
      <c r="U28" s="288"/>
      <c r="V28" s="288"/>
      <c r="W28" s="288"/>
      <c r="X28" s="288"/>
      <c r="Y28" s="288"/>
      <c r="Z28" s="288"/>
      <c r="AA28" s="288"/>
      <c r="AB28" s="288"/>
      <c r="AC28" s="288"/>
      <c r="AD28" s="288"/>
      <c r="AE28" s="288"/>
      <c r="AF28" s="288"/>
      <c r="AG28" s="288"/>
      <c r="AH28" s="288"/>
      <c r="AI28" s="289"/>
      <c r="AK28" s="436" t="s">
        <v>644</v>
      </c>
      <c r="AL28" s="436"/>
      <c r="AM28" s="436"/>
      <c r="AN28" s="436"/>
      <c r="AO28" s="436"/>
      <c r="AP28" s="436"/>
      <c r="AQ28" s="67"/>
      <c r="AR28" s="43"/>
      <c r="AS28" s="538" t="s">
        <v>645</v>
      </c>
      <c r="AT28" s="539"/>
      <c r="AU28" s="533" t="s">
        <v>646</v>
      </c>
      <c r="AV28" s="534"/>
      <c r="AW28" s="535"/>
      <c r="AY28" s="413" t="s">
        <v>647</v>
      </c>
      <c r="AZ28" s="413"/>
      <c r="BA28" s="412"/>
      <c r="BB28" s="412"/>
    </row>
    <row r="29" spans="1:85" ht="18" customHeight="1" thickBot="1">
      <c r="A29" s="36"/>
      <c r="B29" s="404"/>
      <c r="C29" s="404"/>
      <c r="D29" s="404"/>
      <c r="E29" s="404"/>
      <c r="F29" s="288"/>
      <c r="G29" s="288"/>
      <c r="H29" s="288"/>
      <c r="I29" s="288"/>
      <c r="J29" s="288"/>
      <c r="K29" s="288"/>
      <c r="L29" s="288"/>
      <c r="M29" s="288"/>
      <c r="N29" s="288"/>
      <c r="O29" s="288"/>
      <c r="P29" s="288"/>
      <c r="Q29" s="288"/>
      <c r="R29" s="288"/>
      <c r="S29" s="288"/>
      <c r="T29" s="288"/>
      <c r="U29" s="288"/>
      <c r="V29" s="288"/>
      <c r="W29" s="288"/>
      <c r="X29" s="288"/>
      <c r="Y29" s="288"/>
      <c r="Z29" s="288"/>
      <c r="AA29" s="288"/>
      <c r="AB29" s="288"/>
      <c r="AC29" s="288"/>
      <c r="AD29" s="288"/>
      <c r="AE29" s="288"/>
      <c r="AF29" s="288"/>
      <c r="AG29" s="288"/>
      <c r="AH29" s="288"/>
      <c r="AI29" s="289"/>
      <c r="AK29" s="524"/>
      <c r="AL29" s="524"/>
      <c r="AM29" s="524"/>
      <c r="AN29" s="524"/>
      <c r="AO29" s="524"/>
      <c r="AP29" s="524"/>
      <c r="AQ29" s="58"/>
      <c r="AR29" s="43"/>
      <c r="AS29" s="551">
        <v>1.08125</v>
      </c>
      <c r="AT29" s="552"/>
      <c r="AU29" s="434" t="s">
        <v>752</v>
      </c>
      <c r="AV29" s="434"/>
      <c r="AW29" s="553"/>
      <c r="AY29" s="413" t="s">
        <v>633</v>
      </c>
      <c r="AZ29" s="413"/>
      <c r="BA29" s="412"/>
      <c r="BB29" s="412"/>
    </row>
    <row r="30" spans="1:85" ht="18" customHeight="1">
      <c r="A30" s="36"/>
      <c r="B30" s="404"/>
      <c r="C30" s="404"/>
      <c r="D30" s="404"/>
      <c r="E30" s="404"/>
      <c r="F30" s="288"/>
      <c r="G30" s="288"/>
      <c r="H30" s="288"/>
      <c r="I30" s="288"/>
      <c r="J30" s="288"/>
      <c r="K30" s="288"/>
      <c r="L30" s="288"/>
      <c r="M30" s="288"/>
      <c r="N30" s="288"/>
      <c r="O30" s="288"/>
      <c r="P30" s="288"/>
      <c r="Q30" s="288"/>
      <c r="R30" s="288"/>
      <c r="S30" s="288"/>
      <c r="T30" s="288"/>
      <c r="U30" s="288"/>
      <c r="V30" s="288"/>
      <c r="W30" s="288"/>
      <c r="X30" s="288"/>
      <c r="Y30" s="288"/>
      <c r="Z30" s="288"/>
      <c r="AA30" s="288"/>
      <c r="AB30" s="288"/>
      <c r="AC30" s="288"/>
      <c r="AD30" s="288"/>
      <c r="AE30" s="288"/>
      <c r="AF30" s="288"/>
      <c r="AG30" s="288"/>
      <c r="AH30" s="288"/>
      <c r="AI30" s="289"/>
      <c r="AK30" s="449" t="s">
        <v>648</v>
      </c>
      <c r="AL30" s="450"/>
      <c r="AM30" s="450"/>
      <c r="AN30" s="450"/>
      <c r="AO30" s="450"/>
      <c r="AP30" s="450"/>
      <c r="AQ30" s="62"/>
      <c r="AR30" s="43"/>
      <c r="AS30" s="554">
        <v>1.08125</v>
      </c>
      <c r="AT30" s="532"/>
      <c r="AU30" s="439" t="s">
        <v>754</v>
      </c>
      <c r="AV30" s="439"/>
      <c r="AW30" s="555"/>
      <c r="AY30" s="413" t="s">
        <v>649</v>
      </c>
      <c r="AZ30" s="413"/>
      <c r="BA30" s="412"/>
      <c r="BB30" s="412"/>
    </row>
    <row r="31" spans="1:85" ht="18" customHeight="1" thickBot="1">
      <c r="A31" s="37"/>
      <c r="B31" s="466"/>
      <c r="C31" s="466"/>
      <c r="D31" s="466"/>
      <c r="E31" s="466"/>
      <c r="F31" s="467"/>
      <c r="G31" s="467"/>
      <c r="H31" s="467"/>
      <c r="I31" s="467"/>
      <c r="J31" s="467"/>
      <c r="K31" s="467"/>
      <c r="L31" s="467"/>
      <c r="M31" s="467"/>
      <c r="N31" s="467"/>
      <c r="O31" s="467"/>
      <c r="P31" s="467"/>
      <c r="Q31" s="467"/>
      <c r="R31" s="467"/>
      <c r="S31" s="467"/>
      <c r="T31" s="467"/>
      <c r="U31" s="467"/>
      <c r="V31" s="467"/>
      <c r="W31" s="467"/>
      <c r="X31" s="467"/>
      <c r="Y31" s="467"/>
      <c r="Z31" s="467"/>
      <c r="AA31" s="467"/>
      <c r="AB31" s="467"/>
      <c r="AC31" s="467"/>
      <c r="AD31" s="467"/>
      <c r="AE31" s="467"/>
      <c r="AF31" s="467"/>
      <c r="AG31" s="467"/>
      <c r="AH31" s="467"/>
      <c r="AI31" s="468"/>
      <c r="AK31" s="451" t="s">
        <v>650</v>
      </c>
      <c r="AL31" s="416"/>
      <c r="AM31" s="416"/>
      <c r="AN31" s="416"/>
      <c r="AO31" s="416"/>
      <c r="AP31" s="416"/>
      <c r="AQ31" s="64"/>
      <c r="AR31" s="48"/>
      <c r="AS31" s="556"/>
      <c r="AT31" s="557"/>
      <c r="AU31" s="424"/>
      <c r="AV31" s="424"/>
      <c r="AW31" s="491"/>
      <c r="AY31" s="413" t="s">
        <v>637</v>
      </c>
      <c r="AZ31" s="413"/>
      <c r="BA31" s="412"/>
      <c r="BB31" s="412"/>
    </row>
    <row r="32" spans="1:85" ht="18" customHeight="1" thickBot="1">
      <c r="A32" s="406" t="s">
        <v>651</v>
      </c>
      <c r="B32" s="407"/>
      <c r="C32" s="407"/>
      <c r="D32" s="407"/>
      <c r="E32" s="407"/>
      <c r="F32" s="407"/>
      <c r="G32" s="407"/>
      <c r="H32" s="407"/>
      <c r="I32" s="407"/>
      <c r="J32" s="407"/>
      <c r="K32" s="407"/>
      <c r="L32" s="407"/>
      <c r="M32" s="407"/>
      <c r="N32" s="407"/>
      <c r="O32" s="407"/>
      <c r="P32" s="407"/>
      <c r="Q32" s="407"/>
      <c r="R32" s="407"/>
      <c r="S32" s="407"/>
      <c r="T32" s="407"/>
      <c r="U32" s="407"/>
      <c r="V32" s="407"/>
      <c r="W32" s="407"/>
      <c r="X32" s="407"/>
      <c r="Y32" s="407"/>
      <c r="Z32" s="407"/>
      <c r="AA32" s="407"/>
      <c r="AB32" s="407"/>
      <c r="AC32" s="407"/>
      <c r="AD32" s="407"/>
      <c r="AE32" s="407"/>
      <c r="AF32" s="407"/>
      <c r="AG32" s="407"/>
      <c r="AH32" s="407"/>
      <c r="AI32" s="408"/>
      <c r="AK32" s="531"/>
      <c r="AL32" s="531"/>
      <c r="AM32" s="531"/>
      <c r="AN32" s="531"/>
      <c r="AO32" s="531"/>
      <c r="AP32" s="531"/>
      <c r="AQ32" s="61"/>
      <c r="AR32" s="48"/>
      <c r="AS32" s="558"/>
      <c r="AT32" s="558"/>
      <c r="AU32" s="559"/>
      <c r="AV32" s="559"/>
      <c r="AW32" s="559"/>
      <c r="AY32" s="413" t="s">
        <v>652</v>
      </c>
      <c r="AZ32" s="413"/>
      <c r="BA32" s="412"/>
      <c r="BB32" s="412"/>
    </row>
    <row r="33" spans="1:80" ht="18" customHeight="1">
      <c r="A33" s="39"/>
      <c r="B33" s="546" t="s">
        <v>653</v>
      </c>
      <c r="C33" s="546"/>
      <c r="D33" s="546"/>
      <c r="E33" s="546"/>
      <c r="F33" s="417" t="str" cm="1">
        <f t="array" ref="F33">_xlfn.TEXTJOIN("/",TRUE,IF(AS29:AS31&lt;&gt;"",TEXT(AS29:AS31,"h:mm")&amp;" "&amp;AU29:AU31,""))</f>
        <v>1:57 45階ルーフトップテラス１/1:57 45階ルーフトップテラス２</v>
      </c>
      <c r="G33" s="418"/>
      <c r="H33" s="418"/>
      <c r="I33" s="418"/>
      <c r="J33" s="418"/>
      <c r="K33" s="418"/>
      <c r="L33" s="418"/>
      <c r="M33" s="418"/>
      <c r="N33" s="418"/>
      <c r="O33" s="418"/>
      <c r="P33" s="418"/>
      <c r="Q33" s="418"/>
      <c r="R33" s="418"/>
      <c r="S33" s="418"/>
      <c r="T33" s="418"/>
      <c r="U33" s="418"/>
      <c r="V33" s="418"/>
      <c r="W33" s="418"/>
      <c r="X33" s="418"/>
      <c r="Y33" s="418"/>
      <c r="Z33" s="418"/>
      <c r="AA33" s="418"/>
      <c r="AB33" s="418"/>
      <c r="AC33" s="418"/>
      <c r="AD33" s="418"/>
      <c r="AE33" s="418"/>
      <c r="AF33" s="418"/>
      <c r="AG33" s="418"/>
      <c r="AH33" s="418"/>
      <c r="AI33" s="419"/>
      <c r="AK33" s="449" t="s">
        <v>654</v>
      </c>
      <c r="AL33" s="450"/>
      <c r="AM33" s="450"/>
      <c r="AN33" s="450"/>
      <c r="AO33" s="450"/>
      <c r="AP33" s="450"/>
      <c r="AQ33" s="60"/>
      <c r="AR33" s="48"/>
      <c r="AS33" s="532"/>
      <c r="AT33" s="532"/>
      <c r="AU33" s="439"/>
      <c r="AV33" s="439"/>
      <c r="AW33" s="439"/>
      <c r="AY33" s="413" t="s">
        <v>655</v>
      </c>
      <c r="AZ33" s="413"/>
      <c r="BA33" s="412"/>
      <c r="BB33" s="412"/>
    </row>
    <row r="34" spans="1:80" ht="18" customHeight="1" thickBot="1">
      <c r="A34" s="39"/>
      <c r="B34" s="546" t="s">
        <v>656</v>
      </c>
      <c r="C34" s="546"/>
      <c r="D34" s="546"/>
      <c r="E34" s="546"/>
      <c r="F34" s="420" t="s">
        <v>79</v>
      </c>
      <c r="G34" s="420"/>
      <c r="H34" s="420"/>
      <c r="I34" s="420"/>
      <c r="J34" s="420"/>
      <c r="K34" s="420"/>
      <c r="L34" s="420"/>
      <c r="M34" s="420"/>
      <c r="N34" s="420"/>
      <c r="O34" s="420"/>
      <c r="P34" s="420"/>
      <c r="Q34" s="420"/>
      <c r="R34" s="420"/>
      <c r="S34" s="420"/>
      <c r="T34" s="420"/>
      <c r="U34" s="420"/>
      <c r="V34" s="420"/>
      <c r="W34" s="420"/>
      <c r="X34" s="420"/>
      <c r="Y34" s="420"/>
      <c r="Z34" s="420"/>
      <c r="AA34" s="420"/>
      <c r="AB34" s="420"/>
      <c r="AC34" s="421"/>
      <c r="AD34" s="421"/>
      <c r="AE34" s="421"/>
      <c r="AF34" s="421"/>
      <c r="AG34" s="421"/>
      <c r="AH34" s="421"/>
      <c r="AI34" s="422"/>
      <c r="AK34" s="451" t="s">
        <v>657</v>
      </c>
      <c r="AL34" s="416"/>
      <c r="AM34" s="416"/>
      <c r="AN34" s="416"/>
      <c r="AO34" s="416"/>
      <c r="AP34" s="416"/>
      <c r="AQ34" s="56"/>
      <c r="AR34" s="48"/>
      <c r="AS34" s="532"/>
      <c r="AT34" s="532"/>
      <c r="AU34" s="439"/>
      <c r="AV34" s="439"/>
      <c r="AW34" s="439"/>
      <c r="AY34" s="413" t="s">
        <v>658</v>
      </c>
      <c r="AZ34" s="413"/>
      <c r="BA34" s="412"/>
      <c r="BB34" s="412"/>
    </row>
    <row r="35" spans="1:80" ht="18" customHeight="1" thickBot="1">
      <c r="A35" s="57"/>
      <c r="B35" s="547" t="s">
        <v>659</v>
      </c>
      <c r="C35" s="547"/>
      <c r="D35" s="547"/>
      <c r="E35" s="547"/>
      <c r="F35" s="389" t="s">
        <v>660</v>
      </c>
      <c r="G35" s="389"/>
      <c r="H35" s="389"/>
      <c r="I35" s="389"/>
      <c r="J35" s="389"/>
      <c r="K35" s="389"/>
      <c r="L35" s="389"/>
      <c r="M35" s="389"/>
      <c r="N35" s="389"/>
      <c r="O35" s="389"/>
      <c r="P35" s="389"/>
      <c r="Q35" s="389"/>
      <c r="R35" s="389"/>
      <c r="S35" s="389"/>
      <c r="T35" s="389"/>
      <c r="U35" s="389"/>
      <c r="V35" s="389"/>
      <c r="W35" s="390" t="s">
        <v>661</v>
      </c>
      <c r="X35" s="391"/>
      <c r="Y35" s="391"/>
      <c r="Z35" s="391"/>
      <c r="AA35" s="391"/>
      <c r="AB35" s="391"/>
      <c r="AC35" s="392" t="s">
        <v>662</v>
      </c>
      <c r="AD35" s="393"/>
      <c r="AE35" s="393"/>
      <c r="AF35" s="393"/>
      <c r="AG35" s="393"/>
      <c r="AH35" s="393"/>
      <c r="AI35" s="394"/>
      <c r="AK35" s="531"/>
      <c r="AL35" s="531"/>
      <c r="AM35" s="531"/>
      <c r="AN35" s="531"/>
      <c r="AO35" s="531"/>
      <c r="AP35" s="531"/>
      <c r="AQ35" s="61"/>
      <c r="AR35" s="48"/>
      <c r="AS35" s="532"/>
      <c r="AT35" s="532"/>
      <c r="AU35" s="439"/>
      <c r="AV35" s="439"/>
      <c r="AW35" s="439"/>
      <c r="AY35" s="413" t="s">
        <v>663</v>
      </c>
      <c r="AZ35" s="413"/>
      <c r="BA35" s="412"/>
      <c r="BB35" s="412"/>
    </row>
    <row r="36" spans="1:80" ht="18" customHeight="1" thickBot="1">
      <c r="A36" s="492" t="s">
        <v>664</v>
      </c>
      <c r="B36" s="493"/>
      <c r="C36" s="493"/>
      <c r="D36" s="493"/>
      <c r="E36" s="493"/>
      <c r="F36" s="498">
        <v>4.1666666666666664E-2</v>
      </c>
      <c r="G36" s="439"/>
      <c r="H36" s="439"/>
      <c r="I36" s="439"/>
      <c r="J36" s="439"/>
      <c r="K36" s="439"/>
      <c r="L36" s="499" t="s">
        <v>665</v>
      </c>
      <c r="M36" s="489"/>
      <c r="N36" s="489"/>
      <c r="O36" s="500"/>
      <c r="P36" s="410" t="s">
        <v>50</v>
      </c>
      <c r="Q36" s="410"/>
      <c r="R36" s="410"/>
      <c r="S36" s="55" t="s">
        <v>666</v>
      </c>
      <c r="T36" s="410" t="s">
        <v>72</v>
      </c>
      <c r="U36" s="410"/>
      <c r="V36" s="530"/>
      <c r="W36" s="489" t="s">
        <v>667</v>
      </c>
      <c r="X36" s="489"/>
      <c r="Y36" s="489"/>
      <c r="Z36" s="489"/>
      <c r="AA36" s="489"/>
      <c r="AB36" s="489"/>
      <c r="AC36" s="490" t="s">
        <v>722</v>
      </c>
      <c r="AD36" s="487"/>
      <c r="AE36" s="487"/>
      <c r="AF36" s="487"/>
      <c r="AG36" s="487"/>
      <c r="AH36" s="487"/>
      <c r="AI36" s="488"/>
      <c r="AK36" s="525" t="s">
        <v>668</v>
      </c>
      <c r="AL36" s="526"/>
      <c r="AM36" s="526"/>
      <c r="AN36" s="526"/>
      <c r="AO36" s="526"/>
      <c r="AP36" s="526"/>
      <c r="AQ36" s="117"/>
      <c r="AR36" s="48"/>
      <c r="AS36" s="532"/>
      <c r="AT36" s="532"/>
      <c r="AU36" s="439"/>
      <c r="AV36" s="439"/>
      <c r="AW36" s="439"/>
      <c r="BH36" s="50"/>
      <c r="BI36" s="51"/>
    </row>
    <row r="37" spans="1:80" ht="18" customHeight="1" thickBot="1">
      <c r="A37" s="494" t="s">
        <v>669</v>
      </c>
      <c r="B37" s="495"/>
      <c r="C37" s="495"/>
      <c r="D37" s="495"/>
      <c r="E37" s="495"/>
      <c r="F37" s="487"/>
      <c r="G37" s="487"/>
      <c r="H37" s="487"/>
      <c r="I37" s="487"/>
      <c r="J37" s="487"/>
      <c r="K37" s="487"/>
      <c r="L37" s="487"/>
      <c r="M37" s="487"/>
      <c r="N37" s="487"/>
      <c r="O37" s="487"/>
      <c r="P37" s="487"/>
      <c r="Q37" s="487"/>
      <c r="R37" s="487"/>
      <c r="S37" s="487"/>
      <c r="T37" s="487"/>
      <c r="U37" s="487"/>
      <c r="V37" s="487"/>
      <c r="W37" s="487"/>
      <c r="X37" s="487"/>
      <c r="Y37" s="487"/>
      <c r="Z37" s="487"/>
      <c r="AA37" s="487"/>
      <c r="AB37" s="487"/>
      <c r="AC37" s="487"/>
      <c r="AD37" s="487"/>
      <c r="AE37" s="487"/>
      <c r="AF37" s="487"/>
      <c r="AG37" s="487"/>
      <c r="AH37" s="487"/>
      <c r="AI37" s="488"/>
      <c r="AK37" s="544" t="s">
        <v>240</v>
      </c>
      <c r="AL37" s="545"/>
      <c r="AM37" s="545"/>
      <c r="AN37" s="545"/>
      <c r="AO37" s="545"/>
      <c r="AP37" s="545"/>
      <c r="AQ37" s="122"/>
      <c r="AR37" s="48"/>
      <c r="AS37" s="532"/>
      <c r="AT37" s="532"/>
      <c r="AU37" s="439"/>
      <c r="AV37" s="439"/>
      <c r="AW37" s="439"/>
      <c r="BH37" s="50"/>
      <c r="BI37" s="51"/>
    </row>
    <row r="38" spans="1:80" ht="18" customHeight="1" thickBot="1">
      <c r="A38" s="496" t="s">
        <v>670</v>
      </c>
      <c r="B38" s="497"/>
      <c r="C38" s="497"/>
      <c r="D38" s="497"/>
      <c r="E38" s="497"/>
      <c r="F38" s="416" t="s">
        <v>667</v>
      </c>
      <c r="G38" s="416"/>
      <c r="H38" s="416"/>
      <c r="I38" s="416"/>
      <c r="J38" s="416"/>
      <c r="K38" s="416"/>
      <c r="L38" s="424" t="s">
        <v>722</v>
      </c>
      <c r="M38" s="424"/>
      <c r="N38" s="424"/>
      <c r="O38" s="424"/>
      <c r="P38" s="416" t="s">
        <v>671</v>
      </c>
      <c r="Q38" s="416"/>
      <c r="R38" s="416"/>
      <c r="S38" s="416"/>
      <c r="T38" s="416"/>
      <c r="U38" s="416"/>
      <c r="V38" s="416"/>
      <c r="W38" s="416" t="s">
        <v>667</v>
      </c>
      <c r="X38" s="416"/>
      <c r="Y38" s="416"/>
      <c r="Z38" s="416"/>
      <c r="AA38" s="416"/>
      <c r="AB38" s="416"/>
      <c r="AC38" s="424" t="s">
        <v>722</v>
      </c>
      <c r="AD38" s="424"/>
      <c r="AE38" s="424"/>
      <c r="AF38" s="424"/>
      <c r="AG38" s="424"/>
      <c r="AH38" s="424"/>
      <c r="AI38" s="491"/>
      <c r="AK38" s="543"/>
      <c r="AL38" s="543"/>
      <c r="AM38" s="543"/>
      <c r="AN38" s="543"/>
      <c r="AO38" s="543"/>
      <c r="AP38" s="543"/>
      <c r="AQ38" s="59"/>
      <c r="AR38" s="48"/>
      <c r="BC38" s="50"/>
      <c r="BD38" s="51"/>
    </row>
    <row r="39" spans="1:80" ht="18" customHeight="1">
      <c r="A39" s="452" t="s">
        <v>672</v>
      </c>
      <c r="B39" s="453"/>
      <c r="C39" s="453"/>
      <c r="D39" s="453"/>
      <c r="E39" s="453"/>
      <c r="F39" s="453"/>
      <c r="G39" s="453"/>
      <c r="H39" s="453"/>
      <c r="I39" s="453"/>
      <c r="J39" s="453"/>
      <c r="K39" s="453"/>
      <c r="L39" s="453"/>
      <c r="M39" s="453"/>
      <c r="N39" s="453"/>
      <c r="O39" s="453"/>
      <c r="P39" s="453"/>
      <c r="Q39" s="453"/>
      <c r="R39" s="453"/>
      <c r="S39" s="453"/>
      <c r="T39" s="453"/>
      <c r="U39" s="453"/>
      <c r="V39" s="453"/>
      <c r="W39" s="453"/>
      <c r="X39" s="453"/>
      <c r="Y39" s="453"/>
      <c r="Z39" s="453"/>
      <c r="AA39" s="453"/>
      <c r="AB39" s="453"/>
      <c r="AC39" s="453"/>
      <c r="AD39" s="453"/>
      <c r="AE39" s="453"/>
      <c r="AF39" s="453"/>
      <c r="AG39" s="453"/>
      <c r="AH39" s="453"/>
      <c r="AI39" s="454"/>
      <c r="AK39" s="444" t="s">
        <v>673</v>
      </c>
      <c r="AL39" s="444"/>
      <c r="AM39" s="444"/>
      <c r="AN39" s="444"/>
      <c r="AO39" s="444"/>
      <c r="AP39" s="444"/>
      <c r="AQ39" s="42"/>
      <c r="AR39" s="48"/>
      <c r="AS39" s="423" t="s">
        <v>526</v>
      </c>
      <c r="AT39" s="423"/>
      <c r="AU39" s="148">
        <v>26</v>
      </c>
      <c r="AV39" s="423" t="s">
        <v>528</v>
      </c>
      <c r="AW39" s="423"/>
      <c r="BC39" s="50"/>
      <c r="BD39" s="51"/>
    </row>
    <row r="40" spans="1:80" ht="18" customHeight="1">
      <c r="A40" s="464" t="s">
        <v>674</v>
      </c>
      <c r="B40" s="459"/>
      <c r="C40" s="459"/>
      <c r="D40" s="459"/>
      <c r="E40" s="470" t="s">
        <v>675</v>
      </c>
      <c r="F40" s="471"/>
      <c r="G40" s="471"/>
      <c r="H40" s="471"/>
      <c r="I40" s="471"/>
      <c r="J40" s="471"/>
      <c r="K40" s="472"/>
      <c r="L40" s="458" t="s">
        <v>676</v>
      </c>
      <c r="M40" s="459"/>
      <c r="N40" s="459"/>
      <c r="O40" s="459"/>
      <c r="P40" s="459"/>
      <c r="Q40" s="459"/>
      <c r="R40" s="460"/>
      <c r="S40" s="458" t="s">
        <v>677</v>
      </c>
      <c r="T40" s="459"/>
      <c r="U40" s="459"/>
      <c r="V40" s="459"/>
      <c r="W40" s="470" t="s">
        <v>675</v>
      </c>
      <c r="X40" s="471"/>
      <c r="Y40" s="471"/>
      <c r="Z40" s="471"/>
      <c r="AA40" s="471"/>
      <c r="AB40" s="471"/>
      <c r="AC40" s="472"/>
      <c r="AD40" s="458" t="s">
        <v>678</v>
      </c>
      <c r="AE40" s="459"/>
      <c r="AF40" s="459"/>
      <c r="AG40" s="459"/>
      <c r="AH40" s="459"/>
      <c r="AI40" s="463"/>
      <c r="AK40" s="444" t="s">
        <v>679</v>
      </c>
      <c r="AL40" s="444"/>
      <c r="AM40" s="444"/>
      <c r="AN40" s="444"/>
      <c r="AO40" s="444"/>
      <c r="AP40" s="444"/>
      <c r="AQ40" s="42"/>
      <c r="AR40" s="48"/>
      <c r="AS40" s="423" t="s">
        <v>527</v>
      </c>
      <c r="AT40" s="423"/>
      <c r="AU40" s="148">
        <v>27</v>
      </c>
      <c r="AV40" s="560">
        <v>0.68369999999999997</v>
      </c>
      <c r="AW40" s="560"/>
      <c r="BC40" s="50"/>
      <c r="BD40" s="51"/>
    </row>
    <row r="41" spans="1:80" ht="18" customHeight="1">
      <c r="A41" s="464" t="s">
        <v>16</v>
      </c>
      <c r="B41" s="459"/>
      <c r="C41" s="459"/>
      <c r="D41" s="459"/>
      <c r="E41" s="469">
        <f>AX10</f>
        <v>0.33333333333333331</v>
      </c>
      <c r="F41" s="456"/>
      <c r="G41" s="456"/>
      <c r="H41" s="144" t="s">
        <v>680</v>
      </c>
      <c r="I41" s="456">
        <f>AY10</f>
        <v>0.83333333333333337</v>
      </c>
      <c r="J41" s="456"/>
      <c r="K41" s="457"/>
      <c r="L41" s="458" t="str">
        <f>AU10</f>
        <v>武田崇将</v>
      </c>
      <c r="M41" s="459"/>
      <c r="N41" s="459"/>
      <c r="O41" s="459"/>
      <c r="P41" s="459"/>
      <c r="Q41" s="459"/>
      <c r="R41" s="460"/>
      <c r="S41" s="409"/>
      <c r="T41" s="410"/>
      <c r="U41" s="410"/>
      <c r="V41" s="410"/>
      <c r="W41" s="414"/>
      <c r="X41" s="415"/>
      <c r="Y41" s="415"/>
      <c r="Z41" s="40"/>
      <c r="AA41" s="415"/>
      <c r="AB41" s="415"/>
      <c r="AC41" s="461"/>
      <c r="AD41" s="409">
        <f>AU14</f>
        <v>0</v>
      </c>
      <c r="AE41" s="410"/>
      <c r="AF41" s="410"/>
      <c r="AG41" s="410"/>
      <c r="AH41" s="410"/>
      <c r="AI41" s="462"/>
      <c r="AK41" s="444" t="s">
        <v>681</v>
      </c>
      <c r="AL41" s="444"/>
      <c r="AM41" s="444"/>
      <c r="AN41" s="444"/>
      <c r="AO41" s="444"/>
      <c r="AP41" s="444"/>
      <c r="AQ41" s="42"/>
      <c r="AR41" s="48"/>
      <c r="BC41" s="50"/>
      <c r="BD41" s="51"/>
    </row>
    <row r="42" spans="1:80" ht="18" customHeight="1">
      <c r="A42" s="464" t="s">
        <v>24</v>
      </c>
      <c r="B42" s="459"/>
      <c r="C42" s="459"/>
      <c r="D42" s="459"/>
      <c r="E42" s="469">
        <f>AX13</f>
        <v>0.33333333333333331</v>
      </c>
      <c r="F42" s="456"/>
      <c r="G42" s="456"/>
      <c r="H42" s="144" t="s">
        <v>680</v>
      </c>
      <c r="I42" s="456">
        <f>AY12</f>
        <v>0.83333333333333337</v>
      </c>
      <c r="J42" s="456"/>
      <c r="K42" s="457"/>
      <c r="L42" s="458" t="str">
        <f>AU13</f>
        <v>松葉眞</v>
      </c>
      <c r="M42" s="459"/>
      <c r="N42" s="459"/>
      <c r="O42" s="459"/>
      <c r="P42" s="459"/>
      <c r="Q42" s="459"/>
      <c r="R42" s="460"/>
      <c r="S42" s="409"/>
      <c r="T42" s="410"/>
      <c r="U42" s="410"/>
      <c r="V42" s="410"/>
      <c r="W42" s="414"/>
      <c r="X42" s="415"/>
      <c r="Y42" s="415"/>
      <c r="Z42" s="136"/>
      <c r="AA42" s="415"/>
      <c r="AB42" s="415"/>
      <c r="AC42" s="461"/>
      <c r="AD42" s="409">
        <f>AU15</f>
        <v>0</v>
      </c>
      <c r="AE42" s="410"/>
      <c r="AF42" s="410"/>
      <c r="AG42" s="410"/>
      <c r="AH42" s="410"/>
      <c r="AI42" s="462"/>
      <c r="AK42" s="445" t="s">
        <v>682</v>
      </c>
      <c r="AL42" s="445"/>
      <c r="AM42" s="445"/>
      <c r="AN42" s="445"/>
      <c r="AO42" s="445"/>
      <c r="AP42" s="445"/>
      <c r="AQ42" s="42"/>
      <c r="AR42" s="48"/>
      <c r="AS42" s="561" t="s">
        <v>683</v>
      </c>
      <c r="AT42" s="561"/>
      <c r="AU42" s="561"/>
      <c r="AV42" s="561"/>
      <c r="AW42" s="561"/>
      <c r="BC42" s="50"/>
      <c r="BD42" s="51"/>
    </row>
    <row r="43" spans="1:80" ht="18" customHeight="1">
      <c r="A43" s="464" t="s">
        <v>38</v>
      </c>
      <c r="B43" s="459"/>
      <c r="C43" s="459"/>
      <c r="D43" s="459"/>
      <c r="E43" s="469">
        <f>AX16</f>
        <v>0.83333333333333337</v>
      </c>
      <c r="F43" s="456"/>
      <c r="G43" s="456"/>
      <c r="H43" s="144" t="s">
        <v>680</v>
      </c>
      <c r="I43" s="456" t="str">
        <f>AY16</f>
        <v>翌8:00</v>
      </c>
      <c r="J43" s="456"/>
      <c r="K43" s="457"/>
      <c r="L43" s="458" t="str">
        <f>AU16</f>
        <v>片山薫</v>
      </c>
      <c r="M43" s="459"/>
      <c r="N43" s="459"/>
      <c r="O43" s="459"/>
      <c r="P43" s="459"/>
      <c r="Q43" s="459"/>
      <c r="R43" s="460"/>
      <c r="S43" s="409"/>
      <c r="T43" s="410"/>
      <c r="U43" s="410"/>
      <c r="V43" s="410"/>
      <c r="W43" s="414"/>
      <c r="X43" s="415"/>
      <c r="Y43" s="415"/>
      <c r="Z43" s="136"/>
      <c r="AA43" s="415"/>
      <c r="AB43" s="415"/>
      <c r="AC43" s="461"/>
      <c r="AD43" s="486">
        <f>AU18</f>
        <v>0</v>
      </c>
      <c r="AE43" s="410"/>
      <c r="AF43" s="410"/>
      <c r="AG43" s="410"/>
      <c r="AH43" s="410"/>
      <c r="AI43" s="462"/>
      <c r="AK43" s="444" t="s">
        <v>684</v>
      </c>
      <c r="AL43" s="444"/>
      <c r="AM43" s="444"/>
      <c r="AN43" s="444"/>
      <c r="AO43" s="444"/>
      <c r="AP43" s="444"/>
      <c r="AQ43" s="42"/>
      <c r="AR43" s="43"/>
      <c r="AW43"/>
      <c r="AX43"/>
      <c r="AY43"/>
      <c r="AZ43"/>
      <c r="BA43"/>
      <c r="BB43"/>
      <c r="BC43" s="50"/>
      <c r="BD43" s="51"/>
      <c r="BE43"/>
      <c r="BF43"/>
      <c r="BG43"/>
      <c r="BH43"/>
      <c r="BI43"/>
      <c r="BJ43"/>
      <c r="BK43"/>
      <c r="BL43"/>
      <c r="BM43"/>
      <c r="BN43"/>
      <c r="BO43"/>
      <c r="BP43"/>
      <c r="BQ43"/>
      <c r="BR43"/>
      <c r="BS43"/>
      <c r="BT43"/>
      <c r="BU43"/>
      <c r="BV43"/>
      <c r="BW43"/>
      <c r="BX43"/>
      <c r="BY43"/>
      <c r="BZ43"/>
      <c r="CA43"/>
      <c r="CB43"/>
    </row>
    <row r="44" spans="1:80" ht="18" customHeight="1" thickBot="1">
      <c r="A44" s="473" t="s">
        <v>45</v>
      </c>
      <c r="B44" s="474"/>
      <c r="C44" s="474"/>
      <c r="D44" s="474"/>
      <c r="E44" s="475">
        <f>AX17</f>
        <v>0.83333333333333337</v>
      </c>
      <c r="F44" s="476"/>
      <c r="G44" s="476"/>
      <c r="H44" s="145" t="s">
        <v>680</v>
      </c>
      <c r="I44" s="476" t="str">
        <f>AY17</f>
        <v>翌8:00</v>
      </c>
      <c r="J44" s="476"/>
      <c r="K44" s="477"/>
      <c r="L44" s="478" t="str">
        <f>AU17</f>
        <v>末廣信行</v>
      </c>
      <c r="M44" s="478"/>
      <c r="N44" s="478"/>
      <c r="O44" s="478"/>
      <c r="P44" s="478"/>
      <c r="Q44" s="478"/>
      <c r="R44" s="478"/>
      <c r="S44" s="479"/>
      <c r="T44" s="480"/>
      <c r="U44" s="480"/>
      <c r="V44" s="480"/>
      <c r="W44" s="481"/>
      <c r="X44" s="482"/>
      <c r="Y44" s="482"/>
      <c r="Z44" s="137"/>
      <c r="AA44" s="482"/>
      <c r="AB44" s="482"/>
      <c r="AC44" s="483"/>
      <c r="AD44" s="484">
        <f>AU19</f>
        <v>0</v>
      </c>
      <c r="AE44" s="480"/>
      <c r="AF44" s="480"/>
      <c r="AG44" s="480"/>
      <c r="AH44" s="480"/>
      <c r="AI44" s="485"/>
      <c r="AK44" s="446" t="s">
        <v>685</v>
      </c>
      <c r="AL44" s="446"/>
      <c r="AM44" s="446"/>
      <c r="AN44" s="446"/>
      <c r="AO44" s="446"/>
      <c r="AP44" s="446"/>
      <c r="AQ44" s="42"/>
      <c r="AR44" s="43"/>
      <c r="BC44" s="50"/>
      <c r="BD44" s="51"/>
    </row>
    <row r="45" spans="1:80" ht="18" customHeight="1" thickBot="1">
      <c r="A45" s="27"/>
      <c r="B45" s="27"/>
      <c r="C45" s="27"/>
      <c r="D45" s="27"/>
      <c r="E45" s="27"/>
      <c r="F45" s="27"/>
      <c r="G45" s="27"/>
      <c r="H45" s="27"/>
      <c r="I45" s="27"/>
      <c r="R45" s="307">
        <f>A7</f>
        <v>46180</v>
      </c>
      <c r="S45" s="308"/>
      <c r="T45" s="308"/>
      <c r="U45" s="308"/>
      <c r="V45" s="23" t="s">
        <v>169</v>
      </c>
      <c r="W45" s="309">
        <f>G7</f>
        <v>46180</v>
      </c>
      <c r="X45" s="308"/>
      <c r="Y45" s="23" t="s">
        <v>170</v>
      </c>
      <c r="Z45" s="310">
        <f>K7</f>
        <v>46180</v>
      </c>
      <c r="AA45" s="308"/>
      <c r="AB45" s="23" t="s">
        <v>3</v>
      </c>
      <c r="AC45" s="455">
        <f>O7</f>
        <v>46180</v>
      </c>
      <c r="AD45" s="308"/>
      <c r="AE45" s="308" t="s">
        <v>292</v>
      </c>
      <c r="AF45" s="308"/>
      <c r="AK45" s="425" t="s">
        <v>686</v>
      </c>
      <c r="AL45" s="425"/>
      <c r="AM45" s="425"/>
      <c r="AN45" s="425"/>
      <c r="AO45" s="425"/>
      <c r="AP45" s="425"/>
      <c r="AQ45" s="42"/>
      <c r="AR45" s="43"/>
      <c r="BC45" s="50"/>
      <c r="BD45" s="51"/>
    </row>
    <row r="46" spans="1:80" customFormat="1" ht="18" customHeight="1">
      <c r="A46" s="452" t="s">
        <v>598</v>
      </c>
      <c r="B46" s="453"/>
      <c r="C46" s="453"/>
      <c r="D46" s="453"/>
      <c r="E46" s="453"/>
      <c r="F46" s="453"/>
      <c r="G46" s="453"/>
      <c r="H46" s="453"/>
      <c r="I46" s="453"/>
      <c r="J46" s="453"/>
      <c r="K46" s="453"/>
      <c r="L46" s="453"/>
      <c r="M46" s="453"/>
      <c r="N46" s="453"/>
      <c r="O46" s="453"/>
      <c r="P46" s="453"/>
      <c r="Q46" s="453"/>
      <c r="R46" s="453"/>
      <c r="S46" s="453"/>
      <c r="T46" s="453"/>
      <c r="U46" s="453"/>
      <c r="V46" s="453"/>
      <c r="W46" s="453"/>
      <c r="X46" s="453"/>
      <c r="Y46" s="453"/>
      <c r="Z46" s="453"/>
      <c r="AA46" s="453"/>
      <c r="AB46" s="453"/>
      <c r="AC46" s="453"/>
      <c r="AD46" s="453"/>
      <c r="AE46" s="453"/>
      <c r="AF46" s="453"/>
      <c r="AG46" s="453"/>
      <c r="AH46" s="453"/>
      <c r="AI46" s="454"/>
      <c r="AK46" s="425" t="s">
        <v>687</v>
      </c>
      <c r="AL46" s="425"/>
      <c r="AM46" s="425"/>
      <c r="AN46" s="425"/>
      <c r="AO46" s="425"/>
      <c r="AP46" s="425"/>
      <c r="AQ46" s="42"/>
      <c r="AR46" s="43"/>
      <c r="AW46" s="23"/>
      <c r="AX46" s="23"/>
      <c r="AY46" s="23"/>
      <c r="AZ46" s="23"/>
      <c r="BA46" s="23"/>
      <c r="BB46" s="23"/>
      <c r="BC46" s="50"/>
      <c r="BD46" s="51"/>
      <c r="BE46" s="23"/>
      <c r="BF46" s="23"/>
      <c r="BG46" s="23"/>
      <c r="BH46" s="23"/>
      <c r="BI46" s="23"/>
      <c r="BJ46" s="23"/>
      <c r="BK46" s="23"/>
      <c r="BL46" s="23"/>
      <c r="BM46" s="23"/>
      <c r="BN46" s="23"/>
      <c r="BO46" s="23"/>
      <c r="BP46" s="23"/>
      <c r="BQ46" s="23"/>
      <c r="BR46" s="23"/>
      <c r="BS46" s="23"/>
      <c r="BT46" s="23"/>
      <c r="BU46" s="23"/>
      <c r="BV46" s="23"/>
      <c r="BW46" s="23"/>
      <c r="BX46" s="23"/>
      <c r="BY46" s="23"/>
      <c r="BZ46" s="23"/>
      <c r="CA46" s="23"/>
      <c r="CB46" s="23"/>
    </row>
    <row r="47" spans="1:80" ht="18" customHeight="1">
      <c r="A47" s="36"/>
      <c r="B47" s="404"/>
      <c r="C47" s="404"/>
      <c r="D47" s="404"/>
      <c r="E47" s="404"/>
      <c r="F47" s="288"/>
      <c r="G47" s="288"/>
      <c r="H47" s="288"/>
      <c r="I47" s="288"/>
      <c r="J47" s="288"/>
      <c r="K47" s="288"/>
      <c r="L47" s="288"/>
      <c r="M47" s="288"/>
      <c r="N47" s="288"/>
      <c r="O47" s="288"/>
      <c r="P47" s="288"/>
      <c r="Q47" s="288"/>
      <c r="R47" s="288"/>
      <c r="S47" s="288"/>
      <c r="T47" s="288"/>
      <c r="U47" s="288"/>
      <c r="V47" s="288"/>
      <c r="W47" s="288"/>
      <c r="X47" s="288"/>
      <c r="Y47" s="288"/>
      <c r="Z47" s="288"/>
      <c r="AA47" s="288"/>
      <c r="AB47" s="288"/>
      <c r="AC47" s="288"/>
      <c r="AD47" s="288"/>
      <c r="AE47" s="288"/>
      <c r="AF47" s="288"/>
      <c r="AG47" s="288"/>
      <c r="AH47" s="288"/>
      <c r="AI47" s="289"/>
      <c r="AK47" s="425" t="s">
        <v>688</v>
      </c>
      <c r="AL47" s="425"/>
      <c r="AM47" s="425"/>
      <c r="AN47" s="425"/>
      <c r="AO47" s="425"/>
      <c r="AP47" s="425"/>
      <c r="AQ47" s="42"/>
      <c r="AR47" s="43"/>
      <c r="AS47" s="120" t="s">
        <v>189</v>
      </c>
      <c r="AT47" s="43" t="s">
        <v>728</v>
      </c>
      <c r="AU47" s="43"/>
      <c r="BC47" s="50"/>
      <c r="BD47" s="51"/>
    </row>
    <row r="48" spans="1:80" ht="18" customHeight="1">
      <c r="A48" s="36"/>
      <c r="B48" s="404"/>
      <c r="C48" s="404"/>
      <c r="D48" s="404"/>
      <c r="E48" s="404"/>
      <c r="F48" s="288"/>
      <c r="G48" s="288"/>
      <c r="H48" s="288"/>
      <c r="I48" s="288"/>
      <c r="J48" s="288"/>
      <c r="K48" s="288"/>
      <c r="L48" s="288"/>
      <c r="M48" s="288"/>
      <c r="N48" s="288"/>
      <c r="O48" s="288"/>
      <c r="P48" s="288"/>
      <c r="Q48" s="288"/>
      <c r="R48" s="288"/>
      <c r="S48" s="288"/>
      <c r="T48" s="288"/>
      <c r="U48" s="288"/>
      <c r="V48" s="288"/>
      <c r="W48" s="288"/>
      <c r="X48" s="288"/>
      <c r="Y48" s="288"/>
      <c r="Z48" s="288"/>
      <c r="AA48" s="288"/>
      <c r="AB48" s="288"/>
      <c r="AC48" s="288"/>
      <c r="AD48" s="288"/>
      <c r="AE48" s="288"/>
      <c r="AF48" s="288"/>
      <c r="AG48" s="288"/>
      <c r="AH48" s="288"/>
      <c r="AI48" s="289"/>
      <c r="AK48" s="425" t="s">
        <v>690</v>
      </c>
      <c r="AL48" s="425"/>
      <c r="AM48" s="425"/>
      <c r="AN48" s="425"/>
      <c r="AO48" s="425"/>
      <c r="AP48" s="425"/>
      <c r="AQ48" s="42"/>
      <c r="AR48" s="43"/>
      <c r="AS48" s="43"/>
      <c r="AT48" s="43"/>
      <c r="AU48" s="43"/>
      <c r="BC48" s="50"/>
      <c r="BD48" s="51"/>
    </row>
    <row r="49" spans="1:61" ht="18" customHeight="1">
      <c r="A49" s="36"/>
      <c r="B49" s="404"/>
      <c r="C49" s="404"/>
      <c r="D49" s="404"/>
      <c r="E49" s="404"/>
      <c r="F49" s="288"/>
      <c r="G49" s="288"/>
      <c r="H49" s="288"/>
      <c r="I49" s="288"/>
      <c r="J49" s="288"/>
      <c r="K49" s="288"/>
      <c r="L49" s="288"/>
      <c r="M49" s="288"/>
      <c r="N49" s="288"/>
      <c r="O49" s="288"/>
      <c r="P49" s="288"/>
      <c r="Q49" s="288"/>
      <c r="R49" s="288"/>
      <c r="S49" s="288"/>
      <c r="T49" s="288"/>
      <c r="U49" s="288"/>
      <c r="V49" s="288"/>
      <c r="W49" s="288"/>
      <c r="X49" s="288"/>
      <c r="Y49" s="288"/>
      <c r="Z49" s="288"/>
      <c r="AA49" s="288"/>
      <c r="AB49" s="288"/>
      <c r="AC49" s="288"/>
      <c r="AD49" s="288"/>
      <c r="AE49" s="288"/>
      <c r="AF49" s="288"/>
      <c r="AG49" s="288"/>
      <c r="AH49" s="288"/>
      <c r="AI49" s="289"/>
      <c r="AK49" s="425" t="s">
        <v>691</v>
      </c>
      <c r="AL49" s="425"/>
      <c r="AM49" s="425"/>
      <c r="AN49" s="425"/>
      <c r="AO49" s="425"/>
      <c r="AP49" s="425"/>
      <c r="AQ49" s="42"/>
      <c r="AR49" s="43"/>
      <c r="AS49" s="43"/>
      <c r="AT49" s="43"/>
      <c r="AU49" s="43"/>
      <c r="BC49" s="50"/>
      <c r="BD49" s="51"/>
    </row>
    <row r="50" spans="1:61" ht="18" customHeight="1">
      <c r="A50" s="36"/>
      <c r="B50" s="404"/>
      <c r="C50" s="404"/>
      <c r="D50" s="404"/>
      <c r="E50" s="404"/>
      <c r="F50" s="288"/>
      <c r="G50" s="288"/>
      <c r="H50" s="288"/>
      <c r="I50" s="288"/>
      <c r="J50" s="288"/>
      <c r="K50" s="288"/>
      <c r="L50" s="288"/>
      <c r="M50" s="288"/>
      <c r="N50" s="288"/>
      <c r="O50" s="288"/>
      <c r="P50" s="288"/>
      <c r="Q50" s="288"/>
      <c r="R50" s="288"/>
      <c r="S50" s="288"/>
      <c r="T50" s="288"/>
      <c r="U50" s="288"/>
      <c r="V50" s="288"/>
      <c r="W50" s="288"/>
      <c r="X50" s="288"/>
      <c r="Y50" s="288"/>
      <c r="Z50" s="288"/>
      <c r="AA50" s="288"/>
      <c r="AB50" s="288"/>
      <c r="AC50" s="288"/>
      <c r="AD50" s="288"/>
      <c r="AE50" s="288"/>
      <c r="AF50" s="288"/>
      <c r="AG50" s="288"/>
      <c r="AH50" s="288"/>
      <c r="AI50" s="289"/>
      <c r="AK50" s="425" t="s">
        <v>692</v>
      </c>
      <c r="AL50" s="425"/>
      <c r="AM50" s="425"/>
      <c r="AN50" s="425"/>
      <c r="AO50" s="425"/>
      <c r="AP50" s="425"/>
      <c r="AQ50" s="42"/>
      <c r="AR50" s="43"/>
      <c r="AS50" s="43"/>
      <c r="AT50" s="43"/>
      <c r="AU50" s="43"/>
      <c r="BC50" s="50"/>
      <c r="BD50" s="51"/>
    </row>
    <row r="51" spans="1:61" ht="18" customHeight="1">
      <c r="A51" s="36"/>
      <c r="B51" s="404"/>
      <c r="C51" s="404"/>
      <c r="D51" s="404"/>
      <c r="E51" s="404"/>
      <c r="F51" s="288"/>
      <c r="G51" s="288"/>
      <c r="H51" s="288"/>
      <c r="I51" s="288"/>
      <c r="J51" s="288"/>
      <c r="K51" s="288"/>
      <c r="L51" s="288"/>
      <c r="M51" s="288"/>
      <c r="N51" s="288"/>
      <c r="O51" s="288"/>
      <c r="P51" s="288"/>
      <c r="Q51" s="288"/>
      <c r="R51" s="288"/>
      <c r="S51" s="288"/>
      <c r="T51" s="288"/>
      <c r="U51" s="288"/>
      <c r="V51" s="288"/>
      <c r="W51" s="288"/>
      <c r="X51" s="288"/>
      <c r="Y51" s="288"/>
      <c r="Z51" s="288"/>
      <c r="AA51" s="288"/>
      <c r="AB51" s="288"/>
      <c r="AC51" s="288"/>
      <c r="AD51" s="288"/>
      <c r="AE51" s="288"/>
      <c r="AF51" s="288"/>
      <c r="AG51" s="288"/>
      <c r="AH51" s="288"/>
      <c r="AI51" s="289"/>
      <c r="AK51" s="425" t="s">
        <v>693</v>
      </c>
      <c r="AL51" s="425"/>
      <c r="AM51" s="425"/>
      <c r="AN51" s="425"/>
      <c r="AO51" s="425"/>
      <c r="AP51" s="425"/>
      <c r="AQ51" s="42"/>
      <c r="AR51" s="43"/>
      <c r="AS51" s="43"/>
      <c r="AT51" s="43"/>
      <c r="AU51" s="43"/>
      <c r="BC51" s="50"/>
      <c r="BD51" s="51"/>
    </row>
    <row r="52" spans="1:61" ht="18" customHeight="1">
      <c r="A52" s="36"/>
      <c r="B52" s="404"/>
      <c r="C52" s="404"/>
      <c r="D52" s="404"/>
      <c r="E52" s="404"/>
      <c r="F52" s="288"/>
      <c r="G52" s="288"/>
      <c r="H52" s="288"/>
      <c r="I52" s="288"/>
      <c r="J52" s="288"/>
      <c r="K52" s="288"/>
      <c r="L52" s="288"/>
      <c r="M52" s="288"/>
      <c r="N52" s="288"/>
      <c r="O52" s="288"/>
      <c r="P52" s="288"/>
      <c r="Q52" s="288"/>
      <c r="R52" s="288"/>
      <c r="S52" s="288"/>
      <c r="T52" s="288"/>
      <c r="U52" s="288"/>
      <c r="V52" s="288"/>
      <c r="W52" s="288"/>
      <c r="X52" s="288"/>
      <c r="Y52" s="288"/>
      <c r="Z52" s="288"/>
      <c r="AA52" s="288"/>
      <c r="AB52" s="288"/>
      <c r="AC52" s="288"/>
      <c r="AD52" s="288"/>
      <c r="AE52" s="288"/>
      <c r="AF52" s="288"/>
      <c r="AG52" s="288"/>
      <c r="AH52" s="288"/>
      <c r="AI52" s="289"/>
      <c r="AK52" s="425" t="s">
        <v>694</v>
      </c>
      <c r="AL52" s="425"/>
      <c r="AM52" s="425"/>
      <c r="AN52" s="425"/>
      <c r="AO52" s="425"/>
      <c r="AP52" s="425"/>
      <c r="AQ52" s="42"/>
      <c r="AR52" s="43"/>
      <c r="AS52" s="43"/>
      <c r="AV52" s="43"/>
      <c r="AW52" s="43"/>
      <c r="AX52" s="43"/>
      <c r="AY52" s="43"/>
      <c r="AZ52" s="43"/>
      <c r="BA52" s="43"/>
      <c r="BH52" s="52"/>
      <c r="BI52" s="51"/>
    </row>
    <row r="53" spans="1:61" ht="18" customHeight="1">
      <c r="A53" s="36"/>
      <c r="B53" s="404"/>
      <c r="C53" s="404"/>
      <c r="D53" s="404"/>
      <c r="E53" s="404"/>
      <c r="F53" s="288"/>
      <c r="G53" s="288"/>
      <c r="H53" s="288"/>
      <c r="I53" s="288"/>
      <c r="J53" s="288"/>
      <c r="K53" s="288"/>
      <c r="L53" s="288"/>
      <c r="M53" s="288"/>
      <c r="N53" s="288"/>
      <c r="O53" s="288"/>
      <c r="P53" s="288"/>
      <c r="Q53" s="288"/>
      <c r="R53" s="288"/>
      <c r="S53" s="288"/>
      <c r="T53" s="288"/>
      <c r="U53" s="288"/>
      <c r="V53" s="288"/>
      <c r="W53" s="288"/>
      <c r="X53" s="288"/>
      <c r="Y53" s="288"/>
      <c r="Z53" s="288"/>
      <c r="AA53" s="288"/>
      <c r="AB53" s="288"/>
      <c r="AC53" s="288"/>
      <c r="AD53" s="288"/>
      <c r="AE53" s="288"/>
      <c r="AF53" s="288"/>
      <c r="AG53" s="288"/>
      <c r="AH53" s="288"/>
      <c r="AI53" s="289"/>
      <c r="AK53" s="425" t="s">
        <v>695</v>
      </c>
      <c r="AL53" s="425"/>
      <c r="AM53" s="425"/>
      <c r="AN53" s="425"/>
      <c r="AO53" s="425"/>
      <c r="AP53" s="425"/>
      <c r="AQ53" s="42"/>
      <c r="AR53" s="43"/>
      <c r="AS53" s="43"/>
      <c r="AT53" s="43"/>
      <c r="AU53" s="43"/>
      <c r="AV53" s="43"/>
      <c r="AW53" s="43"/>
      <c r="AX53" s="43"/>
      <c r="AY53" s="43"/>
      <c r="AZ53" s="43"/>
      <c r="BH53" s="50"/>
      <c r="BI53" s="51"/>
    </row>
    <row r="54" spans="1:61" ht="18" customHeight="1">
      <c r="A54" s="36"/>
      <c r="B54" s="404"/>
      <c r="C54" s="404"/>
      <c r="D54" s="404"/>
      <c r="E54" s="404"/>
      <c r="F54" s="288"/>
      <c r="G54" s="288"/>
      <c r="H54" s="288"/>
      <c r="I54" s="288"/>
      <c r="J54" s="288"/>
      <c r="K54" s="288"/>
      <c r="L54" s="288"/>
      <c r="M54" s="288"/>
      <c r="N54" s="288"/>
      <c r="O54" s="288"/>
      <c r="P54" s="288"/>
      <c r="Q54" s="288"/>
      <c r="R54" s="288"/>
      <c r="S54" s="288"/>
      <c r="T54" s="288"/>
      <c r="U54" s="288"/>
      <c r="V54" s="288"/>
      <c r="W54" s="288"/>
      <c r="X54" s="288"/>
      <c r="Y54" s="288"/>
      <c r="Z54" s="288"/>
      <c r="AA54" s="288"/>
      <c r="AB54" s="288"/>
      <c r="AC54" s="288"/>
      <c r="AD54" s="288"/>
      <c r="AE54" s="288"/>
      <c r="AF54" s="288"/>
      <c r="AG54" s="288"/>
      <c r="AH54" s="288"/>
      <c r="AI54" s="289"/>
      <c r="AK54" s="425" t="s">
        <v>696</v>
      </c>
      <c r="AL54" s="425"/>
      <c r="AM54" s="425"/>
      <c r="AN54" s="425"/>
      <c r="AO54" s="425"/>
      <c r="AP54" s="425"/>
      <c r="AQ54" s="42"/>
      <c r="AR54" s="43"/>
      <c r="AS54" s="43"/>
      <c r="AT54" s="43"/>
      <c r="AU54" s="43"/>
      <c r="AV54" s="43"/>
      <c r="AW54" s="43"/>
      <c r="AX54" s="43"/>
      <c r="AY54" s="43"/>
      <c r="AZ54" s="43"/>
      <c r="BH54" s="50"/>
      <c r="BI54" s="51"/>
    </row>
    <row r="55" spans="1:61" ht="18" customHeight="1">
      <c r="A55" s="36"/>
      <c r="B55" s="404"/>
      <c r="C55" s="404"/>
      <c r="D55" s="404"/>
      <c r="E55" s="404"/>
      <c r="F55" s="288"/>
      <c r="G55" s="288"/>
      <c r="H55" s="288"/>
      <c r="I55" s="288"/>
      <c r="J55" s="288"/>
      <c r="K55" s="288"/>
      <c r="L55" s="288"/>
      <c r="M55" s="288"/>
      <c r="N55" s="288"/>
      <c r="O55" s="288"/>
      <c r="P55" s="288"/>
      <c r="Q55" s="288"/>
      <c r="R55" s="288"/>
      <c r="S55" s="288"/>
      <c r="T55" s="288"/>
      <c r="U55" s="288"/>
      <c r="V55" s="288"/>
      <c r="W55" s="288"/>
      <c r="X55" s="288"/>
      <c r="Y55" s="288"/>
      <c r="Z55" s="288"/>
      <c r="AA55" s="288"/>
      <c r="AB55" s="288"/>
      <c r="AC55" s="288"/>
      <c r="AD55" s="288"/>
      <c r="AE55" s="288"/>
      <c r="AF55" s="288"/>
      <c r="AG55" s="288"/>
      <c r="AH55" s="288"/>
      <c r="AI55" s="289"/>
      <c r="AK55" s="425" t="s">
        <v>697</v>
      </c>
      <c r="AL55" s="425"/>
      <c r="AM55" s="425"/>
      <c r="AN55" s="425"/>
      <c r="AO55" s="425"/>
      <c r="AP55" s="425"/>
      <c r="AQ55" s="42"/>
      <c r="AR55" s="43"/>
      <c r="AS55" s="43"/>
      <c r="AT55" s="43"/>
      <c r="AU55" s="43"/>
      <c r="AV55" s="43"/>
      <c r="AW55" s="43"/>
      <c r="AX55" s="43"/>
      <c r="AY55" s="43"/>
      <c r="AZ55" s="43"/>
      <c r="BH55" s="50"/>
      <c r="BI55" s="51"/>
    </row>
    <row r="56" spans="1:61" ht="18" customHeight="1">
      <c r="A56" s="36"/>
      <c r="B56" s="404"/>
      <c r="C56" s="404"/>
      <c r="D56" s="404"/>
      <c r="E56" s="404"/>
      <c r="F56" s="288"/>
      <c r="G56" s="288"/>
      <c r="H56" s="288"/>
      <c r="I56" s="288"/>
      <c r="J56" s="288"/>
      <c r="K56" s="288"/>
      <c r="L56" s="288"/>
      <c r="M56" s="288"/>
      <c r="N56" s="288"/>
      <c r="O56" s="288"/>
      <c r="P56" s="288"/>
      <c r="Q56" s="288"/>
      <c r="R56" s="288"/>
      <c r="S56" s="288"/>
      <c r="T56" s="288"/>
      <c r="U56" s="288"/>
      <c r="V56" s="288"/>
      <c r="W56" s="288"/>
      <c r="X56" s="288"/>
      <c r="Y56" s="288"/>
      <c r="Z56" s="288"/>
      <c r="AA56" s="288"/>
      <c r="AB56" s="288"/>
      <c r="AC56" s="288"/>
      <c r="AD56" s="288"/>
      <c r="AE56" s="288"/>
      <c r="AF56" s="288"/>
      <c r="AG56" s="288"/>
      <c r="AH56" s="288"/>
      <c r="AI56" s="289"/>
      <c r="AK56" s="425" t="s">
        <v>698</v>
      </c>
      <c r="AL56" s="425"/>
      <c r="AM56" s="425"/>
      <c r="AN56" s="425"/>
      <c r="AO56" s="425"/>
      <c r="AP56" s="425"/>
      <c r="AQ56" s="42"/>
      <c r="AR56" s="43"/>
      <c r="AS56" s="43"/>
      <c r="AT56" s="43"/>
      <c r="AU56" s="43"/>
      <c r="AV56" s="43"/>
      <c r="AW56" s="43"/>
      <c r="AX56" s="43"/>
      <c r="AY56" s="43"/>
      <c r="AZ56" s="43"/>
      <c r="BH56" s="52"/>
      <c r="BI56" s="51"/>
    </row>
    <row r="57" spans="1:61" ht="18" customHeight="1">
      <c r="A57" s="36"/>
      <c r="B57" s="404"/>
      <c r="C57" s="404"/>
      <c r="D57" s="404"/>
      <c r="E57" s="404"/>
      <c r="F57" s="288"/>
      <c r="G57" s="288"/>
      <c r="H57" s="288"/>
      <c r="I57" s="288"/>
      <c r="J57" s="288"/>
      <c r="K57" s="288"/>
      <c r="L57" s="288"/>
      <c r="M57" s="288"/>
      <c r="N57" s="288"/>
      <c r="O57" s="288"/>
      <c r="P57" s="288"/>
      <c r="Q57" s="288"/>
      <c r="R57" s="288"/>
      <c r="S57" s="288"/>
      <c r="T57" s="288"/>
      <c r="U57" s="288"/>
      <c r="V57" s="288"/>
      <c r="W57" s="288"/>
      <c r="X57" s="288"/>
      <c r="Y57" s="288"/>
      <c r="Z57" s="288"/>
      <c r="AA57" s="288"/>
      <c r="AB57" s="288"/>
      <c r="AC57" s="288"/>
      <c r="AD57" s="288"/>
      <c r="AE57" s="288"/>
      <c r="AF57" s="288"/>
      <c r="AG57" s="288"/>
      <c r="AH57" s="288"/>
      <c r="AI57" s="289"/>
      <c r="AK57" s="425" t="s">
        <v>699</v>
      </c>
      <c r="AL57" s="425"/>
      <c r="AM57" s="425"/>
      <c r="AN57" s="425"/>
      <c r="AO57" s="425"/>
      <c r="AP57" s="425"/>
      <c r="AQ57" s="42"/>
      <c r="AR57" s="43"/>
      <c r="AS57" s="43"/>
      <c r="AT57" s="43"/>
      <c r="AU57" s="43"/>
      <c r="AV57" s="43"/>
      <c r="AW57" s="43"/>
      <c r="AX57" s="43"/>
      <c r="AY57" s="43"/>
      <c r="AZ57" s="43"/>
      <c r="BH57" s="50"/>
      <c r="BI57" s="51"/>
    </row>
    <row r="58" spans="1:61" ht="18" customHeight="1">
      <c r="A58" s="36"/>
      <c r="B58" s="404"/>
      <c r="C58" s="404"/>
      <c r="D58" s="404"/>
      <c r="E58" s="404"/>
      <c r="F58" s="288"/>
      <c r="G58" s="288"/>
      <c r="H58" s="288"/>
      <c r="I58" s="288"/>
      <c r="J58" s="288"/>
      <c r="K58" s="288"/>
      <c r="L58" s="288"/>
      <c r="M58" s="288"/>
      <c r="N58" s="288"/>
      <c r="O58" s="288"/>
      <c r="P58" s="288"/>
      <c r="Q58" s="288"/>
      <c r="R58" s="288"/>
      <c r="S58" s="288"/>
      <c r="T58" s="288"/>
      <c r="U58" s="288"/>
      <c r="V58" s="288"/>
      <c r="W58" s="288"/>
      <c r="X58" s="288"/>
      <c r="Y58" s="288"/>
      <c r="Z58" s="288"/>
      <c r="AA58" s="288"/>
      <c r="AB58" s="288"/>
      <c r="AC58" s="288"/>
      <c r="AD58" s="288"/>
      <c r="AE58" s="288"/>
      <c r="AF58" s="288"/>
      <c r="AG58" s="288"/>
      <c r="AH58" s="288"/>
      <c r="AI58" s="289"/>
      <c r="AK58" s="425" t="s">
        <v>700</v>
      </c>
      <c r="AL58" s="425"/>
      <c r="AM58" s="425"/>
      <c r="AN58" s="425"/>
      <c r="AO58" s="425"/>
      <c r="AP58" s="425"/>
      <c r="AQ58" s="42"/>
      <c r="AR58" s="43"/>
      <c r="AS58" s="43"/>
      <c r="AT58" s="43"/>
      <c r="AU58" s="43"/>
      <c r="AV58" s="43"/>
      <c r="AW58" s="43"/>
      <c r="AX58" s="43"/>
      <c r="AY58" s="43"/>
      <c r="AZ58" s="43"/>
      <c r="BH58" s="50"/>
      <c r="BI58" s="51"/>
    </row>
    <row r="59" spans="1:61" ht="18" customHeight="1">
      <c r="A59" s="36"/>
      <c r="B59" s="404"/>
      <c r="C59" s="404"/>
      <c r="D59" s="404"/>
      <c r="E59" s="404"/>
      <c r="F59" s="288"/>
      <c r="G59" s="288"/>
      <c r="H59" s="288"/>
      <c r="I59" s="288"/>
      <c r="J59" s="288"/>
      <c r="K59" s="288"/>
      <c r="L59" s="288"/>
      <c r="M59" s="288"/>
      <c r="N59" s="288"/>
      <c r="O59" s="288"/>
      <c r="P59" s="288"/>
      <c r="Q59" s="288"/>
      <c r="R59" s="288"/>
      <c r="S59" s="288"/>
      <c r="T59" s="288"/>
      <c r="U59" s="288"/>
      <c r="V59" s="288"/>
      <c r="W59" s="288"/>
      <c r="X59" s="288"/>
      <c r="Y59" s="288"/>
      <c r="Z59" s="288"/>
      <c r="AA59" s="288"/>
      <c r="AB59" s="288"/>
      <c r="AC59" s="288"/>
      <c r="AD59" s="288"/>
      <c r="AE59" s="288"/>
      <c r="AF59" s="288"/>
      <c r="AG59" s="288"/>
      <c r="AH59" s="288"/>
      <c r="AI59" s="289"/>
      <c r="AK59" s="425" t="s">
        <v>701</v>
      </c>
      <c r="AL59" s="425"/>
      <c r="AM59" s="425"/>
      <c r="AN59" s="425"/>
      <c r="AO59" s="425"/>
      <c r="AP59" s="425"/>
      <c r="AQ59" s="42"/>
      <c r="AR59" s="43"/>
      <c r="AS59" s="43"/>
      <c r="AT59" s="43"/>
      <c r="AU59" s="43"/>
      <c r="AV59" s="43"/>
      <c r="AW59" s="43"/>
      <c r="AX59" s="43"/>
      <c r="AY59" s="43"/>
      <c r="AZ59" s="43"/>
      <c r="BH59" s="50"/>
      <c r="BI59" s="51"/>
    </row>
    <row r="60" spans="1:61" ht="18" customHeight="1">
      <c r="A60" s="36"/>
      <c r="B60" s="404"/>
      <c r="C60" s="404"/>
      <c r="D60" s="404"/>
      <c r="E60" s="404"/>
      <c r="F60" s="288"/>
      <c r="G60" s="288"/>
      <c r="H60" s="288"/>
      <c r="I60" s="288"/>
      <c r="J60" s="288"/>
      <c r="K60" s="288"/>
      <c r="L60" s="288"/>
      <c r="M60" s="288"/>
      <c r="N60" s="288"/>
      <c r="O60" s="288"/>
      <c r="P60" s="288"/>
      <c r="Q60" s="288"/>
      <c r="R60" s="288"/>
      <c r="S60" s="288"/>
      <c r="T60" s="288"/>
      <c r="U60" s="288"/>
      <c r="V60" s="288"/>
      <c r="W60" s="288"/>
      <c r="X60" s="288"/>
      <c r="Y60" s="288"/>
      <c r="Z60" s="288"/>
      <c r="AA60" s="288"/>
      <c r="AB60" s="288"/>
      <c r="AC60" s="288"/>
      <c r="AD60" s="288"/>
      <c r="AE60" s="288"/>
      <c r="AF60" s="288"/>
      <c r="AG60" s="288"/>
      <c r="AH60" s="288"/>
      <c r="AI60" s="289"/>
      <c r="AK60" s="425" t="s">
        <v>702</v>
      </c>
      <c r="AL60" s="425"/>
      <c r="AM60" s="425"/>
      <c r="AN60" s="425"/>
      <c r="AO60" s="425"/>
      <c r="AP60" s="425"/>
      <c r="AQ60" s="42"/>
      <c r="AR60" s="43"/>
      <c r="AS60" s="43"/>
      <c r="AT60" s="43"/>
      <c r="AU60" s="43"/>
      <c r="AV60" s="43"/>
      <c r="AW60" s="43"/>
      <c r="AX60" s="43"/>
      <c r="AY60" s="43"/>
      <c r="AZ60" s="43"/>
      <c r="BH60" s="52"/>
      <c r="BI60" s="51"/>
    </row>
    <row r="61" spans="1:61" ht="18" customHeight="1">
      <c r="A61" s="36"/>
      <c r="B61" s="404"/>
      <c r="C61" s="404"/>
      <c r="D61" s="404"/>
      <c r="E61" s="404"/>
      <c r="F61" s="288"/>
      <c r="G61" s="288"/>
      <c r="H61" s="288"/>
      <c r="I61" s="288"/>
      <c r="J61" s="288"/>
      <c r="K61" s="288"/>
      <c r="L61" s="288"/>
      <c r="M61" s="288"/>
      <c r="N61" s="288"/>
      <c r="O61" s="288"/>
      <c r="P61" s="288"/>
      <c r="Q61" s="288"/>
      <c r="R61" s="288"/>
      <c r="S61" s="288"/>
      <c r="T61" s="288"/>
      <c r="U61" s="288"/>
      <c r="V61" s="288"/>
      <c r="W61" s="288"/>
      <c r="X61" s="288"/>
      <c r="Y61" s="288"/>
      <c r="Z61" s="288"/>
      <c r="AA61" s="288"/>
      <c r="AB61" s="288"/>
      <c r="AC61" s="288"/>
      <c r="AD61" s="288"/>
      <c r="AE61" s="288"/>
      <c r="AF61" s="288"/>
      <c r="AG61" s="288"/>
      <c r="AH61" s="288"/>
      <c r="AI61" s="289"/>
      <c r="AK61" s="425" t="s">
        <v>703</v>
      </c>
      <c r="AL61" s="425"/>
      <c r="AM61" s="425"/>
      <c r="AN61" s="425"/>
      <c r="AO61" s="425"/>
      <c r="AP61" s="425"/>
      <c r="AQ61" s="42"/>
      <c r="AR61" s="43"/>
      <c r="AS61" s="43"/>
      <c r="AT61" s="43"/>
      <c r="AU61" s="43"/>
      <c r="AV61" s="43"/>
      <c r="AW61" s="43"/>
      <c r="AX61" s="43"/>
      <c r="AY61" s="43"/>
      <c r="AZ61" s="43"/>
      <c r="BH61" s="50"/>
      <c r="BI61" s="51"/>
    </row>
    <row r="62" spans="1:61" ht="18" customHeight="1">
      <c r="A62" s="36"/>
      <c r="B62" s="404"/>
      <c r="C62" s="404"/>
      <c r="D62" s="404"/>
      <c r="E62" s="404"/>
      <c r="F62" s="288"/>
      <c r="G62" s="288"/>
      <c r="H62" s="288"/>
      <c r="I62" s="288"/>
      <c r="J62" s="288"/>
      <c r="K62" s="288"/>
      <c r="L62" s="288"/>
      <c r="M62" s="288"/>
      <c r="N62" s="288"/>
      <c r="O62" s="288"/>
      <c r="P62" s="288"/>
      <c r="Q62" s="288"/>
      <c r="R62" s="288"/>
      <c r="S62" s="288"/>
      <c r="T62" s="288"/>
      <c r="U62" s="288"/>
      <c r="V62" s="288"/>
      <c r="W62" s="288"/>
      <c r="X62" s="288"/>
      <c r="Y62" s="288"/>
      <c r="Z62" s="288"/>
      <c r="AA62" s="288"/>
      <c r="AB62" s="288"/>
      <c r="AC62" s="288"/>
      <c r="AD62" s="288"/>
      <c r="AE62" s="288"/>
      <c r="AF62" s="288"/>
      <c r="AG62" s="288"/>
      <c r="AH62" s="288"/>
      <c r="AI62" s="289"/>
      <c r="AK62" s="425"/>
      <c r="AL62" s="425"/>
      <c r="AM62" s="425"/>
      <c r="AN62" s="425"/>
      <c r="AO62" s="425"/>
      <c r="AP62" s="425"/>
      <c r="AQ62" s="42"/>
      <c r="AR62" s="43"/>
      <c r="AS62" s="43"/>
      <c r="AT62" s="43"/>
      <c r="AU62" s="43"/>
      <c r="AV62" s="43"/>
      <c r="AW62" s="43"/>
      <c r="AX62" s="43"/>
      <c r="AY62" s="43"/>
      <c r="AZ62" s="43"/>
      <c r="BH62" s="50"/>
      <c r="BI62" s="51"/>
    </row>
    <row r="63" spans="1:61" ht="18" customHeight="1">
      <c r="A63" s="36"/>
      <c r="B63" s="404"/>
      <c r="C63" s="404"/>
      <c r="D63" s="404"/>
      <c r="E63" s="404"/>
      <c r="F63" s="288"/>
      <c r="G63" s="288"/>
      <c r="H63" s="288"/>
      <c r="I63" s="288"/>
      <c r="J63" s="288"/>
      <c r="K63" s="288"/>
      <c r="L63" s="288"/>
      <c r="M63" s="288"/>
      <c r="N63" s="288"/>
      <c r="O63" s="288"/>
      <c r="P63" s="288"/>
      <c r="Q63" s="288"/>
      <c r="R63" s="288"/>
      <c r="S63" s="288"/>
      <c r="T63" s="288"/>
      <c r="U63" s="288"/>
      <c r="V63" s="288"/>
      <c r="W63" s="288"/>
      <c r="X63" s="288"/>
      <c r="Y63" s="288"/>
      <c r="Z63" s="288"/>
      <c r="AA63" s="288"/>
      <c r="AB63" s="288"/>
      <c r="AC63" s="288"/>
      <c r="AD63" s="288"/>
      <c r="AE63" s="288"/>
      <c r="AF63" s="288"/>
      <c r="AG63" s="288"/>
      <c r="AH63" s="288"/>
      <c r="AI63" s="289"/>
      <c r="AK63" s="425"/>
      <c r="AL63" s="425"/>
      <c r="AM63" s="425"/>
      <c r="AN63" s="425"/>
      <c r="AO63" s="425"/>
      <c r="AP63" s="425"/>
      <c r="AQ63" s="42"/>
      <c r="AR63" s="43"/>
      <c r="AS63" s="43"/>
      <c r="AT63" s="43"/>
      <c r="AU63" s="43"/>
      <c r="AV63" s="43"/>
      <c r="AW63" s="43"/>
      <c r="AX63" s="43"/>
      <c r="AY63" s="43"/>
      <c r="AZ63" s="43"/>
      <c r="BH63" s="52"/>
      <c r="BI63" s="51"/>
    </row>
    <row r="64" spans="1:61" ht="18" customHeight="1">
      <c r="A64" s="36"/>
      <c r="B64" s="404"/>
      <c r="C64" s="404"/>
      <c r="D64" s="404"/>
      <c r="E64" s="404"/>
      <c r="F64" s="288"/>
      <c r="G64" s="288"/>
      <c r="H64" s="288"/>
      <c r="I64" s="288"/>
      <c r="J64" s="288"/>
      <c r="K64" s="288"/>
      <c r="L64" s="288"/>
      <c r="M64" s="288"/>
      <c r="N64" s="288"/>
      <c r="O64" s="288"/>
      <c r="P64" s="288"/>
      <c r="Q64" s="288"/>
      <c r="R64" s="288"/>
      <c r="S64" s="288"/>
      <c r="T64" s="288"/>
      <c r="U64" s="288"/>
      <c r="V64" s="288"/>
      <c r="W64" s="288"/>
      <c r="X64" s="288"/>
      <c r="Y64" s="288"/>
      <c r="Z64" s="288"/>
      <c r="AA64" s="288"/>
      <c r="AB64" s="288"/>
      <c r="AC64" s="288"/>
      <c r="AD64" s="288"/>
      <c r="AE64" s="288"/>
      <c r="AF64" s="288"/>
      <c r="AG64" s="288"/>
      <c r="AH64" s="288"/>
      <c r="AI64" s="289"/>
      <c r="AK64" s="425"/>
      <c r="AL64" s="425"/>
      <c r="AM64" s="425"/>
      <c r="AN64" s="425"/>
      <c r="AO64" s="425"/>
      <c r="AP64" s="425"/>
      <c r="AQ64" s="42"/>
      <c r="AR64" s="43"/>
      <c r="AS64" s="43"/>
      <c r="AT64" s="43"/>
      <c r="AU64" s="43"/>
      <c r="AV64" s="43"/>
      <c r="AW64" s="43"/>
      <c r="AX64" s="43"/>
      <c r="AY64" s="43"/>
      <c r="AZ64" s="43"/>
      <c r="BH64" s="52"/>
      <c r="BI64" s="51"/>
    </row>
    <row r="65" spans="1:61" ht="18" customHeight="1">
      <c r="A65" s="36"/>
      <c r="B65" s="404"/>
      <c r="C65" s="404"/>
      <c r="D65" s="404"/>
      <c r="E65" s="404"/>
      <c r="F65" s="288"/>
      <c r="G65" s="288"/>
      <c r="H65" s="288"/>
      <c r="I65" s="288"/>
      <c r="J65" s="288"/>
      <c r="K65" s="288"/>
      <c r="L65" s="288"/>
      <c r="M65" s="288"/>
      <c r="N65" s="288"/>
      <c r="O65" s="288"/>
      <c r="P65" s="288"/>
      <c r="Q65" s="288"/>
      <c r="R65" s="288"/>
      <c r="S65" s="288"/>
      <c r="T65" s="288"/>
      <c r="U65" s="288"/>
      <c r="V65" s="288"/>
      <c r="W65" s="288"/>
      <c r="X65" s="288"/>
      <c r="Y65" s="288"/>
      <c r="Z65" s="288"/>
      <c r="AA65" s="288"/>
      <c r="AB65" s="288"/>
      <c r="AC65" s="288"/>
      <c r="AD65" s="288"/>
      <c r="AE65" s="288"/>
      <c r="AF65" s="288"/>
      <c r="AG65" s="288"/>
      <c r="AH65" s="288"/>
      <c r="AI65" s="289"/>
      <c r="AK65" s="425"/>
      <c r="AL65" s="425"/>
      <c r="AM65" s="425"/>
      <c r="AN65" s="425"/>
      <c r="AO65" s="425"/>
      <c r="AP65" s="425"/>
      <c r="AQ65" s="42"/>
      <c r="AR65" s="43"/>
      <c r="AS65" s="43"/>
      <c r="AT65" s="43"/>
      <c r="AU65" s="43"/>
      <c r="AV65" s="43"/>
      <c r="AW65" s="43"/>
      <c r="AX65" s="43"/>
      <c r="AY65" s="43"/>
      <c r="AZ65" s="43"/>
      <c r="BH65" s="50"/>
      <c r="BI65" s="51"/>
    </row>
    <row r="66" spans="1:61" ht="18" customHeight="1">
      <c r="A66" s="36"/>
      <c r="B66" s="404"/>
      <c r="C66" s="404"/>
      <c r="D66" s="404"/>
      <c r="E66" s="404"/>
      <c r="F66" s="288"/>
      <c r="G66" s="288"/>
      <c r="H66" s="288"/>
      <c r="I66" s="288"/>
      <c r="J66" s="288"/>
      <c r="K66" s="288"/>
      <c r="L66" s="288"/>
      <c r="M66" s="288"/>
      <c r="N66" s="288"/>
      <c r="O66" s="288"/>
      <c r="P66" s="288"/>
      <c r="Q66" s="288"/>
      <c r="R66" s="288"/>
      <c r="S66" s="288"/>
      <c r="T66" s="288"/>
      <c r="U66" s="288"/>
      <c r="V66" s="288"/>
      <c r="W66" s="288"/>
      <c r="X66" s="288"/>
      <c r="Y66" s="288"/>
      <c r="Z66" s="288"/>
      <c r="AA66" s="288"/>
      <c r="AB66" s="288"/>
      <c r="AC66" s="288"/>
      <c r="AD66" s="288"/>
      <c r="AE66" s="288"/>
      <c r="AF66" s="288"/>
      <c r="AG66" s="288"/>
      <c r="AH66" s="288"/>
      <c r="AI66" s="289"/>
      <c r="AK66" s="425"/>
      <c r="AL66" s="425"/>
      <c r="AM66" s="425"/>
      <c r="AN66" s="425"/>
      <c r="AO66" s="425"/>
      <c r="AP66" s="425"/>
      <c r="AQ66" s="42"/>
      <c r="AR66" s="43"/>
      <c r="AS66" s="43"/>
      <c r="AT66" s="43"/>
      <c r="AU66" s="43"/>
      <c r="AV66" s="43"/>
      <c r="AW66" s="43"/>
      <c r="AX66" s="43"/>
      <c r="AY66" s="43"/>
      <c r="AZ66" s="43"/>
      <c r="BH66" s="50"/>
      <c r="BI66" s="51"/>
    </row>
    <row r="67" spans="1:61" ht="18" customHeight="1">
      <c r="A67" s="36"/>
      <c r="B67" s="404"/>
      <c r="C67" s="404"/>
      <c r="D67" s="404"/>
      <c r="E67" s="404"/>
      <c r="F67" s="288"/>
      <c r="G67" s="288"/>
      <c r="H67" s="288"/>
      <c r="I67" s="288"/>
      <c r="J67" s="288"/>
      <c r="K67" s="288"/>
      <c r="L67" s="288"/>
      <c r="M67" s="288"/>
      <c r="N67" s="288"/>
      <c r="O67" s="288"/>
      <c r="P67" s="288"/>
      <c r="Q67" s="288"/>
      <c r="R67" s="288"/>
      <c r="S67" s="288"/>
      <c r="T67" s="288"/>
      <c r="U67" s="288"/>
      <c r="V67" s="288"/>
      <c r="W67" s="288"/>
      <c r="X67" s="288"/>
      <c r="Y67" s="288"/>
      <c r="Z67" s="288"/>
      <c r="AA67" s="288"/>
      <c r="AB67" s="288"/>
      <c r="AC67" s="288"/>
      <c r="AD67" s="288"/>
      <c r="AE67" s="288"/>
      <c r="AF67" s="288"/>
      <c r="AG67" s="288"/>
      <c r="AH67" s="288"/>
      <c r="AI67" s="289"/>
      <c r="AK67" s="425"/>
      <c r="AL67" s="425"/>
      <c r="AM67" s="425"/>
      <c r="AN67" s="425"/>
      <c r="AO67" s="425"/>
      <c r="AP67" s="425"/>
      <c r="AQ67" s="67"/>
      <c r="AR67" s="43"/>
      <c r="AS67" s="43"/>
      <c r="AT67" s="43"/>
      <c r="AU67" s="43"/>
      <c r="AV67" s="43"/>
      <c r="AW67" s="43"/>
      <c r="AX67" s="43"/>
      <c r="AY67" s="43"/>
      <c r="AZ67" s="43"/>
      <c r="BH67" s="50"/>
      <c r="BI67" s="51"/>
    </row>
    <row r="68" spans="1:61" ht="18" customHeight="1">
      <c r="A68" s="36"/>
      <c r="B68" s="404"/>
      <c r="C68" s="404"/>
      <c r="D68" s="404"/>
      <c r="E68" s="404"/>
      <c r="F68" s="288"/>
      <c r="G68" s="288"/>
      <c r="H68" s="288"/>
      <c r="I68" s="288"/>
      <c r="J68" s="288"/>
      <c r="K68" s="288"/>
      <c r="L68" s="288"/>
      <c r="M68" s="288"/>
      <c r="N68" s="288"/>
      <c r="O68" s="288"/>
      <c r="P68" s="288"/>
      <c r="Q68" s="288"/>
      <c r="R68" s="288"/>
      <c r="S68" s="288"/>
      <c r="T68" s="288"/>
      <c r="U68" s="288"/>
      <c r="V68" s="288"/>
      <c r="W68" s="288"/>
      <c r="X68" s="288"/>
      <c r="Y68" s="288"/>
      <c r="Z68" s="288"/>
      <c r="AA68" s="288"/>
      <c r="AB68" s="288"/>
      <c r="AC68" s="288"/>
      <c r="AD68" s="288"/>
      <c r="AE68" s="288"/>
      <c r="AF68" s="288"/>
      <c r="AG68" s="288"/>
      <c r="AH68" s="288"/>
      <c r="AI68" s="289"/>
      <c r="AK68" s="425"/>
      <c r="AL68" s="425"/>
      <c r="AM68" s="425"/>
      <c r="AN68" s="425"/>
      <c r="AO68" s="425"/>
      <c r="AP68" s="425"/>
      <c r="AQ68" s="67"/>
      <c r="AR68" s="43"/>
      <c r="AS68" s="43"/>
      <c r="AT68" s="43"/>
      <c r="AU68" s="43"/>
      <c r="AV68" s="43"/>
      <c r="AW68" s="43"/>
      <c r="AX68" s="43"/>
      <c r="AY68" s="43"/>
      <c r="AZ68" s="43"/>
      <c r="BH68" s="50"/>
      <c r="BI68" s="51"/>
    </row>
    <row r="69" spans="1:61" ht="18" customHeight="1">
      <c r="A69" s="36"/>
      <c r="B69" s="404"/>
      <c r="C69" s="404"/>
      <c r="D69" s="404"/>
      <c r="E69" s="404"/>
      <c r="F69" s="288"/>
      <c r="G69" s="288"/>
      <c r="H69" s="288"/>
      <c r="I69" s="288"/>
      <c r="J69" s="288"/>
      <c r="K69" s="288"/>
      <c r="L69" s="288"/>
      <c r="M69" s="288"/>
      <c r="N69" s="288"/>
      <c r="O69" s="288"/>
      <c r="P69" s="288"/>
      <c r="Q69" s="288"/>
      <c r="R69" s="288"/>
      <c r="S69" s="288"/>
      <c r="T69" s="288"/>
      <c r="U69" s="288"/>
      <c r="V69" s="288"/>
      <c r="W69" s="288"/>
      <c r="X69" s="288"/>
      <c r="Y69" s="288"/>
      <c r="Z69" s="288"/>
      <c r="AA69" s="288"/>
      <c r="AB69" s="288"/>
      <c r="AC69" s="288"/>
      <c r="AD69" s="288"/>
      <c r="AE69" s="288"/>
      <c r="AF69" s="288"/>
      <c r="AG69" s="288"/>
      <c r="AH69" s="288"/>
      <c r="AI69" s="289"/>
      <c r="AK69" s="425"/>
      <c r="AL69" s="425"/>
      <c r="AM69" s="425"/>
      <c r="AN69" s="425"/>
      <c r="AO69" s="425"/>
      <c r="AP69" s="425"/>
      <c r="AQ69" s="42"/>
      <c r="AR69" s="43"/>
      <c r="AS69" s="43"/>
      <c r="AT69" s="43"/>
      <c r="AU69" s="43"/>
      <c r="AV69" s="43"/>
      <c r="AW69" s="43"/>
      <c r="AX69" s="43"/>
      <c r="AY69" s="43"/>
      <c r="AZ69" s="43"/>
      <c r="BH69" s="50"/>
      <c r="BI69" s="51"/>
    </row>
    <row r="70" spans="1:61" ht="18" customHeight="1">
      <c r="A70" s="36"/>
      <c r="B70" s="404"/>
      <c r="C70" s="404"/>
      <c r="D70" s="404"/>
      <c r="E70" s="404"/>
      <c r="F70" s="288"/>
      <c r="G70" s="288"/>
      <c r="H70" s="288"/>
      <c r="I70" s="288"/>
      <c r="J70" s="288"/>
      <c r="K70" s="288"/>
      <c r="L70" s="288"/>
      <c r="M70" s="288"/>
      <c r="N70" s="288"/>
      <c r="O70" s="288"/>
      <c r="P70" s="288"/>
      <c r="Q70" s="288"/>
      <c r="R70" s="288"/>
      <c r="S70" s="288"/>
      <c r="T70" s="288"/>
      <c r="U70" s="288"/>
      <c r="V70" s="288"/>
      <c r="W70" s="288"/>
      <c r="X70" s="288"/>
      <c r="Y70" s="288"/>
      <c r="Z70" s="288"/>
      <c r="AA70" s="288"/>
      <c r="AB70" s="288"/>
      <c r="AC70" s="288"/>
      <c r="AD70" s="288"/>
      <c r="AE70" s="288"/>
      <c r="AF70" s="288"/>
      <c r="AG70" s="288"/>
      <c r="AH70" s="288"/>
      <c r="AI70" s="289"/>
      <c r="AK70" s="425"/>
      <c r="AL70" s="425"/>
      <c r="AM70" s="425"/>
      <c r="AN70" s="425"/>
      <c r="AO70" s="425"/>
      <c r="AP70" s="425"/>
      <c r="AQ70" s="42"/>
      <c r="AR70" s="43"/>
      <c r="AS70" s="43"/>
      <c r="AT70" s="43"/>
      <c r="AU70" s="43"/>
      <c r="AV70" s="43"/>
      <c r="AW70" s="43"/>
      <c r="AX70" s="43"/>
      <c r="AY70" s="43"/>
      <c r="AZ70" s="43"/>
      <c r="BH70" s="50"/>
      <c r="BI70" s="51"/>
    </row>
    <row r="71" spans="1:61" ht="18" customHeight="1">
      <c r="A71" s="36"/>
      <c r="B71" s="404"/>
      <c r="C71" s="404"/>
      <c r="D71" s="404"/>
      <c r="E71" s="404"/>
      <c r="F71" s="288"/>
      <c r="G71" s="288"/>
      <c r="H71" s="288"/>
      <c r="I71" s="288"/>
      <c r="J71" s="288"/>
      <c r="K71" s="288"/>
      <c r="L71" s="288"/>
      <c r="M71" s="288"/>
      <c r="N71" s="288"/>
      <c r="O71" s="288"/>
      <c r="P71" s="288"/>
      <c r="Q71" s="288"/>
      <c r="R71" s="288"/>
      <c r="S71" s="288"/>
      <c r="T71" s="288"/>
      <c r="U71" s="288"/>
      <c r="V71" s="288"/>
      <c r="W71" s="288"/>
      <c r="X71" s="288"/>
      <c r="Y71" s="288"/>
      <c r="Z71" s="288"/>
      <c r="AA71" s="288"/>
      <c r="AB71" s="288"/>
      <c r="AC71" s="288"/>
      <c r="AD71" s="288"/>
      <c r="AE71" s="288"/>
      <c r="AF71" s="288"/>
      <c r="AG71" s="288"/>
      <c r="AH71" s="288"/>
      <c r="AI71" s="289"/>
      <c r="AK71" s="425"/>
      <c r="AL71" s="425"/>
      <c r="AM71" s="425"/>
      <c r="AN71" s="425"/>
      <c r="AO71" s="425"/>
      <c r="AP71" s="425"/>
      <c r="AQ71" s="42"/>
      <c r="AR71" s="43"/>
      <c r="AS71" s="43"/>
      <c r="AT71" s="43"/>
      <c r="AU71" s="43"/>
      <c r="AV71" s="43"/>
      <c r="AW71" s="43"/>
      <c r="AX71" s="43"/>
      <c r="AY71" s="43"/>
      <c r="AZ71" s="43"/>
      <c r="BH71" s="52"/>
      <c r="BI71" s="51"/>
    </row>
    <row r="72" spans="1:61" ht="18" customHeight="1">
      <c r="A72" s="36"/>
      <c r="B72" s="404"/>
      <c r="C72" s="404"/>
      <c r="D72" s="404"/>
      <c r="E72" s="404"/>
      <c r="F72" s="288"/>
      <c r="G72" s="288"/>
      <c r="H72" s="288"/>
      <c r="I72" s="288"/>
      <c r="J72" s="288"/>
      <c r="K72" s="288"/>
      <c r="L72" s="288"/>
      <c r="M72" s="288"/>
      <c r="N72" s="288"/>
      <c r="O72" s="288"/>
      <c r="P72" s="288"/>
      <c r="Q72" s="288"/>
      <c r="R72" s="288"/>
      <c r="S72" s="288"/>
      <c r="T72" s="288"/>
      <c r="U72" s="288"/>
      <c r="V72" s="288"/>
      <c r="W72" s="288"/>
      <c r="X72" s="288"/>
      <c r="Y72" s="288"/>
      <c r="Z72" s="288"/>
      <c r="AA72" s="288"/>
      <c r="AB72" s="288"/>
      <c r="AC72" s="288"/>
      <c r="AD72" s="288"/>
      <c r="AE72" s="288"/>
      <c r="AF72" s="288"/>
      <c r="AG72" s="288"/>
      <c r="AH72" s="288"/>
      <c r="AI72" s="289"/>
      <c r="AK72" s="425"/>
      <c r="AL72" s="425"/>
      <c r="AM72" s="425"/>
      <c r="AN72" s="425"/>
      <c r="AO72" s="425"/>
      <c r="AP72" s="425"/>
      <c r="AQ72" s="42"/>
      <c r="AR72" s="43"/>
      <c r="AS72" s="43"/>
      <c r="AT72" s="43"/>
      <c r="AU72" s="43"/>
      <c r="AV72" s="43"/>
      <c r="AW72" s="43"/>
      <c r="AX72" s="43"/>
      <c r="AY72" s="43"/>
      <c r="AZ72" s="43"/>
      <c r="BH72" s="53"/>
      <c r="BI72" s="51"/>
    </row>
    <row r="73" spans="1:61" ht="18" customHeight="1">
      <c r="A73" s="36"/>
      <c r="B73" s="404"/>
      <c r="C73" s="404"/>
      <c r="D73" s="404"/>
      <c r="E73" s="404"/>
      <c r="F73" s="288"/>
      <c r="G73" s="288"/>
      <c r="H73" s="288"/>
      <c r="I73" s="288"/>
      <c r="J73" s="288"/>
      <c r="K73" s="288"/>
      <c r="L73" s="288"/>
      <c r="M73" s="288"/>
      <c r="N73" s="288"/>
      <c r="O73" s="288"/>
      <c r="P73" s="288"/>
      <c r="Q73" s="288"/>
      <c r="R73" s="288"/>
      <c r="S73" s="288"/>
      <c r="T73" s="288"/>
      <c r="U73" s="288"/>
      <c r="V73" s="288"/>
      <c r="W73" s="288"/>
      <c r="X73" s="288"/>
      <c r="Y73" s="288"/>
      <c r="Z73" s="288"/>
      <c r="AA73" s="288"/>
      <c r="AB73" s="288"/>
      <c r="AC73" s="288"/>
      <c r="AD73" s="288"/>
      <c r="AE73" s="288"/>
      <c r="AF73" s="288"/>
      <c r="AG73" s="288"/>
      <c r="AH73" s="288"/>
      <c r="AI73" s="289"/>
      <c r="AK73" s="425"/>
      <c r="AL73" s="425"/>
      <c r="AM73" s="425"/>
      <c r="AN73" s="425"/>
      <c r="AO73" s="425"/>
      <c r="AP73" s="425"/>
      <c r="AQ73" s="42"/>
      <c r="AR73" s="43"/>
      <c r="AS73" s="43"/>
      <c r="AT73" s="43"/>
      <c r="AU73" s="43"/>
      <c r="AV73" s="43"/>
      <c r="AW73" s="43"/>
      <c r="AX73" s="43"/>
      <c r="AY73" s="43"/>
      <c r="AZ73" s="43"/>
      <c r="BH73" s="54"/>
      <c r="BI73" s="51"/>
    </row>
    <row r="74" spans="1:61" ht="18" customHeight="1">
      <c r="A74" s="36"/>
      <c r="B74" s="404"/>
      <c r="C74" s="404"/>
      <c r="D74" s="404"/>
      <c r="E74" s="404"/>
      <c r="F74" s="288"/>
      <c r="G74" s="288"/>
      <c r="H74" s="288"/>
      <c r="I74" s="288"/>
      <c r="J74" s="288"/>
      <c r="K74" s="288"/>
      <c r="L74" s="288"/>
      <c r="M74" s="288"/>
      <c r="N74" s="288"/>
      <c r="O74" s="288"/>
      <c r="P74" s="288"/>
      <c r="Q74" s="288"/>
      <c r="R74" s="288"/>
      <c r="S74" s="288"/>
      <c r="T74" s="288"/>
      <c r="U74" s="288"/>
      <c r="V74" s="288"/>
      <c r="W74" s="288"/>
      <c r="X74" s="288"/>
      <c r="Y74" s="288"/>
      <c r="Z74" s="288"/>
      <c r="AA74" s="288"/>
      <c r="AB74" s="288"/>
      <c r="AC74" s="288"/>
      <c r="AD74" s="288"/>
      <c r="AE74" s="288"/>
      <c r="AF74" s="288"/>
      <c r="AG74" s="288"/>
      <c r="AH74" s="288"/>
      <c r="AI74" s="289"/>
      <c r="AK74" s="425"/>
      <c r="AL74" s="425"/>
      <c r="AM74" s="425"/>
      <c r="AN74" s="425"/>
      <c r="AO74" s="425"/>
      <c r="AP74" s="425"/>
      <c r="AQ74" s="42"/>
      <c r="AR74" s="43"/>
      <c r="AS74" s="43"/>
      <c r="AT74" s="43"/>
      <c r="AU74" s="43"/>
      <c r="AV74" s="43"/>
      <c r="AW74" s="43"/>
      <c r="AX74" s="43"/>
      <c r="AY74" s="43"/>
      <c r="AZ74" s="43"/>
      <c r="BH74" s="54"/>
      <c r="BI74" s="51"/>
    </row>
    <row r="75" spans="1:61" ht="18" customHeight="1">
      <c r="A75" s="36"/>
      <c r="B75" s="404"/>
      <c r="C75" s="404"/>
      <c r="D75" s="404"/>
      <c r="E75" s="404"/>
      <c r="F75" s="288"/>
      <c r="G75" s="288"/>
      <c r="H75" s="288"/>
      <c r="I75" s="288"/>
      <c r="J75" s="288"/>
      <c r="K75" s="288"/>
      <c r="L75" s="288"/>
      <c r="M75" s="288"/>
      <c r="N75" s="288"/>
      <c r="O75" s="288"/>
      <c r="P75" s="288"/>
      <c r="Q75" s="288"/>
      <c r="R75" s="288"/>
      <c r="S75" s="288"/>
      <c r="T75" s="288"/>
      <c r="U75" s="288"/>
      <c r="V75" s="288"/>
      <c r="W75" s="288"/>
      <c r="X75" s="288"/>
      <c r="Y75" s="288"/>
      <c r="Z75" s="288"/>
      <c r="AA75" s="288"/>
      <c r="AB75" s="288"/>
      <c r="AC75" s="288"/>
      <c r="AD75" s="288"/>
      <c r="AE75" s="288"/>
      <c r="AF75" s="288"/>
      <c r="AG75" s="288"/>
      <c r="AH75" s="288"/>
      <c r="AI75" s="289"/>
      <c r="AK75" s="425"/>
      <c r="AL75" s="425"/>
      <c r="AM75" s="425"/>
      <c r="AN75" s="425"/>
      <c r="AO75" s="425"/>
      <c r="AP75" s="425"/>
      <c r="AQ75" s="42"/>
      <c r="AR75" s="43"/>
      <c r="AS75" s="43"/>
      <c r="AT75" s="43"/>
      <c r="AU75" s="43"/>
      <c r="AV75" s="43"/>
      <c r="AW75" s="43"/>
      <c r="AX75" s="43"/>
      <c r="AY75" s="43"/>
      <c r="AZ75" s="43"/>
      <c r="BH75" s="53"/>
      <c r="BI75" s="51"/>
    </row>
    <row r="76" spans="1:61" ht="18" customHeight="1">
      <c r="A76" s="36"/>
      <c r="B76" s="404"/>
      <c r="C76" s="404"/>
      <c r="D76" s="404"/>
      <c r="E76" s="404"/>
      <c r="F76" s="288"/>
      <c r="G76" s="288"/>
      <c r="H76" s="288"/>
      <c r="I76" s="288"/>
      <c r="J76" s="288"/>
      <c r="K76" s="288"/>
      <c r="L76" s="288"/>
      <c r="M76" s="288"/>
      <c r="N76" s="288"/>
      <c r="O76" s="288"/>
      <c r="P76" s="288"/>
      <c r="Q76" s="288"/>
      <c r="R76" s="288"/>
      <c r="S76" s="288"/>
      <c r="T76" s="288"/>
      <c r="U76" s="288"/>
      <c r="V76" s="288"/>
      <c r="W76" s="288"/>
      <c r="X76" s="288"/>
      <c r="Y76" s="288"/>
      <c r="Z76" s="288"/>
      <c r="AA76" s="288"/>
      <c r="AB76" s="288"/>
      <c r="AC76" s="288"/>
      <c r="AD76" s="288"/>
      <c r="AE76" s="288"/>
      <c r="AF76" s="288"/>
      <c r="AG76" s="288"/>
      <c r="AH76" s="288"/>
      <c r="AI76" s="289"/>
      <c r="AK76" s="425"/>
      <c r="AL76" s="425"/>
      <c r="AM76" s="425"/>
      <c r="AN76" s="425"/>
      <c r="AO76" s="425"/>
      <c r="AP76" s="425"/>
      <c r="AQ76" s="42"/>
      <c r="AR76" s="43"/>
      <c r="AS76" s="43"/>
      <c r="AT76" s="43"/>
      <c r="AU76" s="43"/>
      <c r="AV76" s="43"/>
      <c r="AW76" s="43"/>
      <c r="AX76" s="43"/>
      <c r="AY76" s="43"/>
      <c r="AZ76" s="43"/>
      <c r="BH76" s="53"/>
      <c r="BI76" s="51"/>
    </row>
    <row r="77" spans="1:61" ht="18" customHeight="1">
      <c r="A77" s="36"/>
      <c r="B77" s="404"/>
      <c r="C77" s="404"/>
      <c r="D77" s="404"/>
      <c r="E77" s="404"/>
      <c r="F77" s="288"/>
      <c r="G77" s="288"/>
      <c r="H77" s="288"/>
      <c r="I77" s="288"/>
      <c r="J77" s="288"/>
      <c r="K77" s="288"/>
      <c r="L77" s="288"/>
      <c r="M77" s="288"/>
      <c r="N77" s="288"/>
      <c r="O77" s="288"/>
      <c r="P77" s="288"/>
      <c r="Q77" s="288"/>
      <c r="R77" s="288"/>
      <c r="S77" s="288"/>
      <c r="T77" s="288"/>
      <c r="U77" s="288"/>
      <c r="V77" s="288"/>
      <c r="W77" s="288"/>
      <c r="X77" s="288"/>
      <c r="Y77" s="288"/>
      <c r="Z77" s="288"/>
      <c r="AA77" s="288"/>
      <c r="AB77" s="288"/>
      <c r="AC77" s="288"/>
      <c r="AD77" s="288"/>
      <c r="AE77" s="288"/>
      <c r="AF77" s="288"/>
      <c r="AG77" s="288"/>
      <c r="AH77" s="288"/>
      <c r="AI77" s="289"/>
      <c r="AK77" s="425"/>
      <c r="AL77" s="425"/>
      <c r="AM77" s="425"/>
      <c r="AN77" s="425"/>
      <c r="AO77" s="425"/>
      <c r="AP77" s="425"/>
      <c r="AQ77" s="42"/>
      <c r="AR77" s="43"/>
      <c r="AS77" s="43"/>
      <c r="AT77" s="43"/>
      <c r="AU77" s="43"/>
      <c r="AV77" s="43"/>
      <c r="AW77" s="43"/>
      <c r="AX77" s="43"/>
      <c r="AY77" s="43"/>
      <c r="AZ77" s="43"/>
      <c r="BH77" s="54"/>
      <c r="BI77" s="51"/>
    </row>
    <row r="78" spans="1:61" ht="18" customHeight="1">
      <c r="A78" s="36"/>
      <c r="B78" s="404"/>
      <c r="C78" s="404"/>
      <c r="D78" s="404"/>
      <c r="E78" s="404"/>
      <c r="F78" s="288"/>
      <c r="G78" s="288"/>
      <c r="H78" s="288"/>
      <c r="I78" s="288"/>
      <c r="J78" s="288"/>
      <c r="K78" s="288"/>
      <c r="L78" s="288"/>
      <c r="M78" s="288"/>
      <c r="N78" s="288"/>
      <c r="O78" s="288"/>
      <c r="P78" s="288"/>
      <c r="Q78" s="288"/>
      <c r="R78" s="288"/>
      <c r="S78" s="288"/>
      <c r="T78" s="288"/>
      <c r="U78" s="288"/>
      <c r="V78" s="288"/>
      <c r="W78" s="288"/>
      <c r="X78" s="288"/>
      <c r="Y78" s="288"/>
      <c r="Z78" s="288"/>
      <c r="AA78" s="288"/>
      <c r="AB78" s="288"/>
      <c r="AC78" s="288"/>
      <c r="AD78" s="288"/>
      <c r="AE78" s="288"/>
      <c r="AF78" s="288"/>
      <c r="AG78" s="288"/>
      <c r="AH78" s="288"/>
      <c r="AI78" s="289"/>
      <c r="AK78" s="425"/>
      <c r="AL78" s="425"/>
      <c r="AM78" s="425"/>
      <c r="AN78" s="425"/>
      <c r="AO78" s="425"/>
      <c r="AP78" s="425"/>
      <c r="AQ78" s="42"/>
      <c r="AR78" s="43"/>
      <c r="AS78" s="43"/>
      <c r="AT78" s="43"/>
      <c r="AU78" s="43"/>
      <c r="AV78" s="43"/>
      <c r="AW78" s="43"/>
      <c r="AX78" s="43"/>
      <c r="AY78" s="43"/>
      <c r="AZ78" s="43"/>
      <c r="BH78" s="54"/>
      <c r="BI78" s="51"/>
    </row>
    <row r="79" spans="1:61" ht="18" customHeight="1">
      <c r="A79" s="36"/>
      <c r="B79" s="404"/>
      <c r="C79" s="404"/>
      <c r="D79" s="404"/>
      <c r="E79" s="404"/>
      <c r="F79" s="288"/>
      <c r="G79" s="288"/>
      <c r="H79" s="288"/>
      <c r="I79" s="288"/>
      <c r="J79" s="288"/>
      <c r="K79" s="288"/>
      <c r="L79" s="288"/>
      <c r="M79" s="288"/>
      <c r="N79" s="288"/>
      <c r="O79" s="288"/>
      <c r="P79" s="288"/>
      <c r="Q79" s="288"/>
      <c r="R79" s="288"/>
      <c r="S79" s="288"/>
      <c r="T79" s="288"/>
      <c r="U79" s="288"/>
      <c r="V79" s="288"/>
      <c r="W79" s="288"/>
      <c r="X79" s="288"/>
      <c r="Y79" s="288"/>
      <c r="Z79" s="288"/>
      <c r="AA79" s="288"/>
      <c r="AB79" s="288"/>
      <c r="AC79" s="288"/>
      <c r="AD79" s="288"/>
      <c r="AE79" s="288"/>
      <c r="AF79" s="288"/>
      <c r="AG79" s="288"/>
      <c r="AH79" s="288"/>
      <c r="AI79" s="289"/>
      <c r="AK79" s="425"/>
      <c r="AL79" s="425"/>
      <c r="AM79" s="425"/>
      <c r="AN79" s="425"/>
      <c r="AO79" s="425"/>
      <c r="AP79" s="425"/>
      <c r="AQ79" s="42"/>
      <c r="AR79" s="43"/>
      <c r="AS79" s="43"/>
      <c r="AT79" s="43"/>
      <c r="AU79" s="43"/>
      <c r="AV79" s="43"/>
      <c r="AW79" s="43"/>
      <c r="AX79" s="43"/>
      <c r="AY79" s="43"/>
      <c r="AZ79" s="43"/>
      <c r="BH79" s="54"/>
      <c r="BI79" s="51"/>
    </row>
    <row r="80" spans="1:61" ht="18" customHeight="1">
      <c r="A80" s="37"/>
      <c r="B80" s="466"/>
      <c r="C80" s="466"/>
      <c r="D80" s="466"/>
      <c r="E80" s="466"/>
      <c r="F80" s="467"/>
      <c r="G80" s="467"/>
      <c r="H80" s="467"/>
      <c r="I80" s="467"/>
      <c r="J80" s="467"/>
      <c r="K80" s="467"/>
      <c r="L80" s="467"/>
      <c r="M80" s="467"/>
      <c r="N80" s="467"/>
      <c r="O80" s="467"/>
      <c r="P80" s="467"/>
      <c r="Q80" s="467"/>
      <c r="R80" s="467"/>
      <c r="S80" s="467"/>
      <c r="T80" s="467"/>
      <c r="U80" s="467"/>
      <c r="V80" s="467"/>
      <c r="W80" s="467"/>
      <c r="X80" s="467"/>
      <c r="Y80" s="467"/>
      <c r="Z80" s="467"/>
      <c r="AA80" s="467"/>
      <c r="AB80" s="467"/>
      <c r="AC80" s="467"/>
      <c r="AD80" s="467"/>
      <c r="AE80" s="467"/>
      <c r="AF80" s="467"/>
      <c r="AG80" s="467"/>
      <c r="AH80" s="467"/>
      <c r="AI80" s="468"/>
      <c r="AK80" s="425"/>
      <c r="AL80" s="425"/>
      <c r="AM80" s="425"/>
      <c r="AN80" s="425"/>
      <c r="AO80" s="425"/>
      <c r="AP80" s="425"/>
      <c r="AQ80" s="42"/>
      <c r="AR80" s="43"/>
      <c r="AS80" s="43"/>
      <c r="AT80" s="43"/>
      <c r="AU80" s="43"/>
      <c r="AV80" s="43"/>
      <c r="AW80" s="43"/>
      <c r="AX80" s="43"/>
      <c r="AY80" s="43"/>
      <c r="AZ80" s="43"/>
      <c r="BH80" s="54"/>
      <c r="BI80" s="51"/>
    </row>
    <row r="81" spans="1:61" ht="18" customHeight="1">
      <c r="A81" s="406" t="s">
        <v>704</v>
      </c>
      <c r="B81" s="407"/>
      <c r="C81" s="407"/>
      <c r="D81" s="407"/>
      <c r="E81" s="407"/>
      <c r="F81" s="407"/>
      <c r="G81" s="407"/>
      <c r="H81" s="407"/>
      <c r="I81" s="407"/>
      <c r="J81" s="407"/>
      <c r="K81" s="407"/>
      <c r="L81" s="407"/>
      <c r="M81" s="407"/>
      <c r="N81" s="407"/>
      <c r="O81" s="407"/>
      <c r="P81" s="407"/>
      <c r="Q81" s="407"/>
      <c r="R81" s="407"/>
      <c r="S81" s="407"/>
      <c r="T81" s="407"/>
      <c r="U81" s="407"/>
      <c r="V81" s="407"/>
      <c r="W81" s="407"/>
      <c r="X81" s="407"/>
      <c r="Y81" s="407"/>
      <c r="Z81" s="407"/>
      <c r="AA81" s="407"/>
      <c r="AB81" s="407"/>
      <c r="AC81" s="407"/>
      <c r="AD81" s="407"/>
      <c r="AE81" s="407"/>
      <c r="AF81" s="407"/>
      <c r="AG81" s="407"/>
      <c r="AH81" s="407"/>
      <c r="AI81" s="408"/>
      <c r="AK81" s="425"/>
      <c r="AL81" s="425"/>
      <c r="AM81" s="425"/>
      <c r="AN81" s="425"/>
      <c r="AO81" s="425"/>
      <c r="AP81" s="425"/>
      <c r="AQ81" s="42"/>
      <c r="AR81" s="43"/>
      <c r="AS81" s="43"/>
      <c r="AT81" s="43"/>
      <c r="AU81" s="43"/>
      <c r="AV81" s="43"/>
      <c r="AW81" s="43"/>
      <c r="AX81" s="43"/>
      <c r="AY81" s="43"/>
      <c r="AZ81" s="43"/>
      <c r="BH81" s="53"/>
      <c r="BI81" s="51"/>
    </row>
    <row r="82" spans="1:61" ht="18" customHeight="1">
      <c r="A82" s="38"/>
      <c r="B82" s="465">
        <v>46150</v>
      </c>
      <c r="C82" s="465"/>
      <c r="D82" s="465"/>
      <c r="E82" s="465"/>
      <c r="F82" s="288" t="s">
        <v>705</v>
      </c>
      <c r="G82" s="288"/>
      <c r="H82" s="288"/>
      <c r="I82" s="288"/>
      <c r="J82" s="288"/>
      <c r="K82" s="288"/>
      <c r="L82" s="288"/>
      <c r="M82" s="288"/>
      <c r="N82" s="288"/>
      <c r="O82" s="288"/>
      <c r="P82" s="288"/>
      <c r="Q82" s="288"/>
      <c r="R82" s="288"/>
      <c r="S82" s="288"/>
      <c r="T82" s="288"/>
      <c r="U82" s="288"/>
      <c r="V82" s="288"/>
      <c r="W82" s="288"/>
      <c r="X82" s="288"/>
      <c r="Y82" s="288"/>
      <c r="Z82" s="288"/>
      <c r="AA82" s="288"/>
      <c r="AB82" s="288"/>
      <c r="AC82" s="288"/>
      <c r="AD82" s="288"/>
      <c r="AE82" s="288"/>
      <c r="AF82" s="288"/>
      <c r="AG82" s="288"/>
      <c r="AH82" s="288"/>
      <c r="AI82" s="289"/>
      <c r="AK82" s="425"/>
      <c r="AL82" s="425"/>
      <c r="AM82" s="425"/>
      <c r="AN82" s="425"/>
      <c r="AO82" s="425"/>
      <c r="AP82" s="425"/>
      <c r="AQ82" s="42"/>
      <c r="AR82" s="43"/>
      <c r="AS82" s="43"/>
      <c r="AT82" s="43"/>
      <c r="AU82" s="43"/>
      <c r="AV82" s="43"/>
      <c r="AW82" s="43"/>
      <c r="AX82" s="43"/>
      <c r="AY82" s="43"/>
      <c r="AZ82" s="43"/>
      <c r="BH82" s="53"/>
      <c r="BI82" s="51"/>
    </row>
    <row r="83" spans="1:61" ht="18" customHeight="1">
      <c r="A83" s="38"/>
      <c r="B83" s="465">
        <v>46161</v>
      </c>
      <c r="C83" s="465"/>
      <c r="D83" s="465"/>
      <c r="E83" s="465"/>
      <c r="F83" s="288" t="s">
        <v>706</v>
      </c>
      <c r="G83" s="288"/>
      <c r="H83" s="288"/>
      <c r="I83" s="288"/>
      <c r="J83" s="288"/>
      <c r="K83" s="288"/>
      <c r="L83" s="288"/>
      <c r="M83" s="288"/>
      <c r="N83" s="288"/>
      <c r="O83" s="288"/>
      <c r="P83" s="288"/>
      <c r="Q83" s="288"/>
      <c r="R83" s="288"/>
      <c r="S83" s="288"/>
      <c r="T83" s="288"/>
      <c r="U83" s="288"/>
      <c r="V83" s="288"/>
      <c r="W83" s="288"/>
      <c r="X83" s="288"/>
      <c r="Y83" s="288"/>
      <c r="Z83" s="288"/>
      <c r="AA83" s="288"/>
      <c r="AB83" s="288"/>
      <c r="AC83" s="288"/>
      <c r="AD83" s="288"/>
      <c r="AE83" s="288"/>
      <c r="AF83" s="288"/>
      <c r="AG83" s="288"/>
      <c r="AH83" s="288"/>
      <c r="AI83" s="289"/>
      <c r="AK83" s="425"/>
      <c r="AL83" s="425"/>
      <c r="AM83" s="425"/>
      <c r="AN83" s="425"/>
      <c r="AO83" s="425"/>
      <c r="AP83" s="425"/>
      <c r="AQ83" s="42"/>
      <c r="AR83" s="43"/>
      <c r="AS83" s="43"/>
      <c r="AT83" s="43"/>
      <c r="AU83" s="43"/>
      <c r="AV83" s="43"/>
      <c r="AW83" s="43"/>
      <c r="AX83" s="43"/>
      <c r="AY83" s="43"/>
      <c r="AZ83" s="43"/>
      <c r="BH83" s="53"/>
      <c r="BI83" s="51"/>
    </row>
    <row r="84" spans="1:61" ht="18" customHeight="1">
      <c r="A84" s="38"/>
      <c r="B84" s="465">
        <v>46168</v>
      </c>
      <c r="C84" s="465"/>
      <c r="D84" s="465"/>
      <c r="E84" s="465"/>
      <c r="F84" s="288" t="s">
        <v>723</v>
      </c>
      <c r="G84" s="288"/>
      <c r="H84" s="288"/>
      <c r="I84" s="288"/>
      <c r="J84" s="288"/>
      <c r="K84" s="288"/>
      <c r="L84" s="288"/>
      <c r="M84" s="288"/>
      <c r="N84" s="288"/>
      <c r="O84" s="288"/>
      <c r="P84" s="288"/>
      <c r="Q84" s="288"/>
      <c r="R84" s="288"/>
      <c r="S84" s="288"/>
      <c r="T84" s="288"/>
      <c r="U84" s="288"/>
      <c r="V84" s="288"/>
      <c r="W84" s="288"/>
      <c r="X84" s="288"/>
      <c r="Y84" s="288"/>
      <c r="Z84" s="288"/>
      <c r="AA84" s="288"/>
      <c r="AB84" s="288"/>
      <c r="AC84" s="288"/>
      <c r="AD84" s="288"/>
      <c r="AE84" s="288"/>
      <c r="AF84" s="288"/>
      <c r="AG84" s="288"/>
      <c r="AH84" s="288"/>
      <c r="AI84" s="289"/>
      <c r="AK84" s="425"/>
      <c r="AL84" s="425"/>
      <c r="AM84" s="425"/>
      <c r="AN84" s="425"/>
      <c r="AO84" s="425"/>
      <c r="AP84" s="425"/>
      <c r="AQ84" s="42"/>
      <c r="AR84" s="43"/>
      <c r="AS84" s="43"/>
      <c r="AT84" s="43"/>
      <c r="AU84" s="43"/>
      <c r="AV84" s="43"/>
      <c r="AW84" s="43"/>
      <c r="AX84" s="43"/>
      <c r="AY84" s="43"/>
      <c r="AZ84" s="43"/>
    </row>
    <row r="85" spans="1:61" ht="18" customHeight="1">
      <c r="A85" s="38"/>
      <c r="B85" s="465"/>
      <c r="C85" s="465"/>
      <c r="D85" s="465"/>
      <c r="E85" s="465"/>
      <c r="F85" s="288"/>
      <c r="G85" s="288"/>
      <c r="H85" s="288"/>
      <c r="I85" s="288"/>
      <c r="J85" s="288"/>
      <c r="K85" s="288"/>
      <c r="L85" s="288"/>
      <c r="M85" s="288"/>
      <c r="N85" s="288"/>
      <c r="O85" s="288"/>
      <c r="P85" s="288"/>
      <c r="Q85" s="288"/>
      <c r="R85" s="288"/>
      <c r="S85" s="288"/>
      <c r="T85" s="288"/>
      <c r="U85" s="288"/>
      <c r="V85" s="288"/>
      <c r="W85" s="288"/>
      <c r="X85" s="288"/>
      <c r="Y85" s="288"/>
      <c r="Z85" s="288"/>
      <c r="AA85" s="288"/>
      <c r="AB85" s="288"/>
      <c r="AC85" s="288"/>
      <c r="AD85" s="288"/>
      <c r="AE85" s="288"/>
      <c r="AF85" s="288"/>
      <c r="AG85" s="288"/>
      <c r="AH85" s="288"/>
      <c r="AI85" s="289"/>
      <c r="AK85" s="425"/>
      <c r="AL85" s="425"/>
      <c r="AM85" s="425"/>
      <c r="AN85" s="425"/>
      <c r="AO85" s="425"/>
      <c r="AP85" s="425"/>
      <c r="AQ85" s="42"/>
      <c r="AR85" s="43"/>
      <c r="AS85" s="43"/>
      <c r="AT85" s="43"/>
      <c r="AU85" s="43"/>
      <c r="AV85" s="43"/>
      <c r="AW85" s="43"/>
      <c r="AX85" s="43"/>
      <c r="AY85" s="43"/>
      <c r="AZ85" s="43"/>
    </row>
    <row r="86" spans="1:61" ht="18" customHeight="1" thickBot="1">
      <c r="A86" s="41"/>
      <c r="B86" s="540"/>
      <c r="C86" s="540"/>
      <c r="D86" s="540"/>
      <c r="E86" s="540"/>
      <c r="F86" s="541"/>
      <c r="G86" s="541"/>
      <c r="H86" s="541"/>
      <c r="I86" s="541"/>
      <c r="J86" s="541"/>
      <c r="K86" s="541"/>
      <c r="L86" s="541"/>
      <c r="M86" s="541"/>
      <c r="N86" s="541"/>
      <c r="O86" s="541"/>
      <c r="P86" s="541"/>
      <c r="Q86" s="541"/>
      <c r="R86" s="541"/>
      <c r="S86" s="541"/>
      <c r="T86" s="541"/>
      <c r="U86" s="541"/>
      <c r="V86" s="541"/>
      <c r="W86" s="541"/>
      <c r="X86" s="541"/>
      <c r="Y86" s="541"/>
      <c r="Z86" s="541"/>
      <c r="AA86" s="541"/>
      <c r="AB86" s="541"/>
      <c r="AC86" s="541"/>
      <c r="AD86" s="541"/>
      <c r="AE86" s="541"/>
      <c r="AF86" s="541"/>
      <c r="AG86" s="541"/>
      <c r="AH86" s="541"/>
      <c r="AI86" s="542"/>
      <c r="AK86" s="425"/>
      <c r="AL86" s="425"/>
      <c r="AM86" s="425"/>
      <c r="AN86" s="425"/>
      <c r="AO86" s="425"/>
      <c r="AP86" s="425"/>
      <c r="AQ86" s="42"/>
      <c r="AR86" s="43"/>
      <c r="AS86" s="43"/>
      <c r="AT86" s="43"/>
      <c r="AU86" s="43"/>
      <c r="AV86" s="43"/>
      <c r="AW86" s="43"/>
      <c r="AX86" s="43"/>
      <c r="AY86" s="43"/>
      <c r="AZ86" s="43"/>
    </row>
    <row r="87" spans="1:61" ht="14.1" customHeight="1">
      <c r="AK87" s="438"/>
      <c r="AL87" s="438"/>
      <c r="AM87" s="438"/>
      <c r="AN87" s="438"/>
      <c r="AO87" s="438"/>
      <c r="AP87" s="438"/>
      <c r="AQ87" s="119"/>
    </row>
    <row r="88" spans="1:61" ht="14.1" customHeight="1">
      <c r="AK88" s="437"/>
      <c r="AL88" s="437"/>
      <c r="AM88" s="437"/>
      <c r="AN88" s="437"/>
      <c r="AO88" s="437"/>
      <c r="AP88" s="437"/>
      <c r="AQ88" s="120"/>
    </row>
    <row r="89" spans="1:61" ht="14.1" customHeight="1">
      <c r="AK89" s="437"/>
      <c r="AL89" s="437"/>
      <c r="AM89" s="437"/>
      <c r="AN89" s="437"/>
      <c r="AO89" s="437"/>
      <c r="AP89" s="437"/>
      <c r="AQ89" s="120"/>
    </row>
    <row r="90" spans="1:61" ht="14.1" customHeight="1"/>
    <row r="91" spans="1:61" ht="14.1" customHeight="1"/>
    <row r="92" spans="1:61" ht="14.1" customHeight="1"/>
    <row r="93" spans="1:61" ht="14.1" customHeight="1"/>
    <row r="94" spans="1:61" ht="14.1" customHeight="1"/>
    <row r="95" spans="1:61" ht="14.1" customHeight="1"/>
    <row r="96" spans="1:61" ht="14.1" customHeight="1"/>
    <row r="97" ht="14.1" customHeight="1"/>
    <row r="98" ht="14.1" customHeight="1"/>
    <row r="99" ht="14.1" customHeight="1"/>
    <row r="100" ht="14.1" customHeight="1"/>
    <row r="101" ht="14.1" customHeight="1"/>
    <row r="102" ht="14.1" customHeight="1"/>
    <row r="103" ht="14.1" customHeight="1"/>
    <row r="104" ht="14.1" customHeight="1"/>
    <row r="105" ht="14.1" customHeight="1"/>
    <row r="106" ht="14.1" customHeight="1"/>
    <row r="107" ht="14.1" customHeight="1"/>
    <row r="108" ht="14.1" customHeight="1"/>
    <row r="109" ht="14.1" customHeight="1"/>
    <row r="110" ht="14.1" customHeight="1"/>
    <row r="111" ht="14.1" customHeight="1"/>
    <row r="112" ht="14.1" customHeight="1"/>
    <row r="113" ht="14.1" customHeight="1"/>
    <row r="114" ht="14.1" customHeight="1"/>
    <row r="115" ht="14.1" customHeight="1"/>
    <row r="116" ht="14.1" customHeight="1"/>
    <row r="117" ht="14.1" customHeight="1"/>
    <row r="118" ht="14.1" customHeight="1"/>
    <row r="119" ht="14.1" customHeight="1"/>
    <row r="120" ht="14.1" customHeight="1"/>
    <row r="121" ht="14.1" customHeight="1"/>
    <row r="122" ht="14.1" customHeight="1"/>
    <row r="123" ht="14.1" customHeight="1"/>
    <row r="124" ht="14.1" customHeight="1"/>
    <row r="125" ht="14.1" customHeight="1"/>
    <row r="126" ht="14.1" customHeight="1"/>
    <row r="127" ht="14.1" customHeight="1"/>
    <row r="128" ht="14.1" customHeight="1"/>
    <row r="129" ht="14.1" customHeight="1"/>
    <row r="130" ht="14.1" customHeight="1"/>
    <row r="131" ht="14.1" customHeight="1"/>
    <row r="132" ht="14.1" customHeight="1"/>
    <row r="133" ht="14.1" customHeight="1"/>
    <row r="134" ht="14.1" customHeight="1"/>
    <row r="135" ht="14.1" customHeight="1"/>
    <row r="136" ht="14.1" customHeight="1"/>
    <row r="137" ht="14.1" customHeight="1"/>
    <row r="138" ht="14.1" customHeight="1"/>
    <row r="139" ht="14.1" customHeight="1"/>
    <row r="140" ht="14.1" customHeight="1"/>
    <row r="141" ht="14.1" customHeight="1"/>
    <row r="142" ht="14.1" customHeight="1"/>
    <row r="143" ht="14.1" customHeight="1"/>
    <row r="144" ht="14.1" customHeight="1"/>
    <row r="145" ht="14.1" customHeight="1"/>
    <row r="146" ht="14.1" customHeight="1"/>
    <row r="147" ht="14.1" customHeight="1"/>
    <row r="148" ht="14.1" customHeight="1"/>
    <row r="149" ht="14.1" customHeight="1"/>
    <row r="150" ht="14.1" customHeight="1"/>
    <row r="151" ht="14.1" customHeight="1"/>
    <row r="152" ht="14.1" customHeight="1"/>
    <row r="153" ht="14.1" customHeight="1"/>
    <row r="154" ht="14.1" customHeight="1"/>
    <row r="155" ht="14.1" customHeight="1"/>
    <row r="156" ht="14.1" customHeight="1"/>
    <row r="157" ht="14.1" customHeight="1"/>
    <row r="158" ht="14.1" customHeight="1"/>
    <row r="159" ht="14.1" customHeight="1"/>
    <row r="160" ht="14.1" customHeight="1"/>
    <row r="161" ht="14.1" customHeight="1"/>
    <row r="162" ht="14.1" customHeight="1"/>
    <row r="163" ht="14.1" customHeight="1"/>
    <row r="164" ht="14.1" customHeight="1"/>
    <row r="165" ht="14.1" customHeight="1"/>
    <row r="166" ht="14.1" customHeight="1"/>
    <row r="167" ht="14.1" customHeight="1"/>
    <row r="168" ht="14.1" customHeight="1"/>
    <row r="169" ht="14.1" customHeight="1"/>
    <row r="170" ht="14.1" customHeight="1"/>
    <row r="171" ht="14.1" customHeight="1"/>
    <row r="172" ht="14.1" customHeight="1"/>
    <row r="173" ht="14.1" customHeight="1"/>
    <row r="174" ht="14.1" customHeight="1"/>
    <row r="175" ht="14.1" customHeight="1"/>
    <row r="176" ht="14.1" customHeight="1"/>
    <row r="177" ht="14.1" customHeight="1"/>
    <row r="178" ht="14.1" customHeight="1"/>
    <row r="179" ht="14.1" customHeight="1"/>
    <row r="180" ht="14.1" customHeight="1"/>
    <row r="181" ht="14.1" customHeight="1"/>
    <row r="182" ht="14.1" customHeight="1"/>
    <row r="183" ht="14.1" customHeight="1"/>
    <row r="184" ht="14.1" customHeight="1"/>
    <row r="185" ht="14.1" customHeight="1"/>
    <row r="186" ht="14.1" customHeight="1"/>
    <row r="187" ht="14.1" customHeight="1"/>
    <row r="188" ht="14.1" customHeight="1"/>
    <row r="189" ht="14.1" customHeight="1"/>
    <row r="190" ht="14.1" customHeight="1"/>
    <row r="191" ht="14.1" customHeight="1"/>
    <row r="192" ht="14.1" customHeight="1"/>
    <row r="193" ht="14.1" customHeight="1"/>
    <row r="194" ht="14.1" customHeight="1"/>
    <row r="195" ht="14.1" customHeight="1"/>
    <row r="196" ht="14.1" customHeight="1"/>
    <row r="197" ht="14.1" customHeight="1"/>
    <row r="198" ht="14.1" customHeight="1"/>
    <row r="199" ht="14.1" customHeight="1"/>
    <row r="200" ht="14.1" customHeight="1"/>
    <row r="201" ht="14.1" customHeight="1"/>
    <row r="202" ht="14.1" customHeight="1"/>
    <row r="203" ht="14.1" customHeight="1"/>
    <row r="204" ht="14.1" customHeight="1"/>
    <row r="205" ht="14.1" customHeight="1"/>
    <row r="206" ht="14.1" customHeight="1"/>
    <row r="207" ht="14.1" customHeight="1"/>
    <row r="208" ht="14.1" customHeight="1"/>
    <row r="209" ht="14.1" customHeight="1"/>
    <row r="210" ht="14.1" customHeight="1"/>
    <row r="211" ht="14.1" customHeight="1"/>
    <row r="212" ht="14.1" customHeight="1"/>
    <row r="213" ht="14.1" customHeight="1"/>
    <row r="214" ht="14.1" customHeight="1"/>
    <row r="215" ht="14.1" customHeight="1"/>
    <row r="216" ht="14.1" customHeight="1"/>
    <row r="217" ht="14.1" customHeight="1"/>
    <row r="218" ht="14.1" customHeight="1"/>
    <row r="219" ht="14.1" customHeight="1"/>
    <row r="220" ht="14.1" customHeight="1"/>
    <row r="221" ht="14.1" customHeight="1"/>
    <row r="222" ht="14.1" customHeight="1"/>
    <row r="223" ht="14.1" customHeight="1"/>
    <row r="224" ht="14.1" customHeight="1"/>
    <row r="225" ht="14.1" customHeight="1"/>
    <row r="226" ht="14.1" customHeight="1"/>
    <row r="227" ht="14.1" customHeight="1"/>
    <row r="228" ht="14.1" customHeight="1"/>
    <row r="229" ht="14.1" customHeight="1"/>
    <row r="230" ht="14.1" customHeight="1"/>
    <row r="231" ht="14.1" customHeight="1"/>
    <row r="232" ht="14.1" customHeight="1"/>
    <row r="233" ht="14.1" customHeight="1"/>
    <row r="234" ht="14.1" customHeight="1"/>
    <row r="235" ht="14.1" customHeight="1"/>
    <row r="236" ht="14.1" customHeight="1"/>
    <row r="237" ht="14.1" customHeight="1"/>
    <row r="238" ht="14.1" customHeight="1"/>
    <row r="239" ht="14.1" customHeight="1"/>
    <row r="240" ht="14.1" customHeight="1"/>
    <row r="241" ht="14.1" customHeight="1"/>
    <row r="242" ht="14.1" customHeight="1"/>
    <row r="243" ht="14.1" customHeight="1"/>
    <row r="244" ht="14.1" customHeight="1"/>
    <row r="245" ht="14.1" customHeight="1"/>
    <row r="246" ht="14.1" customHeight="1"/>
    <row r="247" ht="14.1" customHeight="1"/>
    <row r="248" ht="14.1" customHeight="1"/>
    <row r="249" ht="14.1" customHeight="1"/>
    <row r="250" ht="14.1" customHeight="1"/>
    <row r="251" ht="14.1" customHeight="1"/>
    <row r="252" ht="14.1" customHeight="1"/>
    <row r="253" ht="14.1" customHeight="1"/>
    <row r="254" ht="14.1" customHeight="1"/>
    <row r="255" ht="14.1" customHeight="1"/>
    <row r="256" ht="14.1" customHeight="1"/>
    <row r="257" ht="14.1" customHeight="1"/>
    <row r="258" ht="14.1" customHeight="1"/>
    <row r="259" ht="14.1" customHeight="1"/>
    <row r="260" ht="14.1" customHeight="1"/>
    <row r="261" ht="14.1" customHeight="1"/>
    <row r="262" ht="14.1" customHeight="1"/>
    <row r="263" ht="14.1" customHeight="1"/>
    <row r="264" ht="14.1" customHeight="1"/>
    <row r="265" ht="14.1" customHeight="1"/>
    <row r="266" ht="14.1" customHeight="1"/>
  </sheetData>
  <sheetProtection algorithmName="SHA-512" hashValue="0loLJCJhL4ad+e9W1BFBlntzNt2hf75qC+V2eugpQkoXMOcFlTwiL5DSpVRXAf1cyQ/kgBnOXO/4cSPzCUKn4A==" saltValue="4etb9yyOEqZ9UduJqdtb6g==" spinCount="100000" sheet="1" autoFilter="0"/>
  <mergeCells count="381">
    <mergeCell ref="A1:S3"/>
    <mergeCell ref="T1:Z3"/>
    <mergeCell ref="AD1:AI1"/>
    <mergeCell ref="AD2:AF4"/>
    <mergeCell ref="AG2:AI4"/>
    <mergeCell ref="A4:S5"/>
    <mergeCell ref="AK7:AP8"/>
    <mergeCell ref="AQ7:AQ8"/>
    <mergeCell ref="V8:X8"/>
    <mergeCell ref="A9:AI9"/>
    <mergeCell ref="AK9:AP9"/>
    <mergeCell ref="A10:H10"/>
    <mergeCell ref="I10:J10"/>
    <mergeCell ref="K10:L10"/>
    <mergeCell ref="M10:T10"/>
    <mergeCell ref="U10:V10"/>
    <mergeCell ref="O7:P8"/>
    <mergeCell ref="Q7:R8"/>
    <mergeCell ref="S7:T8"/>
    <mergeCell ref="V7:X7"/>
    <mergeCell ref="Y7:AA8"/>
    <mergeCell ref="AB7:AI8"/>
    <mergeCell ref="A7:E8"/>
    <mergeCell ref="F7:F8"/>
    <mergeCell ref="G7:I8"/>
    <mergeCell ref="J7:J8"/>
    <mergeCell ref="K7:M8"/>
    <mergeCell ref="N7:N8"/>
    <mergeCell ref="W10:X10"/>
    <mergeCell ref="Y10:AF10"/>
    <mergeCell ref="AG10:AH10"/>
    <mergeCell ref="AK10:AP10"/>
    <mergeCell ref="A11:H11"/>
    <mergeCell ref="I11:J11"/>
    <mergeCell ref="K11:L11"/>
    <mergeCell ref="M11:T11"/>
    <mergeCell ref="U11:V11"/>
    <mergeCell ref="W11:X11"/>
    <mergeCell ref="Y11:AF11"/>
    <mergeCell ref="AG11:AH11"/>
    <mergeCell ref="AK11:AP11"/>
    <mergeCell ref="A12:H12"/>
    <mergeCell ref="I12:J12"/>
    <mergeCell ref="K12:L12"/>
    <mergeCell ref="M12:T12"/>
    <mergeCell ref="U12:V12"/>
    <mergeCell ref="W12:X12"/>
    <mergeCell ref="Y12:AF12"/>
    <mergeCell ref="AG12:AH12"/>
    <mergeCell ref="AK12:AP12"/>
    <mergeCell ref="A13:H13"/>
    <mergeCell ref="I13:J13"/>
    <mergeCell ref="K13:L13"/>
    <mergeCell ref="M13:T13"/>
    <mergeCell ref="U13:V13"/>
    <mergeCell ref="W13:X13"/>
    <mergeCell ref="Y13:AF13"/>
    <mergeCell ref="AG13:AH13"/>
    <mergeCell ref="AK13:AP13"/>
    <mergeCell ref="A14:AI14"/>
    <mergeCell ref="AK14:AP14"/>
    <mergeCell ref="B15:I15"/>
    <mergeCell ref="J15:L15"/>
    <mergeCell ref="M15:N15"/>
    <mergeCell ref="O15:V15"/>
    <mergeCell ref="W15:Y15"/>
    <mergeCell ref="Z15:AA15"/>
    <mergeCell ref="AB15:AG15"/>
    <mergeCell ref="A18:E18"/>
    <mergeCell ref="F18:AI18"/>
    <mergeCell ref="AK18:AP18"/>
    <mergeCell ref="B19:E19"/>
    <mergeCell ref="F19:AI19"/>
    <mergeCell ref="AK19:AP19"/>
    <mergeCell ref="AH15:AI15"/>
    <mergeCell ref="AK15:AP15"/>
    <mergeCell ref="A16:AI16"/>
    <mergeCell ref="AK16:AP16"/>
    <mergeCell ref="A17:E17"/>
    <mergeCell ref="F17:AI17"/>
    <mergeCell ref="AK17:AP17"/>
    <mergeCell ref="B20:E20"/>
    <mergeCell ref="F20:AI20"/>
    <mergeCell ref="AK20:AP20"/>
    <mergeCell ref="AR20:AR23"/>
    <mergeCell ref="B21:E21"/>
    <mergeCell ref="F21:AI21"/>
    <mergeCell ref="AK21:AP21"/>
    <mergeCell ref="B22:E22"/>
    <mergeCell ref="F22:AI22"/>
    <mergeCell ref="AK22:AP22"/>
    <mergeCell ref="BA23:BB23"/>
    <mergeCell ref="B24:E24"/>
    <mergeCell ref="F24:AI24"/>
    <mergeCell ref="AK24:AP24"/>
    <mergeCell ref="AY24:AZ24"/>
    <mergeCell ref="BA24:BB24"/>
    <mergeCell ref="AS22:AT22"/>
    <mergeCell ref="AU22:AV22"/>
    <mergeCell ref="AY22:AZ22"/>
    <mergeCell ref="BA22:BB22"/>
    <mergeCell ref="B23:E23"/>
    <mergeCell ref="F23:AI23"/>
    <mergeCell ref="AK23:AP23"/>
    <mergeCell ref="AS23:AT23"/>
    <mergeCell ref="AU23:AV23"/>
    <mergeCell ref="AY23:AZ23"/>
    <mergeCell ref="B27:E27"/>
    <mergeCell ref="F27:AI27"/>
    <mergeCell ref="AK27:AP27"/>
    <mergeCell ref="AS27:AT27"/>
    <mergeCell ref="AU27:AW27"/>
    <mergeCell ref="AY27:BB27"/>
    <mergeCell ref="B25:E25"/>
    <mergeCell ref="F25:AI25"/>
    <mergeCell ref="AK25:AP25"/>
    <mergeCell ref="AY25:AZ25"/>
    <mergeCell ref="BA25:BB25"/>
    <mergeCell ref="B26:E26"/>
    <mergeCell ref="F26:AI26"/>
    <mergeCell ref="AK26:AP26"/>
    <mergeCell ref="AS26:AW26"/>
    <mergeCell ref="BA28:BB28"/>
    <mergeCell ref="B29:E29"/>
    <mergeCell ref="F29:AI29"/>
    <mergeCell ref="AK29:AP29"/>
    <mergeCell ref="AS29:AT29"/>
    <mergeCell ref="AU29:AW29"/>
    <mergeCell ref="AY29:AZ29"/>
    <mergeCell ref="BA29:BB29"/>
    <mergeCell ref="B28:E28"/>
    <mergeCell ref="F28:AI28"/>
    <mergeCell ref="AK28:AP28"/>
    <mergeCell ref="AS28:AT28"/>
    <mergeCell ref="AU28:AW28"/>
    <mergeCell ref="AY28:AZ28"/>
    <mergeCell ref="A32:AI32"/>
    <mergeCell ref="AK32:AP32"/>
    <mergeCell ref="AS32:AT32"/>
    <mergeCell ref="AU32:AW32"/>
    <mergeCell ref="AY32:AZ32"/>
    <mergeCell ref="BA32:BB32"/>
    <mergeCell ref="BA30:BB30"/>
    <mergeCell ref="B31:E31"/>
    <mergeCell ref="F31:AI31"/>
    <mergeCell ref="AK31:AP31"/>
    <mergeCell ref="AS31:AT31"/>
    <mergeCell ref="AU31:AW31"/>
    <mergeCell ref="AY31:AZ31"/>
    <mergeCell ref="BA31:BB31"/>
    <mergeCell ref="B30:E30"/>
    <mergeCell ref="F30:AI30"/>
    <mergeCell ref="AK30:AP30"/>
    <mergeCell ref="AS30:AT30"/>
    <mergeCell ref="AU30:AW30"/>
    <mergeCell ref="AY30:AZ30"/>
    <mergeCell ref="BA33:BB33"/>
    <mergeCell ref="B34:E34"/>
    <mergeCell ref="F34:AI34"/>
    <mergeCell ref="AK34:AP34"/>
    <mergeCell ref="AS34:AT34"/>
    <mergeCell ref="AU34:AW34"/>
    <mergeCell ref="AY34:AZ34"/>
    <mergeCell ref="BA34:BB34"/>
    <mergeCell ref="B33:E33"/>
    <mergeCell ref="F33:AI33"/>
    <mergeCell ref="AK33:AP33"/>
    <mergeCell ref="AS33:AT33"/>
    <mergeCell ref="AU33:AW33"/>
    <mergeCell ref="AY33:AZ33"/>
    <mergeCell ref="AY35:AZ35"/>
    <mergeCell ref="BA35:BB35"/>
    <mergeCell ref="A36:E36"/>
    <mergeCell ref="F36:K36"/>
    <mergeCell ref="L36:O36"/>
    <mergeCell ref="P36:R36"/>
    <mergeCell ref="T36:V36"/>
    <mergeCell ref="W36:AB36"/>
    <mergeCell ref="AC36:AI36"/>
    <mergeCell ref="B35:E35"/>
    <mergeCell ref="F35:V35"/>
    <mergeCell ref="W35:AB35"/>
    <mergeCell ref="AC35:AI35"/>
    <mergeCell ref="AK35:AP35"/>
    <mergeCell ref="AS35:AT35"/>
    <mergeCell ref="AK36:AP36"/>
    <mergeCell ref="AS36:AT36"/>
    <mergeCell ref="AU36:AW36"/>
    <mergeCell ref="AU35:AW35"/>
    <mergeCell ref="A39:AI39"/>
    <mergeCell ref="AK39:AP39"/>
    <mergeCell ref="AS39:AT39"/>
    <mergeCell ref="AV39:AW39"/>
    <mergeCell ref="A38:E38"/>
    <mergeCell ref="F38:K38"/>
    <mergeCell ref="L38:O38"/>
    <mergeCell ref="P38:V38"/>
    <mergeCell ref="W38:AB38"/>
    <mergeCell ref="AC38:AI38"/>
    <mergeCell ref="AD40:AI40"/>
    <mergeCell ref="A37:E37"/>
    <mergeCell ref="F37:AI37"/>
    <mergeCell ref="AK40:AP40"/>
    <mergeCell ref="AS40:AT40"/>
    <mergeCell ref="AV40:AW40"/>
    <mergeCell ref="A41:D41"/>
    <mergeCell ref="E41:G41"/>
    <mergeCell ref="I41:K41"/>
    <mergeCell ref="L41:R41"/>
    <mergeCell ref="S41:V41"/>
    <mergeCell ref="W41:Y41"/>
    <mergeCell ref="AA41:AC41"/>
    <mergeCell ref="AD41:AI41"/>
    <mergeCell ref="AK41:AP41"/>
    <mergeCell ref="A40:D40"/>
    <mergeCell ref="E40:K40"/>
    <mergeCell ref="L40:R40"/>
    <mergeCell ref="S40:V40"/>
    <mergeCell ref="W40:AC40"/>
    <mergeCell ref="AK37:AP37"/>
    <mergeCell ref="AS37:AT37"/>
    <mergeCell ref="AU37:AW37"/>
    <mergeCell ref="AK38:AP38"/>
    <mergeCell ref="A42:D42"/>
    <mergeCell ref="E42:G42"/>
    <mergeCell ref="I42:K42"/>
    <mergeCell ref="L42:R42"/>
    <mergeCell ref="S42:V42"/>
    <mergeCell ref="W42:Y42"/>
    <mergeCell ref="AA42:AC42"/>
    <mergeCell ref="AK42:AP42"/>
    <mergeCell ref="AS42:AW42"/>
    <mergeCell ref="A43:D43"/>
    <mergeCell ref="E43:G43"/>
    <mergeCell ref="I43:K43"/>
    <mergeCell ref="L43:R43"/>
    <mergeCell ref="S43:V43"/>
    <mergeCell ref="W43:Y43"/>
    <mergeCell ref="AA43:AC43"/>
    <mergeCell ref="A44:D44"/>
    <mergeCell ref="E44:G44"/>
    <mergeCell ref="I44:K44"/>
    <mergeCell ref="L44:R44"/>
    <mergeCell ref="S44:V44"/>
    <mergeCell ref="W44:Y44"/>
    <mergeCell ref="AA44:AC44"/>
    <mergeCell ref="AD44:AI44"/>
    <mergeCell ref="AD42:AI42"/>
    <mergeCell ref="AK44:AP44"/>
    <mergeCell ref="R45:U45"/>
    <mergeCell ref="W45:X45"/>
    <mergeCell ref="Z45:AA45"/>
    <mergeCell ref="AC45:AD45"/>
    <mergeCell ref="AE45:AF45"/>
    <mergeCell ref="AK45:AP45"/>
    <mergeCell ref="AD43:AI43"/>
    <mergeCell ref="AK43:AP43"/>
    <mergeCell ref="B49:E49"/>
    <mergeCell ref="F49:AI49"/>
    <mergeCell ref="AK49:AP49"/>
    <mergeCell ref="B50:E50"/>
    <mergeCell ref="F50:AI50"/>
    <mergeCell ref="AK50:AP50"/>
    <mergeCell ref="A46:AI46"/>
    <mergeCell ref="AK46:AP46"/>
    <mergeCell ref="B47:E47"/>
    <mergeCell ref="F47:AI47"/>
    <mergeCell ref="AK47:AP47"/>
    <mergeCell ref="B48:E48"/>
    <mergeCell ref="F48:AI48"/>
    <mergeCell ref="AK48:AP48"/>
    <mergeCell ref="B53:E53"/>
    <mergeCell ref="F53:AI53"/>
    <mergeCell ref="AK53:AP53"/>
    <mergeCell ref="B54:E54"/>
    <mergeCell ref="F54:AI54"/>
    <mergeCell ref="AK54:AP54"/>
    <mergeCell ref="B51:E51"/>
    <mergeCell ref="F51:AI51"/>
    <mergeCell ref="AK51:AP51"/>
    <mergeCell ref="B52:E52"/>
    <mergeCell ref="F52:AI52"/>
    <mergeCell ref="AK52:AP52"/>
    <mergeCell ref="B57:E57"/>
    <mergeCell ref="F57:AI57"/>
    <mergeCell ref="AK57:AP57"/>
    <mergeCell ref="B58:E58"/>
    <mergeCell ref="F58:AI58"/>
    <mergeCell ref="AK58:AP58"/>
    <mergeCell ref="B55:E55"/>
    <mergeCell ref="F55:AI55"/>
    <mergeCell ref="AK55:AP55"/>
    <mergeCell ref="B56:E56"/>
    <mergeCell ref="F56:AI56"/>
    <mergeCell ref="AK56:AP56"/>
    <mergeCell ref="B61:E61"/>
    <mergeCell ref="F61:AI61"/>
    <mergeCell ref="AK61:AP61"/>
    <mergeCell ref="B62:E62"/>
    <mergeCell ref="F62:AI62"/>
    <mergeCell ref="AK62:AP62"/>
    <mergeCell ref="B59:E59"/>
    <mergeCell ref="F59:AI59"/>
    <mergeCell ref="AK59:AP59"/>
    <mergeCell ref="B60:E60"/>
    <mergeCell ref="F60:AI60"/>
    <mergeCell ref="AK60:AP60"/>
    <mergeCell ref="B65:E65"/>
    <mergeCell ref="F65:AI65"/>
    <mergeCell ref="AK65:AP65"/>
    <mergeCell ref="B66:E66"/>
    <mergeCell ref="F66:AI66"/>
    <mergeCell ref="AK66:AP66"/>
    <mergeCell ref="B63:E63"/>
    <mergeCell ref="F63:AI63"/>
    <mergeCell ref="AK63:AP63"/>
    <mergeCell ref="B64:E64"/>
    <mergeCell ref="F64:AI64"/>
    <mergeCell ref="AK64:AP64"/>
    <mergeCell ref="B69:E69"/>
    <mergeCell ref="F69:AI69"/>
    <mergeCell ref="AK69:AP69"/>
    <mergeCell ref="B70:E70"/>
    <mergeCell ref="F70:AI70"/>
    <mergeCell ref="AK70:AP70"/>
    <mergeCell ref="B67:E67"/>
    <mergeCell ref="F67:AI67"/>
    <mergeCell ref="AK67:AP67"/>
    <mergeCell ref="B68:E68"/>
    <mergeCell ref="F68:AI68"/>
    <mergeCell ref="AK68:AP68"/>
    <mergeCell ref="B73:E73"/>
    <mergeCell ref="F73:AI73"/>
    <mergeCell ref="AK73:AP73"/>
    <mergeCell ref="B74:E74"/>
    <mergeCell ref="F74:AI74"/>
    <mergeCell ref="AK74:AP74"/>
    <mergeCell ref="B71:E71"/>
    <mergeCell ref="F71:AI71"/>
    <mergeCell ref="AK71:AP71"/>
    <mergeCell ref="B72:E72"/>
    <mergeCell ref="F72:AI72"/>
    <mergeCell ref="AK72:AP72"/>
    <mergeCell ref="B77:E77"/>
    <mergeCell ref="F77:AI77"/>
    <mergeCell ref="AK77:AP77"/>
    <mergeCell ref="B78:E78"/>
    <mergeCell ref="F78:AI78"/>
    <mergeCell ref="AK78:AP78"/>
    <mergeCell ref="B75:E75"/>
    <mergeCell ref="F75:AI75"/>
    <mergeCell ref="AK75:AP75"/>
    <mergeCell ref="B76:E76"/>
    <mergeCell ref="F76:AI76"/>
    <mergeCell ref="AK76:AP76"/>
    <mergeCell ref="A81:AI81"/>
    <mergeCell ref="AK81:AP81"/>
    <mergeCell ref="B82:E82"/>
    <mergeCell ref="F82:AI82"/>
    <mergeCell ref="AK82:AP82"/>
    <mergeCell ref="B83:E83"/>
    <mergeCell ref="F83:AI83"/>
    <mergeCell ref="AK83:AP83"/>
    <mergeCell ref="B79:E79"/>
    <mergeCell ref="F79:AI79"/>
    <mergeCell ref="AK79:AP79"/>
    <mergeCell ref="B80:E80"/>
    <mergeCell ref="F80:AI80"/>
    <mergeCell ref="AK80:AP80"/>
    <mergeCell ref="B86:E86"/>
    <mergeCell ref="F86:AI86"/>
    <mergeCell ref="AK86:AP86"/>
    <mergeCell ref="AK87:AP87"/>
    <mergeCell ref="AK88:AP88"/>
    <mergeCell ref="AK89:AP89"/>
    <mergeCell ref="B84:E84"/>
    <mergeCell ref="F84:AI84"/>
    <mergeCell ref="AK84:AP84"/>
    <mergeCell ref="B85:E85"/>
    <mergeCell ref="F85:AI85"/>
    <mergeCell ref="AK85:AP85"/>
  </mergeCells>
  <phoneticPr fontId="2"/>
  <conditionalFormatting sqref="AQ20:AQ28 AQ30:AQ31 AQ9 AQ11:AQ12 AQ14 AQ33:AQ34">
    <cfRule type="containsBlanks" dxfId="299" priority="12">
      <formula>LEN(TRIM(AQ9))=0</formula>
    </cfRule>
  </conditionalFormatting>
  <conditionalFormatting sqref="BC11:CF11">
    <cfRule type="containsText" dxfId="298" priority="8" operator="containsText" text="青">
      <formula>NOT(ISERROR(SEARCH("青",BC11)))</formula>
    </cfRule>
    <cfRule type="containsText" dxfId="297" priority="9" operator="containsText" text="緑">
      <formula>NOT(ISERROR(SEARCH("緑",BC11)))</formula>
    </cfRule>
    <cfRule type="containsText" dxfId="296" priority="10" operator="containsText" text="黄">
      <formula>NOT(ISERROR(SEARCH("黄",BC11)))</formula>
    </cfRule>
    <cfRule type="containsText" dxfId="295" priority="11" operator="containsText" text="赤">
      <formula>NOT(ISERROR(SEARCH("赤",BC11)))</formula>
    </cfRule>
  </conditionalFormatting>
  <conditionalFormatting sqref="V7:X8">
    <cfRule type="containsBlanks" dxfId="294" priority="7">
      <formula>LEN(TRIM(V7))=0</formula>
    </cfRule>
  </conditionalFormatting>
  <conditionalFormatting sqref="AB7:AI8">
    <cfRule type="containsBlanks" dxfId="293" priority="6">
      <formula>LEN(TRIM(AB7))=0</formula>
    </cfRule>
  </conditionalFormatting>
  <conditionalFormatting sqref="A7:E8 G7:I8 K7:M8 O7:P8">
    <cfRule type="containsBlanks" dxfId="292" priority="5">
      <formula>LEN(TRIM(A7))=0</formula>
    </cfRule>
  </conditionalFormatting>
  <conditionalFormatting sqref="W15:Y15 AH15:AI15 J15:L15">
    <cfRule type="containsBlanks" dxfId="291" priority="4">
      <formula>LEN(TRIM(J15))=0</formula>
    </cfRule>
  </conditionalFormatting>
  <conditionalFormatting sqref="L41:R44">
    <cfRule type="cellIs" dxfId="290" priority="1" operator="equal">
      <formula>0</formula>
    </cfRule>
  </conditionalFormatting>
  <conditionalFormatting sqref="P36:R36 T36:V36 L38:O38 AC38:AI38 AC36:AI36">
    <cfRule type="containsBlanks" dxfId="289" priority="3">
      <formula>LEN(TRIM(L36))=0</formula>
    </cfRule>
  </conditionalFormatting>
  <conditionalFormatting sqref="W41:Y44 AA41:AI44">
    <cfRule type="cellIs" dxfId="288" priority="2" operator="equal">
      <formula>0</formula>
    </cfRule>
  </conditionalFormatting>
  <printOptions horizontalCentered="1" verticalCentered="1"/>
  <pageMargins left="0.70866141732283472" right="0.59055118110236227" top="0.55118110236220474" bottom="0.55118110236220474" header="0.31496062992125984" footer="0.31496062992125984"/>
  <pageSetup paperSize="9" orientation="portrait" horizontalDpi="300" verticalDpi="300" r:id="rId1"/>
  <headerFooter scaleWithDoc="0" alignWithMargins="0">
    <oddFooter>&amp;C&amp;P&amp;Rヒトトヒト株式会社</oddFooter>
  </headerFooter>
  <rowBreaks count="1" manualBreakCount="1">
    <brk id="44" max="34" man="1"/>
  </rowBreaks>
  <drawing r:id="rId2"/>
  <extLst>
    <ext xmlns:x14="http://schemas.microsoft.com/office/spreadsheetml/2009/9/main" uri="{CCE6A557-97BC-4b89-ADB6-D9C93CAAB3DF}">
      <x14:dataValidations xmlns:xm="http://schemas.microsoft.com/office/excel/2006/main" count="6">
        <x14:dataValidation type="list" allowBlank="1" showInputMessage="1" showErrorMessage="1" xr:uid="{E4E68893-F57C-4387-ACD2-B0CA82484EEC}">
          <x14:formula1>
            <xm:f>初期値!$C$12:$C$27</xm:f>
          </x14:formula1>
          <xm:sqref>P36:R36 T36:V36</xm:sqref>
        </x14:dataValidation>
        <x14:dataValidation type="list" allowBlank="1" showInputMessage="1" showErrorMessage="1" xr:uid="{83DC9345-C218-45C1-9FE9-D4D9E14DFE13}">
          <x14:formula1>
            <xm:f>初期値!$G$12:$G$24</xm:f>
          </x14:formula1>
          <xm:sqref>V7:X8</xm:sqref>
        </x14:dataValidation>
        <x14:dataValidation type="list" allowBlank="1" showInputMessage="1" showErrorMessage="1" xr:uid="{2746D067-3D33-493F-ABEA-51FA5C56487F}">
          <x14:formula1>
            <xm:f>初期値!$E$12:$E$13</xm:f>
          </x14:formula1>
          <xm:sqref>L38:O38 AC38:AI38 AC36:AI36</xm:sqref>
        </x14:dataValidation>
        <x14:dataValidation type="list" allowBlank="1" showInputMessage="1" showErrorMessage="1" xr:uid="{7BC38F28-DF35-43E1-B350-6CE567004D7B}">
          <x14:formula1>
            <xm:f>初期値!$N$22:$N$23</xm:f>
          </x14:formula1>
          <xm:sqref>AW23</xm:sqref>
        </x14:dataValidation>
        <x14:dataValidation type="list" allowBlank="1" showInputMessage="1" showErrorMessage="1" xr:uid="{E503D5A6-2C21-4EE7-ADDA-3179A43FA744}">
          <x14:formula1>
            <xm:f>初期値!$P$12:$P$27</xm:f>
          </x14:formula1>
          <xm:sqref>BA24:BB24 BA22:BB22 BA28:BB28 BA30:BB30 BA32:BB32 BA34:BB34</xm:sqref>
        </x14:dataValidation>
        <x14:dataValidation type="list" allowBlank="1" showInputMessage="1" showErrorMessage="1" xr:uid="{EFB40E99-2A33-4597-A076-91FA8CA21025}">
          <x14:formula1>
            <xm:f>初期値!$N$12:$N$19</xm:f>
          </x14:formula1>
          <xm:sqref>AU22:AV22</xm:sqref>
        </x14:dataValidation>
      </x14:dataValidations>
    </ext>
  </extLst>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44AA9E6-CD8B-45F0-945A-8FE66D420178}">
  <sheetPr codeName="Sheet15"/>
  <dimension ref="A1:CG266"/>
  <sheetViews>
    <sheetView zoomScaleNormal="100" zoomScaleSheetLayoutView="100" workbookViewId="0">
      <selection activeCell="AV19" sqref="AV19"/>
    </sheetView>
  </sheetViews>
  <sheetFormatPr defaultColWidth="8.875" defaultRowHeight="13.5"/>
  <cols>
    <col min="1" max="42" width="2.25" style="23" customWidth="1"/>
    <col min="43" max="43" width="6" style="23" bestFit="1" customWidth="1"/>
    <col min="44" max="44" width="4.5" style="23" bestFit="1" customWidth="1"/>
    <col min="45" max="45" width="6" style="23" bestFit="1" customWidth="1"/>
    <col min="46" max="46" width="4.5" style="23" bestFit="1" customWidth="1"/>
    <col min="47" max="47" width="9" style="23" bestFit="1" customWidth="1"/>
    <col min="48" max="48" width="8.5" style="23" bestFit="1" customWidth="1"/>
    <col min="49" max="49" width="7.5" style="23" bestFit="1" customWidth="1"/>
    <col min="50" max="50" width="6.5" style="23" bestFit="1" customWidth="1"/>
    <col min="51" max="51" width="7.5" style="23" bestFit="1" customWidth="1"/>
    <col min="52" max="52" width="2.125" style="23" customWidth="1"/>
    <col min="53" max="54" width="7.375" style="23" customWidth="1"/>
    <col min="55" max="63" width="3.625" style="23" bestFit="1" customWidth="1"/>
    <col min="64" max="84" width="4" style="23" bestFit="1" customWidth="1"/>
    <col min="85" max="16384" width="8.875" style="23"/>
  </cols>
  <sheetData>
    <row r="1" spans="1:85" ht="14.1" customHeight="1">
      <c r="A1" s="510" t="s">
        <v>551</v>
      </c>
      <c r="B1" s="510"/>
      <c r="C1" s="510"/>
      <c r="D1" s="510"/>
      <c r="E1" s="510"/>
      <c r="F1" s="510"/>
      <c r="G1" s="510"/>
      <c r="H1" s="510"/>
      <c r="I1" s="510"/>
      <c r="J1" s="510"/>
      <c r="K1" s="510"/>
      <c r="L1" s="510"/>
      <c r="M1" s="510"/>
      <c r="N1" s="510"/>
      <c r="O1" s="510"/>
      <c r="P1" s="510"/>
      <c r="Q1" s="510"/>
      <c r="R1" s="510"/>
      <c r="S1" s="510"/>
      <c r="T1" s="388"/>
      <c r="U1" s="388"/>
      <c r="V1" s="388"/>
      <c r="W1" s="388"/>
      <c r="X1" s="388"/>
      <c r="Y1" s="388"/>
      <c r="Z1" s="388"/>
      <c r="AA1" s="24"/>
      <c r="AB1" s="32"/>
      <c r="AD1" s="252" t="s">
        <v>167</v>
      </c>
      <c r="AE1" s="252"/>
      <c r="AF1" s="252"/>
      <c r="AG1" s="252"/>
      <c r="AH1" s="252"/>
      <c r="AI1" s="252"/>
      <c r="AM1" s="123">
        <v>8</v>
      </c>
      <c r="BB1"/>
    </row>
    <row r="2" spans="1:85" ht="14.1" customHeight="1">
      <c r="A2" s="510"/>
      <c r="B2" s="510"/>
      <c r="C2" s="510"/>
      <c r="D2" s="510"/>
      <c r="E2" s="510"/>
      <c r="F2" s="510"/>
      <c r="G2" s="510"/>
      <c r="H2" s="510"/>
      <c r="I2" s="510"/>
      <c r="J2" s="510"/>
      <c r="K2" s="510"/>
      <c r="L2" s="510"/>
      <c r="M2" s="510"/>
      <c r="N2" s="510"/>
      <c r="O2" s="510"/>
      <c r="P2" s="510"/>
      <c r="Q2" s="510"/>
      <c r="R2" s="510"/>
      <c r="S2" s="510"/>
      <c r="T2" s="388"/>
      <c r="U2" s="388"/>
      <c r="V2" s="388"/>
      <c r="W2" s="388"/>
      <c r="X2" s="388"/>
      <c r="Y2" s="388"/>
      <c r="Z2" s="388"/>
      <c r="AA2" s="25"/>
      <c r="AB2" s="31"/>
      <c r="AD2" s="253"/>
      <c r="AE2" s="253"/>
      <c r="AF2" s="253"/>
      <c r="AG2" s="253"/>
      <c r="AH2" s="253"/>
      <c r="AI2" s="253"/>
      <c r="BA2"/>
    </row>
    <row r="3" spans="1:85" ht="14.1" customHeight="1">
      <c r="A3" s="510"/>
      <c r="B3" s="510"/>
      <c r="C3" s="510"/>
      <c r="D3" s="510"/>
      <c r="E3" s="510"/>
      <c r="F3" s="510"/>
      <c r="G3" s="510"/>
      <c r="H3" s="510"/>
      <c r="I3" s="510"/>
      <c r="J3" s="510"/>
      <c r="K3" s="510"/>
      <c r="L3" s="510"/>
      <c r="M3" s="510"/>
      <c r="N3" s="510"/>
      <c r="O3" s="510"/>
      <c r="P3" s="510"/>
      <c r="Q3" s="510"/>
      <c r="R3" s="510"/>
      <c r="S3" s="510"/>
      <c r="T3" s="388"/>
      <c r="U3" s="388"/>
      <c r="V3" s="388"/>
      <c r="W3" s="388"/>
      <c r="X3" s="388"/>
      <c r="Y3" s="388"/>
      <c r="Z3" s="388"/>
      <c r="AA3" s="25"/>
      <c r="AB3" s="31"/>
      <c r="AD3" s="253"/>
      <c r="AE3" s="253"/>
      <c r="AF3" s="253"/>
      <c r="AG3" s="253"/>
      <c r="AH3" s="253"/>
      <c r="AI3" s="253"/>
      <c r="BA3"/>
    </row>
    <row r="4" spans="1:85" ht="14.1" customHeight="1">
      <c r="A4" s="395" t="s">
        <v>552</v>
      </c>
      <c r="B4" s="395"/>
      <c r="C4" s="395"/>
      <c r="D4" s="395"/>
      <c r="E4" s="395"/>
      <c r="F4" s="395"/>
      <c r="G4" s="395"/>
      <c r="H4" s="395"/>
      <c r="I4" s="395"/>
      <c r="J4" s="395"/>
      <c r="K4" s="395"/>
      <c r="L4" s="395"/>
      <c r="M4" s="395"/>
      <c r="N4" s="395"/>
      <c r="O4" s="395"/>
      <c r="P4" s="395"/>
      <c r="Q4" s="395"/>
      <c r="R4" s="395"/>
      <c r="S4" s="395"/>
      <c r="T4" s="155"/>
      <c r="U4" s="155"/>
      <c r="V4" s="155"/>
      <c r="W4" s="155"/>
      <c r="X4" s="155"/>
      <c r="Y4" s="155"/>
      <c r="Z4" s="155"/>
      <c r="AA4" s="26"/>
      <c r="AB4" s="31"/>
      <c r="AD4" s="253"/>
      <c r="AE4" s="253"/>
      <c r="AF4" s="253"/>
      <c r="AG4" s="253"/>
      <c r="AH4" s="253"/>
      <c r="AI4" s="253"/>
      <c r="BA4"/>
    </row>
    <row r="5" spans="1:85" ht="14.1" customHeight="1">
      <c r="A5" s="395"/>
      <c r="B5" s="395"/>
      <c r="C5" s="395"/>
      <c r="D5" s="395"/>
      <c r="E5" s="395"/>
      <c r="F5" s="395"/>
      <c r="G5" s="395"/>
      <c r="H5" s="395"/>
      <c r="I5" s="395"/>
      <c r="J5" s="395"/>
      <c r="K5" s="395"/>
      <c r="L5" s="395"/>
      <c r="M5" s="395"/>
      <c r="N5" s="395"/>
      <c r="O5" s="395"/>
      <c r="P5" s="395"/>
      <c r="Q5" s="395"/>
      <c r="R5" s="395"/>
      <c r="S5" s="395"/>
      <c r="T5" s="155"/>
      <c r="U5" s="155"/>
      <c r="V5" s="155"/>
      <c r="W5" s="155"/>
      <c r="X5" s="155"/>
      <c r="Y5" s="155"/>
      <c r="Z5" s="155"/>
      <c r="AA5" s="26"/>
      <c r="AB5" s="31"/>
      <c r="AC5" s="31"/>
      <c r="AD5" s="31"/>
      <c r="AE5" s="31"/>
      <c r="AF5" s="31"/>
      <c r="AG5" s="31"/>
      <c r="AH5" s="31"/>
      <c r="AI5" s="31"/>
      <c r="BA5"/>
    </row>
    <row r="6" spans="1:85" ht="14.1" customHeight="1" thickBot="1">
      <c r="A6" s="27"/>
      <c r="B6" s="27"/>
      <c r="C6" s="27"/>
      <c r="D6" s="27"/>
      <c r="E6" s="27"/>
      <c r="F6" s="27"/>
      <c r="G6" s="27"/>
      <c r="H6" s="27"/>
      <c r="I6" s="27"/>
      <c r="BA6"/>
    </row>
    <row r="7" spans="1:85" ht="12" customHeight="1">
      <c r="A7" s="255">
        <f>DATE(初期値!A2,初期値!A3,AM1)</f>
        <v>46181</v>
      </c>
      <c r="B7" s="256"/>
      <c r="C7" s="256"/>
      <c r="D7" s="256"/>
      <c r="E7" s="256"/>
      <c r="F7" s="259" t="s">
        <v>169</v>
      </c>
      <c r="G7" s="236">
        <f>$A$7</f>
        <v>46181</v>
      </c>
      <c r="H7" s="236"/>
      <c r="I7" s="236"/>
      <c r="J7" s="239" t="s">
        <v>170</v>
      </c>
      <c r="K7" s="261">
        <f>$A$7</f>
        <v>46181</v>
      </c>
      <c r="L7" s="261"/>
      <c r="M7" s="261"/>
      <c r="N7" s="239" t="s">
        <v>3</v>
      </c>
      <c r="O7" s="520">
        <f>$A$7</f>
        <v>46181</v>
      </c>
      <c r="P7" s="520"/>
      <c r="Q7" s="239" t="s">
        <v>292</v>
      </c>
      <c r="R7" s="240"/>
      <c r="S7" s="522" t="s">
        <v>553</v>
      </c>
      <c r="T7" s="244"/>
      <c r="U7" s="29" t="s">
        <v>554</v>
      </c>
      <c r="V7" s="518" t="s">
        <v>63</v>
      </c>
      <c r="W7" s="518"/>
      <c r="X7" s="518"/>
      <c r="Y7" s="511" t="s">
        <v>555</v>
      </c>
      <c r="Z7" s="512"/>
      <c r="AA7" s="513"/>
      <c r="AB7" s="244" t="str">
        <f>L43</f>
        <v>片山薫</v>
      </c>
      <c r="AC7" s="244"/>
      <c r="AD7" s="244"/>
      <c r="AE7" s="244"/>
      <c r="AF7" s="244"/>
      <c r="AG7" s="244"/>
      <c r="AH7" s="244"/>
      <c r="AI7" s="245"/>
      <c r="AK7" s="425" t="s">
        <v>556</v>
      </c>
      <c r="AL7" s="425"/>
      <c r="AM7" s="425"/>
      <c r="AN7" s="425"/>
      <c r="AO7" s="425"/>
      <c r="AP7" s="425"/>
      <c r="AQ7" s="439" t="s">
        <v>557</v>
      </c>
      <c r="AR7" s="43"/>
      <c r="AS7" s="43"/>
      <c r="AT7" s="43"/>
      <c r="AU7" s="43"/>
      <c r="AV7" s="43"/>
      <c r="AW7" s="43"/>
      <c r="AX7" s="43"/>
      <c r="AY7" s="43"/>
      <c r="AZ7" s="43"/>
      <c r="BA7"/>
    </row>
    <row r="8" spans="1:85" ht="12" customHeight="1" thickBot="1">
      <c r="A8" s="257"/>
      <c r="B8" s="258"/>
      <c r="C8" s="258"/>
      <c r="D8" s="258"/>
      <c r="E8" s="258"/>
      <c r="F8" s="260"/>
      <c r="G8" s="237"/>
      <c r="H8" s="237"/>
      <c r="I8" s="237"/>
      <c r="J8" s="242"/>
      <c r="K8" s="262"/>
      <c r="L8" s="262"/>
      <c r="M8" s="262"/>
      <c r="N8" s="242"/>
      <c r="O8" s="521"/>
      <c r="P8" s="521"/>
      <c r="Q8" s="242"/>
      <c r="R8" s="243"/>
      <c r="S8" s="523"/>
      <c r="T8" s="246"/>
      <c r="U8" s="33" t="s">
        <v>558</v>
      </c>
      <c r="V8" s="519" t="s">
        <v>37</v>
      </c>
      <c r="W8" s="519"/>
      <c r="X8" s="519"/>
      <c r="Y8" s="514"/>
      <c r="Z8" s="515"/>
      <c r="AA8" s="516"/>
      <c r="AB8" s="246"/>
      <c r="AC8" s="246"/>
      <c r="AD8" s="246"/>
      <c r="AE8" s="246"/>
      <c r="AF8" s="246"/>
      <c r="AG8" s="246"/>
      <c r="AH8" s="246"/>
      <c r="AI8" s="247"/>
      <c r="AK8" s="425"/>
      <c r="AL8" s="425"/>
      <c r="AM8" s="425"/>
      <c r="AN8" s="425"/>
      <c r="AO8" s="425"/>
      <c r="AP8" s="425"/>
      <c r="AQ8" s="439"/>
      <c r="AR8" s="43"/>
      <c r="AS8" s="43"/>
      <c r="AT8" s="43"/>
      <c r="AU8" s="43"/>
      <c r="AV8" s="43"/>
      <c r="AW8" s="43"/>
      <c r="AX8" s="43"/>
      <c r="AY8" s="43"/>
      <c r="AZ8" s="43"/>
      <c r="BA8"/>
    </row>
    <row r="9" spans="1:85" ht="18" customHeight="1">
      <c r="A9" s="507" t="s">
        <v>559</v>
      </c>
      <c r="B9" s="508"/>
      <c r="C9" s="508"/>
      <c r="D9" s="508"/>
      <c r="E9" s="508"/>
      <c r="F9" s="508"/>
      <c r="G9" s="508"/>
      <c r="H9" s="508"/>
      <c r="I9" s="508"/>
      <c r="J9" s="508"/>
      <c r="K9" s="508"/>
      <c r="L9" s="508"/>
      <c r="M9" s="508"/>
      <c r="N9" s="508"/>
      <c r="O9" s="508"/>
      <c r="P9" s="508"/>
      <c r="Q9" s="508"/>
      <c r="R9" s="508"/>
      <c r="S9" s="508"/>
      <c r="T9" s="508"/>
      <c r="U9" s="508"/>
      <c r="V9" s="508"/>
      <c r="W9" s="508"/>
      <c r="X9" s="508"/>
      <c r="Y9" s="508"/>
      <c r="Z9" s="508"/>
      <c r="AA9" s="508"/>
      <c r="AB9" s="508"/>
      <c r="AC9" s="508"/>
      <c r="AD9" s="508"/>
      <c r="AE9" s="508"/>
      <c r="AF9" s="508"/>
      <c r="AG9" s="508"/>
      <c r="AH9" s="508"/>
      <c r="AI9" s="509"/>
      <c r="AK9" s="440" t="s">
        <v>560</v>
      </c>
      <c r="AL9" s="440"/>
      <c r="AM9" s="440"/>
      <c r="AN9" s="440"/>
      <c r="AO9" s="440"/>
      <c r="AP9" s="440"/>
      <c r="AQ9" s="42">
        <v>61</v>
      </c>
      <c r="AR9" s="43"/>
      <c r="AS9" s="44" t="s">
        <v>561</v>
      </c>
      <c r="AT9" s="44" t="s">
        <v>562</v>
      </c>
      <c r="AU9" s="44" t="s">
        <v>563</v>
      </c>
      <c r="AV9" s="44" t="s">
        <v>564</v>
      </c>
      <c r="AW9" s="45" t="s">
        <v>565</v>
      </c>
      <c r="AX9" s="45" t="s">
        <v>566</v>
      </c>
      <c r="AY9" s="44" t="s">
        <v>567</v>
      </c>
      <c r="AZ9" s="43"/>
      <c r="BB9" s="49" t="s">
        <v>568</v>
      </c>
      <c r="BC9" s="43"/>
      <c r="BD9" s="43"/>
      <c r="BE9" s="43"/>
      <c r="BF9" s="43"/>
      <c r="BG9" s="43"/>
      <c r="BH9" s="43"/>
      <c r="BI9" s="43"/>
      <c r="BJ9" s="43"/>
      <c r="BK9" s="43"/>
      <c r="BL9" s="43"/>
      <c r="BM9" s="43"/>
      <c r="BN9" s="43"/>
      <c r="BO9" s="43"/>
      <c r="BP9" s="43"/>
      <c r="BQ9" s="43"/>
      <c r="BR9" s="43"/>
      <c r="BS9" s="43"/>
      <c r="BT9" s="43"/>
      <c r="BU9" s="43"/>
      <c r="BV9" s="43"/>
      <c r="BW9" s="43"/>
      <c r="BX9" s="43"/>
      <c r="BY9" s="43"/>
      <c r="BZ9" s="43"/>
      <c r="CA9" s="43"/>
      <c r="CB9" s="43"/>
      <c r="CC9" s="43"/>
      <c r="CD9" s="43"/>
      <c r="CE9" s="43"/>
      <c r="CF9" s="43"/>
      <c r="CG9" s="43"/>
    </row>
    <row r="10" spans="1:85" ht="18" customHeight="1">
      <c r="A10" s="265" t="s">
        <v>569</v>
      </c>
      <c r="B10" s="266"/>
      <c r="C10" s="266"/>
      <c r="D10" s="266"/>
      <c r="E10" s="266"/>
      <c r="F10" s="266"/>
      <c r="G10" s="266"/>
      <c r="H10" s="266"/>
      <c r="I10" s="264">
        <f>AQ14</f>
        <v>2</v>
      </c>
      <c r="J10" s="264"/>
      <c r="K10" s="267" t="s">
        <v>176</v>
      </c>
      <c r="L10" s="268"/>
      <c r="M10" s="269" t="s">
        <v>570</v>
      </c>
      <c r="N10" s="266"/>
      <c r="O10" s="266"/>
      <c r="P10" s="266"/>
      <c r="Q10" s="266"/>
      <c r="R10" s="266"/>
      <c r="S10" s="266"/>
      <c r="T10" s="266"/>
      <c r="U10" s="264">
        <f>AQ37</f>
        <v>0</v>
      </c>
      <c r="V10" s="264"/>
      <c r="W10" s="267" t="s">
        <v>176</v>
      </c>
      <c r="X10" s="268"/>
      <c r="Y10" s="269" t="s">
        <v>571</v>
      </c>
      <c r="Z10" s="266"/>
      <c r="AA10" s="266"/>
      <c r="AB10" s="266"/>
      <c r="AC10" s="266"/>
      <c r="AD10" s="266"/>
      <c r="AE10" s="266"/>
      <c r="AF10" s="266"/>
      <c r="AG10" s="264">
        <f>AQ26+AQ25</f>
        <v>0</v>
      </c>
      <c r="AH10" s="264"/>
      <c r="AI10" s="28" t="s">
        <v>176</v>
      </c>
      <c r="AK10" s="440" t="s">
        <v>572</v>
      </c>
      <c r="AL10" s="440"/>
      <c r="AM10" s="440"/>
      <c r="AN10" s="440"/>
      <c r="AO10" s="440"/>
      <c r="AP10" s="440"/>
      <c r="AQ10" s="42"/>
      <c r="AR10" s="43"/>
      <c r="AS10" s="46">
        <v>1</v>
      </c>
      <c r="AT10" s="46"/>
      <c r="AU10" s="46" t="s">
        <v>20</v>
      </c>
      <c r="AV10" s="47" t="s">
        <v>573</v>
      </c>
      <c r="AW10" s="47" t="s">
        <v>574</v>
      </c>
      <c r="AX10" s="47">
        <v>0.33333333333333331</v>
      </c>
      <c r="AY10" s="47">
        <v>0.83333333333333337</v>
      </c>
      <c r="AZ10" s="43"/>
      <c r="BB10" s="49" t="s">
        <v>95</v>
      </c>
      <c r="BC10" s="120">
        <v>1</v>
      </c>
      <c r="BD10" s="120">
        <v>2</v>
      </c>
      <c r="BE10" s="120">
        <v>3</v>
      </c>
      <c r="BF10" s="120">
        <v>4</v>
      </c>
      <c r="BG10" s="120">
        <v>5</v>
      </c>
      <c r="BH10" s="120">
        <v>6</v>
      </c>
      <c r="BI10" s="120">
        <v>7</v>
      </c>
      <c r="BJ10" s="120">
        <v>8</v>
      </c>
      <c r="BK10" s="120">
        <v>9</v>
      </c>
      <c r="BL10" s="120">
        <v>10</v>
      </c>
      <c r="BM10" s="120">
        <v>11</v>
      </c>
      <c r="BN10" s="120">
        <v>12</v>
      </c>
      <c r="BO10" s="120">
        <v>13</v>
      </c>
      <c r="BP10" s="120">
        <v>14</v>
      </c>
      <c r="BQ10" s="120">
        <v>15</v>
      </c>
      <c r="BR10" s="120">
        <v>16</v>
      </c>
      <c r="BS10" s="120">
        <v>17</v>
      </c>
      <c r="BT10" s="120">
        <v>18</v>
      </c>
      <c r="BU10" s="120">
        <v>19</v>
      </c>
      <c r="BV10" s="120">
        <v>20</v>
      </c>
      <c r="BW10" s="120">
        <v>21</v>
      </c>
      <c r="BX10" s="120">
        <v>22</v>
      </c>
      <c r="BY10" s="120">
        <v>23</v>
      </c>
      <c r="BZ10" s="120">
        <v>24</v>
      </c>
      <c r="CA10" s="120">
        <v>25</v>
      </c>
      <c r="CB10" s="120">
        <v>26</v>
      </c>
      <c r="CC10" s="120">
        <v>27</v>
      </c>
      <c r="CD10" s="120">
        <v>28</v>
      </c>
      <c r="CE10" s="120">
        <v>29</v>
      </c>
      <c r="CF10" s="120">
        <v>30</v>
      </c>
      <c r="CG10" s="43"/>
    </row>
    <row r="11" spans="1:85" ht="18" customHeight="1">
      <c r="A11" s="265" t="s">
        <v>575</v>
      </c>
      <c r="B11" s="266"/>
      <c r="C11" s="266"/>
      <c r="D11" s="266"/>
      <c r="E11" s="266"/>
      <c r="F11" s="266"/>
      <c r="G11" s="266"/>
      <c r="H11" s="266"/>
      <c r="I11" s="264">
        <f>AQ27</f>
        <v>0</v>
      </c>
      <c r="J11" s="264"/>
      <c r="K11" s="267" t="s">
        <v>176</v>
      </c>
      <c r="L11" s="268"/>
      <c r="M11" s="269" t="s">
        <v>576</v>
      </c>
      <c r="N11" s="266"/>
      <c r="O11" s="266"/>
      <c r="P11" s="266"/>
      <c r="Q11" s="266"/>
      <c r="R11" s="266"/>
      <c r="S11" s="266"/>
      <c r="T11" s="266"/>
      <c r="U11" s="264">
        <f>AQ36</f>
        <v>0</v>
      </c>
      <c r="V11" s="264"/>
      <c r="W11" s="267" t="s">
        <v>176</v>
      </c>
      <c r="X11" s="268"/>
      <c r="Y11" s="269" t="s">
        <v>577</v>
      </c>
      <c r="Z11" s="266"/>
      <c r="AA11" s="266"/>
      <c r="AB11" s="266"/>
      <c r="AC11" s="266"/>
      <c r="AD11" s="266"/>
      <c r="AE11" s="266"/>
      <c r="AF11" s="266"/>
      <c r="AG11" s="264">
        <f>AQ34</f>
        <v>0</v>
      </c>
      <c r="AH11" s="264"/>
      <c r="AI11" s="28" t="s">
        <v>176</v>
      </c>
      <c r="AK11" s="441" t="s">
        <v>578</v>
      </c>
      <c r="AL11" s="442"/>
      <c r="AM11" s="442"/>
      <c r="AN11" s="442"/>
      <c r="AO11" s="442"/>
      <c r="AP11" s="443"/>
      <c r="AQ11" s="42">
        <v>25</v>
      </c>
      <c r="AR11" s="43"/>
      <c r="AS11" s="46">
        <v>2</v>
      </c>
      <c r="AT11" s="46"/>
      <c r="AU11" s="46"/>
      <c r="AV11" s="47" t="s">
        <v>579</v>
      </c>
      <c r="AW11" s="47" t="s">
        <v>580</v>
      </c>
      <c r="AX11" s="47">
        <v>0.33333333333333331</v>
      </c>
      <c r="AY11" s="47">
        <v>0.58333333333333337</v>
      </c>
      <c r="AZ11" s="43"/>
      <c r="BB11" s="121" t="s">
        <v>581</v>
      </c>
      <c r="BC11" s="138" t="s">
        <v>582</v>
      </c>
      <c r="BD11" s="138" t="s">
        <v>583</v>
      </c>
      <c r="BE11" s="138" t="s">
        <v>584</v>
      </c>
      <c r="BF11" s="138" t="s">
        <v>585</v>
      </c>
      <c r="BG11" s="139" t="s">
        <v>584</v>
      </c>
      <c r="BH11" s="138" t="s">
        <v>582</v>
      </c>
      <c r="BI11" s="138" t="s">
        <v>585</v>
      </c>
      <c r="BJ11" s="138" t="s">
        <v>583</v>
      </c>
      <c r="BK11" s="138" t="s">
        <v>584</v>
      </c>
      <c r="BL11" s="138" t="s">
        <v>583</v>
      </c>
      <c r="BM11" s="138" t="s">
        <v>585</v>
      </c>
      <c r="BN11" s="138" t="s">
        <v>582</v>
      </c>
      <c r="BO11" s="138" t="s">
        <v>584</v>
      </c>
      <c r="BP11" s="138" t="s">
        <v>585</v>
      </c>
      <c r="BQ11" s="138" t="s">
        <v>583</v>
      </c>
      <c r="BR11" s="138" t="s">
        <v>585</v>
      </c>
      <c r="BS11" s="138" t="s">
        <v>584</v>
      </c>
      <c r="BT11" s="138" t="s">
        <v>582</v>
      </c>
      <c r="BU11" s="138" t="s">
        <v>583</v>
      </c>
      <c r="BV11" s="138" t="s">
        <v>585</v>
      </c>
      <c r="BW11" s="138" t="s">
        <v>582</v>
      </c>
      <c r="BX11" s="138" t="s">
        <v>584</v>
      </c>
      <c r="BY11" s="138" t="s">
        <v>585</v>
      </c>
      <c r="BZ11" s="138" t="s">
        <v>583</v>
      </c>
      <c r="CA11" s="138" t="s">
        <v>582</v>
      </c>
      <c r="CB11" s="138" t="s">
        <v>585</v>
      </c>
      <c r="CC11" s="138" t="s">
        <v>584</v>
      </c>
      <c r="CD11" s="138" t="s">
        <v>582</v>
      </c>
      <c r="CE11" s="138" t="s">
        <v>585</v>
      </c>
      <c r="CF11" s="138" t="s">
        <v>583</v>
      </c>
      <c r="CG11" s="43"/>
    </row>
    <row r="12" spans="1:85" ht="18" customHeight="1">
      <c r="A12" s="265" t="s">
        <v>586</v>
      </c>
      <c r="B12" s="266"/>
      <c r="C12" s="266"/>
      <c r="D12" s="266"/>
      <c r="E12" s="266"/>
      <c r="F12" s="266"/>
      <c r="G12" s="266"/>
      <c r="H12" s="266"/>
      <c r="I12" s="264">
        <f>AQ33</f>
        <v>0</v>
      </c>
      <c r="J12" s="264"/>
      <c r="K12" s="267" t="s">
        <v>176</v>
      </c>
      <c r="L12" s="268"/>
      <c r="M12" s="269" t="s">
        <v>587</v>
      </c>
      <c r="N12" s="266"/>
      <c r="O12" s="266"/>
      <c r="P12" s="266"/>
      <c r="Q12" s="266"/>
      <c r="R12" s="266"/>
      <c r="S12" s="266"/>
      <c r="T12" s="266"/>
      <c r="U12" s="264">
        <f>AQ24</f>
        <v>0</v>
      </c>
      <c r="V12" s="264"/>
      <c r="W12" s="267" t="s">
        <v>176</v>
      </c>
      <c r="X12" s="268"/>
      <c r="Y12" s="269" t="s">
        <v>588</v>
      </c>
      <c r="Z12" s="266"/>
      <c r="AA12" s="266"/>
      <c r="AB12" s="266"/>
      <c r="AC12" s="266"/>
      <c r="AD12" s="266"/>
      <c r="AE12" s="266"/>
      <c r="AF12" s="266"/>
      <c r="AG12" s="264">
        <f>AQ20+AQ21+AQ22+AQ23</f>
        <v>0</v>
      </c>
      <c r="AH12" s="264"/>
      <c r="AI12" s="28" t="s">
        <v>176</v>
      </c>
      <c r="AK12" s="441" t="s">
        <v>589</v>
      </c>
      <c r="AL12" s="442"/>
      <c r="AM12" s="442"/>
      <c r="AN12" s="442"/>
      <c r="AO12" s="442"/>
      <c r="AP12" s="443"/>
      <c r="AQ12" s="42">
        <v>13</v>
      </c>
      <c r="AR12" s="43"/>
      <c r="AS12" s="46">
        <v>3</v>
      </c>
      <c r="AT12" s="46"/>
      <c r="AU12" s="46"/>
      <c r="AV12" s="47" t="s">
        <v>590</v>
      </c>
      <c r="AW12" s="47" t="s">
        <v>574</v>
      </c>
      <c r="AX12" s="47">
        <v>0.58333333333333337</v>
      </c>
      <c r="AY12" s="47">
        <v>0.83333333333333337</v>
      </c>
      <c r="AZ12" s="43"/>
      <c r="BB12" s="49"/>
      <c r="BC12" s="43"/>
      <c r="BD12" s="43"/>
      <c r="BE12" s="43"/>
      <c r="BF12" s="43"/>
      <c r="BG12" s="43"/>
      <c r="BH12" s="43"/>
      <c r="BI12" s="43"/>
      <c r="BJ12" s="43"/>
      <c r="BK12" s="43"/>
      <c r="BL12" s="43"/>
      <c r="BM12" s="43"/>
      <c r="BN12" s="43"/>
      <c r="BO12" s="43"/>
      <c r="BP12" s="43"/>
      <c r="BQ12" s="43"/>
      <c r="BR12" s="43"/>
      <c r="BS12" s="43"/>
      <c r="BT12" s="43"/>
      <c r="BU12" s="43"/>
      <c r="BV12" s="43"/>
      <c r="BW12" s="43"/>
      <c r="BX12" s="43"/>
      <c r="BY12" s="43"/>
      <c r="BZ12" s="43"/>
      <c r="CA12" s="43"/>
      <c r="CB12" s="43"/>
      <c r="CC12" s="43"/>
      <c r="CD12" s="43"/>
      <c r="CE12" s="43"/>
      <c r="CF12" s="43"/>
      <c r="CG12" s="43"/>
    </row>
    <row r="13" spans="1:85" ht="18" customHeight="1" thickBot="1">
      <c r="A13" s="517" t="s">
        <v>591</v>
      </c>
      <c r="B13" s="277"/>
      <c r="C13" s="277"/>
      <c r="D13" s="277"/>
      <c r="E13" s="277"/>
      <c r="F13" s="277"/>
      <c r="G13" s="277"/>
      <c r="H13" s="277"/>
      <c r="I13" s="272">
        <f>AQ30+AQ31</f>
        <v>0</v>
      </c>
      <c r="J13" s="272"/>
      <c r="K13" s="273" t="s">
        <v>176</v>
      </c>
      <c r="L13" s="274"/>
      <c r="M13" s="276" t="s">
        <v>592</v>
      </c>
      <c r="N13" s="277"/>
      <c r="O13" s="277"/>
      <c r="P13" s="277"/>
      <c r="Q13" s="277"/>
      <c r="R13" s="277"/>
      <c r="S13" s="277"/>
      <c r="T13" s="277"/>
      <c r="U13" s="272">
        <f>AQ28</f>
        <v>0</v>
      </c>
      <c r="V13" s="272"/>
      <c r="W13" s="273" t="s">
        <v>176</v>
      </c>
      <c r="X13" s="274"/>
      <c r="Y13" s="276" t="s">
        <v>593</v>
      </c>
      <c r="Z13" s="277"/>
      <c r="AA13" s="277"/>
      <c r="AB13" s="277"/>
      <c r="AC13" s="277"/>
      <c r="AD13" s="277"/>
      <c r="AE13" s="277"/>
      <c r="AF13" s="277"/>
      <c r="AG13" s="272">
        <f>AQ13</f>
        <v>0</v>
      </c>
      <c r="AH13" s="272"/>
      <c r="AI13" s="34" t="s">
        <v>176</v>
      </c>
      <c r="AK13" s="425" t="s">
        <v>594</v>
      </c>
      <c r="AL13" s="425"/>
      <c r="AM13" s="425"/>
      <c r="AN13" s="425"/>
      <c r="AO13" s="425"/>
      <c r="AP13" s="425"/>
      <c r="AQ13" s="42"/>
      <c r="AR13" s="43"/>
      <c r="AS13" s="46">
        <v>4</v>
      </c>
      <c r="AT13" s="46"/>
      <c r="AU13" s="46" t="s">
        <v>28</v>
      </c>
      <c r="AV13" s="47" t="s">
        <v>595</v>
      </c>
      <c r="AW13" s="47" t="s">
        <v>596</v>
      </c>
      <c r="AX13" s="47">
        <v>0.33333333333333331</v>
      </c>
      <c r="AY13" s="47">
        <v>0.83333333333333337</v>
      </c>
      <c r="AZ13" s="43"/>
      <c r="BB13" s="121" t="s">
        <v>597</v>
      </c>
      <c r="BC13" s="140" t="s">
        <v>20</v>
      </c>
      <c r="BD13" s="140" t="s">
        <v>119</v>
      </c>
      <c r="BE13" s="140" t="s">
        <v>20</v>
      </c>
      <c r="BF13" s="140" t="s">
        <v>20</v>
      </c>
      <c r="BG13" s="140" t="s">
        <v>20</v>
      </c>
      <c r="BH13" s="140" t="s">
        <v>20</v>
      </c>
      <c r="BI13" s="140" t="s">
        <v>80</v>
      </c>
      <c r="BJ13" s="140" t="s">
        <v>20</v>
      </c>
      <c r="BK13" s="140" t="s">
        <v>20</v>
      </c>
      <c r="BL13" s="140" t="s">
        <v>20</v>
      </c>
      <c r="BM13" s="140" t="s">
        <v>20</v>
      </c>
      <c r="BN13" s="140" t="s">
        <v>20</v>
      </c>
      <c r="BO13" s="140" t="s">
        <v>119</v>
      </c>
      <c r="BP13" s="140" t="s">
        <v>119</v>
      </c>
      <c r="BQ13" s="140" t="s">
        <v>20</v>
      </c>
      <c r="BR13" s="140" t="s">
        <v>119</v>
      </c>
      <c r="BS13" s="140" t="s">
        <v>20</v>
      </c>
      <c r="BT13" s="140" t="s">
        <v>20</v>
      </c>
      <c r="BU13" s="140" t="s">
        <v>20</v>
      </c>
      <c r="BV13" s="140" t="s">
        <v>119</v>
      </c>
      <c r="BW13" s="140" t="s">
        <v>119</v>
      </c>
      <c r="BX13" s="140" t="s">
        <v>20</v>
      </c>
      <c r="BY13" s="140" t="s">
        <v>119</v>
      </c>
      <c r="BZ13" s="140" t="s">
        <v>20</v>
      </c>
      <c r="CA13" s="140" t="s">
        <v>119</v>
      </c>
      <c r="CB13" s="140" t="s">
        <v>20</v>
      </c>
      <c r="CC13" s="140" t="s">
        <v>20</v>
      </c>
      <c r="CD13" s="140" t="s">
        <v>119</v>
      </c>
      <c r="CE13" s="140" t="s">
        <v>20</v>
      </c>
      <c r="CF13" s="140" t="s">
        <v>119</v>
      </c>
      <c r="CG13" s="43"/>
    </row>
    <row r="14" spans="1:85" ht="18" customHeight="1" thickBot="1">
      <c r="A14" s="452" t="s">
        <v>598</v>
      </c>
      <c r="B14" s="453"/>
      <c r="C14" s="453"/>
      <c r="D14" s="453"/>
      <c r="E14" s="453"/>
      <c r="F14" s="453"/>
      <c r="G14" s="453"/>
      <c r="H14" s="453"/>
      <c r="I14" s="453"/>
      <c r="J14" s="453"/>
      <c r="K14" s="453"/>
      <c r="L14" s="453"/>
      <c r="M14" s="453"/>
      <c r="N14" s="453"/>
      <c r="O14" s="453"/>
      <c r="P14" s="453"/>
      <c r="Q14" s="453"/>
      <c r="R14" s="453"/>
      <c r="S14" s="453"/>
      <c r="T14" s="453"/>
      <c r="U14" s="453"/>
      <c r="V14" s="453"/>
      <c r="W14" s="453"/>
      <c r="X14" s="453"/>
      <c r="Y14" s="453"/>
      <c r="Z14" s="453"/>
      <c r="AA14" s="453"/>
      <c r="AB14" s="453"/>
      <c r="AC14" s="453"/>
      <c r="AD14" s="453"/>
      <c r="AE14" s="453"/>
      <c r="AF14" s="453"/>
      <c r="AG14" s="453"/>
      <c r="AH14" s="453"/>
      <c r="AI14" s="454"/>
      <c r="AK14" s="440" t="s">
        <v>599</v>
      </c>
      <c r="AL14" s="440"/>
      <c r="AM14" s="440"/>
      <c r="AN14" s="440"/>
      <c r="AO14" s="440"/>
      <c r="AP14" s="440"/>
      <c r="AQ14" s="42">
        <v>2</v>
      </c>
      <c r="AR14" s="43"/>
      <c r="AS14" s="46">
        <v>5</v>
      </c>
      <c r="AT14" s="46"/>
      <c r="AU14" s="46"/>
      <c r="AV14" s="47" t="s">
        <v>600</v>
      </c>
      <c r="AW14" s="47" t="s">
        <v>596</v>
      </c>
      <c r="AX14" s="47">
        <v>0.33333333333333331</v>
      </c>
      <c r="AY14" s="47">
        <v>0.83333333333333337</v>
      </c>
      <c r="AZ14" s="43"/>
      <c r="BB14" s="121" t="s">
        <v>601</v>
      </c>
      <c r="BC14" s="162" t="s">
        <v>28</v>
      </c>
      <c r="BD14" s="162" t="s">
        <v>602</v>
      </c>
      <c r="BE14" s="162" t="s">
        <v>602</v>
      </c>
      <c r="BF14" s="162" t="s">
        <v>28</v>
      </c>
      <c r="BG14" s="162" t="s">
        <v>602</v>
      </c>
      <c r="BH14" s="162" t="s">
        <v>602</v>
      </c>
      <c r="BI14" s="162" t="s">
        <v>28</v>
      </c>
      <c r="BJ14" s="162" t="s">
        <v>28</v>
      </c>
      <c r="BK14" s="162" t="s">
        <v>602</v>
      </c>
      <c r="BL14" s="162" t="s">
        <v>28</v>
      </c>
      <c r="BM14" s="162" t="s">
        <v>602</v>
      </c>
      <c r="BN14" s="162" t="s">
        <v>28</v>
      </c>
      <c r="BO14" s="162" t="s">
        <v>28</v>
      </c>
      <c r="BP14" s="162" t="s">
        <v>76</v>
      </c>
      <c r="BQ14" s="162" t="s">
        <v>28</v>
      </c>
      <c r="BR14" s="162" t="s">
        <v>602</v>
      </c>
      <c r="BS14" s="162" t="s">
        <v>28</v>
      </c>
      <c r="BT14" s="162" t="s">
        <v>602</v>
      </c>
      <c r="BU14" s="162" t="s">
        <v>28</v>
      </c>
      <c r="BV14" s="162" t="s">
        <v>602</v>
      </c>
      <c r="BW14" s="162" t="s">
        <v>28</v>
      </c>
      <c r="BX14" s="162" t="s">
        <v>28</v>
      </c>
      <c r="BY14" s="162" t="s">
        <v>602</v>
      </c>
      <c r="BZ14" s="162" t="s">
        <v>28</v>
      </c>
      <c r="CA14" s="162" t="s">
        <v>602</v>
      </c>
      <c r="CB14" s="162" t="s">
        <v>28</v>
      </c>
      <c r="CC14" s="162" t="s">
        <v>28</v>
      </c>
      <c r="CD14" s="162" t="s">
        <v>76</v>
      </c>
      <c r="CE14" s="162" t="s">
        <v>28</v>
      </c>
      <c r="CF14" s="162" t="s">
        <v>602</v>
      </c>
      <c r="CG14" s="43"/>
    </row>
    <row r="15" spans="1:85" ht="18" customHeight="1" thickBot="1">
      <c r="A15" s="30" t="s">
        <v>189</v>
      </c>
      <c r="B15" s="264" t="s">
        <v>603</v>
      </c>
      <c r="C15" s="264"/>
      <c r="D15" s="264"/>
      <c r="E15" s="264"/>
      <c r="F15" s="264"/>
      <c r="G15" s="264"/>
      <c r="H15" s="264"/>
      <c r="I15" s="264"/>
      <c r="J15" s="278">
        <f>AQ9+AQ10</f>
        <v>61</v>
      </c>
      <c r="K15" s="278"/>
      <c r="L15" s="278"/>
      <c r="M15" s="264" t="s">
        <v>176</v>
      </c>
      <c r="N15" s="264"/>
      <c r="O15" s="264" t="s">
        <v>604</v>
      </c>
      <c r="P15" s="264"/>
      <c r="Q15" s="264"/>
      <c r="R15" s="264"/>
      <c r="S15" s="264"/>
      <c r="T15" s="264"/>
      <c r="U15" s="264"/>
      <c r="V15" s="264"/>
      <c r="W15" s="278">
        <f>AQ11+AQ12</f>
        <v>38</v>
      </c>
      <c r="X15" s="278"/>
      <c r="Y15" s="278"/>
      <c r="Z15" s="264" t="s">
        <v>176</v>
      </c>
      <c r="AA15" s="264"/>
      <c r="AB15" s="503" t="s">
        <v>605</v>
      </c>
      <c r="AC15" s="503"/>
      <c r="AD15" s="503"/>
      <c r="AE15" s="503"/>
      <c r="AF15" s="503"/>
      <c r="AG15" s="503"/>
      <c r="AH15" s="281" t="s">
        <v>583</v>
      </c>
      <c r="AI15" s="282"/>
      <c r="AK15" s="425" t="s">
        <v>606</v>
      </c>
      <c r="AL15" s="425"/>
      <c r="AM15" s="425"/>
      <c r="AN15" s="425"/>
      <c r="AO15" s="425"/>
      <c r="AP15" s="425"/>
      <c r="AQ15" s="42"/>
      <c r="AR15" s="43"/>
      <c r="AS15" s="46">
        <v>6</v>
      </c>
      <c r="AT15" s="46"/>
      <c r="AU15" s="46"/>
      <c r="AV15" s="47" t="s">
        <v>607</v>
      </c>
      <c r="AW15" s="47" t="s">
        <v>596</v>
      </c>
      <c r="AX15" s="47">
        <v>0.33333333333333331</v>
      </c>
      <c r="AY15" s="47">
        <v>0.83333333333333337</v>
      </c>
      <c r="AZ15" s="43"/>
      <c r="BB15" s="121" t="s">
        <v>31</v>
      </c>
      <c r="BC15" s="163" t="s">
        <v>119</v>
      </c>
      <c r="BD15" s="164"/>
      <c r="BE15" s="165" t="s">
        <v>28</v>
      </c>
      <c r="BF15" s="165" t="s">
        <v>119</v>
      </c>
      <c r="BG15" s="164"/>
      <c r="BH15" s="164"/>
      <c r="BI15" s="164"/>
      <c r="BJ15" s="164"/>
      <c r="BK15" s="165" t="s">
        <v>119</v>
      </c>
      <c r="BL15" s="165" t="s">
        <v>602</v>
      </c>
      <c r="BM15" s="165" t="s">
        <v>119</v>
      </c>
      <c r="BN15" s="165" t="s">
        <v>602</v>
      </c>
      <c r="BO15" s="164"/>
      <c r="BP15" s="164"/>
      <c r="BQ15" s="165" t="s">
        <v>608</v>
      </c>
      <c r="BR15" s="165" t="s">
        <v>20</v>
      </c>
      <c r="BS15" s="165" t="s">
        <v>602</v>
      </c>
      <c r="BT15" s="165" t="s">
        <v>119</v>
      </c>
      <c r="BU15" s="165" t="s">
        <v>602</v>
      </c>
      <c r="BV15" s="164"/>
      <c r="BW15" s="164"/>
      <c r="BX15" s="165" t="s">
        <v>119</v>
      </c>
      <c r="BY15" s="165" t="s">
        <v>20</v>
      </c>
      <c r="BZ15" s="165" t="s">
        <v>602</v>
      </c>
      <c r="CA15" s="165" t="s">
        <v>20</v>
      </c>
      <c r="CB15" s="165" t="s">
        <v>602</v>
      </c>
      <c r="CC15" s="165" t="s">
        <v>602</v>
      </c>
      <c r="CD15" s="164"/>
      <c r="CE15" s="165" t="s">
        <v>119</v>
      </c>
      <c r="CF15" s="165" t="s">
        <v>20</v>
      </c>
      <c r="CG15" s="43"/>
    </row>
    <row r="16" spans="1:85" ht="18" customHeight="1">
      <c r="A16" s="504" t="s">
        <v>609</v>
      </c>
      <c r="B16" s="505"/>
      <c r="C16" s="505"/>
      <c r="D16" s="505"/>
      <c r="E16" s="505"/>
      <c r="F16" s="505"/>
      <c r="G16" s="505"/>
      <c r="H16" s="505"/>
      <c r="I16" s="505"/>
      <c r="J16" s="505"/>
      <c r="K16" s="505"/>
      <c r="L16" s="505"/>
      <c r="M16" s="505"/>
      <c r="N16" s="505"/>
      <c r="O16" s="505"/>
      <c r="P16" s="505"/>
      <c r="Q16" s="505"/>
      <c r="R16" s="505"/>
      <c r="S16" s="505"/>
      <c r="T16" s="505"/>
      <c r="U16" s="505"/>
      <c r="V16" s="505"/>
      <c r="W16" s="505"/>
      <c r="X16" s="505"/>
      <c r="Y16" s="505"/>
      <c r="Z16" s="505"/>
      <c r="AA16" s="505"/>
      <c r="AB16" s="505"/>
      <c r="AC16" s="505"/>
      <c r="AD16" s="505"/>
      <c r="AE16" s="505"/>
      <c r="AF16" s="505"/>
      <c r="AG16" s="505"/>
      <c r="AH16" s="505"/>
      <c r="AI16" s="506"/>
      <c r="AK16" s="425" t="s">
        <v>610</v>
      </c>
      <c r="AL16" s="425"/>
      <c r="AM16" s="425"/>
      <c r="AN16" s="425"/>
      <c r="AO16" s="425"/>
      <c r="AP16" s="425"/>
      <c r="AQ16" s="42"/>
      <c r="AR16" s="43"/>
      <c r="AS16" s="46">
        <v>7</v>
      </c>
      <c r="AT16" s="46"/>
      <c r="AU16" s="46" t="s">
        <v>67</v>
      </c>
      <c r="AV16" s="47" t="s">
        <v>611</v>
      </c>
      <c r="AW16" s="47" t="s">
        <v>612</v>
      </c>
      <c r="AX16" s="47">
        <v>0.83333333333333337</v>
      </c>
      <c r="AY16" s="47" t="s">
        <v>613</v>
      </c>
      <c r="AZ16" s="43"/>
      <c r="BB16" s="121" t="s">
        <v>614</v>
      </c>
      <c r="BC16" s="142" t="s">
        <v>20</v>
      </c>
      <c r="BD16" s="140" t="s">
        <v>67</v>
      </c>
      <c r="BE16" s="142" t="s">
        <v>42</v>
      </c>
      <c r="BF16" s="142" t="s">
        <v>20</v>
      </c>
      <c r="BG16" s="142" t="s">
        <v>42</v>
      </c>
      <c r="BH16" s="142" t="s">
        <v>61</v>
      </c>
      <c r="BI16" s="142" t="s">
        <v>67</v>
      </c>
      <c r="BJ16" s="142" t="s">
        <v>67</v>
      </c>
      <c r="BK16" s="142" t="s">
        <v>42</v>
      </c>
      <c r="BL16" s="142" t="s">
        <v>42</v>
      </c>
      <c r="BM16" s="142" t="s">
        <v>67</v>
      </c>
      <c r="BN16" s="142" t="s">
        <v>67</v>
      </c>
      <c r="BO16" s="142" t="s">
        <v>42</v>
      </c>
      <c r="BP16" s="142" t="s">
        <v>67</v>
      </c>
      <c r="BQ16" s="142" t="s">
        <v>20</v>
      </c>
      <c r="BR16" s="142" t="s">
        <v>71</v>
      </c>
      <c r="BS16" s="142" t="s">
        <v>67</v>
      </c>
      <c r="BT16" s="142" t="s">
        <v>67</v>
      </c>
      <c r="BU16" s="142" t="s">
        <v>61</v>
      </c>
      <c r="BV16" s="142" t="s">
        <v>42</v>
      </c>
      <c r="BW16" s="142" t="s">
        <v>49</v>
      </c>
      <c r="BX16" s="142" t="s">
        <v>20</v>
      </c>
      <c r="BY16" s="142" t="s">
        <v>71</v>
      </c>
      <c r="BZ16" s="142" t="s">
        <v>42</v>
      </c>
      <c r="CA16" s="142" t="s">
        <v>20</v>
      </c>
      <c r="CB16" s="142" t="s">
        <v>61</v>
      </c>
      <c r="CC16" s="142" t="s">
        <v>42</v>
      </c>
      <c r="CD16" s="142" t="s">
        <v>49</v>
      </c>
      <c r="CE16" s="142" t="s">
        <v>20</v>
      </c>
      <c r="CF16" s="143" t="s">
        <v>71</v>
      </c>
      <c r="CG16" s="43"/>
    </row>
    <row r="17" spans="1:85" ht="18" customHeight="1">
      <c r="A17" s="396" t="s">
        <v>615</v>
      </c>
      <c r="B17" s="397"/>
      <c r="C17" s="397"/>
      <c r="D17" s="397"/>
      <c r="E17" s="397"/>
      <c r="F17" s="398" t="s">
        <v>616</v>
      </c>
      <c r="G17" s="398"/>
      <c r="H17" s="398"/>
      <c r="I17" s="398"/>
      <c r="J17" s="398"/>
      <c r="K17" s="398"/>
      <c r="L17" s="398"/>
      <c r="M17" s="398"/>
      <c r="N17" s="398"/>
      <c r="O17" s="398"/>
      <c r="P17" s="398"/>
      <c r="Q17" s="398"/>
      <c r="R17" s="398"/>
      <c r="S17" s="398"/>
      <c r="T17" s="398"/>
      <c r="U17" s="398"/>
      <c r="V17" s="398"/>
      <c r="W17" s="398"/>
      <c r="X17" s="398"/>
      <c r="Y17" s="398"/>
      <c r="Z17" s="398"/>
      <c r="AA17" s="398"/>
      <c r="AB17" s="398"/>
      <c r="AC17" s="398"/>
      <c r="AD17" s="398"/>
      <c r="AE17" s="398"/>
      <c r="AF17" s="398"/>
      <c r="AG17" s="398"/>
      <c r="AH17" s="398"/>
      <c r="AI17" s="399"/>
      <c r="AK17" s="425" t="s">
        <v>617</v>
      </c>
      <c r="AL17" s="425"/>
      <c r="AM17" s="425"/>
      <c r="AN17" s="425"/>
      <c r="AO17" s="425"/>
      <c r="AP17" s="425"/>
      <c r="AQ17" s="42"/>
      <c r="AR17" s="43"/>
      <c r="AS17" s="46">
        <v>8</v>
      </c>
      <c r="AT17" s="46"/>
      <c r="AU17" s="46" t="s">
        <v>61</v>
      </c>
      <c r="AV17" s="47" t="s">
        <v>618</v>
      </c>
      <c r="AW17" s="47" t="s">
        <v>612</v>
      </c>
      <c r="AX17" s="47">
        <v>0.83333333333333337</v>
      </c>
      <c r="AY17" s="47" t="s">
        <v>613</v>
      </c>
      <c r="AZ17" s="43"/>
      <c r="BB17" s="121" t="s">
        <v>619</v>
      </c>
      <c r="BC17" s="141" t="s">
        <v>67</v>
      </c>
      <c r="BD17" s="140" t="s">
        <v>42</v>
      </c>
      <c r="BE17" s="141" t="s">
        <v>71</v>
      </c>
      <c r="BF17" s="140" t="s">
        <v>67</v>
      </c>
      <c r="BG17" s="140" t="s">
        <v>61</v>
      </c>
      <c r="BH17" s="140" t="s">
        <v>42</v>
      </c>
      <c r="BI17" s="140" t="s">
        <v>49</v>
      </c>
      <c r="BJ17" s="140" t="s">
        <v>61</v>
      </c>
      <c r="BK17" s="140" t="s">
        <v>71</v>
      </c>
      <c r="BL17" s="140" t="s">
        <v>67</v>
      </c>
      <c r="BM17" s="140" t="s">
        <v>49</v>
      </c>
      <c r="BN17" s="140" t="s">
        <v>49</v>
      </c>
      <c r="BO17" s="140" t="s">
        <v>61</v>
      </c>
      <c r="BP17" s="140" t="s">
        <v>49</v>
      </c>
      <c r="BQ17" s="140" t="s">
        <v>67</v>
      </c>
      <c r="BR17" s="140" t="s">
        <v>42</v>
      </c>
      <c r="BS17" s="140" t="s">
        <v>42</v>
      </c>
      <c r="BT17" s="140" t="s">
        <v>49</v>
      </c>
      <c r="BU17" s="140" t="s">
        <v>42</v>
      </c>
      <c r="BV17" s="140" t="s">
        <v>61</v>
      </c>
      <c r="BW17" s="140" t="s">
        <v>71</v>
      </c>
      <c r="BX17" s="140" t="s">
        <v>67</v>
      </c>
      <c r="BY17" s="140" t="s">
        <v>42</v>
      </c>
      <c r="BZ17" s="140" t="s">
        <v>67</v>
      </c>
      <c r="CA17" s="140" t="s">
        <v>67</v>
      </c>
      <c r="CB17" s="140" t="s">
        <v>49</v>
      </c>
      <c r="CC17" s="140" t="s">
        <v>61</v>
      </c>
      <c r="CD17" s="140" t="s">
        <v>71</v>
      </c>
      <c r="CE17" s="140" t="s">
        <v>67</v>
      </c>
      <c r="CF17" s="140" t="s">
        <v>42</v>
      </c>
      <c r="CG17" s="43"/>
    </row>
    <row r="18" spans="1:85" ht="18" customHeight="1">
      <c r="A18" s="501" t="s">
        <v>620</v>
      </c>
      <c r="B18" s="502"/>
      <c r="C18" s="502"/>
      <c r="D18" s="502"/>
      <c r="E18" s="502"/>
      <c r="F18" s="400" t="s">
        <v>616</v>
      </c>
      <c r="G18" s="400"/>
      <c r="H18" s="400"/>
      <c r="I18" s="400"/>
      <c r="J18" s="400"/>
      <c r="K18" s="400"/>
      <c r="L18" s="400"/>
      <c r="M18" s="400"/>
      <c r="N18" s="400"/>
      <c r="O18" s="400"/>
      <c r="P18" s="400"/>
      <c r="Q18" s="400"/>
      <c r="R18" s="400"/>
      <c r="S18" s="400"/>
      <c r="T18" s="400"/>
      <c r="U18" s="400"/>
      <c r="V18" s="400"/>
      <c r="W18" s="400"/>
      <c r="X18" s="400"/>
      <c r="Y18" s="400"/>
      <c r="Z18" s="400"/>
      <c r="AA18" s="400"/>
      <c r="AB18" s="400"/>
      <c r="AC18" s="400"/>
      <c r="AD18" s="400"/>
      <c r="AE18" s="400"/>
      <c r="AF18" s="400"/>
      <c r="AG18" s="400"/>
      <c r="AH18" s="400"/>
      <c r="AI18" s="401"/>
      <c r="AK18" s="425" t="s">
        <v>621</v>
      </c>
      <c r="AL18" s="425"/>
      <c r="AM18" s="425"/>
      <c r="AN18" s="425"/>
      <c r="AO18" s="425"/>
      <c r="AP18" s="425"/>
      <c r="AQ18" s="42"/>
      <c r="AR18" s="43"/>
      <c r="AS18" s="46">
        <v>9</v>
      </c>
      <c r="AT18" s="46"/>
      <c r="AU18" s="46"/>
      <c r="AV18" s="47" t="s">
        <v>622</v>
      </c>
      <c r="AW18" s="47" t="s">
        <v>612</v>
      </c>
      <c r="AX18" s="47">
        <v>0.83333333333333337</v>
      </c>
      <c r="AY18" s="47" t="s">
        <v>613</v>
      </c>
      <c r="AZ18" s="43"/>
    </row>
    <row r="19" spans="1:85" ht="18" customHeight="1" thickBot="1">
      <c r="A19" s="35" t="s">
        <v>189</v>
      </c>
      <c r="B19" s="405">
        <v>0.33680555555555558</v>
      </c>
      <c r="C19" s="405"/>
      <c r="D19" s="405"/>
      <c r="E19" s="405"/>
      <c r="F19" s="402" t="s">
        <v>786</v>
      </c>
      <c r="G19" s="402"/>
      <c r="H19" s="402"/>
      <c r="I19" s="402"/>
      <c r="J19" s="402"/>
      <c r="K19" s="402"/>
      <c r="L19" s="402"/>
      <c r="M19" s="402"/>
      <c r="N19" s="402"/>
      <c r="O19" s="402"/>
      <c r="P19" s="402"/>
      <c r="Q19" s="402"/>
      <c r="R19" s="402"/>
      <c r="S19" s="402"/>
      <c r="T19" s="402"/>
      <c r="U19" s="402"/>
      <c r="V19" s="402"/>
      <c r="W19" s="402"/>
      <c r="X19" s="402"/>
      <c r="Y19" s="402"/>
      <c r="Z19" s="402"/>
      <c r="AA19" s="402"/>
      <c r="AB19" s="402"/>
      <c r="AC19" s="402"/>
      <c r="AD19" s="402"/>
      <c r="AE19" s="402"/>
      <c r="AF19" s="402"/>
      <c r="AG19" s="402"/>
      <c r="AH19" s="402"/>
      <c r="AI19" s="403"/>
      <c r="AK19" s="524" t="s">
        <v>623</v>
      </c>
      <c r="AL19" s="524"/>
      <c r="AM19" s="524"/>
      <c r="AN19" s="524"/>
      <c r="AO19" s="524"/>
      <c r="AP19" s="524"/>
      <c r="AQ19" s="58"/>
      <c r="AR19" s="43"/>
      <c r="AS19" s="46">
        <v>10</v>
      </c>
      <c r="AT19" s="46"/>
      <c r="AU19" s="46"/>
      <c r="AV19" s="47" t="s">
        <v>111</v>
      </c>
      <c r="AW19" s="47" t="s">
        <v>612</v>
      </c>
      <c r="AX19" s="47">
        <v>0.83333333333333337</v>
      </c>
      <c r="AY19" s="47" t="s">
        <v>613</v>
      </c>
      <c r="AZ19" s="43"/>
    </row>
    <row r="20" spans="1:85" ht="18" customHeight="1">
      <c r="A20" s="36"/>
      <c r="B20" s="404"/>
      <c r="C20" s="404"/>
      <c r="D20" s="404"/>
      <c r="E20" s="404"/>
      <c r="F20" s="288" t="s">
        <v>787</v>
      </c>
      <c r="G20" s="288"/>
      <c r="H20" s="288"/>
      <c r="I20" s="288"/>
      <c r="J20" s="288"/>
      <c r="K20" s="288"/>
      <c r="L20" s="288"/>
      <c r="M20" s="288"/>
      <c r="N20" s="288"/>
      <c r="O20" s="288"/>
      <c r="P20" s="288"/>
      <c r="Q20" s="288"/>
      <c r="R20" s="288"/>
      <c r="S20" s="288"/>
      <c r="T20" s="288"/>
      <c r="U20" s="288"/>
      <c r="V20" s="288"/>
      <c r="W20" s="288"/>
      <c r="X20" s="288"/>
      <c r="Y20" s="288"/>
      <c r="Z20" s="288"/>
      <c r="AA20" s="288"/>
      <c r="AB20" s="288"/>
      <c r="AC20" s="288"/>
      <c r="AD20" s="288"/>
      <c r="AE20" s="288"/>
      <c r="AF20" s="288"/>
      <c r="AG20" s="288"/>
      <c r="AH20" s="288"/>
      <c r="AI20" s="289"/>
      <c r="AK20" s="447" t="s">
        <v>624</v>
      </c>
      <c r="AL20" s="448"/>
      <c r="AM20" s="448"/>
      <c r="AN20" s="448"/>
      <c r="AO20" s="448"/>
      <c r="AP20" s="448"/>
      <c r="AQ20" s="62"/>
      <c r="AR20" s="426" t="s">
        <v>625</v>
      </c>
      <c r="AS20" s="146">
        <v>11</v>
      </c>
      <c r="AT20" s="46"/>
      <c r="AU20" s="46"/>
      <c r="AV20" s="47" t="s">
        <v>111</v>
      </c>
      <c r="AW20" s="47" t="s">
        <v>612</v>
      </c>
      <c r="AX20" s="47">
        <v>0.83333333333333337</v>
      </c>
      <c r="AY20" s="47" t="s">
        <v>613</v>
      </c>
      <c r="AZ20" s="43"/>
    </row>
    <row r="21" spans="1:85" ht="18" customHeight="1" thickBot="1">
      <c r="A21" s="36" t="s">
        <v>189</v>
      </c>
      <c r="B21" s="404">
        <v>0.41666666666666669</v>
      </c>
      <c r="C21" s="404"/>
      <c r="D21" s="404"/>
      <c r="E21" s="404"/>
      <c r="F21" s="288" t="s">
        <v>710</v>
      </c>
      <c r="G21" s="288"/>
      <c r="H21" s="288"/>
      <c r="I21" s="288"/>
      <c r="J21" s="288"/>
      <c r="K21" s="288"/>
      <c r="L21" s="288"/>
      <c r="M21" s="288"/>
      <c r="N21" s="288"/>
      <c r="O21" s="288"/>
      <c r="P21" s="288"/>
      <c r="Q21" s="288"/>
      <c r="R21" s="288"/>
      <c r="S21" s="288"/>
      <c r="T21" s="288"/>
      <c r="U21" s="288"/>
      <c r="V21" s="288"/>
      <c r="W21" s="288"/>
      <c r="X21" s="288"/>
      <c r="Y21" s="288"/>
      <c r="Z21" s="288"/>
      <c r="AA21" s="288"/>
      <c r="AB21" s="288"/>
      <c r="AC21" s="288"/>
      <c r="AD21" s="288"/>
      <c r="AE21" s="288"/>
      <c r="AF21" s="288"/>
      <c r="AG21" s="288"/>
      <c r="AH21" s="288"/>
      <c r="AI21" s="289"/>
      <c r="AK21" s="429" t="s">
        <v>626</v>
      </c>
      <c r="AL21" s="430"/>
      <c r="AM21" s="430"/>
      <c r="AN21" s="430"/>
      <c r="AO21" s="430"/>
      <c r="AP21" s="430"/>
      <c r="AQ21" s="63"/>
      <c r="AR21" s="427"/>
      <c r="AW21" s="43"/>
      <c r="AX21" s="43"/>
      <c r="AY21" s="43"/>
      <c r="AZ21" s="43"/>
    </row>
    <row r="22" spans="1:85" ht="18" customHeight="1">
      <c r="A22" s="36" t="s">
        <v>189</v>
      </c>
      <c r="B22" s="404">
        <v>0.55347222222222225</v>
      </c>
      <c r="C22" s="404"/>
      <c r="D22" s="404"/>
      <c r="E22" s="404"/>
      <c r="F22" s="288" t="s">
        <v>788</v>
      </c>
      <c r="G22" s="288"/>
      <c r="H22" s="288"/>
      <c r="I22" s="288"/>
      <c r="J22" s="288"/>
      <c r="K22" s="288"/>
      <c r="L22" s="288"/>
      <c r="M22" s="288"/>
      <c r="N22" s="288"/>
      <c r="O22" s="288"/>
      <c r="P22" s="288"/>
      <c r="Q22" s="288"/>
      <c r="R22" s="288"/>
      <c r="S22" s="288"/>
      <c r="T22" s="288"/>
      <c r="U22" s="288"/>
      <c r="V22" s="288"/>
      <c r="W22" s="288"/>
      <c r="X22" s="288"/>
      <c r="Y22" s="288"/>
      <c r="Z22" s="288"/>
      <c r="AA22" s="288"/>
      <c r="AB22" s="288"/>
      <c r="AC22" s="288"/>
      <c r="AD22" s="288"/>
      <c r="AE22" s="288"/>
      <c r="AF22" s="288"/>
      <c r="AG22" s="288"/>
      <c r="AH22" s="288"/>
      <c r="AI22" s="289"/>
      <c r="AK22" s="429" t="s">
        <v>627</v>
      </c>
      <c r="AL22" s="430"/>
      <c r="AM22" s="430"/>
      <c r="AN22" s="430"/>
      <c r="AO22" s="430"/>
      <c r="AP22" s="430"/>
      <c r="AQ22" s="63"/>
      <c r="AR22" s="427"/>
      <c r="AS22" s="433" t="s">
        <v>628</v>
      </c>
      <c r="AT22" s="434"/>
      <c r="AU22" s="435"/>
      <c r="AV22" s="435"/>
      <c r="AW22" s="60" t="s">
        <v>74</v>
      </c>
      <c r="AY22" s="413" t="s">
        <v>629</v>
      </c>
      <c r="AZ22" s="413"/>
      <c r="BA22" s="412"/>
      <c r="BB22" s="412"/>
    </row>
    <row r="23" spans="1:85" ht="18" customHeight="1" thickBot="1">
      <c r="A23" s="36" t="s">
        <v>189</v>
      </c>
      <c r="B23" s="404">
        <v>0.64583333333333337</v>
      </c>
      <c r="C23" s="404"/>
      <c r="D23" s="404"/>
      <c r="E23" s="404"/>
      <c r="F23" s="288" t="s">
        <v>789</v>
      </c>
      <c r="G23" s="288"/>
      <c r="H23" s="288"/>
      <c r="I23" s="288"/>
      <c r="J23" s="288"/>
      <c r="K23" s="288"/>
      <c r="L23" s="288"/>
      <c r="M23" s="288"/>
      <c r="N23" s="288"/>
      <c r="O23" s="288"/>
      <c r="P23" s="288"/>
      <c r="Q23" s="288"/>
      <c r="R23" s="288"/>
      <c r="S23" s="288"/>
      <c r="T23" s="288"/>
      <c r="U23" s="288"/>
      <c r="V23" s="288"/>
      <c r="W23" s="288"/>
      <c r="X23" s="288"/>
      <c r="Y23" s="288"/>
      <c r="Z23" s="288"/>
      <c r="AA23" s="288"/>
      <c r="AB23" s="288"/>
      <c r="AC23" s="288"/>
      <c r="AD23" s="288"/>
      <c r="AE23" s="288"/>
      <c r="AF23" s="288"/>
      <c r="AG23" s="288"/>
      <c r="AH23" s="288"/>
      <c r="AI23" s="289"/>
      <c r="AK23" s="431" t="s">
        <v>630</v>
      </c>
      <c r="AL23" s="432"/>
      <c r="AM23" s="432"/>
      <c r="AN23" s="432"/>
      <c r="AO23" s="432"/>
      <c r="AP23" s="432"/>
      <c r="AQ23" s="64"/>
      <c r="AR23" s="428"/>
      <c r="AS23" s="536" t="s">
        <v>631</v>
      </c>
      <c r="AT23" s="246"/>
      <c r="AU23" s="537"/>
      <c r="AV23" s="537"/>
      <c r="AW23" s="56" t="s">
        <v>632</v>
      </c>
      <c r="AY23" s="413" t="s">
        <v>633</v>
      </c>
      <c r="AZ23" s="413"/>
      <c r="BA23" s="412"/>
      <c r="BB23" s="412"/>
    </row>
    <row r="24" spans="1:85" ht="18" customHeight="1" thickBot="1">
      <c r="A24" s="36" t="s">
        <v>189</v>
      </c>
      <c r="B24" s="404">
        <v>0.70833333333333337</v>
      </c>
      <c r="C24" s="404"/>
      <c r="D24" s="404"/>
      <c r="E24" s="404"/>
      <c r="F24" s="288" t="s">
        <v>713</v>
      </c>
      <c r="G24" s="288"/>
      <c r="H24" s="288"/>
      <c r="I24" s="288"/>
      <c r="J24" s="288"/>
      <c r="K24" s="288"/>
      <c r="L24" s="288"/>
      <c r="M24" s="288"/>
      <c r="N24" s="288"/>
      <c r="O24" s="288"/>
      <c r="P24" s="288"/>
      <c r="Q24" s="288"/>
      <c r="R24" s="288"/>
      <c r="S24" s="288"/>
      <c r="T24" s="288"/>
      <c r="U24" s="288"/>
      <c r="V24" s="288"/>
      <c r="W24" s="288"/>
      <c r="X24" s="288"/>
      <c r="Y24" s="288"/>
      <c r="Z24" s="288"/>
      <c r="AA24" s="288"/>
      <c r="AB24" s="288"/>
      <c r="AC24" s="288"/>
      <c r="AD24" s="288"/>
      <c r="AE24" s="288"/>
      <c r="AF24" s="288"/>
      <c r="AG24" s="288"/>
      <c r="AH24" s="288"/>
      <c r="AI24" s="289"/>
      <c r="AK24" s="527" t="s">
        <v>634</v>
      </c>
      <c r="AL24" s="528"/>
      <c r="AM24" s="528"/>
      <c r="AN24" s="528"/>
      <c r="AO24" s="528"/>
      <c r="AP24" s="528"/>
      <c r="AQ24" s="65"/>
      <c r="AR24" s="43"/>
      <c r="AY24" s="413" t="s">
        <v>635</v>
      </c>
      <c r="AZ24" s="413"/>
      <c r="BA24" s="412"/>
      <c r="BB24" s="412"/>
    </row>
    <row r="25" spans="1:85" ht="18" customHeight="1">
      <c r="A25" s="36" t="s">
        <v>189</v>
      </c>
      <c r="B25" s="404">
        <v>0.77083333333333337</v>
      </c>
      <c r="C25" s="404"/>
      <c r="D25" s="404"/>
      <c r="E25" s="404"/>
      <c r="F25" s="288" t="s">
        <v>790</v>
      </c>
      <c r="G25" s="288"/>
      <c r="H25" s="288"/>
      <c r="I25" s="288"/>
      <c r="J25" s="288"/>
      <c r="K25" s="288"/>
      <c r="L25" s="288"/>
      <c r="M25" s="288"/>
      <c r="N25" s="288"/>
      <c r="O25" s="288"/>
      <c r="P25" s="288"/>
      <c r="Q25" s="288"/>
      <c r="R25" s="288"/>
      <c r="S25" s="288"/>
      <c r="T25" s="288"/>
      <c r="U25" s="288"/>
      <c r="V25" s="288"/>
      <c r="W25" s="288"/>
      <c r="X25" s="288"/>
      <c r="Y25" s="288"/>
      <c r="Z25" s="288"/>
      <c r="AA25" s="288"/>
      <c r="AB25" s="288"/>
      <c r="AC25" s="288"/>
      <c r="AD25" s="288"/>
      <c r="AE25" s="288"/>
      <c r="AF25" s="288"/>
      <c r="AG25" s="288"/>
      <c r="AH25" s="288"/>
      <c r="AI25" s="289"/>
      <c r="AK25" s="529" t="s">
        <v>636</v>
      </c>
      <c r="AL25" s="529"/>
      <c r="AM25" s="529"/>
      <c r="AN25" s="529"/>
      <c r="AO25" s="529"/>
      <c r="AP25" s="529"/>
      <c r="AQ25" s="66"/>
      <c r="AR25" s="43"/>
      <c r="AY25" s="413" t="s">
        <v>637</v>
      </c>
      <c r="AZ25" s="413"/>
      <c r="BA25" s="412"/>
      <c r="BB25" s="412"/>
    </row>
    <row r="26" spans="1:85" ht="18" customHeight="1">
      <c r="A26" s="36" t="s">
        <v>189</v>
      </c>
      <c r="B26" s="404">
        <v>0.89861111111111114</v>
      </c>
      <c r="C26" s="404"/>
      <c r="D26" s="404"/>
      <c r="E26" s="404"/>
      <c r="F26" s="288" t="s">
        <v>783</v>
      </c>
      <c r="G26" s="288"/>
      <c r="H26" s="288"/>
      <c r="I26" s="288"/>
      <c r="J26" s="288"/>
      <c r="K26" s="288"/>
      <c r="L26" s="288"/>
      <c r="M26" s="288"/>
      <c r="N26" s="288"/>
      <c r="O26" s="288"/>
      <c r="P26" s="288"/>
      <c r="Q26" s="288"/>
      <c r="R26" s="288"/>
      <c r="S26" s="288"/>
      <c r="T26" s="288"/>
      <c r="U26" s="288"/>
      <c r="V26" s="288"/>
      <c r="W26" s="288"/>
      <c r="X26" s="288"/>
      <c r="Y26" s="288"/>
      <c r="Z26" s="288"/>
      <c r="AA26" s="288"/>
      <c r="AB26" s="288"/>
      <c r="AC26" s="288"/>
      <c r="AD26" s="288"/>
      <c r="AE26" s="288"/>
      <c r="AF26" s="288"/>
      <c r="AG26" s="288"/>
      <c r="AH26" s="288"/>
      <c r="AI26" s="289"/>
      <c r="AK26" s="436" t="s">
        <v>638</v>
      </c>
      <c r="AL26" s="436"/>
      <c r="AM26" s="436"/>
      <c r="AN26" s="436"/>
      <c r="AO26" s="436"/>
      <c r="AP26" s="436"/>
      <c r="AQ26" s="67"/>
      <c r="AR26" s="43"/>
      <c r="AS26" s="548" t="s">
        <v>639</v>
      </c>
      <c r="AT26" s="549"/>
      <c r="AU26" s="549"/>
      <c r="AV26" s="549"/>
      <c r="AW26" s="550"/>
      <c r="AY26" s="147"/>
      <c r="AZ26" s="147"/>
      <c r="BA26" s="147"/>
      <c r="BB26" s="147"/>
    </row>
    <row r="27" spans="1:85" ht="18" customHeight="1">
      <c r="A27" s="36" t="s">
        <v>189</v>
      </c>
      <c r="B27" s="404">
        <v>0.29305555555555557</v>
      </c>
      <c r="C27" s="404"/>
      <c r="D27" s="404"/>
      <c r="E27" s="404"/>
      <c r="F27" s="288" t="s">
        <v>728</v>
      </c>
      <c r="G27" s="288"/>
      <c r="H27" s="288"/>
      <c r="I27" s="288"/>
      <c r="J27" s="288"/>
      <c r="K27" s="288"/>
      <c r="L27" s="288"/>
      <c r="M27" s="288"/>
      <c r="N27" s="288"/>
      <c r="O27" s="288"/>
      <c r="P27" s="288"/>
      <c r="Q27" s="288"/>
      <c r="R27" s="288"/>
      <c r="S27" s="288"/>
      <c r="T27" s="288"/>
      <c r="U27" s="288"/>
      <c r="V27" s="288"/>
      <c r="W27" s="288"/>
      <c r="X27" s="288"/>
      <c r="Y27" s="288"/>
      <c r="Z27" s="288"/>
      <c r="AA27" s="288"/>
      <c r="AB27" s="288"/>
      <c r="AC27" s="288"/>
      <c r="AD27" s="288"/>
      <c r="AE27" s="288"/>
      <c r="AF27" s="288"/>
      <c r="AG27" s="288"/>
      <c r="AH27" s="288"/>
      <c r="AI27" s="289"/>
      <c r="AK27" s="436" t="s">
        <v>640</v>
      </c>
      <c r="AL27" s="436"/>
      <c r="AM27" s="436"/>
      <c r="AN27" s="436"/>
      <c r="AO27" s="436"/>
      <c r="AP27" s="436"/>
      <c r="AQ27" s="67"/>
      <c r="AR27" s="43"/>
      <c r="AS27" s="458" t="s">
        <v>641</v>
      </c>
      <c r="AT27" s="460"/>
      <c r="AU27" s="458" t="s">
        <v>642</v>
      </c>
      <c r="AV27" s="459"/>
      <c r="AW27" s="460"/>
      <c r="AY27" s="411" t="s">
        <v>643</v>
      </c>
      <c r="AZ27" s="411"/>
      <c r="BA27" s="411"/>
      <c r="BB27" s="411"/>
    </row>
    <row r="28" spans="1:85" ht="18" customHeight="1" thickBot="1">
      <c r="A28" s="36"/>
      <c r="B28" s="404"/>
      <c r="C28" s="404"/>
      <c r="D28" s="404"/>
      <c r="E28" s="404"/>
      <c r="F28" s="288"/>
      <c r="G28" s="288"/>
      <c r="H28" s="288"/>
      <c r="I28" s="288"/>
      <c r="J28" s="288"/>
      <c r="K28" s="288"/>
      <c r="L28" s="288"/>
      <c r="M28" s="288"/>
      <c r="N28" s="288"/>
      <c r="O28" s="288"/>
      <c r="P28" s="288"/>
      <c r="Q28" s="288"/>
      <c r="R28" s="288"/>
      <c r="S28" s="288"/>
      <c r="T28" s="288"/>
      <c r="U28" s="288"/>
      <c r="V28" s="288"/>
      <c r="W28" s="288"/>
      <c r="X28" s="288"/>
      <c r="Y28" s="288"/>
      <c r="Z28" s="288"/>
      <c r="AA28" s="288"/>
      <c r="AB28" s="288"/>
      <c r="AC28" s="288"/>
      <c r="AD28" s="288"/>
      <c r="AE28" s="288"/>
      <c r="AF28" s="288"/>
      <c r="AG28" s="288"/>
      <c r="AH28" s="288"/>
      <c r="AI28" s="289"/>
      <c r="AK28" s="436" t="s">
        <v>644</v>
      </c>
      <c r="AL28" s="436"/>
      <c r="AM28" s="436"/>
      <c r="AN28" s="436"/>
      <c r="AO28" s="436"/>
      <c r="AP28" s="436"/>
      <c r="AQ28" s="67"/>
      <c r="AR28" s="43"/>
      <c r="AS28" s="538" t="s">
        <v>645</v>
      </c>
      <c r="AT28" s="539"/>
      <c r="AU28" s="533" t="s">
        <v>646</v>
      </c>
      <c r="AV28" s="534"/>
      <c r="AW28" s="535"/>
      <c r="AY28" s="413" t="s">
        <v>647</v>
      </c>
      <c r="AZ28" s="413"/>
      <c r="BA28" s="412"/>
      <c r="BB28" s="412"/>
    </row>
    <row r="29" spans="1:85" ht="18" customHeight="1" thickBot="1">
      <c r="A29" s="36"/>
      <c r="B29" s="404"/>
      <c r="C29" s="404"/>
      <c r="D29" s="404"/>
      <c r="E29" s="404"/>
      <c r="F29" s="288"/>
      <c r="G29" s="288"/>
      <c r="H29" s="288"/>
      <c r="I29" s="288"/>
      <c r="J29" s="288"/>
      <c r="K29" s="288"/>
      <c r="L29" s="288"/>
      <c r="M29" s="288"/>
      <c r="N29" s="288"/>
      <c r="O29" s="288"/>
      <c r="P29" s="288"/>
      <c r="Q29" s="288"/>
      <c r="R29" s="288"/>
      <c r="S29" s="288"/>
      <c r="T29" s="288"/>
      <c r="U29" s="288"/>
      <c r="V29" s="288"/>
      <c r="W29" s="288"/>
      <c r="X29" s="288"/>
      <c r="Y29" s="288"/>
      <c r="Z29" s="288"/>
      <c r="AA29" s="288"/>
      <c r="AB29" s="288"/>
      <c r="AC29" s="288"/>
      <c r="AD29" s="288"/>
      <c r="AE29" s="288"/>
      <c r="AF29" s="288"/>
      <c r="AG29" s="288"/>
      <c r="AH29" s="288"/>
      <c r="AI29" s="289"/>
      <c r="AK29" s="524"/>
      <c r="AL29" s="524"/>
      <c r="AM29" s="524"/>
      <c r="AN29" s="524"/>
      <c r="AO29" s="524"/>
      <c r="AP29" s="524"/>
      <c r="AQ29" s="58"/>
      <c r="AR29" s="43"/>
      <c r="AS29" s="551">
        <v>1.0902777777777777</v>
      </c>
      <c r="AT29" s="552"/>
      <c r="AU29" s="434" t="s">
        <v>752</v>
      </c>
      <c r="AV29" s="434"/>
      <c r="AW29" s="553"/>
      <c r="AY29" s="413" t="s">
        <v>633</v>
      </c>
      <c r="AZ29" s="413"/>
      <c r="BA29" s="412"/>
      <c r="BB29" s="412"/>
    </row>
    <row r="30" spans="1:85" ht="18" customHeight="1">
      <c r="A30" s="36"/>
      <c r="B30" s="404"/>
      <c r="C30" s="404"/>
      <c r="D30" s="404"/>
      <c r="E30" s="404"/>
      <c r="F30" s="288"/>
      <c r="G30" s="288"/>
      <c r="H30" s="288"/>
      <c r="I30" s="288"/>
      <c r="J30" s="288"/>
      <c r="K30" s="288"/>
      <c r="L30" s="288"/>
      <c r="M30" s="288"/>
      <c r="N30" s="288"/>
      <c r="O30" s="288"/>
      <c r="P30" s="288"/>
      <c r="Q30" s="288"/>
      <c r="R30" s="288"/>
      <c r="S30" s="288"/>
      <c r="T30" s="288"/>
      <c r="U30" s="288"/>
      <c r="V30" s="288"/>
      <c r="W30" s="288"/>
      <c r="X30" s="288"/>
      <c r="Y30" s="288"/>
      <c r="Z30" s="288"/>
      <c r="AA30" s="288"/>
      <c r="AB30" s="288"/>
      <c r="AC30" s="288"/>
      <c r="AD30" s="288"/>
      <c r="AE30" s="288"/>
      <c r="AF30" s="288"/>
      <c r="AG30" s="288"/>
      <c r="AH30" s="288"/>
      <c r="AI30" s="289"/>
      <c r="AK30" s="449" t="s">
        <v>648</v>
      </c>
      <c r="AL30" s="450"/>
      <c r="AM30" s="450"/>
      <c r="AN30" s="450"/>
      <c r="AO30" s="450"/>
      <c r="AP30" s="450"/>
      <c r="AQ30" s="62"/>
      <c r="AR30" s="43"/>
      <c r="AS30" s="554">
        <v>1.0902777777777777</v>
      </c>
      <c r="AT30" s="532"/>
      <c r="AU30" s="439" t="s">
        <v>754</v>
      </c>
      <c r="AV30" s="439"/>
      <c r="AW30" s="555"/>
      <c r="AY30" s="413" t="s">
        <v>649</v>
      </c>
      <c r="AZ30" s="413"/>
      <c r="BA30" s="412"/>
      <c r="BB30" s="412"/>
    </row>
    <row r="31" spans="1:85" ht="18" customHeight="1" thickBot="1">
      <c r="A31" s="37"/>
      <c r="B31" s="466"/>
      <c r="C31" s="466"/>
      <c r="D31" s="466"/>
      <c r="E31" s="466"/>
      <c r="F31" s="467"/>
      <c r="G31" s="467"/>
      <c r="H31" s="467"/>
      <c r="I31" s="467"/>
      <c r="J31" s="467"/>
      <c r="K31" s="467"/>
      <c r="L31" s="467"/>
      <c r="M31" s="467"/>
      <c r="N31" s="467"/>
      <c r="O31" s="467"/>
      <c r="P31" s="467"/>
      <c r="Q31" s="467"/>
      <c r="R31" s="467"/>
      <c r="S31" s="467"/>
      <c r="T31" s="467"/>
      <c r="U31" s="467"/>
      <c r="V31" s="467"/>
      <c r="W31" s="467"/>
      <c r="X31" s="467"/>
      <c r="Y31" s="467"/>
      <c r="Z31" s="467"/>
      <c r="AA31" s="467"/>
      <c r="AB31" s="467"/>
      <c r="AC31" s="467"/>
      <c r="AD31" s="467"/>
      <c r="AE31" s="467"/>
      <c r="AF31" s="467"/>
      <c r="AG31" s="467"/>
      <c r="AH31" s="467"/>
      <c r="AI31" s="468"/>
      <c r="AK31" s="451" t="s">
        <v>650</v>
      </c>
      <c r="AL31" s="416"/>
      <c r="AM31" s="416"/>
      <c r="AN31" s="416"/>
      <c r="AO31" s="416"/>
      <c r="AP31" s="416"/>
      <c r="AQ31" s="64"/>
      <c r="AR31" s="48"/>
      <c r="AS31" s="556"/>
      <c r="AT31" s="557"/>
      <c r="AU31" s="424"/>
      <c r="AV31" s="424"/>
      <c r="AW31" s="491"/>
      <c r="AY31" s="413" t="s">
        <v>637</v>
      </c>
      <c r="AZ31" s="413"/>
      <c r="BA31" s="412"/>
      <c r="BB31" s="412"/>
    </row>
    <row r="32" spans="1:85" ht="18" customHeight="1" thickBot="1">
      <c r="A32" s="406" t="s">
        <v>651</v>
      </c>
      <c r="B32" s="407"/>
      <c r="C32" s="407"/>
      <c r="D32" s="407"/>
      <c r="E32" s="407"/>
      <c r="F32" s="407"/>
      <c r="G32" s="407"/>
      <c r="H32" s="407"/>
      <c r="I32" s="407"/>
      <c r="J32" s="407"/>
      <c r="K32" s="407"/>
      <c r="L32" s="407"/>
      <c r="M32" s="407"/>
      <c r="N32" s="407"/>
      <c r="O32" s="407"/>
      <c r="P32" s="407"/>
      <c r="Q32" s="407"/>
      <c r="R32" s="407"/>
      <c r="S32" s="407"/>
      <c r="T32" s="407"/>
      <c r="U32" s="407"/>
      <c r="V32" s="407"/>
      <c r="W32" s="407"/>
      <c r="X32" s="407"/>
      <c r="Y32" s="407"/>
      <c r="Z32" s="407"/>
      <c r="AA32" s="407"/>
      <c r="AB32" s="407"/>
      <c r="AC32" s="407"/>
      <c r="AD32" s="407"/>
      <c r="AE32" s="407"/>
      <c r="AF32" s="407"/>
      <c r="AG32" s="407"/>
      <c r="AH32" s="407"/>
      <c r="AI32" s="408"/>
      <c r="AK32" s="531"/>
      <c r="AL32" s="531"/>
      <c r="AM32" s="531"/>
      <c r="AN32" s="531"/>
      <c r="AO32" s="531"/>
      <c r="AP32" s="531"/>
      <c r="AQ32" s="61"/>
      <c r="AR32" s="48"/>
      <c r="AS32" s="558"/>
      <c r="AT32" s="558"/>
      <c r="AU32" s="559"/>
      <c r="AV32" s="559"/>
      <c r="AW32" s="559"/>
      <c r="AY32" s="413" t="s">
        <v>652</v>
      </c>
      <c r="AZ32" s="413"/>
      <c r="BA32" s="412"/>
      <c r="BB32" s="412"/>
    </row>
    <row r="33" spans="1:80" ht="18" customHeight="1">
      <c r="A33" s="39"/>
      <c r="B33" s="546" t="s">
        <v>653</v>
      </c>
      <c r="C33" s="546"/>
      <c r="D33" s="546"/>
      <c r="E33" s="546"/>
      <c r="F33" s="417" t="str" cm="1">
        <f t="array" ref="F33">_xlfn.TEXTJOIN("/",TRUE,IF(AS29:AS31&lt;&gt;"",TEXT(AS29:AS31,"h:mm")&amp;" "&amp;AU29:AU31,""))</f>
        <v>2:10 45階ルーフトップテラス１/2:10 45階ルーフトップテラス２</v>
      </c>
      <c r="G33" s="418"/>
      <c r="H33" s="418"/>
      <c r="I33" s="418"/>
      <c r="J33" s="418"/>
      <c r="K33" s="418"/>
      <c r="L33" s="418"/>
      <c r="M33" s="418"/>
      <c r="N33" s="418"/>
      <c r="O33" s="418"/>
      <c r="P33" s="418"/>
      <c r="Q33" s="418"/>
      <c r="R33" s="418"/>
      <c r="S33" s="418"/>
      <c r="T33" s="418"/>
      <c r="U33" s="418"/>
      <c r="V33" s="418"/>
      <c r="W33" s="418"/>
      <c r="X33" s="418"/>
      <c r="Y33" s="418"/>
      <c r="Z33" s="418"/>
      <c r="AA33" s="418"/>
      <c r="AB33" s="418"/>
      <c r="AC33" s="418"/>
      <c r="AD33" s="418"/>
      <c r="AE33" s="418"/>
      <c r="AF33" s="418"/>
      <c r="AG33" s="418"/>
      <c r="AH33" s="418"/>
      <c r="AI33" s="419"/>
      <c r="AK33" s="449" t="s">
        <v>654</v>
      </c>
      <c r="AL33" s="450"/>
      <c r="AM33" s="450"/>
      <c r="AN33" s="450"/>
      <c r="AO33" s="450"/>
      <c r="AP33" s="450"/>
      <c r="AQ33" s="60"/>
      <c r="AR33" s="48"/>
      <c r="AS33" s="532"/>
      <c r="AT33" s="532"/>
      <c r="AU33" s="439"/>
      <c r="AV33" s="439"/>
      <c r="AW33" s="439"/>
      <c r="AY33" s="413" t="s">
        <v>655</v>
      </c>
      <c r="AZ33" s="413"/>
      <c r="BA33" s="412"/>
      <c r="BB33" s="412"/>
    </row>
    <row r="34" spans="1:80" ht="18" customHeight="1" thickBot="1">
      <c r="A34" s="39"/>
      <c r="B34" s="546" t="s">
        <v>656</v>
      </c>
      <c r="C34" s="546"/>
      <c r="D34" s="546"/>
      <c r="E34" s="546"/>
      <c r="F34" s="420" t="s">
        <v>79</v>
      </c>
      <c r="G34" s="420"/>
      <c r="H34" s="420"/>
      <c r="I34" s="420"/>
      <c r="J34" s="420"/>
      <c r="K34" s="420"/>
      <c r="L34" s="420"/>
      <c r="M34" s="420"/>
      <c r="N34" s="420"/>
      <c r="O34" s="420"/>
      <c r="P34" s="420"/>
      <c r="Q34" s="420"/>
      <c r="R34" s="420"/>
      <c r="S34" s="420"/>
      <c r="T34" s="420"/>
      <c r="U34" s="420"/>
      <c r="V34" s="420"/>
      <c r="W34" s="420"/>
      <c r="X34" s="420"/>
      <c r="Y34" s="420"/>
      <c r="Z34" s="420"/>
      <c r="AA34" s="420"/>
      <c r="AB34" s="420"/>
      <c r="AC34" s="421"/>
      <c r="AD34" s="421"/>
      <c r="AE34" s="421"/>
      <c r="AF34" s="421"/>
      <c r="AG34" s="421"/>
      <c r="AH34" s="421"/>
      <c r="AI34" s="422"/>
      <c r="AK34" s="451" t="s">
        <v>657</v>
      </c>
      <c r="AL34" s="416"/>
      <c r="AM34" s="416"/>
      <c r="AN34" s="416"/>
      <c r="AO34" s="416"/>
      <c r="AP34" s="416"/>
      <c r="AQ34" s="56"/>
      <c r="AR34" s="48"/>
      <c r="AS34" s="532"/>
      <c r="AT34" s="532"/>
      <c r="AU34" s="439"/>
      <c r="AV34" s="439"/>
      <c r="AW34" s="439"/>
      <c r="AY34" s="413" t="s">
        <v>658</v>
      </c>
      <c r="AZ34" s="413"/>
      <c r="BA34" s="412"/>
      <c r="BB34" s="412"/>
    </row>
    <row r="35" spans="1:80" ht="18" customHeight="1" thickBot="1">
      <c r="A35" s="57"/>
      <c r="B35" s="547" t="s">
        <v>659</v>
      </c>
      <c r="C35" s="547"/>
      <c r="D35" s="547"/>
      <c r="E35" s="547"/>
      <c r="F35" s="389" t="s">
        <v>660</v>
      </c>
      <c r="G35" s="389"/>
      <c r="H35" s="389"/>
      <c r="I35" s="389"/>
      <c r="J35" s="389"/>
      <c r="K35" s="389"/>
      <c r="L35" s="389"/>
      <c r="M35" s="389"/>
      <c r="N35" s="389"/>
      <c r="O35" s="389"/>
      <c r="P35" s="389"/>
      <c r="Q35" s="389"/>
      <c r="R35" s="389"/>
      <c r="S35" s="389"/>
      <c r="T35" s="389"/>
      <c r="U35" s="389"/>
      <c r="V35" s="389"/>
      <c r="W35" s="390" t="s">
        <v>661</v>
      </c>
      <c r="X35" s="391"/>
      <c r="Y35" s="391"/>
      <c r="Z35" s="391"/>
      <c r="AA35" s="391"/>
      <c r="AB35" s="391"/>
      <c r="AC35" s="392" t="s">
        <v>662</v>
      </c>
      <c r="AD35" s="393"/>
      <c r="AE35" s="393"/>
      <c r="AF35" s="393"/>
      <c r="AG35" s="393"/>
      <c r="AH35" s="393"/>
      <c r="AI35" s="394"/>
      <c r="AK35" s="531"/>
      <c r="AL35" s="531"/>
      <c r="AM35" s="531"/>
      <c r="AN35" s="531"/>
      <c r="AO35" s="531"/>
      <c r="AP35" s="531"/>
      <c r="AQ35" s="61"/>
      <c r="AR35" s="48"/>
      <c r="AS35" s="532"/>
      <c r="AT35" s="532"/>
      <c r="AU35" s="439"/>
      <c r="AV35" s="439"/>
      <c r="AW35" s="439"/>
      <c r="AY35" s="413" t="s">
        <v>663</v>
      </c>
      <c r="AZ35" s="413"/>
      <c r="BA35" s="412"/>
      <c r="BB35" s="412"/>
    </row>
    <row r="36" spans="1:80" ht="18" customHeight="1" thickBot="1">
      <c r="A36" s="492" t="s">
        <v>664</v>
      </c>
      <c r="B36" s="493"/>
      <c r="C36" s="493"/>
      <c r="D36" s="493"/>
      <c r="E36" s="493"/>
      <c r="F36" s="498">
        <v>4.1666666666666664E-2</v>
      </c>
      <c r="G36" s="439"/>
      <c r="H36" s="439"/>
      <c r="I36" s="439"/>
      <c r="J36" s="439"/>
      <c r="K36" s="439"/>
      <c r="L36" s="499" t="s">
        <v>665</v>
      </c>
      <c r="M36" s="489"/>
      <c r="N36" s="489"/>
      <c r="O36" s="500"/>
      <c r="P36" s="410" t="s">
        <v>62</v>
      </c>
      <c r="Q36" s="410"/>
      <c r="R36" s="410"/>
      <c r="S36" s="55" t="s">
        <v>666</v>
      </c>
      <c r="T36" s="410" t="s">
        <v>72</v>
      </c>
      <c r="U36" s="410"/>
      <c r="V36" s="530"/>
      <c r="W36" s="489" t="s">
        <v>667</v>
      </c>
      <c r="X36" s="489"/>
      <c r="Y36" s="489"/>
      <c r="Z36" s="489"/>
      <c r="AA36" s="489"/>
      <c r="AB36" s="489"/>
      <c r="AC36" s="490" t="s">
        <v>722</v>
      </c>
      <c r="AD36" s="487"/>
      <c r="AE36" s="487"/>
      <c r="AF36" s="487"/>
      <c r="AG36" s="487"/>
      <c r="AH36" s="487"/>
      <c r="AI36" s="488"/>
      <c r="AK36" s="525" t="s">
        <v>668</v>
      </c>
      <c r="AL36" s="526"/>
      <c r="AM36" s="526"/>
      <c r="AN36" s="526"/>
      <c r="AO36" s="526"/>
      <c r="AP36" s="526"/>
      <c r="AQ36" s="117"/>
      <c r="AR36" s="48"/>
      <c r="AS36" s="532"/>
      <c r="AT36" s="532"/>
      <c r="AU36" s="439"/>
      <c r="AV36" s="439"/>
      <c r="AW36" s="439"/>
      <c r="BH36" s="50"/>
      <c r="BI36" s="51"/>
    </row>
    <row r="37" spans="1:80" ht="18" customHeight="1" thickBot="1">
      <c r="A37" s="494" t="s">
        <v>669</v>
      </c>
      <c r="B37" s="495"/>
      <c r="C37" s="495"/>
      <c r="D37" s="495"/>
      <c r="E37" s="495"/>
      <c r="F37" s="487"/>
      <c r="G37" s="487"/>
      <c r="H37" s="487"/>
      <c r="I37" s="487"/>
      <c r="J37" s="487"/>
      <c r="K37" s="487"/>
      <c r="L37" s="487"/>
      <c r="M37" s="487"/>
      <c r="N37" s="487"/>
      <c r="O37" s="487"/>
      <c r="P37" s="487"/>
      <c r="Q37" s="487"/>
      <c r="R37" s="487"/>
      <c r="S37" s="487"/>
      <c r="T37" s="487"/>
      <c r="U37" s="487"/>
      <c r="V37" s="487"/>
      <c r="W37" s="487"/>
      <c r="X37" s="487"/>
      <c r="Y37" s="487"/>
      <c r="Z37" s="487"/>
      <c r="AA37" s="487"/>
      <c r="AB37" s="487"/>
      <c r="AC37" s="487"/>
      <c r="AD37" s="487"/>
      <c r="AE37" s="487"/>
      <c r="AF37" s="487"/>
      <c r="AG37" s="487"/>
      <c r="AH37" s="487"/>
      <c r="AI37" s="488"/>
      <c r="AK37" s="544" t="s">
        <v>240</v>
      </c>
      <c r="AL37" s="545"/>
      <c r="AM37" s="545"/>
      <c r="AN37" s="545"/>
      <c r="AO37" s="545"/>
      <c r="AP37" s="545"/>
      <c r="AQ37" s="122"/>
      <c r="AR37" s="48"/>
      <c r="AS37" s="532"/>
      <c r="AT37" s="532"/>
      <c r="AU37" s="439"/>
      <c r="AV37" s="439"/>
      <c r="AW37" s="439"/>
      <c r="BH37" s="50"/>
      <c r="BI37" s="51"/>
    </row>
    <row r="38" spans="1:80" ht="18" customHeight="1" thickBot="1">
      <c r="A38" s="496" t="s">
        <v>670</v>
      </c>
      <c r="B38" s="497"/>
      <c r="C38" s="497"/>
      <c r="D38" s="497"/>
      <c r="E38" s="497"/>
      <c r="F38" s="416" t="s">
        <v>667</v>
      </c>
      <c r="G38" s="416"/>
      <c r="H38" s="416"/>
      <c r="I38" s="416"/>
      <c r="J38" s="416"/>
      <c r="K38" s="416"/>
      <c r="L38" s="424" t="s">
        <v>722</v>
      </c>
      <c r="M38" s="424"/>
      <c r="N38" s="424"/>
      <c r="O38" s="424"/>
      <c r="P38" s="416" t="s">
        <v>671</v>
      </c>
      <c r="Q38" s="416"/>
      <c r="R38" s="416"/>
      <c r="S38" s="416"/>
      <c r="T38" s="416"/>
      <c r="U38" s="416"/>
      <c r="V38" s="416"/>
      <c r="W38" s="416" t="s">
        <v>667</v>
      </c>
      <c r="X38" s="416"/>
      <c r="Y38" s="416"/>
      <c r="Z38" s="416"/>
      <c r="AA38" s="416"/>
      <c r="AB38" s="416"/>
      <c r="AC38" s="424" t="s">
        <v>722</v>
      </c>
      <c r="AD38" s="424"/>
      <c r="AE38" s="424"/>
      <c r="AF38" s="424"/>
      <c r="AG38" s="424"/>
      <c r="AH38" s="424"/>
      <c r="AI38" s="491"/>
      <c r="AK38" s="543"/>
      <c r="AL38" s="543"/>
      <c r="AM38" s="543"/>
      <c r="AN38" s="543"/>
      <c r="AO38" s="543"/>
      <c r="AP38" s="543"/>
      <c r="AQ38" s="59"/>
      <c r="AR38" s="48"/>
      <c r="BC38" s="50"/>
      <c r="BD38" s="51"/>
    </row>
    <row r="39" spans="1:80" ht="18" customHeight="1">
      <c r="A39" s="452" t="s">
        <v>672</v>
      </c>
      <c r="B39" s="453"/>
      <c r="C39" s="453"/>
      <c r="D39" s="453"/>
      <c r="E39" s="453"/>
      <c r="F39" s="453"/>
      <c r="G39" s="453"/>
      <c r="H39" s="453"/>
      <c r="I39" s="453"/>
      <c r="J39" s="453"/>
      <c r="K39" s="453"/>
      <c r="L39" s="453"/>
      <c r="M39" s="453"/>
      <c r="N39" s="453"/>
      <c r="O39" s="453"/>
      <c r="P39" s="453"/>
      <c r="Q39" s="453"/>
      <c r="R39" s="453"/>
      <c r="S39" s="453"/>
      <c r="T39" s="453"/>
      <c r="U39" s="453"/>
      <c r="V39" s="453"/>
      <c r="W39" s="453"/>
      <c r="X39" s="453"/>
      <c r="Y39" s="453"/>
      <c r="Z39" s="453"/>
      <c r="AA39" s="453"/>
      <c r="AB39" s="453"/>
      <c r="AC39" s="453"/>
      <c r="AD39" s="453"/>
      <c r="AE39" s="453"/>
      <c r="AF39" s="453"/>
      <c r="AG39" s="453"/>
      <c r="AH39" s="453"/>
      <c r="AI39" s="454"/>
      <c r="AK39" s="444" t="s">
        <v>673</v>
      </c>
      <c r="AL39" s="444"/>
      <c r="AM39" s="444"/>
      <c r="AN39" s="444"/>
      <c r="AO39" s="444"/>
      <c r="AP39" s="444"/>
      <c r="AQ39" s="42"/>
      <c r="AR39" s="48"/>
      <c r="AS39" s="423" t="s">
        <v>526</v>
      </c>
      <c r="AT39" s="423"/>
      <c r="AU39" s="148">
        <v>18</v>
      </c>
      <c r="AV39" s="423" t="s">
        <v>528</v>
      </c>
      <c r="AW39" s="423"/>
      <c r="BC39" s="50"/>
      <c r="BD39" s="51"/>
    </row>
    <row r="40" spans="1:80" ht="18" customHeight="1">
      <c r="A40" s="464" t="s">
        <v>674</v>
      </c>
      <c r="B40" s="459"/>
      <c r="C40" s="459"/>
      <c r="D40" s="459"/>
      <c r="E40" s="470" t="s">
        <v>675</v>
      </c>
      <c r="F40" s="471"/>
      <c r="G40" s="471"/>
      <c r="H40" s="471"/>
      <c r="I40" s="471"/>
      <c r="J40" s="471"/>
      <c r="K40" s="472"/>
      <c r="L40" s="458" t="s">
        <v>676</v>
      </c>
      <c r="M40" s="459"/>
      <c r="N40" s="459"/>
      <c r="O40" s="459"/>
      <c r="P40" s="459"/>
      <c r="Q40" s="459"/>
      <c r="R40" s="460"/>
      <c r="S40" s="458" t="s">
        <v>677</v>
      </c>
      <c r="T40" s="459"/>
      <c r="U40" s="459"/>
      <c r="V40" s="459"/>
      <c r="W40" s="470" t="s">
        <v>675</v>
      </c>
      <c r="X40" s="471"/>
      <c r="Y40" s="471"/>
      <c r="Z40" s="471"/>
      <c r="AA40" s="471"/>
      <c r="AB40" s="471"/>
      <c r="AC40" s="472"/>
      <c r="AD40" s="458" t="s">
        <v>678</v>
      </c>
      <c r="AE40" s="459"/>
      <c r="AF40" s="459"/>
      <c r="AG40" s="459"/>
      <c r="AH40" s="459"/>
      <c r="AI40" s="463"/>
      <c r="AK40" s="444" t="s">
        <v>679</v>
      </c>
      <c r="AL40" s="444"/>
      <c r="AM40" s="444"/>
      <c r="AN40" s="444"/>
      <c r="AO40" s="444"/>
      <c r="AP40" s="444"/>
      <c r="AQ40" s="42"/>
      <c r="AR40" s="48"/>
      <c r="AS40" s="423" t="s">
        <v>527</v>
      </c>
      <c r="AT40" s="423"/>
      <c r="AU40" s="148">
        <v>27</v>
      </c>
      <c r="AV40" s="560">
        <v>0.57140000000000002</v>
      </c>
      <c r="AW40" s="560"/>
      <c r="BC40" s="50"/>
      <c r="BD40" s="51"/>
    </row>
    <row r="41" spans="1:80" ht="18" customHeight="1">
      <c r="A41" s="464" t="s">
        <v>16</v>
      </c>
      <c r="B41" s="459"/>
      <c r="C41" s="459"/>
      <c r="D41" s="459"/>
      <c r="E41" s="469">
        <f>AX10</f>
        <v>0.33333333333333331</v>
      </c>
      <c r="F41" s="456"/>
      <c r="G41" s="456"/>
      <c r="H41" s="144" t="s">
        <v>680</v>
      </c>
      <c r="I41" s="456">
        <f>AY10</f>
        <v>0.83333333333333337</v>
      </c>
      <c r="J41" s="456"/>
      <c r="K41" s="457"/>
      <c r="L41" s="458" t="str">
        <f>AU10</f>
        <v>三角龍彦</v>
      </c>
      <c r="M41" s="459"/>
      <c r="N41" s="459"/>
      <c r="O41" s="459"/>
      <c r="P41" s="459"/>
      <c r="Q41" s="459"/>
      <c r="R41" s="460"/>
      <c r="S41" s="409"/>
      <c r="T41" s="410"/>
      <c r="U41" s="410"/>
      <c r="V41" s="410"/>
      <c r="W41" s="414"/>
      <c r="X41" s="415"/>
      <c r="Y41" s="415"/>
      <c r="Z41" s="40"/>
      <c r="AA41" s="415"/>
      <c r="AB41" s="415"/>
      <c r="AC41" s="461"/>
      <c r="AD41" s="409">
        <f>AU14</f>
        <v>0</v>
      </c>
      <c r="AE41" s="410"/>
      <c r="AF41" s="410"/>
      <c r="AG41" s="410"/>
      <c r="AH41" s="410"/>
      <c r="AI41" s="462"/>
      <c r="AK41" s="444" t="s">
        <v>681</v>
      </c>
      <c r="AL41" s="444"/>
      <c r="AM41" s="444"/>
      <c r="AN41" s="444"/>
      <c r="AO41" s="444"/>
      <c r="AP41" s="444"/>
      <c r="AQ41" s="42"/>
      <c r="AR41" s="48"/>
      <c r="BC41" s="50"/>
      <c r="BD41" s="51"/>
    </row>
    <row r="42" spans="1:80" ht="18" customHeight="1">
      <c r="A42" s="464" t="s">
        <v>24</v>
      </c>
      <c r="B42" s="459"/>
      <c r="C42" s="459"/>
      <c r="D42" s="459"/>
      <c r="E42" s="469">
        <f>AX13</f>
        <v>0.33333333333333331</v>
      </c>
      <c r="F42" s="456"/>
      <c r="G42" s="456"/>
      <c r="H42" s="144" t="s">
        <v>680</v>
      </c>
      <c r="I42" s="456">
        <f>AY12</f>
        <v>0.83333333333333337</v>
      </c>
      <c r="J42" s="456"/>
      <c r="K42" s="457"/>
      <c r="L42" s="458" t="str">
        <f>AU13</f>
        <v>松葉眞</v>
      </c>
      <c r="M42" s="459"/>
      <c r="N42" s="459"/>
      <c r="O42" s="459"/>
      <c r="P42" s="459"/>
      <c r="Q42" s="459"/>
      <c r="R42" s="460"/>
      <c r="S42" s="409"/>
      <c r="T42" s="410"/>
      <c r="U42" s="410"/>
      <c r="V42" s="410"/>
      <c r="W42" s="414"/>
      <c r="X42" s="415"/>
      <c r="Y42" s="415"/>
      <c r="Z42" s="136"/>
      <c r="AA42" s="415"/>
      <c r="AB42" s="415"/>
      <c r="AC42" s="461"/>
      <c r="AD42" s="409">
        <f>AU15</f>
        <v>0</v>
      </c>
      <c r="AE42" s="410"/>
      <c r="AF42" s="410"/>
      <c r="AG42" s="410"/>
      <c r="AH42" s="410"/>
      <c r="AI42" s="462"/>
      <c r="AK42" s="445" t="s">
        <v>682</v>
      </c>
      <c r="AL42" s="445"/>
      <c r="AM42" s="445"/>
      <c r="AN42" s="445"/>
      <c r="AO42" s="445"/>
      <c r="AP42" s="445"/>
      <c r="AQ42" s="42"/>
      <c r="AR42" s="48"/>
      <c r="AS42" s="561" t="s">
        <v>683</v>
      </c>
      <c r="AT42" s="561"/>
      <c r="AU42" s="561"/>
      <c r="AV42" s="561"/>
      <c r="AW42" s="561"/>
      <c r="BC42" s="50"/>
      <c r="BD42" s="51"/>
    </row>
    <row r="43" spans="1:80" ht="18" customHeight="1">
      <c r="A43" s="464" t="s">
        <v>38</v>
      </c>
      <c r="B43" s="459"/>
      <c r="C43" s="459"/>
      <c r="D43" s="459"/>
      <c r="E43" s="469">
        <f>AX16</f>
        <v>0.83333333333333337</v>
      </c>
      <c r="F43" s="456"/>
      <c r="G43" s="456"/>
      <c r="H43" s="144" t="s">
        <v>680</v>
      </c>
      <c r="I43" s="456" t="str">
        <f>AY16</f>
        <v>翌8:00</v>
      </c>
      <c r="J43" s="456"/>
      <c r="K43" s="457"/>
      <c r="L43" s="458" t="str">
        <f>AU16</f>
        <v>片山薫</v>
      </c>
      <c r="M43" s="459"/>
      <c r="N43" s="459"/>
      <c r="O43" s="459"/>
      <c r="P43" s="459"/>
      <c r="Q43" s="459"/>
      <c r="R43" s="460"/>
      <c r="S43" s="409"/>
      <c r="T43" s="410"/>
      <c r="U43" s="410"/>
      <c r="V43" s="410"/>
      <c r="W43" s="414"/>
      <c r="X43" s="415"/>
      <c r="Y43" s="415"/>
      <c r="Z43" s="136"/>
      <c r="AA43" s="415"/>
      <c r="AB43" s="415"/>
      <c r="AC43" s="461"/>
      <c r="AD43" s="486">
        <f>AU18</f>
        <v>0</v>
      </c>
      <c r="AE43" s="410"/>
      <c r="AF43" s="410"/>
      <c r="AG43" s="410"/>
      <c r="AH43" s="410"/>
      <c r="AI43" s="462"/>
      <c r="AK43" s="444" t="s">
        <v>684</v>
      </c>
      <c r="AL43" s="444"/>
      <c r="AM43" s="444"/>
      <c r="AN43" s="444"/>
      <c r="AO43" s="444"/>
      <c r="AP43" s="444"/>
      <c r="AQ43" s="42"/>
      <c r="AR43" s="43"/>
      <c r="AW43"/>
      <c r="AX43"/>
      <c r="AY43"/>
      <c r="AZ43"/>
      <c r="BA43"/>
      <c r="BB43"/>
      <c r="BC43" s="50"/>
      <c r="BD43" s="51"/>
      <c r="BE43"/>
      <c r="BF43"/>
      <c r="BG43"/>
      <c r="BH43"/>
      <c r="BI43"/>
      <c r="BJ43"/>
      <c r="BK43"/>
      <c r="BL43"/>
      <c r="BM43"/>
      <c r="BN43"/>
      <c r="BO43"/>
      <c r="BP43"/>
      <c r="BQ43"/>
      <c r="BR43"/>
      <c r="BS43"/>
      <c r="BT43"/>
      <c r="BU43"/>
      <c r="BV43"/>
      <c r="BW43"/>
      <c r="BX43"/>
      <c r="BY43"/>
      <c r="BZ43"/>
      <c r="CA43"/>
      <c r="CB43"/>
    </row>
    <row r="44" spans="1:80" ht="18" customHeight="1" thickBot="1">
      <c r="A44" s="473" t="s">
        <v>45</v>
      </c>
      <c r="B44" s="474"/>
      <c r="C44" s="474"/>
      <c r="D44" s="474"/>
      <c r="E44" s="475">
        <f>AX17</f>
        <v>0.83333333333333337</v>
      </c>
      <c r="F44" s="476"/>
      <c r="G44" s="476"/>
      <c r="H44" s="145" t="s">
        <v>680</v>
      </c>
      <c r="I44" s="476" t="str">
        <f>AY17</f>
        <v>翌8:00</v>
      </c>
      <c r="J44" s="476"/>
      <c r="K44" s="477"/>
      <c r="L44" s="478" t="str">
        <f>AU17</f>
        <v>二野宮慧太</v>
      </c>
      <c r="M44" s="478"/>
      <c r="N44" s="478"/>
      <c r="O44" s="478"/>
      <c r="P44" s="478"/>
      <c r="Q44" s="478"/>
      <c r="R44" s="478"/>
      <c r="S44" s="479"/>
      <c r="T44" s="480"/>
      <c r="U44" s="480"/>
      <c r="V44" s="480"/>
      <c r="W44" s="481"/>
      <c r="X44" s="482"/>
      <c r="Y44" s="482"/>
      <c r="Z44" s="137"/>
      <c r="AA44" s="482"/>
      <c r="AB44" s="482"/>
      <c r="AC44" s="483"/>
      <c r="AD44" s="484">
        <f>AU19</f>
        <v>0</v>
      </c>
      <c r="AE44" s="480"/>
      <c r="AF44" s="480"/>
      <c r="AG44" s="480"/>
      <c r="AH44" s="480"/>
      <c r="AI44" s="485"/>
      <c r="AK44" s="446" t="s">
        <v>685</v>
      </c>
      <c r="AL44" s="446"/>
      <c r="AM44" s="446"/>
      <c r="AN44" s="446"/>
      <c r="AO44" s="446"/>
      <c r="AP44" s="446"/>
      <c r="AQ44" s="42"/>
      <c r="AR44" s="43"/>
      <c r="BC44" s="50"/>
      <c r="BD44" s="51"/>
    </row>
    <row r="45" spans="1:80" ht="18" customHeight="1" thickBot="1">
      <c r="A45" s="27"/>
      <c r="B45" s="27"/>
      <c r="C45" s="27"/>
      <c r="D45" s="27"/>
      <c r="E45" s="27"/>
      <c r="F45" s="27"/>
      <c r="G45" s="27"/>
      <c r="H45" s="27"/>
      <c r="I45" s="27"/>
      <c r="R45" s="307">
        <f>A7</f>
        <v>46181</v>
      </c>
      <c r="S45" s="308"/>
      <c r="T45" s="308"/>
      <c r="U45" s="308"/>
      <c r="V45" s="23" t="s">
        <v>169</v>
      </c>
      <c r="W45" s="309">
        <f>G7</f>
        <v>46181</v>
      </c>
      <c r="X45" s="308"/>
      <c r="Y45" s="23" t="s">
        <v>170</v>
      </c>
      <c r="Z45" s="310">
        <f>K7</f>
        <v>46181</v>
      </c>
      <c r="AA45" s="308"/>
      <c r="AB45" s="23" t="s">
        <v>3</v>
      </c>
      <c r="AC45" s="455">
        <f>O7</f>
        <v>46181</v>
      </c>
      <c r="AD45" s="308"/>
      <c r="AE45" s="308" t="s">
        <v>292</v>
      </c>
      <c r="AF45" s="308"/>
      <c r="AK45" s="425" t="s">
        <v>686</v>
      </c>
      <c r="AL45" s="425"/>
      <c r="AM45" s="425"/>
      <c r="AN45" s="425"/>
      <c r="AO45" s="425"/>
      <c r="AP45" s="425"/>
      <c r="AQ45" s="42"/>
      <c r="AR45" s="43"/>
      <c r="BC45" s="50"/>
      <c r="BD45" s="51"/>
    </row>
    <row r="46" spans="1:80" customFormat="1" ht="18" customHeight="1">
      <c r="A46" s="452" t="s">
        <v>598</v>
      </c>
      <c r="B46" s="453"/>
      <c r="C46" s="453"/>
      <c r="D46" s="453"/>
      <c r="E46" s="453"/>
      <c r="F46" s="453"/>
      <c r="G46" s="453"/>
      <c r="H46" s="453"/>
      <c r="I46" s="453"/>
      <c r="J46" s="453"/>
      <c r="K46" s="453"/>
      <c r="L46" s="453"/>
      <c r="M46" s="453"/>
      <c r="N46" s="453"/>
      <c r="O46" s="453"/>
      <c r="P46" s="453"/>
      <c r="Q46" s="453"/>
      <c r="R46" s="453"/>
      <c r="S46" s="453"/>
      <c r="T46" s="453"/>
      <c r="U46" s="453"/>
      <c r="V46" s="453"/>
      <c r="W46" s="453"/>
      <c r="X46" s="453"/>
      <c r="Y46" s="453"/>
      <c r="Z46" s="453"/>
      <c r="AA46" s="453"/>
      <c r="AB46" s="453"/>
      <c r="AC46" s="453"/>
      <c r="AD46" s="453"/>
      <c r="AE46" s="453"/>
      <c r="AF46" s="453"/>
      <c r="AG46" s="453"/>
      <c r="AH46" s="453"/>
      <c r="AI46" s="454"/>
      <c r="AK46" s="425" t="s">
        <v>687</v>
      </c>
      <c r="AL46" s="425"/>
      <c r="AM46" s="425"/>
      <c r="AN46" s="425"/>
      <c r="AO46" s="425"/>
      <c r="AP46" s="425"/>
      <c r="AQ46" s="42"/>
      <c r="AR46" s="43"/>
      <c r="AW46" s="23"/>
      <c r="AX46" s="23"/>
      <c r="AY46" s="23"/>
      <c r="AZ46" s="23"/>
      <c r="BA46" s="23"/>
      <c r="BB46" s="23"/>
      <c r="BC46" s="50"/>
      <c r="BD46" s="51"/>
      <c r="BE46" s="23"/>
      <c r="BF46" s="23"/>
      <c r="BG46" s="23"/>
      <c r="BH46" s="23"/>
      <c r="BI46" s="23"/>
      <c r="BJ46" s="23"/>
      <c r="BK46" s="23"/>
      <c r="BL46" s="23"/>
      <c r="BM46" s="23"/>
      <c r="BN46" s="23"/>
      <c r="BO46" s="23"/>
      <c r="BP46" s="23"/>
      <c r="BQ46" s="23"/>
      <c r="BR46" s="23"/>
      <c r="BS46" s="23"/>
      <c r="BT46" s="23"/>
      <c r="BU46" s="23"/>
      <c r="BV46" s="23"/>
      <c r="BW46" s="23"/>
      <c r="BX46" s="23"/>
      <c r="BY46" s="23"/>
      <c r="BZ46" s="23"/>
      <c r="CA46" s="23"/>
      <c r="CB46" s="23"/>
    </row>
    <row r="47" spans="1:80" ht="18" customHeight="1">
      <c r="A47" s="36"/>
      <c r="B47" s="404"/>
      <c r="C47" s="404"/>
      <c r="D47" s="404"/>
      <c r="E47" s="404"/>
      <c r="F47" s="288"/>
      <c r="G47" s="288"/>
      <c r="H47" s="288"/>
      <c r="I47" s="288"/>
      <c r="J47" s="288"/>
      <c r="K47" s="288"/>
      <c r="L47" s="288"/>
      <c r="M47" s="288"/>
      <c r="N47" s="288"/>
      <c r="O47" s="288"/>
      <c r="P47" s="288"/>
      <c r="Q47" s="288"/>
      <c r="R47" s="288"/>
      <c r="S47" s="288"/>
      <c r="T47" s="288"/>
      <c r="U47" s="288"/>
      <c r="V47" s="288"/>
      <c r="W47" s="288"/>
      <c r="X47" s="288"/>
      <c r="Y47" s="288"/>
      <c r="Z47" s="288"/>
      <c r="AA47" s="288"/>
      <c r="AB47" s="288"/>
      <c r="AC47" s="288"/>
      <c r="AD47" s="288"/>
      <c r="AE47" s="288"/>
      <c r="AF47" s="288"/>
      <c r="AG47" s="288"/>
      <c r="AH47" s="288"/>
      <c r="AI47" s="289"/>
      <c r="AK47" s="425" t="s">
        <v>688</v>
      </c>
      <c r="AL47" s="425"/>
      <c r="AM47" s="425"/>
      <c r="AN47" s="425"/>
      <c r="AO47" s="425"/>
      <c r="AP47" s="425"/>
      <c r="AQ47" s="42"/>
      <c r="AR47" s="43"/>
      <c r="AS47" s="120" t="s">
        <v>189</v>
      </c>
      <c r="AT47" s="43" t="s">
        <v>728</v>
      </c>
      <c r="AU47" s="43"/>
      <c r="BC47" s="50"/>
      <c r="BD47" s="51"/>
    </row>
    <row r="48" spans="1:80" ht="18" customHeight="1">
      <c r="A48" s="36"/>
      <c r="B48" s="404"/>
      <c r="C48" s="404"/>
      <c r="D48" s="404"/>
      <c r="E48" s="404"/>
      <c r="F48" s="288"/>
      <c r="G48" s="288"/>
      <c r="H48" s="288"/>
      <c r="I48" s="288"/>
      <c r="J48" s="288"/>
      <c r="K48" s="288"/>
      <c r="L48" s="288"/>
      <c r="M48" s="288"/>
      <c r="N48" s="288"/>
      <c r="O48" s="288"/>
      <c r="P48" s="288"/>
      <c r="Q48" s="288"/>
      <c r="R48" s="288"/>
      <c r="S48" s="288"/>
      <c r="T48" s="288"/>
      <c r="U48" s="288"/>
      <c r="V48" s="288"/>
      <c r="W48" s="288"/>
      <c r="X48" s="288"/>
      <c r="Y48" s="288"/>
      <c r="Z48" s="288"/>
      <c r="AA48" s="288"/>
      <c r="AB48" s="288"/>
      <c r="AC48" s="288"/>
      <c r="AD48" s="288"/>
      <c r="AE48" s="288"/>
      <c r="AF48" s="288"/>
      <c r="AG48" s="288"/>
      <c r="AH48" s="288"/>
      <c r="AI48" s="289"/>
      <c r="AK48" s="425" t="s">
        <v>690</v>
      </c>
      <c r="AL48" s="425"/>
      <c r="AM48" s="425"/>
      <c r="AN48" s="425"/>
      <c r="AO48" s="425"/>
      <c r="AP48" s="425"/>
      <c r="AQ48" s="42"/>
      <c r="AR48" s="43"/>
      <c r="AS48" s="43"/>
      <c r="AT48" s="43"/>
      <c r="AU48" s="43"/>
      <c r="BC48" s="50"/>
      <c r="BD48" s="51"/>
    </row>
    <row r="49" spans="1:61" ht="18" customHeight="1">
      <c r="A49" s="36"/>
      <c r="B49" s="404"/>
      <c r="C49" s="404"/>
      <c r="D49" s="404"/>
      <c r="E49" s="404"/>
      <c r="F49" s="288"/>
      <c r="G49" s="288"/>
      <c r="H49" s="288"/>
      <c r="I49" s="288"/>
      <c r="J49" s="288"/>
      <c r="K49" s="288"/>
      <c r="L49" s="288"/>
      <c r="M49" s="288"/>
      <c r="N49" s="288"/>
      <c r="O49" s="288"/>
      <c r="P49" s="288"/>
      <c r="Q49" s="288"/>
      <c r="R49" s="288"/>
      <c r="S49" s="288"/>
      <c r="T49" s="288"/>
      <c r="U49" s="288"/>
      <c r="V49" s="288"/>
      <c r="W49" s="288"/>
      <c r="X49" s="288"/>
      <c r="Y49" s="288"/>
      <c r="Z49" s="288"/>
      <c r="AA49" s="288"/>
      <c r="AB49" s="288"/>
      <c r="AC49" s="288"/>
      <c r="AD49" s="288"/>
      <c r="AE49" s="288"/>
      <c r="AF49" s="288"/>
      <c r="AG49" s="288"/>
      <c r="AH49" s="288"/>
      <c r="AI49" s="289"/>
      <c r="AK49" s="425" t="s">
        <v>691</v>
      </c>
      <c r="AL49" s="425"/>
      <c r="AM49" s="425"/>
      <c r="AN49" s="425"/>
      <c r="AO49" s="425"/>
      <c r="AP49" s="425"/>
      <c r="AQ49" s="42"/>
      <c r="AR49" s="43"/>
      <c r="AS49" s="43"/>
      <c r="AT49" s="43"/>
      <c r="AU49" s="43"/>
      <c r="BC49" s="50"/>
      <c r="BD49" s="51"/>
    </row>
    <row r="50" spans="1:61" ht="18" customHeight="1">
      <c r="A50" s="36"/>
      <c r="B50" s="404"/>
      <c r="C50" s="404"/>
      <c r="D50" s="404"/>
      <c r="E50" s="404"/>
      <c r="F50" s="288"/>
      <c r="G50" s="288"/>
      <c r="H50" s="288"/>
      <c r="I50" s="288"/>
      <c r="J50" s="288"/>
      <c r="K50" s="288"/>
      <c r="L50" s="288"/>
      <c r="M50" s="288"/>
      <c r="N50" s="288"/>
      <c r="O50" s="288"/>
      <c r="P50" s="288"/>
      <c r="Q50" s="288"/>
      <c r="R50" s="288"/>
      <c r="S50" s="288"/>
      <c r="T50" s="288"/>
      <c r="U50" s="288"/>
      <c r="V50" s="288"/>
      <c r="W50" s="288"/>
      <c r="X50" s="288"/>
      <c r="Y50" s="288"/>
      <c r="Z50" s="288"/>
      <c r="AA50" s="288"/>
      <c r="AB50" s="288"/>
      <c r="AC50" s="288"/>
      <c r="AD50" s="288"/>
      <c r="AE50" s="288"/>
      <c r="AF50" s="288"/>
      <c r="AG50" s="288"/>
      <c r="AH50" s="288"/>
      <c r="AI50" s="289"/>
      <c r="AK50" s="425" t="s">
        <v>692</v>
      </c>
      <c r="AL50" s="425"/>
      <c r="AM50" s="425"/>
      <c r="AN50" s="425"/>
      <c r="AO50" s="425"/>
      <c r="AP50" s="425"/>
      <c r="AQ50" s="42"/>
      <c r="AR50" s="43"/>
      <c r="AS50" s="43"/>
      <c r="AT50" s="43"/>
      <c r="AU50" s="43"/>
      <c r="BC50" s="50"/>
      <c r="BD50" s="51"/>
    </row>
    <row r="51" spans="1:61" ht="18" customHeight="1">
      <c r="A51" s="36"/>
      <c r="B51" s="404"/>
      <c r="C51" s="404"/>
      <c r="D51" s="404"/>
      <c r="E51" s="404"/>
      <c r="F51" s="288"/>
      <c r="G51" s="288"/>
      <c r="H51" s="288"/>
      <c r="I51" s="288"/>
      <c r="J51" s="288"/>
      <c r="K51" s="288"/>
      <c r="L51" s="288"/>
      <c r="M51" s="288"/>
      <c r="N51" s="288"/>
      <c r="O51" s="288"/>
      <c r="P51" s="288"/>
      <c r="Q51" s="288"/>
      <c r="R51" s="288"/>
      <c r="S51" s="288"/>
      <c r="T51" s="288"/>
      <c r="U51" s="288"/>
      <c r="V51" s="288"/>
      <c r="W51" s="288"/>
      <c r="X51" s="288"/>
      <c r="Y51" s="288"/>
      <c r="Z51" s="288"/>
      <c r="AA51" s="288"/>
      <c r="AB51" s="288"/>
      <c r="AC51" s="288"/>
      <c r="AD51" s="288"/>
      <c r="AE51" s="288"/>
      <c r="AF51" s="288"/>
      <c r="AG51" s="288"/>
      <c r="AH51" s="288"/>
      <c r="AI51" s="289"/>
      <c r="AK51" s="425" t="s">
        <v>693</v>
      </c>
      <c r="AL51" s="425"/>
      <c r="AM51" s="425"/>
      <c r="AN51" s="425"/>
      <c r="AO51" s="425"/>
      <c r="AP51" s="425"/>
      <c r="AQ51" s="42"/>
      <c r="AR51" s="43"/>
      <c r="AS51" s="43"/>
      <c r="AT51" s="43"/>
      <c r="AU51" s="43"/>
      <c r="BC51" s="50"/>
      <c r="BD51" s="51"/>
    </row>
    <row r="52" spans="1:61" ht="18" customHeight="1">
      <c r="A52" s="36"/>
      <c r="B52" s="404"/>
      <c r="C52" s="404"/>
      <c r="D52" s="404"/>
      <c r="E52" s="404"/>
      <c r="F52" s="288"/>
      <c r="G52" s="288"/>
      <c r="H52" s="288"/>
      <c r="I52" s="288"/>
      <c r="J52" s="288"/>
      <c r="K52" s="288"/>
      <c r="L52" s="288"/>
      <c r="M52" s="288"/>
      <c r="N52" s="288"/>
      <c r="O52" s="288"/>
      <c r="P52" s="288"/>
      <c r="Q52" s="288"/>
      <c r="R52" s="288"/>
      <c r="S52" s="288"/>
      <c r="T52" s="288"/>
      <c r="U52" s="288"/>
      <c r="V52" s="288"/>
      <c r="W52" s="288"/>
      <c r="X52" s="288"/>
      <c r="Y52" s="288"/>
      <c r="Z52" s="288"/>
      <c r="AA52" s="288"/>
      <c r="AB52" s="288"/>
      <c r="AC52" s="288"/>
      <c r="AD52" s="288"/>
      <c r="AE52" s="288"/>
      <c r="AF52" s="288"/>
      <c r="AG52" s="288"/>
      <c r="AH52" s="288"/>
      <c r="AI52" s="289"/>
      <c r="AK52" s="425" t="s">
        <v>694</v>
      </c>
      <c r="AL52" s="425"/>
      <c r="AM52" s="425"/>
      <c r="AN52" s="425"/>
      <c r="AO52" s="425"/>
      <c r="AP52" s="425"/>
      <c r="AQ52" s="42"/>
      <c r="AR52" s="43"/>
      <c r="AS52" s="43"/>
      <c r="AV52" s="43"/>
      <c r="AW52" s="43"/>
      <c r="AX52" s="43"/>
      <c r="AY52" s="43"/>
      <c r="AZ52" s="43"/>
      <c r="BA52" s="43"/>
      <c r="BH52" s="52"/>
      <c r="BI52" s="51"/>
    </row>
    <row r="53" spans="1:61" ht="18" customHeight="1">
      <c r="A53" s="36"/>
      <c r="B53" s="404"/>
      <c r="C53" s="404"/>
      <c r="D53" s="404"/>
      <c r="E53" s="404"/>
      <c r="F53" s="288"/>
      <c r="G53" s="288"/>
      <c r="H53" s="288"/>
      <c r="I53" s="288"/>
      <c r="J53" s="288"/>
      <c r="K53" s="288"/>
      <c r="L53" s="288"/>
      <c r="M53" s="288"/>
      <c r="N53" s="288"/>
      <c r="O53" s="288"/>
      <c r="P53" s="288"/>
      <c r="Q53" s="288"/>
      <c r="R53" s="288"/>
      <c r="S53" s="288"/>
      <c r="T53" s="288"/>
      <c r="U53" s="288"/>
      <c r="V53" s="288"/>
      <c r="W53" s="288"/>
      <c r="X53" s="288"/>
      <c r="Y53" s="288"/>
      <c r="Z53" s="288"/>
      <c r="AA53" s="288"/>
      <c r="AB53" s="288"/>
      <c r="AC53" s="288"/>
      <c r="AD53" s="288"/>
      <c r="AE53" s="288"/>
      <c r="AF53" s="288"/>
      <c r="AG53" s="288"/>
      <c r="AH53" s="288"/>
      <c r="AI53" s="289"/>
      <c r="AK53" s="425" t="s">
        <v>695</v>
      </c>
      <c r="AL53" s="425"/>
      <c r="AM53" s="425"/>
      <c r="AN53" s="425"/>
      <c r="AO53" s="425"/>
      <c r="AP53" s="425"/>
      <c r="AQ53" s="42"/>
      <c r="AR53" s="43"/>
      <c r="AS53" s="43"/>
      <c r="AT53" s="43"/>
      <c r="AU53" s="43"/>
      <c r="AV53" s="43"/>
      <c r="AW53" s="43"/>
      <c r="AX53" s="43"/>
      <c r="AY53" s="43"/>
      <c r="AZ53" s="43"/>
      <c r="BH53" s="50"/>
      <c r="BI53" s="51"/>
    </row>
    <row r="54" spans="1:61" ht="18" customHeight="1">
      <c r="A54" s="36"/>
      <c r="B54" s="404"/>
      <c r="C54" s="404"/>
      <c r="D54" s="404"/>
      <c r="E54" s="404"/>
      <c r="F54" s="288"/>
      <c r="G54" s="288"/>
      <c r="H54" s="288"/>
      <c r="I54" s="288"/>
      <c r="J54" s="288"/>
      <c r="K54" s="288"/>
      <c r="L54" s="288"/>
      <c r="M54" s="288"/>
      <c r="N54" s="288"/>
      <c r="O54" s="288"/>
      <c r="P54" s="288"/>
      <c r="Q54" s="288"/>
      <c r="R54" s="288"/>
      <c r="S54" s="288"/>
      <c r="T54" s="288"/>
      <c r="U54" s="288"/>
      <c r="V54" s="288"/>
      <c r="W54" s="288"/>
      <c r="X54" s="288"/>
      <c r="Y54" s="288"/>
      <c r="Z54" s="288"/>
      <c r="AA54" s="288"/>
      <c r="AB54" s="288"/>
      <c r="AC54" s="288"/>
      <c r="AD54" s="288"/>
      <c r="AE54" s="288"/>
      <c r="AF54" s="288"/>
      <c r="AG54" s="288"/>
      <c r="AH54" s="288"/>
      <c r="AI54" s="289"/>
      <c r="AK54" s="425" t="s">
        <v>696</v>
      </c>
      <c r="AL54" s="425"/>
      <c r="AM54" s="425"/>
      <c r="AN54" s="425"/>
      <c r="AO54" s="425"/>
      <c r="AP54" s="425"/>
      <c r="AQ54" s="42"/>
      <c r="AR54" s="43"/>
      <c r="AS54" s="43"/>
      <c r="AT54" s="43"/>
      <c r="AU54" s="43"/>
      <c r="AV54" s="43"/>
      <c r="AW54" s="43"/>
      <c r="AX54" s="43"/>
      <c r="AY54" s="43"/>
      <c r="AZ54" s="43"/>
      <c r="BH54" s="50"/>
      <c r="BI54" s="51"/>
    </row>
    <row r="55" spans="1:61" ht="18" customHeight="1">
      <c r="A55" s="36"/>
      <c r="B55" s="404"/>
      <c r="C55" s="404"/>
      <c r="D55" s="404"/>
      <c r="E55" s="404"/>
      <c r="F55" s="288"/>
      <c r="G55" s="288"/>
      <c r="H55" s="288"/>
      <c r="I55" s="288"/>
      <c r="J55" s="288"/>
      <c r="K55" s="288"/>
      <c r="L55" s="288"/>
      <c r="M55" s="288"/>
      <c r="N55" s="288"/>
      <c r="O55" s="288"/>
      <c r="P55" s="288"/>
      <c r="Q55" s="288"/>
      <c r="R55" s="288"/>
      <c r="S55" s="288"/>
      <c r="T55" s="288"/>
      <c r="U55" s="288"/>
      <c r="V55" s="288"/>
      <c r="W55" s="288"/>
      <c r="X55" s="288"/>
      <c r="Y55" s="288"/>
      <c r="Z55" s="288"/>
      <c r="AA55" s="288"/>
      <c r="AB55" s="288"/>
      <c r="AC55" s="288"/>
      <c r="AD55" s="288"/>
      <c r="AE55" s="288"/>
      <c r="AF55" s="288"/>
      <c r="AG55" s="288"/>
      <c r="AH55" s="288"/>
      <c r="AI55" s="289"/>
      <c r="AK55" s="425" t="s">
        <v>697</v>
      </c>
      <c r="AL55" s="425"/>
      <c r="AM55" s="425"/>
      <c r="AN55" s="425"/>
      <c r="AO55" s="425"/>
      <c r="AP55" s="425"/>
      <c r="AQ55" s="42"/>
      <c r="AR55" s="43"/>
      <c r="AS55" s="43"/>
      <c r="AT55" s="43"/>
      <c r="AU55" s="43"/>
      <c r="AV55" s="43"/>
      <c r="AW55" s="43"/>
      <c r="AX55" s="43"/>
      <c r="AY55" s="43"/>
      <c r="AZ55" s="43"/>
      <c r="BH55" s="50"/>
      <c r="BI55" s="51"/>
    </row>
    <row r="56" spans="1:61" ht="18" customHeight="1">
      <c r="A56" s="36"/>
      <c r="B56" s="404"/>
      <c r="C56" s="404"/>
      <c r="D56" s="404"/>
      <c r="E56" s="404"/>
      <c r="F56" s="288"/>
      <c r="G56" s="288"/>
      <c r="H56" s="288"/>
      <c r="I56" s="288"/>
      <c r="J56" s="288"/>
      <c r="K56" s="288"/>
      <c r="L56" s="288"/>
      <c r="M56" s="288"/>
      <c r="N56" s="288"/>
      <c r="O56" s="288"/>
      <c r="P56" s="288"/>
      <c r="Q56" s="288"/>
      <c r="R56" s="288"/>
      <c r="S56" s="288"/>
      <c r="T56" s="288"/>
      <c r="U56" s="288"/>
      <c r="V56" s="288"/>
      <c r="W56" s="288"/>
      <c r="X56" s="288"/>
      <c r="Y56" s="288"/>
      <c r="Z56" s="288"/>
      <c r="AA56" s="288"/>
      <c r="AB56" s="288"/>
      <c r="AC56" s="288"/>
      <c r="AD56" s="288"/>
      <c r="AE56" s="288"/>
      <c r="AF56" s="288"/>
      <c r="AG56" s="288"/>
      <c r="AH56" s="288"/>
      <c r="AI56" s="289"/>
      <c r="AK56" s="425" t="s">
        <v>698</v>
      </c>
      <c r="AL56" s="425"/>
      <c r="AM56" s="425"/>
      <c r="AN56" s="425"/>
      <c r="AO56" s="425"/>
      <c r="AP56" s="425"/>
      <c r="AQ56" s="42"/>
      <c r="AR56" s="43"/>
      <c r="AS56" s="43"/>
      <c r="AT56" s="43"/>
      <c r="AU56" s="43"/>
      <c r="AV56" s="43"/>
      <c r="AW56" s="43"/>
      <c r="AX56" s="43"/>
      <c r="AY56" s="43"/>
      <c r="AZ56" s="43"/>
      <c r="BH56" s="52"/>
      <c r="BI56" s="51"/>
    </row>
    <row r="57" spans="1:61" ht="18" customHeight="1">
      <c r="A57" s="36"/>
      <c r="B57" s="404"/>
      <c r="C57" s="404"/>
      <c r="D57" s="404"/>
      <c r="E57" s="404"/>
      <c r="F57" s="288"/>
      <c r="G57" s="288"/>
      <c r="H57" s="288"/>
      <c r="I57" s="288"/>
      <c r="J57" s="288"/>
      <c r="K57" s="288"/>
      <c r="L57" s="288"/>
      <c r="M57" s="288"/>
      <c r="N57" s="288"/>
      <c r="O57" s="288"/>
      <c r="P57" s="288"/>
      <c r="Q57" s="288"/>
      <c r="R57" s="288"/>
      <c r="S57" s="288"/>
      <c r="T57" s="288"/>
      <c r="U57" s="288"/>
      <c r="V57" s="288"/>
      <c r="W57" s="288"/>
      <c r="X57" s="288"/>
      <c r="Y57" s="288"/>
      <c r="Z57" s="288"/>
      <c r="AA57" s="288"/>
      <c r="AB57" s="288"/>
      <c r="AC57" s="288"/>
      <c r="AD57" s="288"/>
      <c r="AE57" s="288"/>
      <c r="AF57" s="288"/>
      <c r="AG57" s="288"/>
      <c r="AH57" s="288"/>
      <c r="AI57" s="289"/>
      <c r="AK57" s="425" t="s">
        <v>699</v>
      </c>
      <c r="AL57" s="425"/>
      <c r="AM57" s="425"/>
      <c r="AN57" s="425"/>
      <c r="AO57" s="425"/>
      <c r="AP57" s="425"/>
      <c r="AQ57" s="42"/>
      <c r="AR57" s="43"/>
      <c r="AS57" s="43"/>
      <c r="AT57" s="43"/>
      <c r="AU57" s="43"/>
      <c r="AV57" s="43"/>
      <c r="AW57" s="43"/>
      <c r="AX57" s="43"/>
      <c r="AY57" s="43"/>
      <c r="AZ57" s="43"/>
      <c r="BH57" s="50"/>
      <c r="BI57" s="51"/>
    </row>
    <row r="58" spans="1:61" ht="18" customHeight="1">
      <c r="A58" s="36"/>
      <c r="B58" s="404"/>
      <c r="C58" s="404"/>
      <c r="D58" s="404"/>
      <c r="E58" s="404"/>
      <c r="F58" s="288"/>
      <c r="G58" s="288"/>
      <c r="H58" s="288"/>
      <c r="I58" s="288"/>
      <c r="J58" s="288"/>
      <c r="K58" s="288"/>
      <c r="L58" s="288"/>
      <c r="M58" s="288"/>
      <c r="N58" s="288"/>
      <c r="O58" s="288"/>
      <c r="P58" s="288"/>
      <c r="Q58" s="288"/>
      <c r="R58" s="288"/>
      <c r="S58" s="288"/>
      <c r="T58" s="288"/>
      <c r="U58" s="288"/>
      <c r="V58" s="288"/>
      <c r="W58" s="288"/>
      <c r="X58" s="288"/>
      <c r="Y58" s="288"/>
      <c r="Z58" s="288"/>
      <c r="AA58" s="288"/>
      <c r="AB58" s="288"/>
      <c r="AC58" s="288"/>
      <c r="AD58" s="288"/>
      <c r="AE58" s="288"/>
      <c r="AF58" s="288"/>
      <c r="AG58" s="288"/>
      <c r="AH58" s="288"/>
      <c r="AI58" s="289"/>
      <c r="AK58" s="425" t="s">
        <v>700</v>
      </c>
      <c r="AL58" s="425"/>
      <c r="AM58" s="425"/>
      <c r="AN58" s="425"/>
      <c r="AO58" s="425"/>
      <c r="AP58" s="425"/>
      <c r="AQ58" s="42"/>
      <c r="AR58" s="43"/>
      <c r="AS58" s="43"/>
      <c r="AT58" s="43"/>
      <c r="AU58" s="43"/>
      <c r="AV58" s="43"/>
      <c r="AW58" s="43"/>
      <c r="AX58" s="43"/>
      <c r="AY58" s="43"/>
      <c r="AZ58" s="43"/>
      <c r="BH58" s="50"/>
      <c r="BI58" s="51"/>
    </row>
    <row r="59" spans="1:61" ht="18" customHeight="1">
      <c r="A59" s="36"/>
      <c r="B59" s="404"/>
      <c r="C59" s="404"/>
      <c r="D59" s="404"/>
      <c r="E59" s="404"/>
      <c r="F59" s="288"/>
      <c r="G59" s="288"/>
      <c r="H59" s="288"/>
      <c r="I59" s="288"/>
      <c r="J59" s="288"/>
      <c r="K59" s="288"/>
      <c r="L59" s="288"/>
      <c r="M59" s="288"/>
      <c r="N59" s="288"/>
      <c r="O59" s="288"/>
      <c r="P59" s="288"/>
      <c r="Q59" s="288"/>
      <c r="R59" s="288"/>
      <c r="S59" s="288"/>
      <c r="T59" s="288"/>
      <c r="U59" s="288"/>
      <c r="V59" s="288"/>
      <c r="W59" s="288"/>
      <c r="X59" s="288"/>
      <c r="Y59" s="288"/>
      <c r="Z59" s="288"/>
      <c r="AA59" s="288"/>
      <c r="AB59" s="288"/>
      <c r="AC59" s="288"/>
      <c r="AD59" s="288"/>
      <c r="AE59" s="288"/>
      <c r="AF59" s="288"/>
      <c r="AG59" s="288"/>
      <c r="AH59" s="288"/>
      <c r="AI59" s="289"/>
      <c r="AK59" s="425" t="s">
        <v>701</v>
      </c>
      <c r="AL59" s="425"/>
      <c r="AM59" s="425"/>
      <c r="AN59" s="425"/>
      <c r="AO59" s="425"/>
      <c r="AP59" s="425"/>
      <c r="AQ59" s="42"/>
      <c r="AR59" s="43"/>
      <c r="AS59" s="43"/>
      <c r="AT59" s="43"/>
      <c r="AU59" s="43"/>
      <c r="AV59" s="43"/>
      <c r="AW59" s="43"/>
      <c r="AX59" s="43"/>
      <c r="AY59" s="43"/>
      <c r="AZ59" s="43"/>
      <c r="BH59" s="50"/>
      <c r="BI59" s="51"/>
    </row>
    <row r="60" spans="1:61" ht="18" customHeight="1">
      <c r="A60" s="36"/>
      <c r="B60" s="404"/>
      <c r="C60" s="404"/>
      <c r="D60" s="404"/>
      <c r="E60" s="404"/>
      <c r="F60" s="288"/>
      <c r="G60" s="288"/>
      <c r="H60" s="288"/>
      <c r="I60" s="288"/>
      <c r="J60" s="288"/>
      <c r="K60" s="288"/>
      <c r="L60" s="288"/>
      <c r="M60" s="288"/>
      <c r="N60" s="288"/>
      <c r="O60" s="288"/>
      <c r="P60" s="288"/>
      <c r="Q60" s="288"/>
      <c r="R60" s="288"/>
      <c r="S60" s="288"/>
      <c r="T60" s="288"/>
      <c r="U60" s="288"/>
      <c r="V60" s="288"/>
      <c r="W60" s="288"/>
      <c r="X60" s="288"/>
      <c r="Y60" s="288"/>
      <c r="Z60" s="288"/>
      <c r="AA60" s="288"/>
      <c r="AB60" s="288"/>
      <c r="AC60" s="288"/>
      <c r="AD60" s="288"/>
      <c r="AE60" s="288"/>
      <c r="AF60" s="288"/>
      <c r="AG60" s="288"/>
      <c r="AH60" s="288"/>
      <c r="AI60" s="289"/>
      <c r="AK60" s="425" t="s">
        <v>702</v>
      </c>
      <c r="AL60" s="425"/>
      <c r="AM60" s="425"/>
      <c r="AN60" s="425"/>
      <c r="AO60" s="425"/>
      <c r="AP60" s="425"/>
      <c r="AQ60" s="42"/>
      <c r="AR60" s="43"/>
      <c r="AS60" s="43"/>
      <c r="AT60" s="43"/>
      <c r="AU60" s="43"/>
      <c r="AV60" s="43"/>
      <c r="AW60" s="43"/>
      <c r="AX60" s="43"/>
      <c r="AY60" s="43"/>
      <c r="AZ60" s="43"/>
      <c r="BH60" s="52"/>
      <c r="BI60" s="51"/>
    </row>
    <row r="61" spans="1:61" ht="18" customHeight="1">
      <c r="A61" s="36"/>
      <c r="B61" s="404"/>
      <c r="C61" s="404"/>
      <c r="D61" s="404"/>
      <c r="E61" s="404"/>
      <c r="F61" s="288"/>
      <c r="G61" s="288"/>
      <c r="H61" s="288"/>
      <c r="I61" s="288"/>
      <c r="J61" s="288"/>
      <c r="K61" s="288"/>
      <c r="L61" s="288"/>
      <c r="M61" s="288"/>
      <c r="N61" s="288"/>
      <c r="O61" s="288"/>
      <c r="P61" s="288"/>
      <c r="Q61" s="288"/>
      <c r="R61" s="288"/>
      <c r="S61" s="288"/>
      <c r="T61" s="288"/>
      <c r="U61" s="288"/>
      <c r="V61" s="288"/>
      <c r="W61" s="288"/>
      <c r="X61" s="288"/>
      <c r="Y61" s="288"/>
      <c r="Z61" s="288"/>
      <c r="AA61" s="288"/>
      <c r="AB61" s="288"/>
      <c r="AC61" s="288"/>
      <c r="AD61" s="288"/>
      <c r="AE61" s="288"/>
      <c r="AF61" s="288"/>
      <c r="AG61" s="288"/>
      <c r="AH61" s="288"/>
      <c r="AI61" s="289"/>
      <c r="AK61" s="425" t="s">
        <v>703</v>
      </c>
      <c r="AL61" s="425"/>
      <c r="AM61" s="425"/>
      <c r="AN61" s="425"/>
      <c r="AO61" s="425"/>
      <c r="AP61" s="425"/>
      <c r="AQ61" s="42"/>
      <c r="AR61" s="43"/>
      <c r="AS61" s="43"/>
      <c r="AT61" s="43"/>
      <c r="AU61" s="43"/>
      <c r="AV61" s="43"/>
      <c r="AW61" s="43"/>
      <c r="AX61" s="43"/>
      <c r="AY61" s="43"/>
      <c r="AZ61" s="43"/>
      <c r="BH61" s="50"/>
      <c r="BI61" s="51"/>
    </row>
    <row r="62" spans="1:61" ht="18" customHeight="1">
      <c r="A62" s="36"/>
      <c r="B62" s="404"/>
      <c r="C62" s="404"/>
      <c r="D62" s="404"/>
      <c r="E62" s="404"/>
      <c r="F62" s="288"/>
      <c r="G62" s="288"/>
      <c r="H62" s="288"/>
      <c r="I62" s="288"/>
      <c r="J62" s="288"/>
      <c r="K62" s="288"/>
      <c r="L62" s="288"/>
      <c r="M62" s="288"/>
      <c r="N62" s="288"/>
      <c r="O62" s="288"/>
      <c r="P62" s="288"/>
      <c r="Q62" s="288"/>
      <c r="R62" s="288"/>
      <c r="S62" s="288"/>
      <c r="T62" s="288"/>
      <c r="U62" s="288"/>
      <c r="V62" s="288"/>
      <c r="W62" s="288"/>
      <c r="X62" s="288"/>
      <c r="Y62" s="288"/>
      <c r="Z62" s="288"/>
      <c r="AA62" s="288"/>
      <c r="AB62" s="288"/>
      <c r="AC62" s="288"/>
      <c r="AD62" s="288"/>
      <c r="AE62" s="288"/>
      <c r="AF62" s="288"/>
      <c r="AG62" s="288"/>
      <c r="AH62" s="288"/>
      <c r="AI62" s="289"/>
      <c r="AK62" s="425"/>
      <c r="AL62" s="425"/>
      <c r="AM62" s="425"/>
      <c r="AN62" s="425"/>
      <c r="AO62" s="425"/>
      <c r="AP62" s="425"/>
      <c r="AQ62" s="42"/>
      <c r="AR62" s="43"/>
      <c r="AS62" s="43"/>
      <c r="AT62" s="43"/>
      <c r="AU62" s="43"/>
      <c r="AV62" s="43"/>
      <c r="AW62" s="43"/>
      <c r="AX62" s="43"/>
      <c r="AY62" s="43"/>
      <c r="AZ62" s="43"/>
      <c r="BH62" s="50"/>
      <c r="BI62" s="51"/>
    </row>
    <row r="63" spans="1:61" ht="18" customHeight="1">
      <c r="A63" s="36"/>
      <c r="B63" s="404"/>
      <c r="C63" s="404"/>
      <c r="D63" s="404"/>
      <c r="E63" s="404"/>
      <c r="F63" s="288"/>
      <c r="G63" s="288"/>
      <c r="H63" s="288"/>
      <c r="I63" s="288"/>
      <c r="J63" s="288"/>
      <c r="K63" s="288"/>
      <c r="L63" s="288"/>
      <c r="M63" s="288"/>
      <c r="N63" s="288"/>
      <c r="O63" s="288"/>
      <c r="P63" s="288"/>
      <c r="Q63" s="288"/>
      <c r="R63" s="288"/>
      <c r="S63" s="288"/>
      <c r="T63" s="288"/>
      <c r="U63" s="288"/>
      <c r="V63" s="288"/>
      <c r="W63" s="288"/>
      <c r="X63" s="288"/>
      <c r="Y63" s="288"/>
      <c r="Z63" s="288"/>
      <c r="AA63" s="288"/>
      <c r="AB63" s="288"/>
      <c r="AC63" s="288"/>
      <c r="AD63" s="288"/>
      <c r="AE63" s="288"/>
      <c r="AF63" s="288"/>
      <c r="AG63" s="288"/>
      <c r="AH63" s="288"/>
      <c r="AI63" s="289"/>
      <c r="AK63" s="425"/>
      <c r="AL63" s="425"/>
      <c r="AM63" s="425"/>
      <c r="AN63" s="425"/>
      <c r="AO63" s="425"/>
      <c r="AP63" s="425"/>
      <c r="AQ63" s="42"/>
      <c r="AR63" s="43"/>
      <c r="AS63" s="43"/>
      <c r="AT63" s="43"/>
      <c r="AU63" s="43"/>
      <c r="AV63" s="43"/>
      <c r="AW63" s="43"/>
      <c r="AX63" s="43"/>
      <c r="AY63" s="43"/>
      <c r="AZ63" s="43"/>
      <c r="BH63" s="52"/>
      <c r="BI63" s="51"/>
    </row>
    <row r="64" spans="1:61" ht="18" customHeight="1">
      <c r="A64" s="36"/>
      <c r="B64" s="404"/>
      <c r="C64" s="404"/>
      <c r="D64" s="404"/>
      <c r="E64" s="404"/>
      <c r="F64" s="288"/>
      <c r="G64" s="288"/>
      <c r="H64" s="288"/>
      <c r="I64" s="288"/>
      <c r="J64" s="288"/>
      <c r="K64" s="288"/>
      <c r="L64" s="288"/>
      <c r="M64" s="288"/>
      <c r="N64" s="288"/>
      <c r="O64" s="288"/>
      <c r="P64" s="288"/>
      <c r="Q64" s="288"/>
      <c r="R64" s="288"/>
      <c r="S64" s="288"/>
      <c r="T64" s="288"/>
      <c r="U64" s="288"/>
      <c r="V64" s="288"/>
      <c r="W64" s="288"/>
      <c r="X64" s="288"/>
      <c r="Y64" s="288"/>
      <c r="Z64" s="288"/>
      <c r="AA64" s="288"/>
      <c r="AB64" s="288"/>
      <c r="AC64" s="288"/>
      <c r="AD64" s="288"/>
      <c r="AE64" s="288"/>
      <c r="AF64" s="288"/>
      <c r="AG64" s="288"/>
      <c r="AH64" s="288"/>
      <c r="AI64" s="289"/>
      <c r="AK64" s="425"/>
      <c r="AL64" s="425"/>
      <c r="AM64" s="425"/>
      <c r="AN64" s="425"/>
      <c r="AO64" s="425"/>
      <c r="AP64" s="425"/>
      <c r="AQ64" s="42"/>
      <c r="AR64" s="43"/>
      <c r="AS64" s="43"/>
      <c r="AT64" s="43"/>
      <c r="AU64" s="43"/>
      <c r="AV64" s="43"/>
      <c r="AW64" s="43"/>
      <c r="AX64" s="43"/>
      <c r="AY64" s="43"/>
      <c r="AZ64" s="43"/>
      <c r="BH64" s="52"/>
      <c r="BI64" s="51"/>
    </row>
    <row r="65" spans="1:61" ht="18" customHeight="1">
      <c r="A65" s="36"/>
      <c r="B65" s="404"/>
      <c r="C65" s="404"/>
      <c r="D65" s="404"/>
      <c r="E65" s="404"/>
      <c r="F65" s="288"/>
      <c r="G65" s="288"/>
      <c r="H65" s="288"/>
      <c r="I65" s="288"/>
      <c r="J65" s="288"/>
      <c r="K65" s="288"/>
      <c r="L65" s="288"/>
      <c r="M65" s="288"/>
      <c r="N65" s="288"/>
      <c r="O65" s="288"/>
      <c r="P65" s="288"/>
      <c r="Q65" s="288"/>
      <c r="R65" s="288"/>
      <c r="S65" s="288"/>
      <c r="T65" s="288"/>
      <c r="U65" s="288"/>
      <c r="V65" s="288"/>
      <c r="W65" s="288"/>
      <c r="X65" s="288"/>
      <c r="Y65" s="288"/>
      <c r="Z65" s="288"/>
      <c r="AA65" s="288"/>
      <c r="AB65" s="288"/>
      <c r="AC65" s="288"/>
      <c r="AD65" s="288"/>
      <c r="AE65" s="288"/>
      <c r="AF65" s="288"/>
      <c r="AG65" s="288"/>
      <c r="AH65" s="288"/>
      <c r="AI65" s="289"/>
      <c r="AK65" s="425"/>
      <c r="AL65" s="425"/>
      <c r="AM65" s="425"/>
      <c r="AN65" s="425"/>
      <c r="AO65" s="425"/>
      <c r="AP65" s="425"/>
      <c r="AQ65" s="42"/>
      <c r="AR65" s="43"/>
      <c r="AS65" s="43"/>
      <c r="AT65" s="43"/>
      <c r="AU65" s="43"/>
      <c r="AV65" s="43"/>
      <c r="AW65" s="43"/>
      <c r="AX65" s="43"/>
      <c r="AY65" s="43"/>
      <c r="AZ65" s="43"/>
      <c r="BH65" s="50"/>
      <c r="BI65" s="51"/>
    </row>
    <row r="66" spans="1:61" ht="18" customHeight="1">
      <c r="A66" s="36"/>
      <c r="B66" s="404"/>
      <c r="C66" s="404"/>
      <c r="D66" s="404"/>
      <c r="E66" s="404"/>
      <c r="F66" s="288"/>
      <c r="G66" s="288"/>
      <c r="H66" s="288"/>
      <c r="I66" s="288"/>
      <c r="J66" s="288"/>
      <c r="K66" s="288"/>
      <c r="L66" s="288"/>
      <c r="M66" s="288"/>
      <c r="N66" s="288"/>
      <c r="O66" s="288"/>
      <c r="P66" s="288"/>
      <c r="Q66" s="288"/>
      <c r="R66" s="288"/>
      <c r="S66" s="288"/>
      <c r="T66" s="288"/>
      <c r="U66" s="288"/>
      <c r="V66" s="288"/>
      <c r="W66" s="288"/>
      <c r="X66" s="288"/>
      <c r="Y66" s="288"/>
      <c r="Z66" s="288"/>
      <c r="AA66" s="288"/>
      <c r="AB66" s="288"/>
      <c r="AC66" s="288"/>
      <c r="AD66" s="288"/>
      <c r="AE66" s="288"/>
      <c r="AF66" s="288"/>
      <c r="AG66" s="288"/>
      <c r="AH66" s="288"/>
      <c r="AI66" s="289"/>
      <c r="AK66" s="425"/>
      <c r="AL66" s="425"/>
      <c r="AM66" s="425"/>
      <c r="AN66" s="425"/>
      <c r="AO66" s="425"/>
      <c r="AP66" s="425"/>
      <c r="AQ66" s="42"/>
      <c r="AR66" s="43"/>
      <c r="AS66" s="43"/>
      <c r="AT66" s="43"/>
      <c r="AU66" s="43"/>
      <c r="AV66" s="43"/>
      <c r="AW66" s="43"/>
      <c r="AX66" s="43"/>
      <c r="AY66" s="43"/>
      <c r="AZ66" s="43"/>
      <c r="BH66" s="50"/>
      <c r="BI66" s="51"/>
    </row>
    <row r="67" spans="1:61" ht="18" customHeight="1">
      <c r="A67" s="36"/>
      <c r="B67" s="404"/>
      <c r="C67" s="404"/>
      <c r="D67" s="404"/>
      <c r="E67" s="404"/>
      <c r="F67" s="288"/>
      <c r="G67" s="288"/>
      <c r="H67" s="288"/>
      <c r="I67" s="288"/>
      <c r="J67" s="288"/>
      <c r="K67" s="288"/>
      <c r="L67" s="288"/>
      <c r="M67" s="288"/>
      <c r="N67" s="288"/>
      <c r="O67" s="288"/>
      <c r="P67" s="288"/>
      <c r="Q67" s="288"/>
      <c r="R67" s="288"/>
      <c r="S67" s="288"/>
      <c r="T67" s="288"/>
      <c r="U67" s="288"/>
      <c r="V67" s="288"/>
      <c r="W67" s="288"/>
      <c r="X67" s="288"/>
      <c r="Y67" s="288"/>
      <c r="Z67" s="288"/>
      <c r="AA67" s="288"/>
      <c r="AB67" s="288"/>
      <c r="AC67" s="288"/>
      <c r="AD67" s="288"/>
      <c r="AE67" s="288"/>
      <c r="AF67" s="288"/>
      <c r="AG67" s="288"/>
      <c r="AH67" s="288"/>
      <c r="AI67" s="289"/>
      <c r="AK67" s="425"/>
      <c r="AL67" s="425"/>
      <c r="AM67" s="425"/>
      <c r="AN67" s="425"/>
      <c r="AO67" s="425"/>
      <c r="AP67" s="425"/>
      <c r="AQ67" s="67"/>
      <c r="AR67" s="43"/>
      <c r="AS67" s="43"/>
      <c r="AT67" s="43"/>
      <c r="AU67" s="43"/>
      <c r="AV67" s="43"/>
      <c r="AW67" s="43"/>
      <c r="AX67" s="43"/>
      <c r="AY67" s="43"/>
      <c r="AZ67" s="43"/>
      <c r="BH67" s="50"/>
      <c r="BI67" s="51"/>
    </row>
    <row r="68" spans="1:61" ht="18" customHeight="1">
      <c r="A68" s="36"/>
      <c r="B68" s="404"/>
      <c r="C68" s="404"/>
      <c r="D68" s="404"/>
      <c r="E68" s="404"/>
      <c r="F68" s="288"/>
      <c r="G68" s="288"/>
      <c r="H68" s="288"/>
      <c r="I68" s="288"/>
      <c r="J68" s="288"/>
      <c r="K68" s="288"/>
      <c r="L68" s="288"/>
      <c r="M68" s="288"/>
      <c r="N68" s="288"/>
      <c r="O68" s="288"/>
      <c r="P68" s="288"/>
      <c r="Q68" s="288"/>
      <c r="R68" s="288"/>
      <c r="S68" s="288"/>
      <c r="T68" s="288"/>
      <c r="U68" s="288"/>
      <c r="V68" s="288"/>
      <c r="W68" s="288"/>
      <c r="X68" s="288"/>
      <c r="Y68" s="288"/>
      <c r="Z68" s="288"/>
      <c r="AA68" s="288"/>
      <c r="AB68" s="288"/>
      <c r="AC68" s="288"/>
      <c r="AD68" s="288"/>
      <c r="AE68" s="288"/>
      <c r="AF68" s="288"/>
      <c r="AG68" s="288"/>
      <c r="AH68" s="288"/>
      <c r="AI68" s="289"/>
      <c r="AK68" s="425"/>
      <c r="AL68" s="425"/>
      <c r="AM68" s="425"/>
      <c r="AN68" s="425"/>
      <c r="AO68" s="425"/>
      <c r="AP68" s="425"/>
      <c r="AQ68" s="67"/>
      <c r="AR68" s="43"/>
      <c r="AS68" s="43"/>
      <c r="AT68" s="43"/>
      <c r="AU68" s="43"/>
      <c r="AV68" s="43"/>
      <c r="AW68" s="43"/>
      <c r="AX68" s="43"/>
      <c r="AY68" s="43"/>
      <c r="AZ68" s="43"/>
      <c r="BH68" s="50"/>
      <c r="BI68" s="51"/>
    </row>
    <row r="69" spans="1:61" ht="18" customHeight="1">
      <c r="A69" s="36"/>
      <c r="B69" s="404"/>
      <c r="C69" s="404"/>
      <c r="D69" s="404"/>
      <c r="E69" s="404"/>
      <c r="F69" s="288"/>
      <c r="G69" s="288"/>
      <c r="H69" s="288"/>
      <c r="I69" s="288"/>
      <c r="J69" s="288"/>
      <c r="K69" s="288"/>
      <c r="L69" s="288"/>
      <c r="M69" s="288"/>
      <c r="N69" s="288"/>
      <c r="O69" s="288"/>
      <c r="P69" s="288"/>
      <c r="Q69" s="288"/>
      <c r="R69" s="288"/>
      <c r="S69" s="288"/>
      <c r="T69" s="288"/>
      <c r="U69" s="288"/>
      <c r="V69" s="288"/>
      <c r="W69" s="288"/>
      <c r="X69" s="288"/>
      <c r="Y69" s="288"/>
      <c r="Z69" s="288"/>
      <c r="AA69" s="288"/>
      <c r="AB69" s="288"/>
      <c r="AC69" s="288"/>
      <c r="AD69" s="288"/>
      <c r="AE69" s="288"/>
      <c r="AF69" s="288"/>
      <c r="AG69" s="288"/>
      <c r="AH69" s="288"/>
      <c r="AI69" s="289"/>
      <c r="AK69" s="425"/>
      <c r="AL69" s="425"/>
      <c r="AM69" s="425"/>
      <c r="AN69" s="425"/>
      <c r="AO69" s="425"/>
      <c r="AP69" s="425"/>
      <c r="AQ69" s="42"/>
      <c r="AR69" s="43"/>
      <c r="AS69" s="43"/>
      <c r="AT69" s="43"/>
      <c r="AU69" s="43"/>
      <c r="AV69" s="43"/>
      <c r="AW69" s="43"/>
      <c r="AX69" s="43"/>
      <c r="AY69" s="43"/>
      <c r="AZ69" s="43"/>
      <c r="BH69" s="50"/>
      <c r="BI69" s="51"/>
    </row>
    <row r="70" spans="1:61" ht="18" customHeight="1">
      <c r="A70" s="36"/>
      <c r="B70" s="404"/>
      <c r="C70" s="404"/>
      <c r="D70" s="404"/>
      <c r="E70" s="404"/>
      <c r="F70" s="288"/>
      <c r="G70" s="288"/>
      <c r="H70" s="288"/>
      <c r="I70" s="288"/>
      <c r="J70" s="288"/>
      <c r="K70" s="288"/>
      <c r="L70" s="288"/>
      <c r="M70" s="288"/>
      <c r="N70" s="288"/>
      <c r="O70" s="288"/>
      <c r="P70" s="288"/>
      <c r="Q70" s="288"/>
      <c r="R70" s="288"/>
      <c r="S70" s="288"/>
      <c r="T70" s="288"/>
      <c r="U70" s="288"/>
      <c r="V70" s="288"/>
      <c r="W70" s="288"/>
      <c r="X70" s="288"/>
      <c r="Y70" s="288"/>
      <c r="Z70" s="288"/>
      <c r="AA70" s="288"/>
      <c r="AB70" s="288"/>
      <c r="AC70" s="288"/>
      <c r="AD70" s="288"/>
      <c r="AE70" s="288"/>
      <c r="AF70" s="288"/>
      <c r="AG70" s="288"/>
      <c r="AH70" s="288"/>
      <c r="AI70" s="289"/>
      <c r="AK70" s="425"/>
      <c r="AL70" s="425"/>
      <c r="AM70" s="425"/>
      <c r="AN70" s="425"/>
      <c r="AO70" s="425"/>
      <c r="AP70" s="425"/>
      <c r="AQ70" s="42"/>
      <c r="AR70" s="43"/>
      <c r="AS70" s="43"/>
      <c r="AT70" s="43"/>
      <c r="AU70" s="43"/>
      <c r="AV70" s="43"/>
      <c r="AW70" s="43"/>
      <c r="AX70" s="43"/>
      <c r="AY70" s="43"/>
      <c r="AZ70" s="43"/>
      <c r="BH70" s="50"/>
      <c r="BI70" s="51"/>
    </row>
    <row r="71" spans="1:61" ht="18" customHeight="1">
      <c r="A71" s="36"/>
      <c r="B71" s="404"/>
      <c r="C71" s="404"/>
      <c r="D71" s="404"/>
      <c r="E71" s="404"/>
      <c r="F71" s="288"/>
      <c r="G71" s="288"/>
      <c r="H71" s="288"/>
      <c r="I71" s="288"/>
      <c r="J71" s="288"/>
      <c r="K71" s="288"/>
      <c r="L71" s="288"/>
      <c r="M71" s="288"/>
      <c r="N71" s="288"/>
      <c r="O71" s="288"/>
      <c r="P71" s="288"/>
      <c r="Q71" s="288"/>
      <c r="R71" s="288"/>
      <c r="S71" s="288"/>
      <c r="T71" s="288"/>
      <c r="U71" s="288"/>
      <c r="V71" s="288"/>
      <c r="W71" s="288"/>
      <c r="X71" s="288"/>
      <c r="Y71" s="288"/>
      <c r="Z71" s="288"/>
      <c r="AA71" s="288"/>
      <c r="AB71" s="288"/>
      <c r="AC71" s="288"/>
      <c r="AD71" s="288"/>
      <c r="AE71" s="288"/>
      <c r="AF71" s="288"/>
      <c r="AG71" s="288"/>
      <c r="AH71" s="288"/>
      <c r="AI71" s="289"/>
      <c r="AK71" s="425"/>
      <c r="AL71" s="425"/>
      <c r="AM71" s="425"/>
      <c r="AN71" s="425"/>
      <c r="AO71" s="425"/>
      <c r="AP71" s="425"/>
      <c r="AQ71" s="42"/>
      <c r="AR71" s="43"/>
      <c r="AS71" s="43"/>
      <c r="AT71" s="43"/>
      <c r="AU71" s="43"/>
      <c r="AV71" s="43"/>
      <c r="AW71" s="43"/>
      <c r="AX71" s="43"/>
      <c r="AY71" s="43"/>
      <c r="AZ71" s="43"/>
      <c r="BH71" s="52"/>
      <c r="BI71" s="51"/>
    </row>
    <row r="72" spans="1:61" ht="18" customHeight="1">
      <c r="A72" s="36"/>
      <c r="B72" s="404"/>
      <c r="C72" s="404"/>
      <c r="D72" s="404"/>
      <c r="E72" s="404"/>
      <c r="F72" s="288"/>
      <c r="G72" s="288"/>
      <c r="H72" s="288"/>
      <c r="I72" s="288"/>
      <c r="J72" s="288"/>
      <c r="K72" s="288"/>
      <c r="L72" s="288"/>
      <c r="M72" s="288"/>
      <c r="N72" s="288"/>
      <c r="O72" s="288"/>
      <c r="P72" s="288"/>
      <c r="Q72" s="288"/>
      <c r="R72" s="288"/>
      <c r="S72" s="288"/>
      <c r="T72" s="288"/>
      <c r="U72" s="288"/>
      <c r="V72" s="288"/>
      <c r="W72" s="288"/>
      <c r="X72" s="288"/>
      <c r="Y72" s="288"/>
      <c r="Z72" s="288"/>
      <c r="AA72" s="288"/>
      <c r="AB72" s="288"/>
      <c r="AC72" s="288"/>
      <c r="AD72" s="288"/>
      <c r="AE72" s="288"/>
      <c r="AF72" s="288"/>
      <c r="AG72" s="288"/>
      <c r="AH72" s="288"/>
      <c r="AI72" s="289"/>
      <c r="AK72" s="425"/>
      <c r="AL72" s="425"/>
      <c r="AM72" s="425"/>
      <c r="AN72" s="425"/>
      <c r="AO72" s="425"/>
      <c r="AP72" s="425"/>
      <c r="AQ72" s="42"/>
      <c r="AR72" s="43"/>
      <c r="AS72" s="43"/>
      <c r="AT72" s="43"/>
      <c r="AU72" s="43"/>
      <c r="AV72" s="43"/>
      <c r="AW72" s="43"/>
      <c r="AX72" s="43"/>
      <c r="AY72" s="43"/>
      <c r="AZ72" s="43"/>
      <c r="BH72" s="53"/>
      <c r="BI72" s="51"/>
    </row>
    <row r="73" spans="1:61" ht="18" customHeight="1">
      <c r="A73" s="36"/>
      <c r="B73" s="404"/>
      <c r="C73" s="404"/>
      <c r="D73" s="404"/>
      <c r="E73" s="404"/>
      <c r="F73" s="288"/>
      <c r="G73" s="288"/>
      <c r="H73" s="288"/>
      <c r="I73" s="288"/>
      <c r="J73" s="288"/>
      <c r="K73" s="288"/>
      <c r="L73" s="288"/>
      <c r="M73" s="288"/>
      <c r="N73" s="288"/>
      <c r="O73" s="288"/>
      <c r="P73" s="288"/>
      <c r="Q73" s="288"/>
      <c r="R73" s="288"/>
      <c r="S73" s="288"/>
      <c r="T73" s="288"/>
      <c r="U73" s="288"/>
      <c r="V73" s="288"/>
      <c r="W73" s="288"/>
      <c r="X73" s="288"/>
      <c r="Y73" s="288"/>
      <c r="Z73" s="288"/>
      <c r="AA73" s="288"/>
      <c r="AB73" s="288"/>
      <c r="AC73" s="288"/>
      <c r="AD73" s="288"/>
      <c r="AE73" s="288"/>
      <c r="AF73" s="288"/>
      <c r="AG73" s="288"/>
      <c r="AH73" s="288"/>
      <c r="AI73" s="289"/>
      <c r="AK73" s="425"/>
      <c r="AL73" s="425"/>
      <c r="AM73" s="425"/>
      <c r="AN73" s="425"/>
      <c r="AO73" s="425"/>
      <c r="AP73" s="425"/>
      <c r="AQ73" s="42"/>
      <c r="AR73" s="43"/>
      <c r="AS73" s="43"/>
      <c r="AT73" s="43"/>
      <c r="AU73" s="43"/>
      <c r="AV73" s="43"/>
      <c r="AW73" s="43"/>
      <c r="AX73" s="43"/>
      <c r="AY73" s="43"/>
      <c r="AZ73" s="43"/>
      <c r="BH73" s="54"/>
      <c r="BI73" s="51"/>
    </row>
    <row r="74" spans="1:61" ht="18" customHeight="1">
      <c r="A74" s="36"/>
      <c r="B74" s="404"/>
      <c r="C74" s="404"/>
      <c r="D74" s="404"/>
      <c r="E74" s="404"/>
      <c r="F74" s="288"/>
      <c r="G74" s="288"/>
      <c r="H74" s="288"/>
      <c r="I74" s="288"/>
      <c r="J74" s="288"/>
      <c r="K74" s="288"/>
      <c r="L74" s="288"/>
      <c r="M74" s="288"/>
      <c r="N74" s="288"/>
      <c r="O74" s="288"/>
      <c r="P74" s="288"/>
      <c r="Q74" s="288"/>
      <c r="R74" s="288"/>
      <c r="S74" s="288"/>
      <c r="T74" s="288"/>
      <c r="U74" s="288"/>
      <c r="V74" s="288"/>
      <c r="W74" s="288"/>
      <c r="X74" s="288"/>
      <c r="Y74" s="288"/>
      <c r="Z74" s="288"/>
      <c r="AA74" s="288"/>
      <c r="AB74" s="288"/>
      <c r="AC74" s="288"/>
      <c r="AD74" s="288"/>
      <c r="AE74" s="288"/>
      <c r="AF74" s="288"/>
      <c r="AG74" s="288"/>
      <c r="AH74" s="288"/>
      <c r="AI74" s="289"/>
      <c r="AK74" s="425"/>
      <c r="AL74" s="425"/>
      <c r="AM74" s="425"/>
      <c r="AN74" s="425"/>
      <c r="AO74" s="425"/>
      <c r="AP74" s="425"/>
      <c r="AQ74" s="42"/>
      <c r="AR74" s="43"/>
      <c r="AS74" s="43"/>
      <c r="AT74" s="43"/>
      <c r="AU74" s="43"/>
      <c r="AV74" s="43"/>
      <c r="AW74" s="43"/>
      <c r="AX74" s="43"/>
      <c r="AY74" s="43"/>
      <c r="AZ74" s="43"/>
      <c r="BH74" s="54"/>
      <c r="BI74" s="51"/>
    </row>
    <row r="75" spans="1:61" ht="18" customHeight="1">
      <c r="A75" s="36"/>
      <c r="B75" s="404"/>
      <c r="C75" s="404"/>
      <c r="D75" s="404"/>
      <c r="E75" s="404"/>
      <c r="F75" s="288"/>
      <c r="G75" s="288"/>
      <c r="H75" s="288"/>
      <c r="I75" s="288"/>
      <c r="J75" s="288"/>
      <c r="K75" s="288"/>
      <c r="L75" s="288"/>
      <c r="M75" s="288"/>
      <c r="N75" s="288"/>
      <c r="O75" s="288"/>
      <c r="P75" s="288"/>
      <c r="Q75" s="288"/>
      <c r="R75" s="288"/>
      <c r="S75" s="288"/>
      <c r="T75" s="288"/>
      <c r="U75" s="288"/>
      <c r="V75" s="288"/>
      <c r="W75" s="288"/>
      <c r="X75" s="288"/>
      <c r="Y75" s="288"/>
      <c r="Z75" s="288"/>
      <c r="AA75" s="288"/>
      <c r="AB75" s="288"/>
      <c r="AC75" s="288"/>
      <c r="AD75" s="288"/>
      <c r="AE75" s="288"/>
      <c r="AF75" s="288"/>
      <c r="AG75" s="288"/>
      <c r="AH75" s="288"/>
      <c r="AI75" s="289"/>
      <c r="AK75" s="425"/>
      <c r="AL75" s="425"/>
      <c r="AM75" s="425"/>
      <c r="AN75" s="425"/>
      <c r="AO75" s="425"/>
      <c r="AP75" s="425"/>
      <c r="AQ75" s="42"/>
      <c r="AR75" s="43"/>
      <c r="AS75" s="43"/>
      <c r="AT75" s="43"/>
      <c r="AU75" s="43"/>
      <c r="AV75" s="43"/>
      <c r="AW75" s="43"/>
      <c r="AX75" s="43"/>
      <c r="AY75" s="43"/>
      <c r="AZ75" s="43"/>
      <c r="BH75" s="53"/>
      <c r="BI75" s="51"/>
    </row>
    <row r="76" spans="1:61" ht="18" customHeight="1">
      <c r="A76" s="36"/>
      <c r="B76" s="404"/>
      <c r="C76" s="404"/>
      <c r="D76" s="404"/>
      <c r="E76" s="404"/>
      <c r="F76" s="288"/>
      <c r="G76" s="288"/>
      <c r="H76" s="288"/>
      <c r="I76" s="288"/>
      <c r="J76" s="288"/>
      <c r="K76" s="288"/>
      <c r="L76" s="288"/>
      <c r="M76" s="288"/>
      <c r="N76" s="288"/>
      <c r="O76" s="288"/>
      <c r="P76" s="288"/>
      <c r="Q76" s="288"/>
      <c r="R76" s="288"/>
      <c r="S76" s="288"/>
      <c r="T76" s="288"/>
      <c r="U76" s="288"/>
      <c r="V76" s="288"/>
      <c r="W76" s="288"/>
      <c r="X76" s="288"/>
      <c r="Y76" s="288"/>
      <c r="Z76" s="288"/>
      <c r="AA76" s="288"/>
      <c r="AB76" s="288"/>
      <c r="AC76" s="288"/>
      <c r="AD76" s="288"/>
      <c r="AE76" s="288"/>
      <c r="AF76" s="288"/>
      <c r="AG76" s="288"/>
      <c r="AH76" s="288"/>
      <c r="AI76" s="289"/>
      <c r="AK76" s="425"/>
      <c r="AL76" s="425"/>
      <c r="AM76" s="425"/>
      <c r="AN76" s="425"/>
      <c r="AO76" s="425"/>
      <c r="AP76" s="425"/>
      <c r="AQ76" s="42"/>
      <c r="AR76" s="43"/>
      <c r="AS76" s="43"/>
      <c r="AT76" s="43"/>
      <c r="AU76" s="43"/>
      <c r="AV76" s="43"/>
      <c r="AW76" s="43"/>
      <c r="AX76" s="43"/>
      <c r="AY76" s="43"/>
      <c r="AZ76" s="43"/>
      <c r="BH76" s="53"/>
      <c r="BI76" s="51"/>
    </row>
    <row r="77" spans="1:61" ht="18" customHeight="1">
      <c r="A77" s="36"/>
      <c r="B77" s="404"/>
      <c r="C77" s="404"/>
      <c r="D77" s="404"/>
      <c r="E77" s="404"/>
      <c r="F77" s="288"/>
      <c r="G77" s="288"/>
      <c r="H77" s="288"/>
      <c r="I77" s="288"/>
      <c r="J77" s="288"/>
      <c r="K77" s="288"/>
      <c r="L77" s="288"/>
      <c r="M77" s="288"/>
      <c r="N77" s="288"/>
      <c r="O77" s="288"/>
      <c r="P77" s="288"/>
      <c r="Q77" s="288"/>
      <c r="R77" s="288"/>
      <c r="S77" s="288"/>
      <c r="T77" s="288"/>
      <c r="U77" s="288"/>
      <c r="V77" s="288"/>
      <c r="W77" s="288"/>
      <c r="X77" s="288"/>
      <c r="Y77" s="288"/>
      <c r="Z77" s="288"/>
      <c r="AA77" s="288"/>
      <c r="AB77" s="288"/>
      <c r="AC77" s="288"/>
      <c r="AD77" s="288"/>
      <c r="AE77" s="288"/>
      <c r="AF77" s="288"/>
      <c r="AG77" s="288"/>
      <c r="AH77" s="288"/>
      <c r="AI77" s="289"/>
      <c r="AK77" s="425"/>
      <c r="AL77" s="425"/>
      <c r="AM77" s="425"/>
      <c r="AN77" s="425"/>
      <c r="AO77" s="425"/>
      <c r="AP77" s="425"/>
      <c r="AQ77" s="42"/>
      <c r="AR77" s="43"/>
      <c r="AS77" s="43"/>
      <c r="AT77" s="43"/>
      <c r="AU77" s="43"/>
      <c r="AV77" s="43"/>
      <c r="AW77" s="43"/>
      <c r="AX77" s="43"/>
      <c r="AY77" s="43"/>
      <c r="AZ77" s="43"/>
      <c r="BH77" s="54"/>
      <c r="BI77" s="51"/>
    </row>
    <row r="78" spans="1:61" ht="18" customHeight="1">
      <c r="A78" s="36"/>
      <c r="B78" s="404"/>
      <c r="C78" s="404"/>
      <c r="D78" s="404"/>
      <c r="E78" s="404"/>
      <c r="F78" s="288"/>
      <c r="G78" s="288"/>
      <c r="H78" s="288"/>
      <c r="I78" s="288"/>
      <c r="J78" s="288"/>
      <c r="K78" s="288"/>
      <c r="L78" s="288"/>
      <c r="M78" s="288"/>
      <c r="N78" s="288"/>
      <c r="O78" s="288"/>
      <c r="P78" s="288"/>
      <c r="Q78" s="288"/>
      <c r="R78" s="288"/>
      <c r="S78" s="288"/>
      <c r="T78" s="288"/>
      <c r="U78" s="288"/>
      <c r="V78" s="288"/>
      <c r="W78" s="288"/>
      <c r="X78" s="288"/>
      <c r="Y78" s="288"/>
      <c r="Z78" s="288"/>
      <c r="AA78" s="288"/>
      <c r="AB78" s="288"/>
      <c r="AC78" s="288"/>
      <c r="AD78" s="288"/>
      <c r="AE78" s="288"/>
      <c r="AF78" s="288"/>
      <c r="AG78" s="288"/>
      <c r="AH78" s="288"/>
      <c r="AI78" s="289"/>
      <c r="AK78" s="425"/>
      <c r="AL78" s="425"/>
      <c r="AM78" s="425"/>
      <c r="AN78" s="425"/>
      <c r="AO78" s="425"/>
      <c r="AP78" s="425"/>
      <c r="AQ78" s="42"/>
      <c r="AR78" s="43"/>
      <c r="AS78" s="43"/>
      <c r="AT78" s="43"/>
      <c r="AU78" s="43"/>
      <c r="AV78" s="43"/>
      <c r="AW78" s="43"/>
      <c r="AX78" s="43"/>
      <c r="AY78" s="43"/>
      <c r="AZ78" s="43"/>
      <c r="BH78" s="54"/>
      <c r="BI78" s="51"/>
    </row>
    <row r="79" spans="1:61" ht="18" customHeight="1">
      <c r="A79" s="36"/>
      <c r="B79" s="404"/>
      <c r="C79" s="404"/>
      <c r="D79" s="404"/>
      <c r="E79" s="404"/>
      <c r="F79" s="288"/>
      <c r="G79" s="288"/>
      <c r="H79" s="288"/>
      <c r="I79" s="288"/>
      <c r="J79" s="288"/>
      <c r="K79" s="288"/>
      <c r="L79" s="288"/>
      <c r="M79" s="288"/>
      <c r="N79" s="288"/>
      <c r="O79" s="288"/>
      <c r="P79" s="288"/>
      <c r="Q79" s="288"/>
      <c r="R79" s="288"/>
      <c r="S79" s="288"/>
      <c r="T79" s="288"/>
      <c r="U79" s="288"/>
      <c r="V79" s="288"/>
      <c r="W79" s="288"/>
      <c r="X79" s="288"/>
      <c r="Y79" s="288"/>
      <c r="Z79" s="288"/>
      <c r="AA79" s="288"/>
      <c r="AB79" s="288"/>
      <c r="AC79" s="288"/>
      <c r="AD79" s="288"/>
      <c r="AE79" s="288"/>
      <c r="AF79" s="288"/>
      <c r="AG79" s="288"/>
      <c r="AH79" s="288"/>
      <c r="AI79" s="289"/>
      <c r="AK79" s="425"/>
      <c r="AL79" s="425"/>
      <c r="AM79" s="425"/>
      <c r="AN79" s="425"/>
      <c r="AO79" s="425"/>
      <c r="AP79" s="425"/>
      <c r="AQ79" s="42"/>
      <c r="AR79" s="43"/>
      <c r="AS79" s="43"/>
      <c r="AT79" s="43"/>
      <c r="AU79" s="43"/>
      <c r="AV79" s="43"/>
      <c r="AW79" s="43"/>
      <c r="AX79" s="43"/>
      <c r="AY79" s="43"/>
      <c r="AZ79" s="43"/>
      <c r="BH79" s="54"/>
      <c r="BI79" s="51"/>
    </row>
    <row r="80" spans="1:61" ht="18" customHeight="1">
      <c r="A80" s="37"/>
      <c r="B80" s="466"/>
      <c r="C80" s="466"/>
      <c r="D80" s="466"/>
      <c r="E80" s="466"/>
      <c r="F80" s="467"/>
      <c r="G80" s="467"/>
      <c r="H80" s="467"/>
      <c r="I80" s="467"/>
      <c r="J80" s="467"/>
      <c r="K80" s="467"/>
      <c r="L80" s="467"/>
      <c r="M80" s="467"/>
      <c r="N80" s="467"/>
      <c r="O80" s="467"/>
      <c r="P80" s="467"/>
      <c r="Q80" s="467"/>
      <c r="R80" s="467"/>
      <c r="S80" s="467"/>
      <c r="T80" s="467"/>
      <c r="U80" s="467"/>
      <c r="V80" s="467"/>
      <c r="W80" s="467"/>
      <c r="X80" s="467"/>
      <c r="Y80" s="467"/>
      <c r="Z80" s="467"/>
      <c r="AA80" s="467"/>
      <c r="AB80" s="467"/>
      <c r="AC80" s="467"/>
      <c r="AD80" s="467"/>
      <c r="AE80" s="467"/>
      <c r="AF80" s="467"/>
      <c r="AG80" s="467"/>
      <c r="AH80" s="467"/>
      <c r="AI80" s="468"/>
      <c r="AK80" s="425"/>
      <c r="AL80" s="425"/>
      <c r="AM80" s="425"/>
      <c r="AN80" s="425"/>
      <c r="AO80" s="425"/>
      <c r="AP80" s="425"/>
      <c r="AQ80" s="42"/>
      <c r="AR80" s="43"/>
      <c r="AS80" s="43"/>
      <c r="AT80" s="43"/>
      <c r="AU80" s="43"/>
      <c r="AV80" s="43"/>
      <c r="AW80" s="43"/>
      <c r="AX80" s="43"/>
      <c r="AY80" s="43"/>
      <c r="AZ80" s="43"/>
      <c r="BH80" s="54"/>
      <c r="BI80" s="51"/>
    </row>
    <row r="81" spans="1:61" ht="18" customHeight="1">
      <c r="A81" s="406" t="s">
        <v>704</v>
      </c>
      <c r="B81" s="407"/>
      <c r="C81" s="407"/>
      <c r="D81" s="407"/>
      <c r="E81" s="407"/>
      <c r="F81" s="407"/>
      <c r="G81" s="407"/>
      <c r="H81" s="407"/>
      <c r="I81" s="407"/>
      <c r="J81" s="407"/>
      <c r="K81" s="407"/>
      <c r="L81" s="407"/>
      <c r="M81" s="407"/>
      <c r="N81" s="407"/>
      <c r="O81" s="407"/>
      <c r="P81" s="407"/>
      <c r="Q81" s="407"/>
      <c r="R81" s="407"/>
      <c r="S81" s="407"/>
      <c r="T81" s="407"/>
      <c r="U81" s="407"/>
      <c r="V81" s="407"/>
      <c r="W81" s="407"/>
      <c r="X81" s="407"/>
      <c r="Y81" s="407"/>
      <c r="Z81" s="407"/>
      <c r="AA81" s="407"/>
      <c r="AB81" s="407"/>
      <c r="AC81" s="407"/>
      <c r="AD81" s="407"/>
      <c r="AE81" s="407"/>
      <c r="AF81" s="407"/>
      <c r="AG81" s="407"/>
      <c r="AH81" s="407"/>
      <c r="AI81" s="408"/>
      <c r="AK81" s="425"/>
      <c r="AL81" s="425"/>
      <c r="AM81" s="425"/>
      <c r="AN81" s="425"/>
      <c r="AO81" s="425"/>
      <c r="AP81" s="425"/>
      <c r="AQ81" s="42"/>
      <c r="AR81" s="43"/>
      <c r="AS81" s="43"/>
      <c r="AT81" s="43"/>
      <c r="AU81" s="43"/>
      <c r="AV81" s="43"/>
      <c r="AW81" s="43"/>
      <c r="AX81" s="43"/>
      <c r="AY81" s="43"/>
      <c r="AZ81" s="43"/>
      <c r="BH81" s="53"/>
      <c r="BI81" s="51"/>
    </row>
    <row r="82" spans="1:61" ht="18" customHeight="1">
      <c r="A82" s="38"/>
      <c r="B82" s="465">
        <v>46150</v>
      </c>
      <c r="C82" s="465"/>
      <c r="D82" s="465"/>
      <c r="E82" s="465"/>
      <c r="F82" s="288" t="s">
        <v>705</v>
      </c>
      <c r="G82" s="288"/>
      <c r="H82" s="288"/>
      <c r="I82" s="288"/>
      <c r="J82" s="288"/>
      <c r="K82" s="288"/>
      <c r="L82" s="288"/>
      <c r="M82" s="288"/>
      <c r="N82" s="288"/>
      <c r="O82" s="288"/>
      <c r="P82" s="288"/>
      <c r="Q82" s="288"/>
      <c r="R82" s="288"/>
      <c r="S82" s="288"/>
      <c r="T82" s="288"/>
      <c r="U82" s="288"/>
      <c r="V82" s="288"/>
      <c r="W82" s="288"/>
      <c r="X82" s="288"/>
      <c r="Y82" s="288"/>
      <c r="Z82" s="288"/>
      <c r="AA82" s="288"/>
      <c r="AB82" s="288"/>
      <c r="AC82" s="288"/>
      <c r="AD82" s="288"/>
      <c r="AE82" s="288"/>
      <c r="AF82" s="288"/>
      <c r="AG82" s="288"/>
      <c r="AH82" s="288"/>
      <c r="AI82" s="289"/>
      <c r="AK82" s="425"/>
      <c r="AL82" s="425"/>
      <c r="AM82" s="425"/>
      <c r="AN82" s="425"/>
      <c r="AO82" s="425"/>
      <c r="AP82" s="425"/>
      <c r="AQ82" s="42"/>
      <c r="AR82" s="43"/>
      <c r="AS82" s="43"/>
      <c r="AT82" s="43"/>
      <c r="AU82" s="43"/>
      <c r="AV82" s="43"/>
      <c r="AW82" s="43"/>
      <c r="AX82" s="43"/>
      <c r="AY82" s="43"/>
      <c r="AZ82" s="43"/>
      <c r="BH82" s="53"/>
      <c r="BI82" s="51"/>
    </row>
    <row r="83" spans="1:61" ht="18" customHeight="1">
      <c r="A83" s="38"/>
      <c r="B83" s="465">
        <v>46161</v>
      </c>
      <c r="C83" s="465"/>
      <c r="D83" s="465"/>
      <c r="E83" s="465"/>
      <c r="F83" s="288" t="s">
        <v>706</v>
      </c>
      <c r="G83" s="288"/>
      <c r="H83" s="288"/>
      <c r="I83" s="288"/>
      <c r="J83" s="288"/>
      <c r="K83" s="288"/>
      <c r="L83" s="288"/>
      <c r="M83" s="288"/>
      <c r="N83" s="288"/>
      <c r="O83" s="288"/>
      <c r="P83" s="288"/>
      <c r="Q83" s="288"/>
      <c r="R83" s="288"/>
      <c r="S83" s="288"/>
      <c r="T83" s="288"/>
      <c r="U83" s="288"/>
      <c r="V83" s="288"/>
      <c r="W83" s="288"/>
      <c r="X83" s="288"/>
      <c r="Y83" s="288"/>
      <c r="Z83" s="288"/>
      <c r="AA83" s="288"/>
      <c r="AB83" s="288"/>
      <c r="AC83" s="288"/>
      <c r="AD83" s="288"/>
      <c r="AE83" s="288"/>
      <c r="AF83" s="288"/>
      <c r="AG83" s="288"/>
      <c r="AH83" s="288"/>
      <c r="AI83" s="289"/>
      <c r="AK83" s="425"/>
      <c r="AL83" s="425"/>
      <c r="AM83" s="425"/>
      <c r="AN83" s="425"/>
      <c r="AO83" s="425"/>
      <c r="AP83" s="425"/>
      <c r="AQ83" s="42"/>
      <c r="AR83" s="43"/>
      <c r="AS83" s="43"/>
      <c r="AT83" s="43"/>
      <c r="AU83" s="43"/>
      <c r="AV83" s="43"/>
      <c r="AW83" s="43"/>
      <c r="AX83" s="43"/>
      <c r="AY83" s="43"/>
      <c r="AZ83" s="43"/>
      <c r="BH83" s="53"/>
      <c r="BI83" s="51"/>
    </row>
    <row r="84" spans="1:61" ht="18" customHeight="1">
      <c r="A84" s="38"/>
      <c r="B84" s="465">
        <v>46168</v>
      </c>
      <c r="C84" s="465"/>
      <c r="D84" s="465"/>
      <c r="E84" s="465"/>
      <c r="F84" s="288" t="s">
        <v>723</v>
      </c>
      <c r="G84" s="288"/>
      <c r="H84" s="288"/>
      <c r="I84" s="288"/>
      <c r="J84" s="288"/>
      <c r="K84" s="288"/>
      <c r="L84" s="288"/>
      <c r="M84" s="288"/>
      <c r="N84" s="288"/>
      <c r="O84" s="288"/>
      <c r="P84" s="288"/>
      <c r="Q84" s="288"/>
      <c r="R84" s="288"/>
      <c r="S84" s="288"/>
      <c r="T84" s="288"/>
      <c r="U84" s="288"/>
      <c r="V84" s="288"/>
      <c r="W84" s="288"/>
      <c r="X84" s="288"/>
      <c r="Y84" s="288"/>
      <c r="Z84" s="288"/>
      <c r="AA84" s="288"/>
      <c r="AB84" s="288"/>
      <c r="AC84" s="288"/>
      <c r="AD84" s="288"/>
      <c r="AE84" s="288"/>
      <c r="AF84" s="288"/>
      <c r="AG84" s="288"/>
      <c r="AH84" s="288"/>
      <c r="AI84" s="289"/>
      <c r="AK84" s="425"/>
      <c r="AL84" s="425"/>
      <c r="AM84" s="425"/>
      <c r="AN84" s="425"/>
      <c r="AO84" s="425"/>
      <c r="AP84" s="425"/>
      <c r="AQ84" s="42"/>
      <c r="AR84" s="43"/>
      <c r="AS84" s="43"/>
      <c r="AT84" s="43"/>
      <c r="AU84" s="43"/>
      <c r="AV84" s="43"/>
      <c r="AW84" s="43"/>
      <c r="AX84" s="43"/>
      <c r="AY84" s="43"/>
      <c r="AZ84" s="43"/>
    </row>
    <row r="85" spans="1:61" ht="18" customHeight="1">
      <c r="A85" s="38"/>
      <c r="B85" s="465"/>
      <c r="C85" s="465"/>
      <c r="D85" s="465"/>
      <c r="E85" s="465"/>
      <c r="F85" s="288"/>
      <c r="G85" s="288"/>
      <c r="H85" s="288"/>
      <c r="I85" s="288"/>
      <c r="J85" s="288"/>
      <c r="K85" s="288"/>
      <c r="L85" s="288"/>
      <c r="M85" s="288"/>
      <c r="N85" s="288"/>
      <c r="O85" s="288"/>
      <c r="P85" s="288"/>
      <c r="Q85" s="288"/>
      <c r="R85" s="288"/>
      <c r="S85" s="288"/>
      <c r="T85" s="288"/>
      <c r="U85" s="288"/>
      <c r="V85" s="288"/>
      <c r="W85" s="288"/>
      <c r="X85" s="288"/>
      <c r="Y85" s="288"/>
      <c r="Z85" s="288"/>
      <c r="AA85" s="288"/>
      <c r="AB85" s="288"/>
      <c r="AC85" s="288"/>
      <c r="AD85" s="288"/>
      <c r="AE85" s="288"/>
      <c r="AF85" s="288"/>
      <c r="AG85" s="288"/>
      <c r="AH85" s="288"/>
      <c r="AI85" s="289"/>
      <c r="AK85" s="425"/>
      <c r="AL85" s="425"/>
      <c r="AM85" s="425"/>
      <c r="AN85" s="425"/>
      <c r="AO85" s="425"/>
      <c r="AP85" s="425"/>
      <c r="AQ85" s="42"/>
      <c r="AR85" s="43"/>
      <c r="AS85" s="43"/>
      <c r="AT85" s="43"/>
      <c r="AU85" s="43"/>
      <c r="AV85" s="43"/>
      <c r="AW85" s="43"/>
      <c r="AX85" s="43"/>
      <c r="AY85" s="43"/>
      <c r="AZ85" s="43"/>
    </row>
    <row r="86" spans="1:61" ht="18" customHeight="1" thickBot="1">
      <c r="A86" s="41"/>
      <c r="B86" s="540"/>
      <c r="C86" s="540"/>
      <c r="D86" s="540"/>
      <c r="E86" s="540"/>
      <c r="F86" s="541"/>
      <c r="G86" s="541"/>
      <c r="H86" s="541"/>
      <c r="I86" s="541"/>
      <c r="J86" s="541"/>
      <c r="K86" s="541"/>
      <c r="L86" s="541"/>
      <c r="M86" s="541"/>
      <c r="N86" s="541"/>
      <c r="O86" s="541"/>
      <c r="P86" s="541"/>
      <c r="Q86" s="541"/>
      <c r="R86" s="541"/>
      <c r="S86" s="541"/>
      <c r="T86" s="541"/>
      <c r="U86" s="541"/>
      <c r="V86" s="541"/>
      <c r="W86" s="541"/>
      <c r="X86" s="541"/>
      <c r="Y86" s="541"/>
      <c r="Z86" s="541"/>
      <c r="AA86" s="541"/>
      <c r="AB86" s="541"/>
      <c r="AC86" s="541"/>
      <c r="AD86" s="541"/>
      <c r="AE86" s="541"/>
      <c r="AF86" s="541"/>
      <c r="AG86" s="541"/>
      <c r="AH86" s="541"/>
      <c r="AI86" s="542"/>
      <c r="AK86" s="425"/>
      <c r="AL86" s="425"/>
      <c r="AM86" s="425"/>
      <c r="AN86" s="425"/>
      <c r="AO86" s="425"/>
      <c r="AP86" s="425"/>
      <c r="AQ86" s="42"/>
      <c r="AR86" s="43"/>
      <c r="AS86" s="43"/>
      <c r="AT86" s="43"/>
      <c r="AU86" s="43"/>
      <c r="AV86" s="43"/>
      <c r="AW86" s="43"/>
      <c r="AX86" s="43"/>
      <c r="AY86" s="43"/>
      <c r="AZ86" s="43"/>
    </row>
    <row r="87" spans="1:61" ht="14.1" customHeight="1">
      <c r="AK87" s="438"/>
      <c r="AL87" s="438"/>
      <c r="AM87" s="438"/>
      <c r="AN87" s="438"/>
      <c r="AO87" s="438"/>
      <c r="AP87" s="438"/>
      <c r="AQ87" s="119"/>
    </row>
    <row r="88" spans="1:61" ht="14.1" customHeight="1">
      <c r="AK88" s="437"/>
      <c r="AL88" s="437"/>
      <c r="AM88" s="437"/>
      <c r="AN88" s="437"/>
      <c r="AO88" s="437"/>
      <c r="AP88" s="437"/>
      <c r="AQ88" s="120"/>
    </row>
    <row r="89" spans="1:61" ht="14.1" customHeight="1">
      <c r="AK89" s="437"/>
      <c r="AL89" s="437"/>
      <c r="AM89" s="437"/>
      <c r="AN89" s="437"/>
      <c r="AO89" s="437"/>
      <c r="AP89" s="437"/>
      <c r="AQ89" s="120"/>
    </row>
    <row r="90" spans="1:61" ht="14.1" customHeight="1"/>
    <row r="91" spans="1:61" ht="14.1" customHeight="1"/>
    <row r="92" spans="1:61" ht="14.1" customHeight="1"/>
    <row r="93" spans="1:61" ht="14.1" customHeight="1"/>
    <row r="94" spans="1:61" ht="14.1" customHeight="1"/>
    <row r="95" spans="1:61" ht="14.1" customHeight="1"/>
    <row r="96" spans="1:61" ht="14.1" customHeight="1"/>
    <row r="97" ht="14.1" customHeight="1"/>
    <row r="98" ht="14.1" customHeight="1"/>
    <row r="99" ht="14.1" customHeight="1"/>
    <row r="100" ht="14.1" customHeight="1"/>
    <row r="101" ht="14.1" customHeight="1"/>
    <row r="102" ht="14.1" customHeight="1"/>
    <row r="103" ht="14.1" customHeight="1"/>
    <row r="104" ht="14.1" customHeight="1"/>
    <row r="105" ht="14.1" customHeight="1"/>
    <row r="106" ht="14.1" customHeight="1"/>
    <row r="107" ht="14.1" customHeight="1"/>
    <row r="108" ht="14.1" customHeight="1"/>
    <row r="109" ht="14.1" customHeight="1"/>
    <row r="110" ht="14.1" customHeight="1"/>
    <row r="111" ht="14.1" customHeight="1"/>
    <row r="112" ht="14.1" customHeight="1"/>
    <row r="113" ht="14.1" customHeight="1"/>
    <row r="114" ht="14.1" customHeight="1"/>
    <row r="115" ht="14.1" customHeight="1"/>
    <row r="116" ht="14.1" customHeight="1"/>
    <row r="117" ht="14.1" customHeight="1"/>
    <row r="118" ht="14.1" customHeight="1"/>
    <row r="119" ht="14.1" customHeight="1"/>
    <row r="120" ht="14.1" customHeight="1"/>
    <row r="121" ht="14.1" customHeight="1"/>
    <row r="122" ht="14.1" customHeight="1"/>
    <row r="123" ht="14.1" customHeight="1"/>
    <row r="124" ht="14.1" customHeight="1"/>
    <row r="125" ht="14.1" customHeight="1"/>
    <row r="126" ht="14.1" customHeight="1"/>
    <row r="127" ht="14.1" customHeight="1"/>
    <row r="128" ht="14.1" customHeight="1"/>
    <row r="129" ht="14.1" customHeight="1"/>
    <row r="130" ht="14.1" customHeight="1"/>
    <row r="131" ht="14.1" customHeight="1"/>
    <row r="132" ht="14.1" customHeight="1"/>
    <row r="133" ht="14.1" customHeight="1"/>
    <row r="134" ht="14.1" customHeight="1"/>
    <row r="135" ht="14.1" customHeight="1"/>
    <row r="136" ht="14.1" customHeight="1"/>
    <row r="137" ht="14.1" customHeight="1"/>
    <row r="138" ht="14.1" customHeight="1"/>
    <row r="139" ht="14.1" customHeight="1"/>
    <row r="140" ht="14.1" customHeight="1"/>
    <row r="141" ht="14.1" customHeight="1"/>
    <row r="142" ht="14.1" customHeight="1"/>
    <row r="143" ht="14.1" customHeight="1"/>
    <row r="144" ht="14.1" customHeight="1"/>
    <row r="145" ht="14.1" customHeight="1"/>
    <row r="146" ht="14.1" customHeight="1"/>
    <row r="147" ht="14.1" customHeight="1"/>
    <row r="148" ht="14.1" customHeight="1"/>
    <row r="149" ht="14.1" customHeight="1"/>
    <row r="150" ht="14.1" customHeight="1"/>
    <row r="151" ht="14.1" customHeight="1"/>
    <row r="152" ht="14.1" customHeight="1"/>
    <row r="153" ht="14.1" customHeight="1"/>
    <row r="154" ht="14.1" customHeight="1"/>
    <row r="155" ht="14.1" customHeight="1"/>
    <row r="156" ht="14.1" customHeight="1"/>
    <row r="157" ht="14.1" customHeight="1"/>
    <row r="158" ht="14.1" customHeight="1"/>
    <row r="159" ht="14.1" customHeight="1"/>
    <row r="160" ht="14.1" customHeight="1"/>
    <row r="161" ht="14.1" customHeight="1"/>
    <row r="162" ht="14.1" customHeight="1"/>
    <row r="163" ht="14.1" customHeight="1"/>
    <row r="164" ht="14.1" customHeight="1"/>
    <row r="165" ht="14.1" customHeight="1"/>
    <row r="166" ht="14.1" customHeight="1"/>
    <row r="167" ht="14.1" customHeight="1"/>
    <row r="168" ht="14.1" customHeight="1"/>
    <row r="169" ht="14.1" customHeight="1"/>
    <row r="170" ht="14.1" customHeight="1"/>
    <row r="171" ht="14.1" customHeight="1"/>
    <row r="172" ht="14.1" customHeight="1"/>
    <row r="173" ht="14.1" customHeight="1"/>
    <row r="174" ht="14.1" customHeight="1"/>
    <row r="175" ht="14.1" customHeight="1"/>
    <row r="176" ht="14.1" customHeight="1"/>
    <row r="177" ht="14.1" customHeight="1"/>
    <row r="178" ht="14.1" customHeight="1"/>
    <row r="179" ht="14.1" customHeight="1"/>
    <row r="180" ht="14.1" customHeight="1"/>
    <row r="181" ht="14.1" customHeight="1"/>
    <row r="182" ht="14.1" customHeight="1"/>
    <row r="183" ht="14.1" customHeight="1"/>
    <row r="184" ht="14.1" customHeight="1"/>
    <row r="185" ht="14.1" customHeight="1"/>
    <row r="186" ht="14.1" customHeight="1"/>
    <row r="187" ht="14.1" customHeight="1"/>
    <row r="188" ht="14.1" customHeight="1"/>
    <row r="189" ht="14.1" customHeight="1"/>
    <row r="190" ht="14.1" customHeight="1"/>
    <row r="191" ht="14.1" customHeight="1"/>
    <row r="192" ht="14.1" customHeight="1"/>
    <row r="193" ht="14.1" customHeight="1"/>
    <row r="194" ht="14.1" customHeight="1"/>
    <row r="195" ht="14.1" customHeight="1"/>
    <row r="196" ht="14.1" customHeight="1"/>
    <row r="197" ht="14.1" customHeight="1"/>
    <row r="198" ht="14.1" customHeight="1"/>
    <row r="199" ht="14.1" customHeight="1"/>
    <row r="200" ht="14.1" customHeight="1"/>
    <row r="201" ht="14.1" customHeight="1"/>
    <row r="202" ht="14.1" customHeight="1"/>
    <row r="203" ht="14.1" customHeight="1"/>
    <row r="204" ht="14.1" customHeight="1"/>
    <row r="205" ht="14.1" customHeight="1"/>
    <row r="206" ht="14.1" customHeight="1"/>
    <row r="207" ht="14.1" customHeight="1"/>
    <row r="208" ht="14.1" customHeight="1"/>
    <row r="209" ht="14.1" customHeight="1"/>
    <row r="210" ht="14.1" customHeight="1"/>
    <row r="211" ht="14.1" customHeight="1"/>
    <row r="212" ht="14.1" customHeight="1"/>
    <row r="213" ht="14.1" customHeight="1"/>
    <row r="214" ht="14.1" customHeight="1"/>
    <row r="215" ht="14.1" customHeight="1"/>
    <row r="216" ht="14.1" customHeight="1"/>
    <row r="217" ht="14.1" customHeight="1"/>
    <row r="218" ht="14.1" customHeight="1"/>
    <row r="219" ht="14.1" customHeight="1"/>
    <row r="220" ht="14.1" customHeight="1"/>
    <row r="221" ht="14.1" customHeight="1"/>
    <row r="222" ht="14.1" customHeight="1"/>
    <row r="223" ht="14.1" customHeight="1"/>
    <row r="224" ht="14.1" customHeight="1"/>
    <row r="225" ht="14.1" customHeight="1"/>
    <row r="226" ht="14.1" customHeight="1"/>
    <row r="227" ht="14.1" customHeight="1"/>
    <row r="228" ht="14.1" customHeight="1"/>
    <row r="229" ht="14.1" customHeight="1"/>
    <row r="230" ht="14.1" customHeight="1"/>
    <row r="231" ht="14.1" customHeight="1"/>
    <row r="232" ht="14.1" customHeight="1"/>
    <row r="233" ht="14.1" customHeight="1"/>
    <row r="234" ht="14.1" customHeight="1"/>
    <row r="235" ht="14.1" customHeight="1"/>
    <row r="236" ht="14.1" customHeight="1"/>
    <row r="237" ht="14.1" customHeight="1"/>
    <row r="238" ht="14.1" customHeight="1"/>
    <row r="239" ht="14.1" customHeight="1"/>
    <row r="240" ht="14.1" customHeight="1"/>
    <row r="241" ht="14.1" customHeight="1"/>
    <row r="242" ht="14.1" customHeight="1"/>
    <row r="243" ht="14.1" customHeight="1"/>
    <row r="244" ht="14.1" customHeight="1"/>
    <row r="245" ht="14.1" customHeight="1"/>
    <row r="246" ht="14.1" customHeight="1"/>
    <row r="247" ht="14.1" customHeight="1"/>
    <row r="248" ht="14.1" customHeight="1"/>
    <row r="249" ht="14.1" customHeight="1"/>
    <row r="250" ht="14.1" customHeight="1"/>
    <row r="251" ht="14.1" customHeight="1"/>
    <row r="252" ht="14.1" customHeight="1"/>
    <row r="253" ht="14.1" customHeight="1"/>
    <row r="254" ht="14.1" customHeight="1"/>
    <row r="255" ht="14.1" customHeight="1"/>
    <row r="256" ht="14.1" customHeight="1"/>
    <row r="257" ht="14.1" customHeight="1"/>
    <row r="258" ht="14.1" customHeight="1"/>
    <row r="259" ht="14.1" customHeight="1"/>
    <row r="260" ht="14.1" customHeight="1"/>
    <row r="261" ht="14.1" customHeight="1"/>
    <row r="262" ht="14.1" customHeight="1"/>
    <row r="263" ht="14.1" customHeight="1"/>
    <row r="264" ht="14.1" customHeight="1"/>
    <row r="265" ht="14.1" customHeight="1"/>
    <row r="266" ht="14.1" customHeight="1"/>
  </sheetData>
  <sheetProtection algorithmName="SHA-512" hashValue="0loLJCJhL4ad+e9W1BFBlntzNt2hf75qC+V2eugpQkoXMOcFlTwiL5DSpVRXAf1cyQ/kgBnOXO/4cSPzCUKn4A==" saltValue="4etb9yyOEqZ9UduJqdtb6g==" spinCount="100000" sheet="1" autoFilter="0"/>
  <mergeCells count="381">
    <mergeCell ref="A1:S3"/>
    <mergeCell ref="T1:Z3"/>
    <mergeCell ref="AD1:AI1"/>
    <mergeCell ref="AD2:AF4"/>
    <mergeCell ref="AG2:AI4"/>
    <mergeCell ref="A4:S5"/>
    <mergeCell ref="AK7:AP8"/>
    <mergeCell ref="AQ7:AQ8"/>
    <mergeCell ref="V8:X8"/>
    <mergeCell ref="A9:AI9"/>
    <mergeCell ref="AK9:AP9"/>
    <mergeCell ref="A10:H10"/>
    <mergeCell ref="I10:J10"/>
    <mergeCell ref="K10:L10"/>
    <mergeCell ref="M10:T10"/>
    <mergeCell ref="U10:V10"/>
    <mergeCell ref="O7:P8"/>
    <mergeCell ref="Q7:R8"/>
    <mergeCell ref="S7:T8"/>
    <mergeCell ref="V7:X7"/>
    <mergeCell ref="Y7:AA8"/>
    <mergeCell ref="AB7:AI8"/>
    <mergeCell ref="A7:E8"/>
    <mergeCell ref="F7:F8"/>
    <mergeCell ref="G7:I8"/>
    <mergeCell ref="J7:J8"/>
    <mergeCell ref="K7:M8"/>
    <mergeCell ref="N7:N8"/>
    <mergeCell ref="W10:X10"/>
    <mergeCell ref="Y10:AF10"/>
    <mergeCell ref="AG10:AH10"/>
    <mergeCell ref="AK10:AP10"/>
    <mergeCell ref="A11:H11"/>
    <mergeCell ref="I11:J11"/>
    <mergeCell ref="K11:L11"/>
    <mergeCell ref="M11:T11"/>
    <mergeCell ref="U11:V11"/>
    <mergeCell ref="W11:X11"/>
    <mergeCell ref="Y11:AF11"/>
    <mergeCell ref="AG11:AH11"/>
    <mergeCell ref="AK11:AP11"/>
    <mergeCell ref="A12:H12"/>
    <mergeCell ref="I12:J12"/>
    <mergeCell ref="K12:L12"/>
    <mergeCell ref="M12:T12"/>
    <mergeCell ref="U12:V12"/>
    <mergeCell ref="W12:X12"/>
    <mergeCell ref="Y12:AF12"/>
    <mergeCell ref="AG12:AH12"/>
    <mergeCell ref="AK12:AP12"/>
    <mergeCell ref="A13:H13"/>
    <mergeCell ref="I13:J13"/>
    <mergeCell ref="K13:L13"/>
    <mergeCell ref="M13:T13"/>
    <mergeCell ref="U13:V13"/>
    <mergeCell ref="W13:X13"/>
    <mergeCell ref="Y13:AF13"/>
    <mergeCell ref="AG13:AH13"/>
    <mergeCell ref="AK13:AP13"/>
    <mergeCell ref="A14:AI14"/>
    <mergeCell ref="AK14:AP14"/>
    <mergeCell ref="B15:I15"/>
    <mergeCell ref="J15:L15"/>
    <mergeCell ref="M15:N15"/>
    <mergeCell ref="O15:V15"/>
    <mergeCell ref="W15:Y15"/>
    <mergeCell ref="Z15:AA15"/>
    <mergeCell ref="AB15:AG15"/>
    <mergeCell ref="A18:E18"/>
    <mergeCell ref="F18:AI18"/>
    <mergeCell ref="AK18:AP18"/>
    <mergeCell ref="B19:E19"/>
    <mergeCell ref="F19:AI19"/>
    <mergeCell ref="AK19:AP19"/>
    <mergeCell ref="AH15:AI15"/>
    <mergeCell ref="AK15:AP15"/>
    <mergeCell ref="A16:AI16"/>
    <mergeCell ref="AK16:AP16"/>
    <mergeCell ref="A17:E17"/>
    <mergeCell ref="F17:AI17"/>
    <mergeCell ref="AK17:AP17"/>
    <mergeCell ref="B20:E20"/>
    <mergeCell ref="F20:AI20"/>
    <mergeCell ref="AK20:AP20"/>
    <mergeCell ref="AR20:AR23"/>
    <mergeCell ref="B21:E21"/>
    <mergeCell ref="F21:AI21"/>
    <mergeCell ref="AK21:AP21"/>
    <mergeCell ref="B22:E22"/>
    <mergeCell ref="F22:AI22"/>
    <mergeCell ref="AK22:AP22"/>
    <mergeCell ref="BA23:BB23"/>
    <mergeCell ref="B24:E24"/>
    <mergeCell ref="F24:AI24"/>
    <mergeCell ref="AK24:AP24"/>
    <mergeCell ref="AY24:AZ24"/>
    <mergeCell ref="BA24:BB24"/>
    <mergeCell ref="AS22:AT22"/>
    <mergeCell ref="AU22:AV22"/>
    <mergeCell ref="AY22:AZ22"/>
    <mergeCell ref="BA22:BB22"/>
    <mergeCell ref="B23:E23"/>
    <mergeCell ref="F23:AI23"/>
    <mergeCell ref="AK23:AP23"/>
    <mergeCell ref="AS23:AT23"/>
    <mergeCell ref="AU23:AV23"/>
    <mergeCell ref="AY23:AZ23"/>
    <mergeCell ref="B27:E27"/>
    <mergeCell ref="F27:AI27"/>
    <mergeCell ref="AK27:AP27"/>
    <mergeCell ref="AS27:AT27"/>
    <mergeCell ref="AU27:AW27"/>
    <mergeCell ref="AY27:BB27"/>
    <mergeCell ref="B25:E25"/>
    <mergeCell ref="F25:AI25"/>
    <mergeCell ref="AK25:AP25"/>
    <mergeCell ref="AY25:AZ25"/>
    <mergeCell ref="BA25:BB25"/>
    <mergeCell ref="B26:E26"/>
    <mergeCell ref="F26:AI26"/>
    <mergeCell ref="AK26:AP26"/>
    <mergeCell ref="AS26:AW26"/>
    <mergeCell ref="BA28:BB28"/>
    <mergeCell ref="B29:E29"/>
    <mergeCell ref="F29:AI29"/>
    <mergeCell ref="AK29:AP29"/>
    <mergeCell ref="AS29:AT29"/>
    <mergeCell ref="AU29:AW29"/>
    <mergeCell ref="AY29:AZ29"/>
    <mergeCell ref="BA29:BB29"/>
    <mergeCell ref="B28:E28"/>
    <mergeCell ref="F28:AI28"/>
    <mergeCell ref="AK28:AP28"/>
    <mergeCell ref="AS28:AT28"/>
    <mergeCell ref="AU28:AW28"/>
    <mergeCell ref="AY28:AZ28"/>
    <mergeCell ref="A32:AI32"/>
    <mergeCell ref="AK32:AP32"/>
    <mergeCell ref="AS32:AT32"/>
    <mergeCell ref="AU32:AW32"/>
    <mergeCell ref="AY32:AZ32"/>
    <mergeCell ref="BA32:BB32"/>
    <mergeCell ref="BA30:BB30"/>
    <mergeCell ref="B31:E31"/>
    <mergeCell ref="F31:AI31"/>
    <mergeCell ref="AK31:AP31"/>
    <mergeCell ref="AS31:AT31"/>
    <mergeCell ref="AU31:AW31"/>
    <mergeCell ref="AY31:AZ31"/>
    <mergeCell ref="BA31:BB31"/>
    <mergeCell ref="B30:E30"/>
    <mergeCell ref="F30:AI30"/>
    <mergeCell ref="AK30:AP30"/>
    <mergeCell ref="AS30:AT30"/>
    <mergeCell ref="AU30:AW30"/>
    <mergeCell ref="AY30:AZ30"/>
    <mergeCell ref="BA33:BB33"/>
    <mergeCell ref="B34:E34"/>
    <mergeCell ref="F34:AI34"/>
    <mergeCell ref="AK34:AP34"/>
    <mergeCell ref="AS34:AT34"/>
    <mergeCell ref="AU34:AW34"/>
    <mergeCell ref="AY34:AZ34"/>
    <mergeCell ref="BA34:BB34"/>
    <mergeCell ref="B33:E33"/>
    <mergeCell ref="F33:AI33"/>
    <mergeCell ref="AK33:AP33"/>
    <mergeCell ref="AS33:AT33"/>
    <mergeCell ref="AU33:AW33"/>
    <mergeCell ref="AY33:AZ33"/>
    <mergeCell ref="AY35:AZ35"/>
    <mergeCell ref="BA35:BB35"/>
    <mergeCell ref="A36:E36"/>
    <mergeCell ref="F36:K36"/>
    <mergeCell ref="L36:O36"/>
    <mergeCell ref="P36:R36"/>
    <mergeCell ref="T36:V36"/>
    <mergeCell ref="W36:AB36"/>
    <mergeCell ref="AC36:AI36"/>
    <mergeCell ref="B35:E35"/>
    <mergeCell ref="F35:V35"/>
    <mergeCell ref="W35:AB35"/>
    <mergeCell ref="AC35:AI35"/>
    <mergeCell ref="AK35:AP35"/>
    <mergeCell ref="AS35:AT35"/>
    <mergeCell ref="AK36:AP36"/>
    <mergeCell ref="AS36:AT36"/>
    <mergeCell ref="AU36:AW36"/>
    <mergeCell ref="AU35:AW35"/>
    <mergeCell ref="A39:AI39"/>
    <mergeCell ref="AK39:AP39"/>
    <mergeCell ref="AS39:AT39"/>
    <mergeCell ref="AV39:AW39"/>
    <mergeCell ref="A38:E38"/>
    <mergeCell ref="F38:K38"/>
    <mergeCell ref="L38:O38"/>
    <mergeCell ref="P38:V38"/>
    <mergeCell ref="W38:AB38"/>
    <mergeCell ref="AC38:AI38"/>
    <mergeCell ref="AD40:AI40"/>
    <mergeCell ref="A37:E37"/>
    <mergeCell ref="F37:AI37"/>
    <mergeCell ref="AK40:AP40"/>
    <mergeCell ref="AS40:AT40"/>
    <mergeCell ref="AV40:AW40"/>
    <mergeCell ref="A41:D41"/>
    <mergeCell ref="E41:G41"/>
    <mergeCell ref="I41:K41"/>
    <mergeCell ref="L41:R41"/>
    <mergeCell ref="S41:V41"/>
    <mergeCell ref="W41:Y41"/>
    <mergeCell ref="AA41:AC41"/>
    <mergeCell ref="AD41:AI41"/>
    <mergeCell ref="AK41:AP41"/>
    <mergeCell ref="A40:D40"/>
    <mergeCell ref="E40:K40"/>
    <mergeCell ref="L40:R40"/>
    <mergeCell ref="S40:V40"/>
    <mergeCell ref="W40:AC40"/>
    <mergeCell ref="AK37:AP37"/>
    <mergeCell ref="AS37:AT37"/>
    <mergeCell ref="AU37:AW37"/>
    <mergeCell ref="AK38:AP38"/>
    <mergeCell ref="A42:D42"/>
    <mergeCell ref="E42:G42"/>
    <mergeCell ref="I42:K42"/>
    <mergeCell ref="L42:R42"/>
    <mergeCell ref="S42:V42"/>
    <mergeCell ref="W42:Y42"/>
    <mergeCell ref="AA42:AC42"/>
    <mergeCell ref="AK42:AP42"/>
    <mergeCell ref="AS42:AW42"/>
    <mergeCell ref="A43:D43"/>
    <mergeCell ref="E43:G43"/>
    <mergeCell ref="I43:K43"/>
    <mergeCell ref="L43:R43"/>
    <mergeCell ref="S43:V43"/>
    <mergeCell ref="W43:Y43"/>
    <mergeCell ref="AA43:AC43"/>
    <mergeCell ref="A44:D44"/>
    <mergeCell ref="E44:G44"/>
    <mergeCell ref="I44:K44"/>
    <mergeCell ref="L44:R44"/>
    <mergeCell ref="S44:V44"/>
    <mergeCell ref="W44:Y44"/>
    <mergeCell ref="AA44:AC44"/>
    <mergeCell ref="AD44:AI44"/>
    <mergeCell ref="AD42:AI42"/>
    <mergeCell ref="AK44:AP44"/>
    <mergeCell ref="R45:U45"/>
    <mergeCell ref="W45:X45"/>
    <mergeCell ref="Z45:AA45"/>
    <mergeCell ref="AC45:AD45"/>
    <mergeCell ref="AE45:AF45"/>
    <mergeCell ref="AK45:AP45"/>
    <mergeCell ref="AD43:AI43"/>
    <mergeCell ref="AK43:AP43"/>
    <mergeCell ref="B49:E49"/>
    <mergeCell ref="F49:AI49"/>
    <mergeCell ref="AK49:AP49"/>
    <mergeCell ref="B50:E50"/>
    <mergeCell ref="F50:AI50"/>
    <mergeCell ref="AK50:AP50"/>
    <mergeCell ref="A46:AI46"/>
    <mergeCell ref="AK46:AP46"/>
    <mergeCell ref="B47:E47"/>
    <mergeCell ref="F47:AI47"/>
    <mergeCell ref="AK47:AP47"/>
    <mergeCell ref="B48:E48"/>
    <mergeCell ref="F48:AI48"/>
    <mergeCell ref="AK48:AP48"/>
    <mergeCell ref="B53:E53"/>
    <mergeCell ref="F53:AI53"/>
    <mergeCell ref="AK53:AP53"/>
    <mergeCell ref="B54:E54"/>
    <mergeCell ref="F54:AI54"/>
    <mergeCell ref="AK54:AP54"/>
    <mergeCell ref="B51:E51"/>
    <mergeCell ref="F51:AI51"/>
    <mergeCell ref="AK51:AP51"/>
    <mergeCell ref="B52:E52"/>
    <mergeCell ref="F52:AI52"/>
    <mergeCell ref="AK52:AP52"/>
    <mergeCell ref="B57:E57"/>
    <mergeCell ref="F57:AI57"/>
    <mergeCell ref="AK57:AP57"/>
    <mergeCell ref="B58:E58"/>
    <mergeCell ref="F58:AI58"/>
    <mergeCell ref="AK58:AP58"/>
    <mergeCell ref="B55:E55"/>
    <mergeCell ref="F55:AI55"/>
    <mergeCell ref="AK55:AP55"/>
    <mergeCell ref="B56:E56"/>
    <mergeCell ref="F56:AI56"/>
    <mergeCell ref="AK56:AP56"/>
    <mergeCell ref="B61:E61"/>
    <mergeCell ref="F61:AI61"/>
    <mergeCell ref="AK61:AP61"/>
    <mergeCell ref="B62:E62"/>
    <mergeCell ref="F62:AI62"/>
    <mergeCell ref="AK62:AP62"/>
    <mergeCell ref="B59:E59"/>
    <mergeCell ref="F59:AI59"/>
    <mergeCell ref="AK59:AP59"/>
    <mergeCell ref="B60:E60"/>
    <mergeCell ref="F60:AI60"/>
    <mergeCell ref="AK60:AP60"/>
    <mergeCell ref="B65:E65"/>
    <mergeCell ref="F65:AI65"/>
    <mergeCell ref="AK65:AP65"/>
    <mergeCell ref="B66:E66"/>
    <mergeCell ref="F66:AI66"/>
    <mergeCell ref="AK66:AP66"/>
    <mergeCell ref="B63:E63"/>
    <mergeCell ref="F63:AI63"/>
    <mergeCell ref="AK63:AP63"/>
    <mergeCell ref="B64:E64"/>
    <mergeCell ref="F64:AI64"/>
    <mergeCell ref="AK64:AP64"/>
    <mergeCell ref="B69:E69"/>
    <mergeCell ref="F69:AI69"/>
    <mergeCell ref="AK69:AP69"/>
    <mergeCell ref="B70:E70"/>
    <mergeCell ref="F70:AI70"/>
    <mergeCell ref="AK70:AP70"/>
    <mergeCell ref="B67:E67"/>
    <mergeCell ref="F67:AI67"/>
    <mergeCell ref="AK67:AP67"/>
    <mergeCell ref="B68:E68"/>
    <mergeCell ref="F68:AI68"/>
    <mergeCell ref="AK68:AP68"/>
    <mergeCell ref="B73:E73"/>
    <mergeCell ref="F73:AI73"/>
    <mergeCell ref="AK73:AP73"/>
    <mergeCell ref="B74:E74"/>
    <mergeCell ref="F74:AI74"/>
    <mergeCell ref="AK74:AP74"/>
    <mergeCell ref="B71:E71"/>
    <mergeCell ref="F71:AI71"/>
    <mergeCell ref="AK71:AP71"/>
    <mergeCell ref="B72:E72"/>
    <mergeCell ref="F72:AI72"/>
    <mergeCell ref="AK72:AP72"/>
    <mergeCell ref="B77:E77"/>
    <mergeCell ref="F77:AI77"/>
    <mergeCell ref="AK77:AP77"/>
    <mergeCell ref="B78:E78"/>
    <mergeCell ref="F78:AI78"/>
    <mergeCell ref="AK78:AP78"/>
    <mergeCell ref="B75:E75"/>
    <mergeCell ref="F75:AI75"/>
    <mergeCell ref="AK75:AP75"/>
    <mergeCell ref="B76:E76"/>
    <mergeCell ref="F76:AI76"/>
    <mergeCell ref="AK76:AP76"/>
    <mergeCell ref="A81:AI81"/>
    <mergeCell ref="AK81:AP81"/>
    <mergeCell ref="B82:E82"/>
    <mergeCell ref="F82:AI82"/>
    <mergeCell ref="AK82:AP82"/>
    <mergeCell ref="B83:E83"/>
    <mergeCell ref="F83:AI83"/>
    <mergeCell ref="AK83:AP83"/>
    <mergeCell ref="B79:E79"/>
    <mergeCell ref="F79:AI79"/>
    <mergeCell ref="AK79:AP79"/>
    <mergeCell ref="B80:E80"/>
    <mergeCell ref="F80:AI80"/>
    <mergeCell ref="AK80:AP80"/>
    <mergeCell ref="B86:E86"/>
    <mergeCell ref="F86:AI86"/>
    <mergeCell ref="AK86:AP86"/>
    <mergeCell ref="AK87:AP87"/>
    <mergeCell ref="AK88:AP88"/>
    <mergeCell ref="AK89:AP89"/>
    <mergeCell ref="B84:E84"/>
    <mergeCell ref="F84:AI84"/>
    <mergeCell ref="AK84:AP84"/>
    <mergeCell ref="B85:E85"/>
    <mergeCell ref="F85:AI85"/>
    <mergeCell ref="AK85:AP85"/>
  </mergeCells>
  <phoneticPr fontId="2"/>
  <conditionalFormatting sqref="AQ20:AQ28 AQ30:AQ31 AQ9 AQ11:AQ12 AQ14 AQ33:AQ34">
    <cfRule type="containsBlanks" dxfId="287" priority="12">
      <formula>LEN(TRIM(AQ9))=0</formula>
    </cfRule>
  </conditionalFormatting>
  <conditionalFormatting sqref="BC11:CF11">
    <cfRule type="containsText" dxfId="286" priority="8" operator="containsText" text="青">
      <formula>NOT(ISERROR(SEARCH("青",BC11)))</formula>
    </cfRule>
    <cfRule type="containsText" dxfId="285" priority="9" operator="containsText" text="緑">
      <formula>NOT(ISERROR(SEARCH("緑",BC11)))</formula>
    </cfRule>
    <cfRule type="containsText" dxfId="284" priority="10" operator="containsText" text="黄">
      <formula>NOT(ISERROR(SEARCH("黄",BC11)))</formula>
    </cfRule>
    <cfRule type="containsText" dxfId="283" priority="11" operator="containsText" text="赤">
      <formula>NOT(ISERROR(SEARCH("赤",BC11)))</formula>
    </cfRule>
  </conditionalFormatting>
  <conditionalFormatting sqref="V7:X8">
    <cfRule type="containsBlanks" dxfId="282" priority="7">
      <formula>LEN(TRIM(V7))=0</formula>
    </cfRule>
  </conditionalFormatting>
  <conditionalFormatting sqref="AB7:AI8">
    <cfRule type="containsBlanks" dxfId="281" priority="6">
      <formula>LEN(TRIM(AB7))=0</formula>
    </cfRule>
  </conditionalFormatting>
  <conditionalFormatting sqref="A7:E8 G7:I8 K7:M8 O7:P8">
    <cfRule type="containsBlanks" dxfId="280" priority="5">
      <formula>LEN(TRIM(A7))=0</formula>
    </cfRule>
  </conditionalFormatting>
  <conditionalFormatting sqref="W15:Y15 AH15:AI15 J15:L15">
    <cfRule type="containsBlanks" dxfId="279" priority="4">
      <formula>LEN(TRIM(J15))=0</formula>
    </cfRule>
  </conditionalFormatting>
  <conditionalFormatting sqref="L41:R44">
    <cfRule type="cellIs" dxfId="278" priority="1" operator="equal">
      <formula>0</formula>
    </cfRule>
  </conditionalFormatting>
  <conditionalFormatting sqref="P36:R36 T36:V36 L38:O38 AC38:AI38 AC36:AI36">
    <cfRule type="containsBlanks" dxfId="277" priority="3">
      <formula>LEN(TRIM(L36))=0</formula>
    </cfRule>
  </conditionalFormatting>
  <conditionalFormatting sqref="W41:Y44 AA41:AI44">
    <cfRule type="cellIs" dxfId="276" priority="2" operator="equal">
      <formula>0</formula>
    </cfRule>
  </conditionalFormatting>
  <printOptions horizontalCentered="1" verticalCentered="1"/>
  <pageMargins left="0.70866141732283472" right="0.59055118110236227" top="0.55118110236220474" bottom="0.55118110236220474" header="0.31496062992125984" footer="0.31496062992125984"/>
  <pageSetup paperSize="9" orientation="portrait" horizontalDpi="300" verticalDpi="300" r:id="rId1"/>
  <headerFooter scaleWithDoc="0" alignWithMargins="0">
    <oddFooter>&amp;C&amp;P&amp;Rヒトトヒト株式会社</oddFooter>
  </headerFooter>
  <rowBreaks count="1" manualBreakCount="1">
    <brk id="44" max="34" man="1"/>
  </rowBreaks>
  <drawing r:id="rId2"/>
  <extLst>
    <ext xmlns:x14="http://schemas.microsoft.com/office/spreadsheetml/2009/9/main" uri="{CCE6A557-97BC-4b89-ADB6-D9C93CAAB3DF}">
      <x14:dataValidations xmlns:xm="http://schemas.microsoft.com/office/excel/2006/main" count="6">
        <x14:dataValidation type="list" allowBlank="1" showInputMessage="1" showErrorMessage="1" xr:uid="{73A13716-5468-47EC-91F9-C2FD339BB4C1}">
          <x14:formula1>
            <xm:f>初期値!$C$12:$C$27</xm:f>
          </x14:formula1>
          <xm:sqref>P36:R36 T36:V36</xm:sqref>
        </x14:dataValidation>
        <x14:dataValidation type="list" allowBlank="1" showInputMessage="1" showErrorMessage="1" xr:uid="{B90C1963-485B-45F5-8FD5-84CE67B12952}">
          <x14:formula1>
            <xm:f>初期値!$G$12:$G$24</xm:f>
          </x14:formula1>
          <xm:sqref>V7:X8</xm:sqref>
        </x14:dataValidation>
        <x14:dataValidation type="list" allowBlank="1" showInputMessage="1" showErrorMessage="1" xr:uid="{7834DF06-93F0-480B-89FD-FE2DE311E25B}">
          <x14:formula1>
            <xm:f>初期値!$E$12:$E$13</xm:f>
          </x14:formula1>
          <xm:sqref>L38:O38 AC38:AI38 AC36:AI36</xm:sqref>
        </x14:dataValidation>
        <x14:dataValidation type="list" allowBlank="1" showInputMessage="1" showErrorMessage="1" xr:uid="{7A4447C6-9F9D-4F63-8993-2F6B6143179E}">
          <x14:formula1>
            <xm:f>初期値!$N$22:$N$23</xm:f>
          </x14:formula1>
          <xm:sqref>AW23</xm:sqref>
        </x14:dataValidation>
        <x14:dataValidation type="list" allowBlank="1" showInputMessage="1" showErrorMessage="1" xr:uid="{FD8044F5-24DB-4E1E-ABB0-837D533F93A5}">
          <x14:formula1>
            <xm:f>初期値!$P$12:$P$27</xm:f>
          </x14:formula1>
          <xm:sqref>BA24:BB24 BA22:BB22 BA28:BB28 BA30:BB30 BA32:BB32 BA34:BB34</xm:sqref>
        </x14:dataValidation>
        <x14:dataValidation type="list" allowBlank="1" showInputMessage="1" showErrorMessage="1" xr:uid="{E0FB6FB7-047C-4BF9-91A7-9A1146B36605}">
          <x14:formula1>
            <xm:f>初期値!$N$12:$N$19</xm:f>
          </x14:formula1>
          <xm:sqref>AU22:AV22</xm:sqref>
        </x14:dataValidation>
      </x14:dataValidations>
    </ext>
  </extLst>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CCEE7E4-A641-4E15-BFBB-24A7290D9628}">
  <sheetPr codeName="Sheet16"/>
  <dimension ref="A1:CG266"/>
  <sheetViews>
    <sheetView topLeftCell="A21" zoomScaleNormal="100" zoomScaleSheetLayoutView="100" workbookViewId="0">
      <selection activeCell="AK42" sqref="AK42:AP42"/>
    </sheetView>
  </sheetViews>
  <sheetFormatPr defaultColWidth="8.875" defaultRowHeight="13.5"/>
  <cols>
    <col min="1" max="42" width="2.25" style="23" customWidth="1"/>
    <col min="43" max="43" width="6" style="23" bestFit="1" customWidth="1"/>
    <col min="44" max="44" width="4.5" style="23" bestFit="1" customWidth="1"/>
    <col min="45" max="45" width="6" style="23" bestFit="1" customWidth="1"/>
    <col min="46" max="46" width="4.5" style="23" bestFit="1" customWidth="1"/>
    <col min="47" max="47" width="9" style="23" bestFit="1" customWidth="1"/>
    <col min="48" max="48" width="8.5" style="23" bestFit="1" customWidth="1"/>
    <col min="49" max="49" width="7.5" style="23" bestFit="1" customWidth="1"/>
    <col min="50" max="50" width="6.5" style="23" bestFit="1" customWidth="1"/>
    <col min="51" max="51" width="7.5" style="23" bestFit="1" customWidth="1"/>
    <col min="52" max="52" width="2.125" style="23" customWidth="1"/>
    <col min="53" max="54" width="7.375" style="23" customWidth="1"/>
    <col min="55" max="63" width="3.625" style="23" bestFit="1" customWidth="1"/>
    <col min="64" max="84" width="4" style="23" bestFit="1" customWidth="1"/>
    <col min="85" max="16384" width="8.875" style="23"/>
  </cols>
  <sheetData>
    <row r="1" spans="1:85" ht="14.1" customHeight="1">
      <c r="A1" s="510" t="s">
        <v>551</v>
      </c>
      <c r="B1" s="510"/>
      <c r="C1" s="510"/>
      <c r="D1" s="510"/>
      <c r="E1" s="510"/>
      <c r="F1" s="510"/>
      <c r="G1" s="510"/>
      <c r="H1" s="510"/>
      <c r="I1" s="510"/>
      <c r="J1" s="510"/>
      <c r="K1" s="510"/>
      <c r="L1" s="510"/>
      <c r="M1" s="510"/>
      <c r="N1" s="510"/>
      <c r="O1" s="510"/>
      <c r="P1" s="510"/>
      <c r="Q1" s="510"/>
      <c r="R1" s="510"/>
      <c r="S1" s="510"/>
      <c r="T1" s="388"/>
      <c r="U1" s="388"/>
      <c r="V1" s="388"/>
      <c r="W1" s="388"/>
      <c r="X1" s="388"/>
      <c r="Y1" s="388"/>
      <c r="Z1" s="388"/>
      <c r="AA1" s="24"/>
      <c r="AB1" s="32"/>
      <c r="AD1" s="252" t="s">
        <v>167</v>
      </c>
      <c r="AE1" s="252"/>
      <c r="AF1" s="252"/>
      <c r="AG1" s="252"/>
      <c r="AH1" s="252"/>
      <c r="AI1" s="252"/>
      <c r="AM1" s="123">
        <v>9</v>
      </c>
      <c r="BB1"/>
    </row>
    <row r="2" spans="1:85" ht="14.1" customHeight="1">
      <c r="A2" s="510"/>
      <c r="B2" s="510"/>
      <c r="C2" s="510"/>
      <c r="D2" s="510"/>
      <c r="E2" s="510"/>
      <c r="F2" s="510"/>
      <c r="G2" s="510"/>
      <c r="H2" s="510"/>
      <c r="I2" s="510"/>
      <c r="J2" s="510"/>
      <c r="K2" s="510"/>
      <c r="L2" s="510"/>
      <c r="M2" s="510"/>
      <c r="N2" s="510"/>
      <c r="O2" s="510"/>
      <c r="P2" s="510"/>
      <c r="Q2" s="510"/>
      <c r="R2" s="510"/>
      <c r="S2" s="510"/>
      <c r="T2" s="388"/>
      <c r="U2" s="388"/>
      <c r="V2" s="388"/>
      <c r="W2" s="388"/>
      <c r="X2" s="388"/>
      <c r="Y2" s="388"/>
      <c r="Z2" s="388"/>
      <c r="AA2" s="25"/>
      <c r="AB2" s="31"/>
      <c r="AD2" s="253"/>
      <c r="AE2" s="253"/>
      <c r="AF2" s="253"/>
      <c r="AG2" s="253"/>
      <c r="AH2" s="253"/>
      <c r="AI2" s="253"/>
      <c r="BA2"/>
    </row>
    <row r="3" spans="1:85" ht="14.1" customHeight="1">
      <c r="A3" s="510"/>
      <c r="B3" s="510"/>
      <c r="C3" s="510"/>
      <c r="D3" s="510"/>
      <c r="E3" s="510"/>
      <c r="F3" s="510"/>
      <c r="G3" s="510"/>
      <c r="H3" s="510"/>
      <c r="I3" s="510"/>
      <c r="J3" s="510"/>
      <c r="K3" s="510"/>
      <c r="L3" s="510"/>
      <c r="M3" s="510"/>
      <c r="N3" s="510"/>
      <c r="O3" s="510"/>
      <c r="P3" s="510"/>
      <c r="Q3" s="510"/>
      <c r="R3" s="510"/>
      <c r="S3" s="510"/>
      <c r="T3" s="388"/>
      <c r="U3" s="388"/>
      <c r="V3" s="388"/>
      <c r="W3" s="388"/>
      <c r="X3" s="388"/>
      <c r="Y3" s="388"/>
      <c r="Z3" s="388"/>
      <c r="AA3" s="25"/>
      <c r="AB3" s="31"/>
      <c r="AD3" s="253"/>
      <c r="AE3" s="253"/>
      <c r="AF3" s="253"/>
      <c r="AG3" s="253"/>
      <c r="AH3" s="253"/>
      <c r="AI3" s="253"/>
      <c r="BA3"/>
    </row>
    <row r="4" spans="1:85" ht="14.1" customHeight="1">
      <c r="A4" s="395" t="s">
        <v>552</v>
      </c>
      <c r="B4" s="395"/>
      <c r="C4" s="395"/>
      <c r="D4" s="395"/>
      <c r="E4" s="395"/>
      <c r="F4" s="395"/>
      <c r="G4" s="395"/>
      <c r="H4" s="395"/>
      <c r="I4" s="395"/>
      <c r="J4" s="395"/>
      <c r="K4" s="395"/>
      <c r="L4" s="395"/>
      <c r="M4" s="395"/>
      <c r="N4" s="395"/>
      <c r="O4" s="395"/>
      <c r="P4" s="395"/>
      <c r="Q4" s="395"/>
      <c r="R4" s="395"/>
      <c r="S4" s="395"/>
      <c r="T4" s="155"/>
      <c r="U4" s="155"/>
      <c r="V4" s="155"/>
      <c r="W4" s="155"/>
      <c r="X4" s="155"/>
      <c r="Y4" s="155"/>
      <c r="Z4" s="155"/>
      <c r="AA4" s="26"/>
      <c r="AB4" s="31"/>
      <c r="AD4" s="253"/>
      <c r="AE4" s="253"/>
      <c r="AF4" s="253"/>
      <c r="AG4" s="253"/>
      <c r="AH4" s="253"/>
      <c r="AI4" s="253"/>
      <c r="BA4"/>
    </row>
    <row r="5" spans="1:85" ht="14.1" customHeight="1">
      <c r="A5" s="395"/>
      <c r="B5" s="395"/>
      <c r="C5" s="395"/>
      <c r="D5" s="395"/>
      <c r="E5" s="395"/>
      <c r="F5" s="395"/>
      <c r="G5" s="395"/>
      <c r="H5" s="395"/>
      <c r="I5" s="395"/>
      <c r="J5" s="395"/>
      <c r="K5" s="395"/>
      <c r="L5" s="395"/>
      <c r="M5" s="395"/>
      <c r="N5" s="395"/>
      <c r="O5" s="395"/>
      <c r="P5" s="395"/>
      <c r="Q5" s="395"/>
      <c r="R5" s="395"/>
      <c r="S5" s="395"/>
      <c r="T5" s="155"/>
      <c r="U5" s="155"/>
      <c r="V5" s="155"/>
      <c r="W5" s="155"/>
      <c r="X5" s="155"/>
      <c r="Y5" s="155"/>
      <c r="Z5" s="155"/>
      <c r="AA5" s="26"/>
      <c r="AB5" s="31"/>
      <c r="AC5" s="31"/>
      <c r="AD5" s="31"/>
      <c r="AE5" s="31"/>
      <c r="AF5" s="31"/>
      <c r="AG5" s="31"/>
      <c r="AH5" s="31"/>
      <c r="AI5" s="31"/>
      <c r="BA5"/>
    </row>
    <row r="6" spans="1:85" ht="14.1" customHeight="1" thickBot="1">
      <c r="A6" s="27"/>
      <c r="B6" s="27"/>
      <c r="C6" s="27"/>
      <c r="D6" s="27"/>
      <c r="E6" s="27"/>
      <c r="F6" s="27"/>
      <c r="G6" s="27"/>
      <c r="H6" s="27"/>
      <c r="I6" s="27"/>
      <c r="BA6"/>
    </row>
    <row r="7" spans="1:85" ht="12" customHeight="1">
      <c r="A7" s="255">
        <f>DATE(初期値!A2,初期値!A3,AM1)</f>
        <v>46182</v>
      </c>
      <c r="B7" s="256"/>
      <c r="C7" s="256"/>
      <c r="D7" s="256"/>
      <c r="E7" s="256"/>
      <c r="F7" s="259" t="s">
        <v>169</v>
      </c>
      <c r="G7" s="236">
        <f>$A$7</f>
        <v>46182</v>
      </c>
      <c r="H7" s="236"/>
      <c r="I7" s="236"/>
      <c r="J7" s="239" t="s">
        <v>170</v>
      </c>
      <c r="K7" s="261">
        <f>$A$7</f>
        <v>46182</v>
      </c>
      <c r="L7" s="261"/>
      <c r="M7" s="261"/>
      <c r="N7" s="239" t="s">
        <v>3</v>
      </c>
      <c r="O7" s="520">
        <f>$A$7</f>
        <v>46182</v>
      </c>
      <c r="P7" s="520"/>
      <c r="Q7" s="239" t="s">
        <v>292</v>
      </c>
      <c r="R7" s="240"/>
      <c r="S7" s="522" t="s">
        <v>553</v>
      </c>
      <c r="T7" s="244"/>
      <c r="U7" s="29" t="s">
        <v>554</v>
      </c>
      <c r="V7" s="518" t="s">
        <v>63</v>
      </c>
      <c r="W7" s="518"/>
      <c r="X7" s="518"/>
      <c r="Y7" s="511" t="s">
        <v>555</v>
      </c>
      <c r="Z7" s="512"/>
      <c r="AA7" s="513"/>
      <c r="AB7" s="244" t="str">
        <f>L43</f>
        <v>山本喜久</v>
      </c>
      <c r="AC7" s="244"/>
      <c r="AD7" s="244"/>
      <c r="AE7" s="244"/>
      <c r="AF7" s="244"/>
      <c r="AG7" s="244"/>
      <c r="AH7" s="244"/>
      <c r="AI7" s="245"/>
      <c r="AK7" s="425" t="s">
        <v>556</v>
      </c>
      <c r="AL7" s="425"/>
      <c r="AM7" s="425"/>
      <c r="AN7" s="425"/>
      <c r="AO7" s="425"/>
      <c r="AP7" s="425"/>
      <c r="AQ7" s="439" t="s">
        <v>557</v>
      </c>
      <c r="AR7" s="43"/>
      <c r="AS7" s="43"/>
      <c r="AT7" s="43"/>
      <c r="AU7" s="43"/>
      <c r="AV7" s="43"/>
      <c r="AW7" s="43"/>
      <c r="AX7" s="43"/>
      <c r="AY7" s="43"/>
      <c r="AZ7" s="43"/>
      <c r="BA7"/>
    </row>
    <row r="8" spans="1:85" ht="12" customHeight="1" thickBot="1">
      <c r="A8" s="257"/>
      <c r="B8" s="258"/>
      <c r="C8" s="258"/>
      <c r="D8" s="258"/>
      <c r="E8" s="258"/>
      <c r="F8" s="260"/>
      <c r="G8" s="237"/>
      <c r="H8" s="237"/>
      <c r="I8" s="237"/>
      <c r="J8" s="242"/>
      <c r="K8" s="262"/>
      <c r="L8" s="262"/>
      <c r="M8" s="262"/>
      <c r="N8" s="242"/>
      <c r="O8" s="521"/>
      <c r="P8" s="521"/>
      <c r="Q8" s="242"/>
      <c r="R8" s="243"/>
      <c r="S8" s="523"/>
      <c r="T8" s="246"/>
      <c r="U8" s="33" t="s">
        <v>558</v>
      </c>
      <c r="V8" s="519" t="s">
        <v>37</v>
      </c>
      <c r="W8" s="519"/>
      <c r="X8" s="519"/>
      <c r="Y8" s="514"/>
      <c r="Z8" s="515"/>
      <c r="AA8" s="516"/>
      <c r="AB8" s="246"/>
      <c r="AC8" s="246"/>
      <c r="AD8" s="246"/>
      <c r="AE8" s="246"/>
      <c r="AF8" s="246"/>
      <c r="AG8" s="246"/>
      <c r="AH8" s="246"/>
      <c r="AI8" s="247"/>
      <c r="AK8" s="425"/>
      <c r="AL8" s="425"/>
      <c r="AM8" s="425"/>
      <c r="AN8" s="425"/>
      <c r="AO8" s="425"/>
      <c r="AP8" s="425"/>
      <c r="AQ8" s="439"/>
      <c r="AR8" s="43"/>
      <c r="AS8" s="43"/>
      <c r="AT8" s="43"/>
      <c r="AU8" s="43"/>
      <c r="AV8" s="43"/>
      <c r="AW8" s="43"/>
      <c r="AX8" s="43"/>
      <c r="AY8" s="43"/>
      <c r="AZ8" s="43"/>
      <c r="BA8"/>
    </row>
    <row r="9" spans="1:85" ht="18" customHeight="1">
      <c r="A9" s="507" t="s">
        <v>559</v>
      </c>
      <c r="B9" s="508"/>
      <c r="C9" s="508"/>
      <c r="D9" s="508"/>
      <c r="E9" s="508"/>
      <c r="F9" s="508"/>
      <c r="G9" s="508"/>
      <c r="H9" s="508"/>
      <c r="I9" s="508"/>
      <c r="J9" s="508"/>
      <c r="K9" s="508"/>
      <c r="L9" s="508"/>
      <c r="M9" s="508"/>
      <c r="N9" s="508"/>
      <c r="O9" s="508"/>
      <c r="P9" s="508"/>
      <c r="Q9" s="508"/>
      <c r="R9" s="508"/>
      <c r="S9" s="508"/>
      <c r="T9" s="508"/>
      <c r="U9" s="508"/>
      <c r="V9" s="508"/>
      <c r="W9" s="508"/>
      <c r="X9" s="508"/>
      <c r="Y9" s="508"/>
      <c r="Z9" s="508"/>
      <c r="AA9" s="508"/>
      <c r="AB9" s="508"/>
      <c r="AC9" s="508"/>
      <c r="AD9" s="508"/>
      <c r="AE9" s="508"/>
      <c r="AF9" s="508"/>
      <c r="AG9" s="508"/>
      <c r="AH9" s="508"/>
      <c r="AI9" s="509"/>
      <c r="AK9" s="440" t="s">
        <v>560</v>
      </c>
      <c r="AL9" s="440"/>
      <c r="AM9" s="440"/>
      <c r="AN9" s="440"/>
      <c r="AO9" s="440"/>
      <c r="AP9" s="440"/>
      <c r="AQ9" s="42">
        <v>61</v>
      </c>
      <c r="AR9" s="43"/>
      <c r="AS9" s="44" t="s">
        <v>561</v>
      </c>
      <c r="AT9" s="44" t="s">
        <v>562</v>
      </c>
      <c r="AU9" s="44" t="s">
        <v>563</v>
      </c>
      <c r="AV9" s="44" t="s">
        <v>564</v>
      </c>
      <c r="AW9" s="45" t="s">
        <v>565</v>
      </c>
      <c r="AX9" s="45" t="s">
        <v>566</v>
      </c>
      <c r="AY9" s="44" t="s">
        <v>567</v>
      </c>
      <c r="AZ9" s="43"/>
      <c r="BB9" s="49" t="s">
        <v>568</v>
      </c>
      <c r="BC9" s="43"/>
      <c r="BD9" s="43"/>
      <c r="BE9" s="43"/>
      <c r="BF9" s="43"/>
      <c r="BG9" s="43"/>
      <c r="BH9" s="43"/>
      <c r="BI9" s="43"/>
      <c r="BJ9" s="43"/>
      <c r="BK9" s="43"/>
      <c r="BL9" s="43"/>
      <c r="BM9" s="43"/>
      <c r="BN9" s="43"/>
      <c r="BO9" s="43"/>
      <c r="BP9" s="43"/>
      <c r="BQ9" s="43"/>
      <c r="BR9" s="43"/>
      <c r="BS9" s="43"/>
      <c r="BT9" s="43"/>
      <c r="BU9" s="43"/>
      <c r="BV9" s="43"/>
      <c r="BW9" s="43"/>
      <c r="BX9" s="43"/>
      <c r="BY9" s="43"/>
      <c r="BZ9" s="43"/>
      <c r="CA9" s="43"/>
      <c r="CB9" s="43"/>
      <c r="CC9" s="43"/>
      <c r="CD9" s="43"/>
      <c r="CE9" s="43"/>
      <c r="CF9" s="43"/>
      <c r="CG9" s="43"/>
    </row>
    <row r="10" spans="1:85" ht="18" customHeight="1">
      <c r="A10" s="265" t="s">
        <v>569</v>
      </c>
      <c r="B10" s="266"/>
      <c r="C10" s="266"/>
      <c r="D10" s="266"/>
      <c r="E10" s="266"/>
      <c r="F10" s="266"/>
      <c r="G10" s="266"/>
      <c r="H10" s="266"/>
      <c r="I10" s="264">
        <f>AQ14</f>
        <v>2</v>
      </c>
      <c r="J10" s="264"/>
      <c r="K10" s="267" t="s">
        <v>176</v>
      </c>
      <c r="L10" s="268"/>
      <c r="M10" s="269" t="s">
        <v>570</v>
      </c>
      <c r="N10" s="266"/>
      <c r="O10" s="266"/>
      <c r="P10" s="266"/>
      <c r="Q10" s="266"/>
      <c r="R10" s="266"/>
      <c r="S10" s="266"/>
      <c r="T10" s="266"/>
      <c r="U10" s="264">
        <f>AQ37</f>
        <v>0</v>
      </c>
      <c r="V10" s="264"/>
      <c r="W10" s="267" t="s">
        <v>176</v>
      </c>
      <c r="X10" s="268"/>
      <c r="Y10" s="269" t="s">
        <v>571</v>
      </c>
      <c r="Z10" s="266"/>
      <c r="AA10" s="266"/>
      <c r="AB10" s="266"/>
      <c r="AC10" s="266"/>
      <c r="AD10" s="266"/>
      <c r="AE10" s="266"/>
      <c r="AF10" s="266"/>
      <c r="AG10" s="264">
        <f>AQ26+AQ25</f>
        <v>0</v>
      </c>
      <c r="AH10" s="264"/>
      <c r="AI10" s="28" t="s">
        <v>176</v>
      </c>
      <c r="AK10" s="440" t="s">
        <v>572</v>
      </c>
      <c r="AL10" s="440"/>
      <c r="AM10" s="440"/>
      <c r="AN10" s="440"/>
      <c r="AO10" s="440"/>
      <c r="AP10" s="440"/>
      <c r="AQ10" s="42"/>
      <c r="AR10" s="43"/>
      <c r="AS10" s="46">
        <v>1</v>
      </c>
      <c r="AT10" s="46"/>
      <c r="AU10" s="46" t="s">
        <v>20</v>
      </c>
      <c r="AV10" s="47" t="s">
        <v>573</v>
      </c>
      <c r="AW10" s="47" t="s">
        <v>574</v>
      </c>
      <c r="AX10" s="47">
        <v>0.33333333333333331</v>
      </c>
      <c r="AY10" s="47">
        <v>0.83333333333333337</v>
      </c>
      <c r="AZ10" s="43"/>
      <c r="BB10" s="49" t="s">
        <v>95</v>
      </c>
      <c r="BC10" s="120">
        <v>1</v>
      </c>
      <c r="BD10" s="120">
        <v>2</v>
      </c>
      <c r="BE10" s="120">
        <v>3</v>
      </c>
      <c r="BF10" s="120">
        <v>4</v>
      </c>
      <c r="BG10" s="120">
        <v>5</v>
      </c>
      <c r="BH10" s="120">
        <v>6</v>
      </c>
      <c r="BI10" s="120">
        <v>7</v>
      </c>
      <c r="BJ10" s="120">
        <v>8</v>
      </c>
      <c r="BK10" s="120">
        <v>9</v>
      </c>
      <c r="BL10" s="120">
        <v>10</v>
      </c>
      <c r="BM10" s="120">
        <v>11</v>
      </c>
      <c r="BN10" s="120">
        <v>12</v>
      </c>
      <c r="BO10" s="120">
        <v>13</v>
      </c>
      <c r="BP10" s="120">
        <v>14</v>
      </c>
      <c r="BQ10" s="120">
        <v>15</v>
      </c>
      <c r="BR10" s="120">
        <v>16</v>
      </c>
      <c r="BS10" s="120">
        <v>17</v>
      </c>
      <c r="BT10" s="120">
        <v>18</v>
      </c>
      <c r="BU10" s="120">
        <v>19</v>
      </c>
      <c r="BV10" s="120">
        <v>20</v>
      </c>
      <c r="BW10" s="120">
        <v>21</v>
      </c>
      <c r="BX10" s="120">
        <v>22</v>
      </c>
      <c r="BY10" s="120">
        <v>23</v>
      </c>
      <c r="BZ10" s="120">
        <v>24</v>
      </c>
      <c r="CA10" s="120">
        <v>25</v>
      </c>
      <c r="CB10" s="120">
        <v>26</v>
      </c>
      <c r="CC10" s="120">
        <v>27</v>
      </c>
      <c r="CD10" s="120">
        <v>28</v>
      </c>
      <c r="CE10" s="120">
        <v>29</v>
      </c>
      <c r="CF10" s="120">
        <v>30</v>
      </c>
      <c r="CG10" s="43"/>
    </row>
    <row r="11" spans="1:85" ht="18" customHeight="1">
      <c r="A11" s="265" t="s">
        <v>575</v>
      </c>
      <c r="B11" s="266"/>
      <c r="C11" s="266"/>
      <c r="D11" s="266"/>
      <c r="E11" s="266"/>
      <c r="F11" s="266"/>
      <c r="G11" s="266"/>
      <c r="H11" s="266"/>
      <c r="I11" s="264">
        <f>AQ27</f>
        <v>0</v>
      </c>
      <c r="J11" s="264"/>
      <c r="K11" s="267" t="s">
        <v>176</v>
      </c>
      <c r="L11" s="268"/>
      <c r="M11" s="269" t="s">
        <v>576</v>
      </c>
      <c r="N11" s="266"/>
      <c r="O11" s="266"/>
      <c r="P11" s="266"/>
      <c r="Q11" s="266"/>
      <c r="R11" s="266"/>
      <c r="S11" s="266"/>
      <c r="T11" s="266"/>
      <c r="U11" s="264">
        <f>AQ36</f>
        <v>0</v>
      </c>
      <c r="V11" s="264"/>
      <c r="W11" s="267" t="s">
        <v>176</v>
      </c>
      <c r="X11" s="268"/>
      <c r="Y11" s="269" t="s">
        <v>577</v>
      </c>
      <c r="Z11" s="266"/>
      <c r="AA11" s="266"/>
      <c r="AB11" s="266"/>
      <c r="AC11" s="266"/>
      <c r="AD11" s="266"/>
      <c r="AE11" s="266"/>
      <c r="AF11" s="266"/>
      <c r="AG11" s="264">
        <f>AQ34</f>
        <v>0</v>
      </c>
      <c r="AH11" s="264"/>
      <c r="AI11" s="28" t="s">
        <v>176</v>
      </c>
      <c r="AK11" s="441" t="s">
        <v>578</v>
      </c>
      <c r="AL11" s="442"/>
      <c r="AM11" s="442"/>
      <c r="AN11" s="442"/>
      <c r="AO11" s="442"/>
      <c r="AP11" s="443"/>
      <c r="AQ11" s="42">
        <v>27</v>
      </c>
      <c r="AR11" s="43"/>
      <c r="AS11" s="46">
        <v>2</v>
      </c>
      <c r="AT11" s="46"/>
      <c r="AU11" s="46"/>
      <c r="AV11" s="47" t="s">
        <v>579</v>
      </c>
      <c r="AW11" s="47" t="s">
        <v>580</v>
      </c>
      <c r="AX11" s="47">
        <v>0.33333333333333331</v>
      </c>
      <c r="AY11" s="47">
        <v>0.58333333333333337</v>
      </c>
      <c r="AZ11" s="43"/>
      <c r="BB11" s="121" t="s">
        <v>581</v>
      </c>
      <c r="BC11" s="138" t="s">
        <v>582</v>
      </c>
      <c r="BD11" s="138" t="s">
        <v>583</v>
      </c>
      <c r="BE11" s="138" t="s">
        <v>584</v>
      </c>
      <c r="BF11" s="138" t="s">
        <v>585</v>
      </c>
      <c r="BG11" s="139" t="s">
        <v>584</v>
      </c>
      <c r="BH11" s="138" t="s">
        <v>582</v>
      </c>
      <c r="BI11" s="138" t="s">
        <v>585</v>
      </c>
      <c r="BJ11" s="138" t="s">
        <v>583</v>
      </c>
      <c r="BK11" s="138" t="s">
        <v>584</v>
      </c>
      <c r="BL11" s="138" t="s">
        <v>583</v>
      </c>
      <c r="BM11" s="138" t="s">
        <v>585</v>
      </c>
      <c r="BN11" s="138" t="s">
        <v>582</v>
      </c>
      <c r="BO11" s="138" t="s">
        <v>584</v>
      </c>
      <c r="BP11" s="138" t="s">
        <v>585</v>
      </c>
      <c r="BQ11" s="138" t="s">
        <v>583</v>
      </c>
      <c r="BR11" s="138" t="s">
        <v>585</v>
      </c>
      <c r="BS11" s="138" t="s">
        <v>584</v>
      </c>
      <c r="BT11" s="138" t="s">
        <v>582</v>
      </c>
      <c r="BU11" s="138" t="s">
        <v>583</v>
      </c>
      <c r="BV11" s="138" t="s">
        <v>585</v>
      </c>
      <c r="BW11" s="138" t="s">
        <v>582</v>
      </c>
      <c r="BX11" s="138" t="s">
        <v>584</v>
      </c>
      <c r="BY11" s="138" t="s">
        <v>585</v>
      </c>
      <c r="BZ11" s="138" t="s">
        <v>583</v>
      </c>
      <c r="CA11" s="138" t="s">
        <v>582</v>
      </c>
      <c r="CB11" s="138" t="s">
        <v>585</v>
      </c>
      <c r="CC11" s="138" t="s">
        <v>584</v>
      </c>
      <c r="CD11" s="138" t="s">
        <v>582</v>
      </c>
      <c r="CE11" s="138" t="s">
        <v>585</v>
      </c>
      <c r="CF11" s="138" t="s">
        <v>583</v>
      </c>
      <c r="CG11" s="43"/>
    </row>
    <row r="12" spans="1:85" ht="18" customHeight="1">
      <c r="A12" s="265" t="s">
        <v>586</v>
      </c>
      <c r="B12" s="266"/>
      <c r="C12" s="266"/>
      <c r="D12" s="266"/>
      <c r="E12" s="266"/>
      <c r="F12" s="266"/>
      <c r="G12" s="266"/>
      <c r="H12" s="266"/>
      <c r="I12" s="264">
        <f>AQ33</f>
        <v>0</v>
      </c>
      <c r="J12" s="264"/>
      <c r="K12" s="267" t="s">
        <v>176</v>
      </c>
      <c r="L12" s="268"/>
      <c r="M12" s="269" t="s">
        <v>587</v>
      </c>
      <c r="N12" s="266"/>
      <c r="O12" s="266"/>
      <c r="P12" s="266"/>
      <c r="Q12" s="266"/>
      <c r="R12" s="266"/>
      <c r="S12" s="266"/>
      <c r="T12" s="266"/>
      <c r="U12" s="264">
        <f>AQ24</f>
        <v>0</v>
      </c>
      <c r="V12" s="264"/>
      <c r="W12" s="267" t="s">
        <v>176</v>
      </c>
      <c r="X12" s="268"/>
      <c r="Y12" s="269" t="s">
        <v>588</v>
      </c>
      <c r="Z12" s="266"/>
      <c r="AA12" s="266"/>
      <c r="AB12" s="266"/>
      <c r="AC12" s="266"/>
      <c r="AD12" s="266"/>
      <c r="AE12" s="266"/>
      <c r="AF12" s="266"/>
      <c r="AG12" s="264">
        <f>AQ20+AQ21+AQ22+AQ23</f>
        <v>0</v>
      </c>
      <c r="AH12" s="264"/>
      <c r="AI12" s="28" t="s">
        <v>176</v>
      </c>
      <c r="AK12" s="441" t="s">
        <v>589</v>
      </c>
      <c r="AL12" s="442"/>
      <c r="AM12" s="442"/>
      <c r="AN12" s="442"/>
      <c r="AO12" s="442"/>
      <c r="AP12" s="443"/>
      <c r="AQ12" s="42">
        <v>8</v>
      </c>
      <c r="AR12" s="43"/>
      <c r="AS12" s="46">
        <v>3</v>
      </c>
      <c r="AT12" s="46"/>
      <c r="AU12" s="46"/>
      <c r="AV12" s="47" t="s">
        <v>590</v>
      </c>
      <c r="AW12" s="47" t="s">
        <v>574</v>
      </c>
      <c r="AX12" s="47">
        <v>0.58333333333333337</v>
      </c>
      <c r="AY12" s="47">
        <v>0.83333333333333337</v>
      </c>
      <c r="AZ12" s="43"/>
      <c r="BB12" s="49"/>
      <c r="BC12" s="43"/>
      <c r="BD12" s="43"/>
      <c r="BE12" s="43"/>
      <c r="BF12" s="43"/>
      <c r="BG12" s="43"/>
      <c r="BH12" s="43"/>
      <c r="BI12" s="43"/>
      <c r="BJ12" s="43"/>
      <c r="BK12" s="43"/>
      <c r="BL12" s="43"/>
      <c r="BM12" s="43"/>
      <c r="BN12" s="43"/>
      <c r="BO12" s="43"/>
      <c r="BP12" s="43"/>
      <c r="BQ12" s="43"/>
      <c r="BR12" s="43"/>
      <c r="BS12" s="43"/>
      <c r="BT12" s="43"/>
      <c r="BU12" s="43"/>
      <c r="BV12" s="43"/>
      <c r="BW12" s="43"/>
      <c r="BX12" s="43"/>
      <c r="BY12" s="43"/>
      <c r="BZ12" s="43"/>
      <c r="CA12" s="43"/>
      <c r="CB12" s="43"/>
      <c r="CC12" s="43"/>
      <c r="CD12" s="43"/>
      <c r="CE12" s="43"/>
      <c r="CF12" s="43"/>
      <c r="CG12" s="43"/>
    </row>
    <row r="13" spans="1:85" ht="18" customHeight="1" thickBot="1">
      <c r="A13" s="517" t="s">
        <v>591</v>
      </c>
      <c r="B13" s="277"/>
      <c r="C13" s="277"/>
      <c r="D13" s="277"/>
      <c r="E13" s="277"/>
      <c r="F13" s="277"/>
      <c r="G13" s="277"/>
      <c r="H13" s="277"/>
      <c r="I13" s="272">
        <f>AQ30+AQ31</f>
        <v>0</v>
      </c>
      <c r="J13" s="272"/>
      <c r="K13" s="273" t="s">
        <v>176</v>
      </c>
      <c r="L13" s="274"/>
      <c r="M13" s="276" t="s">
        <v>592</v>
      </c>
      <c r="N13" s="277"/>
      <c r="O13" s="277"/>
      <c r="P13" s="277"/>
      <c r="Q13" s="277"/>
      <c r="R13" s="277"/>
      <c r="S13" s="277"/>
      <c r="T13" s="277"/>
      <c r="U13" s="272">
        <f>AQ28</f>
        <v>0</v>
      </c>
      <c r="V13" s="272"/>
      <c r="W13" s="273" t="s">
        <v>176</v>
      </c>
      <c r="X13" s="274"/>
      <c r="Y13" s="276" t="s">
        <v>593</v>
      </c>
      <c r="Z13" s="277"/>
      <c r="AA13" s="277"/>
      <c r="AB13" s="277"/>
      <c r="AC13" s="277"/>
      <c r="AD13" s="277"/>
      <c r="AE13" s="277"/>
      <c r="AF13" s="277"/>
      <c r="AG13" s="272">
        <f>AQ13</f>
        <v>0</v>
      </c>
      <c r="AH13" s="272"/>
      <c r="AI13" s="34" t="s">
        <v>176</v>
      </c>
      <c r="AK13" s="425" t="s">
        <v>594</v>
      </c>
      <c r="AL13" s="425"/>
      <c r="AM13" s="425"/>
      <c r="AN13" s="425"/>
      <c r="AO13" s="425"/>
      <c r="AP13" s="425"/>
      <c r="AQ13" s="42"/>
      <c r="AR13" s="43"/>
      <c r="AS13" s="46">
        <v>4</v>
      </c>
      <c r="AT13" s="46"/>
      <c r="AU13" s="46" t="s">
        <v>602</v>
      </c>
      <c r="AV13" s="47" t="s">
        <v>595</v>
      </c>
      <c r="AW13" s="47" t="s">
        <v>596</v>
      </c>
      <c r="AX13" s="47">
        <v>0.33333333333333331</v>
      </c>
      <c r="AY13" s="47">
        <v>0.83333333333333337</v>
      </c>
      <c r="AZ13" s="43"/>
      <c r="BB13" s="121" t="s">
        <v>597</v>
      </c>
      <c r="BC13" s="140" t="s">
        <v>20</v>
      </c>
      <c r="BD13" s="140" t="s">
        <v>119</v>
      </c>
      <c r="BE13" s="140" t="s">
        <v>20</v>
      </c>
      <c r="BF13" s="140" t="s">
        <v>20</v>
      </c>
      <c r="BG13" s="140" t="s">
        <v>20</v>
      </c>
      <c r="BH13" s="140" t="s">
        <v>20</v>
      </c>
      <c r="BI13" s="140" t="s">
        <v>80</v>
      </c>
      <c r="BJ13" s="140" t="s">
        <v>20</v>
      </c>
      <c r="BK13" s="140" t="s">
        <v>20</v>
      </c>
      <c r="BL13" s="140" t="s">
        <v>20</v>
      </c>
      <c r="BM13" s="140" t="s">
        <v>20</v>
      </c>
      <c r="BN13" s="140" t="s">
        <v>20</v>
      </c>
      <c r="BO13" s="140" t="s">
        <v>119</v>
      </c>
      <c r="BP13" s="140" t="s">
        <v>119</v>
      </c>
      <c r="BQ13" s="140" t="s">
        <v>20</v>
      </c>
      <c r="BR13" s="140" t="s">
        <v>119</v>
      </c>
      <c r="BS13" s="140" t="s">
        <v>20</v>
      </c>
      <c r="BT13" s="140" t="s">
        <v>20</v>
      </c>
      <c r="BU13" s="140" t="s">
        <v>20</v>
      </c>
      <c r="BV13" s="140" t="s">
        <v>119</v>
      </c>
      <c r="BW13" s="140" t="s">
        <v>119</v>
      </c>
      <c r="BX13" s="140" t="s">
        <v>20</v>
      </c>
      <c r="BY13" s="140" t="s">
        <v>119</v>
      </c>
      <c r="BZ13" s="140" t="s">
        <v>20</v>
      </c>
      <c r="CA13" s="140" t="s">
        <v>119</v>
      </c>
      <c r="CB13" s="140" t="s">
        <v>20</v>
      </c>
      <c r="CC13" s="140" t="s">
        <v>20</v>
      </c>
      <c r="CD13" s="140" t="s">
        <v>119</v>
      </c>
      <c r="CE13" s="140" t="s">
        <v>20</v>
      </c>
      <c r="CF13" s="140" t="s">
        <v>119</v>
      </c>
      <c r="CG13" s="43"/>
    </row>
    <row r="14" spans="1:85" ht="18" customHeight="1" thickBot="1">
      <c r="A14" s="452" t="s">
        <v>598</v>
      </c>
      <c r="B14" s="453"/>
      <c r="C14" s="453"/>
      <c r="D14" s="453"/>
      <c r="E14" s="453"/>
      <c r="F14" s="453"/>
      <c r="G14" s="453"/>
      <c r="H14" s="453"/>
      <c r="I14" s="453"/>
      <c r="J14" s="453"/>
      <c r="K14" s="453"/>
      <c r="L14" s="453"/>
      <c r="M14" s="453"/>
      <c r="N14" s="453"/>
      <c r="O14" s="453"/>
      <c r="P14" s="453"/>
      <c r="Q14" s="453"/>
      <c r="R14" s="453"/>
      <c r="S14" s="453"/>
      <c r="T14" s="453"/>
      <c r="U14" s="453"/>
      <c r="V14" s="453"/>
      <c r="W14" s="453"/>
      <c r="X14" s="453"/>
      <c r="Y14" s="453"/>
      <c r="Z14" s="453"/>
      <c r="AA14" s="453"/>
      <c r="AB14" s="453"/>
      <c r="AC14" s="453"/>
      <c r="AD14" s="453"/>
      <c r="AE14" s="453"/>
      <c r="AF14" s="453"/>
      <c r="AG14" s="453"/>
      <c r="AH14" s="453"/>
      <c r="AI14" s="454"/>
      <c r="AK14" s="440" t="s">
        <v>599</v>
      </c>
      <c r="AL14" s="440"/>
      <c r="AM14" s="440"/>
      <c r="AN14" s="440"/>
      <c r="AO14" s="440"/>
      <c r="AP14" s="440"/>
      <c r="AQ14" s="42">
        <v>2</v>
      </c>
      <c r="AR14" s="43"/>
      <c r="AS14" s="46">
        <v>5</v>
      </c>
      <c r="AT14" s="46"/>
      <c r="AU14" s="46" t="s">
        <v>119</v>
      </c>
      <c r="AV14" s="47" t="s">
        <v>600</v>
      </c>
      <c r="AW14" s="47" t="s">
        <v>596</v>
      </c>
      <c r="AX14" s="47">
        <v>0.33333333333333331</v>
      </c>
      <c r="AY14" s="47">
        <v>0.83333333333333337</v>
      </c>
      <c r="AZ14" s="43"/>
      <c r="BB14" s="121" t="s">
        <v>601</v>
      </c>
      <c r="BC14" s="162" t="s">
        <v>28</v>
      </c>
      <c r="BD14" s="162" t="s">
        <v>602</v>
      </c>
      <c r="BE14" s="162" t="s">
        <v>602</v>
      </c>
      <c r="BF14" s="162" t="s">
        <v>28</v>
      </c>
      <c r="BG14" s="162" t="s">
        <v>602</v>
      </c>
      <c r="BH14" s="162" t="s">
        <v>602</v>
      </c>
      <c r="BI14" s="162" t="s">
        <v>28</v>
      </c>
      <c r="BJ14" s="162" t="s">
        <v>28</v>
      </c>
      <c r="BK14" s="162" t="s">
        <v>602</v>
      </c>
      <c r="BL14" s="162" t="s">
        <v>28</v>
      </c>
      <c r="BM14" s="162" t="s">
        <v>602</v>
      </c>
      <c r="BN14" s="162" t="s">
        <v>28</v>
      </c>
      <c r="BO14" s="162" t="s">
        <v>28</v>
      </c>
      <c r="BP14" s="162" t="s">
        <v>76</v>
      </c>
      <c r="BQ14" s="162" t="s">
        <v>28</v>
      </c>
      <c r="BR14" s="162" t="s">
        <v>602</v>
      </c>
      <c r="BS14" s="162" t="s">
        <v>28</v>
      </c>
      <c r="BT14" s="162" t="s">
        <v>602</v>
      </c>
      <c r="BU14" s="162" t="s">
        <v>28</v>
      </c>
      <c r="BV14" s="162" t="s">
        <v>602</v>
      </c>
      <c r="BW14" s="162" t="s">
        <v>28</v>
      </c>
      <c r="BX14" s="162" t="s">
        <v>28</v>
      </c>
      <c r="BY14" s="162" t="s">
        <v>602</v>
      </c>
      <c r="BZ14" s="162" t="s">
        <v>28</v>
      </c>
      <c r="CA14" s="162" t="s">
        <v>602</v>
      </c>
      <c r="CB14" s="162" t="s">
        <v>28</v>
      </c>
      <c r="CC14" s="162" t="s">
        <v>28</v>
      </c>
      <c r="CD14" s="162" t="s">
        <v>76</v>
      </c>
      <c r="CE14" s="162" t="s">
        <v>28</v>
      </c>
      <c r="CF14" s="162" t="s">
        <v>602</v>
      </c>
      <c r="CG14" s="43"/>
    </row>
    <row r="15" spans="1:85" ht="18" customHeight="1" thickBot="1">
      <c r="A15" s="30" t="s">
        <v>189</v>
      </c>
      <c r="B15" s="264" t="s">
        <v>603</v>
      </c>
      <c r="C15" s="264"/>
      <c r="D15" s="264"/>
      <c r="E15" s="264"/>
      <c r="F15" s="264"/>
      <c r="G15" s="264"/>
      <c r="H15" s="264"/>
      <c r="I15" s="264"/>
      <c r="J15" s="278">
        <f>AQ9+AQ10</f>
        <v>61</v>
      </c>
      <c r="K15" s="278"/>
      <c r="L15" s="278"/>
      <c r="M15" s="264" t="s">
        <v>176</v>
      </c>
      <c r="N15" s="264"/>
      <c r="O15" s="264" t="s">
        <v>604</v>
      </c>
      <c r="P15" s="264"/>
      <c r="Q15" s="264"/>
      <c r="R15" s="264"/>
      <c r="S15" s="264"/>
      <c r="T15" s="264"/>
      <c r="U15" s="264"/>
      <c r="V15" s="264"/>
      <c r="W15" s="278">
        <f>AQ11+AQ12</f>
        <v>35</v>
      </c>
      <c r="X15" s="278"/>
      <c r="Y15" s="278"/>
      <c r="Z15" s="264" t="s">
        <v>176</v>
      </c>
      <c r="AA15" s="264"/>
      <c r="AB15" s="503" t="s">
        <v>605</v>
      </c>
      <c r="AC15" s="503"/>
      <c r="AD15" s="503"/>
      <c r="AE15" s="503"/>
      <c r="AF15" s="503"/>
      <c r="AG15" s="503"/>
      <c r="AH15" s="281" t="s">
        <v>584</v>
      </c>
      <c r="AI15" s="282"/>
      <c r="AK15" s="425" t="s">
        <v>606</v>
      </c>
      <c r="AL15" s="425"/>
      <c r="AM15" s="425"/>
      <c r="AN15" s="425"/>
      <c r="AO15" s="425"/>
      <c r="AP15" s="425"/>
      <c r="AQ15" s="42"/>
      <c r="AR15" s="43"/>
      <c r="AS15" s="46">
        <v>6</v>
      </c>
      <c r="AT15" s="46"/>
      <c r="AU15" s="46"/>
      <c r="AV15" s="47" t="s">
        <v>607</v>
      </c>
      <c r="AW15" s="47" t="s">
        <v>596</v>
      </c>
      <c r="AX15" s="47">
        <v>0.33333333333333331</v>
      </c>
      <c r="AY15" s="47">
        <v>0.83333333333333337</v>
      </c>
      <c r="AZ15" s="43"/>
      <c r="BB15" s="121" t="s">
        <v>31</v>
      </c>
      <c r="BC15" s="163" t="s">
        <v>119</v>
      </c>
      <c r="BD15" s="164"/>
      <c r="BE15" s="165" t="s">
        <v>28</v>
      </c>
      <c r="BF15" s="165" t="s">
        <v>119</v>
      </c>
      <c r="BG15" s="164"/>
      <c r="BH15" s="164"/>
      <c r="BI15" s="164"/>
      <c r="BJ15" s="164"/>
      <c r="BK15" s="165" t="s">
        <v>119</v>
      </c>
      <c r="BL15" s="165" t="s">
        <v>602</v>
      </c>
      <c r="BM15" s="165" t="s">
        <v>119</v>
      </c>
      <c r="BN15" s="165" t="s">
        <v>602</v>
      </c>
      <c r="BO15" s="164"/>
      <c r="BP15" s="164"/>
      <c r="BQ15" s="165" t="s">
        <v>608</v>
      </c>
      <c r="BR15" s="165" t="s">
        <v>20</v>
      </c>
      <c r="BS15" s="165" t="s">
        <v>602</v>
      </c>
      <c r="BT15" s="165" t="s">
        <v>119</v>
      </c>
      <c r="BU15" s="165" t="s">
        <v>602</v>
      </c>
      <c r="BV15" s="164"/>
      <c r="BW15" s="164"/>
      <c r="BX15" s="165" t="s">
        <v>119</v>
      </c>
      <c r="BY15" s="165" t="s">
        <v>20</v>
      </c>
      <c r="BZ15" s="165" t="s">
        <v>602</v>
      </c>
      <c r="CA15" s="165" t="s">
        <v>20</v>
      </c>
      <c r="CB15" s="165" t="s">
        <v>602</v>
      </c>
      <c r="CC15" s="165" t="s">
        <v>602</v>
      </c>
      <c r="CD15" s="164"/>
      <c r="CE15" s="165" t="s">
        <v>119</v>
      </c>
      <c r="CF15" s="165" t="s">
        <v>20</v>
      </c>
      <c r="CG15" s="43"/>
    </row>
    <row r="16" spans="1:85" ht="18" customHeight="1">
      <c r="A16" s="504" t="s">
        <v>609</v>
      </c>
      <c r="B16" s="505"/>
      <c r="C16" s="505"/>
      <c r="D16" s="505"/>
      <c r="E16" s="505"/>
      <c r="F16" s="505"/>
      <c r="G16" s="505"/>
      <c r="H16" s="505"/>
      <c r="I16" s="505"/>
      <c r="J16" s="505"/>
      <c r="K16" s="505"/>
      <c r="L16" s="505"/>
      <c r="M16" s="505"/>
      <c r="N16" s="505"/>
      <c r="O16" s="505"/>
      <c r="P16" s="505"/>
      <c r="Q16" s="505"/>
      <c r="R16" s="505"/>
      <c r="S16" s="505"/>
      <c r="T16" s="505"/>
      <c r="U16" s="505"/>
      <c r="V16" s="505"/>
      <c r="W16" s="505"/>
      <c r="X16" s="505"/>
      <c r="Y16" s="505"/>
      <c r="Z16" s="505"/>
      <c r="AA16" s="505"/>
      <c r="AB16" s="505"/>
      <c r="AC16" s="505"/>
      <c r="AD16" s="505"/>
      <c r="AE16" s="505"/>
      <c r="AF16" s="505"/>
      <c r="AG16" s="505"/>
      <c r="AH16" s="505"/>
      <c r="AI16" s="506"/>
      <c r="AK16" s="425" t="s">
        <v>610</v>
      </c>
      <c r="AL16" s="425"/>
      <c r="AM16" s="425"/>
      <c r="AN16" s="425"/>
      <c r="AO16" s="425"/>
      <c r="AP16" s="425"/>
      <c r="AQ16" s="42"/>
      <c r="AR16" s="43"/>
      <c r="AS16" s="46">
        <v>7</v>
      </c>
      <c r="AT16" s="46"/>
      <c r="AU16" s="46" t="s">
        <v>42</v>
      </c>
      <c r="AV16" s="47" t="s">
        <v>611</v>
      </c>
      <c r="AW16" s="47" t="s">
        <v>612</v>
      </c>
      <c r="AX16" s="47">
        <v>0.83333333333333337</v>
      </c>
      <c r="AY16" s="47" t="s">
        <v>613</v>
      </c>
      <c r="AZ16" s="43"/>
      <c r="BB16" s="121" t="s">
        <v>614</v>
      </c>
      <c r="BC16" s="142" t="s">
        <v>20</v>
      </c>
      <c r="BD16" s="140" t="s">
        <v>67</v>
      </c>
      <c r="BE16" s="142" t="s">
        <v>42</v>
      </c>
      <c r="BF16" s="142" t="s">
        <v>20</v>
      </c>
      <c r="BG16" s="142" t="s">
        <v>42</v>
      </c>
      <c r="BH16" s="142" t="s">
        <v>61</v>
      </c>
      <c r="BI16" s="142" t="s">
        <v>67</v>
      </c>
      <c r="BJ16" s="142" t="s">
        <v>67</v>
      </c>
      <c r="BK16" s="142" t="s">
        <v>42</v>
      </c>
      <c r="BL16" s="142" t="s">
        <v>42</v>
      </c>
      <c r="BM16" s="142" t="s">
        <v>67</v>
      </c>
      <c r="BN16" s="142" t="s">
        <v>67</v>
      </c>
      <c r="BO16" s="142" t="s">
        <v>42</v>
      </c>
      <c r="BP16" s="142" t="s">
        <v>67</v>
      </c>
      <c r="BQ16" s="142" t="s">
        <v>20</v>
      </c>
      <c r="BR16" s="142" t="s">
        <v>71</v>
      </c>
      <c r="BS16" s="142" t="s">
        <v>67</v>
      </c>
      <c r="BT16" s="142" t="s">
        <v>67</v>
      </c>
      <c r="BU16" s="142" t="s">
        <v>61</v>
      </c>
      <c r="BV16" s="142" t="s">
        <v>42</v>
      </c>
      <c r="BW16" s="142" t="s">
        <v>49</v>
      </c>
      <c r="BX16" s="142" t="s">
        <v>20</v>
      </c>
      <c r="BY16" s="142" t="s">
        <v>71</v>
      </c>
      <c r="BZ16" s="142" t="s">
        <v>42</v>
      </c>
      <c r="CA16" s="142" t="s">
        <v>20</v>
      </c>
      <c r="CB16" s="142" t="s">
        <v>61</v>
      </c>
      <c r="CC16" s="142" t="s">
        <v>42</v>
      </c>
      <c r="CD16" s="142" t="s">
        <v>49</v>
      </c>
      <c r="CE16" s="142" t="s">
        <v>20</v>
      </c>
      <c r="CF16" s="143" t="s">
        <v>71</v>
      </c>
      <c r="CG16" s="43"/>
    </row>
    <row r="17" spans="1:85" ht="18" customHeight="1">
      <c r="A17" s="396" t="s">
        <v>615</v>
      </c>
      <c r="B17" s="397"/>
      <c r="C17" s="397"/>
      <c r="D17" s="397"/>
      <c r="E17" s="397"/>
      <c r="F17" s="398" t="s">
        <v>616</v>
      </c>
      <c r="G17" s="398"/>
      <c r="H17" s="398"/>
      <c r="I17" s="398"/>
      <c r="J17" s="398"/>
      <c r="K17" s="398"/>
      <c r="L17" s="398"/>
      <c r="M17" s="398"/>
      <c r="N17" s="398"/>
      <c r="O17" s="398"/>
      <c r="P17" s="398"/>
      <c r="Q17" s="398"/>
      <c r="R17" s="398"/>
      <c r="S17" s="398"/>
      <c r="T17" s="398"/>
      <c r="U17" s="398"/>
      <c r="V17" s="398"/>
      <c r="W17" s="398"/>
      <c r="X17" s="398"/>
      <c r="Y17" s="398"/>
      <c r="Z17" s="398"/>
      <c r="AA17" s="398"/>
      <c r="AB17" s="398"/>
      <c r="AC17" s="398"/>
      <c r="AD17" s="398"/>
      <c r="AE17" s="398"/>
      <c r="AF17" s="398"/>
      <c r="AG17" s="398"/>
      <c r="AH17" s="398"/>
      <c r="AI17" s="399"/>
      <c r="AK17" s="425" t="s">
        <v>617</v>
      </c>
      <c r="AL17" s="425"/>
      <c r="AM17" s="425"/>
      <c r="AN17" s="425"/>
      <c r="AO17" s="425"/>
      <c r="AP17" s="425"/>
      <c r="AQ17" s="42"/>
      <c r="AR17" s="43"/>
      <c r="AS17" s="46">
        <v>8</v>
      </c>
      <c r="AT17" s="46"/>
      <c r="AU17" s="46" t="s">
        <v>71</v>
      </c>
      <c r="AV17" s="47" t="s">
        <v>618</v>
      </c>
      <c r="AW17" s="47" t="s">
        <v>612</v>
      </c>
      <c r="AX17" s="47">
        <v>0.83333333333333337</v>
      </c>
      <c r="AY17" s="47" t="s">
        <v>613</v>
      </c>
      <c r="AZ17" s="43"/>
      <c r="BB17" s="121" t="s">
        <v>619</v>
      </c>
      <c r="BC17" s="141" t="s">
        <v>67</v>
      </c>
      <c r="BD17" s="140" t="s">
        <v>42</v>
      </c>
      <c r="BE17" s="141" t="s">
        <v>71</v>
      </c>
      <c r="BF17" s="140" t="s">
        <v>67</v>
      </c>
      <c r="BG17" s="140" t="s">
        <v>61</v>
      </c>
      <c r="BH17" s="140" t="s">
        <v>42</v>
      </c>
      <c r="BI17" s="140" t="s">
        <v>49</v>
      </c>
      <c r="BJ17" s="140" t="s">
        <v>61</v>
      </c>
      <c r="BK17" s="140" t="s">
        <v>71</v>
      </c>
      <c r="BL17" s="140" t="s">
        <v>67</v>
      </c>
      <c r="BM17" s="140" t="s">
        <v>49</v>
      </c>
      <c r="BN17" s="140" t="s">
        <v>49</v>
      </c>
      <c r="BO17" s="140" t="s">
        <v>61</v>
      </c>
      <c r="BP17" s="140" t="s">
        <v>49</v>
      </c>
      <c r="BQ17" s="140" t="s">
        <v>67</v>
      </c>
      <c r="BR17" s="140" t="s">
        <v>42</v>
      </c>
      <c r="BS17" s="140" t="s">
        <v>42</v>
      </c>
      <c r="BT17" s="140" t="s">
        <v>49</v>
      </c>
      <c r="BU17" s="140" t="s">
        <v>42</v>
      </c>
      <c r="BV17" s="140" t="s">
        <v>61</v>
      </c>
      <c r="BW17" s="140" t="s">
        <v>71</v>
      </c>
      <c r="BX17" s="140" t="s">
        <v>67</v>
      </c>
      <c r="BY17" s="140" t="s">
        <v>42</v>
      </c>
      <c r="BZ17" s="140" t="s">
        <v>67</v>
      </c>
      <c r="CA17" s="140" t="s">
        <v>67</v>
      </c>
      <c r="CB17" s="140" t="s">
        <v>49</v>
      </c>
      <c r="CC17" s="140" t="s">
        <v>61</v>
      </c>
      <c r="CD17" s="140" t="s">
        <v>71</v>
      </c>
      <c r="CE17" s="140" t="s">
        <v>67</v>
      </c>
      <c r="CF17" s="140" t="s">
        <v>42</v>
      </c>
      <c r="CG17" s="43"/>
    </row>
    <row r="18" spans="1:85" ht="18" customHeight="1">
      <c r="A18" s="501" t="s">
        <v>620</v>
      </c>
      <c r="B18" s="502"/>
      <c r="C18" s="502"/>
      <c r="D18" s="502"/>
      <c r="E18" s="502"/>
      <c r="F18" s="400" t="s">
        <v>616</v>
      </c>
      <c r="G18" s="400"/>
      <c r="H18" s="400"/>
      <c r="I18" s="400"/>
      <c r="J18" s="400"/>
      <c r="K18" s="400"/>
      <c r="L18" s="400"/>
      <c r="M18" s="400"/>
      <c r="N18" s="400"/>
      <c r="O18" s="400"/>
      <c r="P18" s="400"/>
      <c r="Q18" s="400"/>
      <c r="R18" s="400"/>
      <c r="S18" s="400"/>
      <c r="T18" s="400"/>
      <c r="U18" s="400"/>
      <c r="V18" s="400"/>
      <c r="W18" s="400"/>
      <c r="X18" s="400"/>
      <c r="Y18" s="400"/>
      <c r="Z18" s="400"/>
      <c r="AA18" s="400"/>
      <c r="AB18" s="400"/>
      <c r="AC18" s="400"/>
      <c r="AD18" s="400"/>
      <c r="AE18" s="400"/>
      <c r="AF18" s="400"/>
      <c r="AG18" s="400"/>
      <c r="AH18" s="400"/>
      <c r="AI18" s="401"/>
      <c r="AK18" s="425" t="s">
        <v>621</v>
      </c>
      <c r="AL18" s="425"/>
      <c r="AM18" s="425"/>
      <c r="AN18" s="425"/>
      <c r="AO18" s="425"/>
      <c r="AP18" s="425"/>
      <c r="AQ18" s="42"/>
      <c r="AR18" s="43"/>
      <c r="AS18" s="46">
        <v>9</v>
      </c>
      <c r="AT18" s="46"/>
      <c r="AU18" s="46"/>
      <c r="AV18" s="47" t="s">
        <v>622</v>
      </c>
      <c r="AW18" s="47" t="s">
        <v>612</v>
      </c>
      <c r="AX18" s="47">
        <v>0.83333333333333337</v>
      </c>
      <c r="AY18" s="47" t="s">
        <v>613</v>
      </c>
      <c r="AZ18" s="43"/>
    </row>
    <row r="19" spans="1:85" ht="18" customHeight="1" thickBot="1">
      <c r="A19" s="35" t="s">
        <v>189</v>
      </c>
      <c r="B19" s="405">
        <v>0.45833333333333331</v>
      </c>
      <c r="C19" s="405"/>
      <c r="D19" s="405"/>
      <c r="E19" s="405"/>
      <c r="F19" s="402" t="s">
        <v>791</v>
      </c>
      <c r="G19" s="402"/>
      <c r="H19" s="402"/>
      <c r="I19" s="402"/>
      <c r="J19" s="402"/>
      <c r="K19" s="402"/>
      <c r="L19" s="402"/>
      <c r="M19" s="402"/>
      <c r="N19" s="402"/>
      <c r="O19" s="402"/>
      <c r="P19" s="402"/>
      <c r="Q19" s="402"/>
      <c r="R19" s="402"/>
      <c r="S19" s="402"/>
      <c r="T19" s="402"/>
      <c r="U19" s="402"/>
      <c r="V19" s="402"/>
      <c r="W19" s="402"/>
      <c r="X19" s="402"/>
      <c r="Y19" s="402"/>
      <c r="Z19" s="402"/>
      <c r="AA19" s="402"/>
      <c r="AB19" s="402"/>
      <c r="AC19" s="402"/>
      <c r="AD19" s="402"/>
      <c r="AE19" s="402"/>
      <c r="AF19" s="402"/>
      <c r="AG19" s="402"/>
      <c r="AH19" s="402"/>
      <c r="AI19" s="403"/>
      <c r="AK19" s="524" t="s">
        <v>623</v>
      </c>
      <c r="AL19" s="524"/>
      <c r="AM19" s="524"/>
      <c r="AN19" s="524"/>
      <c r="AO19" s="524"/>
      <c r="AP19" s="524"/>
      <c r="AQ19" s="58"/>
      <c r="AR19" s="43"/>
      <c r="AS19" s="46">
        <v>10</v>
      </c>
      <c r="AT19" s="46"/>
      <c r="AU19" s="46"/>
      <c r="AV19" s="47" t="s">
        <v>111</v>
      </c>
      <c r="AW19" s="47" t="s">
        <v>612</v>
      </c>
      <c r="AX19" s="47">
        <v>0.83333333333333337</v>
      </c>
      <c r="AY19" s="47" t="s">
        <v>613</v>
      </c>
      <c r="AZ19" s="43"/>
    </row>
    <row r="20" spans="1:85" ht="18" customHeight="1">
      <c r="A20" s="36" t="s">
        <v>189</v>
      </c>
      <c r="B20" s="404">
        <v>0.45833333333333331</v>
      </c>
      <c r="C20" s="404"/>
      <c r="D20" s="404"/>
      <c r="E20" s="404"/>
      <c r="F20" s="288" t="s">
        <v>792</v>
      </c>
      <c r="G20" s="288"/>
      <c r="H20" s="288"/>
      <c r="I20" s="288"/>
      <c r="J20" s="288"/>
      <c r="K20" s="288"/>
      <c r="L20" s="288"/>
      <c r="M20" s="288"/>
      <c r="N20" s="288"/>
      <c r="O20" s="288"/>
      <c r="P20" s="288"/>
      <c r="Q20" s="288"/>
      <c r="R20" s="288"/>
      <c r="S20" s="288"/>
      <c r="T20" s="288"/>
      <c r="U20" s="288"/>
      <c r="V20" s="288"/>
      <c r="W20" s="288"/>
      <c r="X20" s="288"/>
      <c r="Y20" s="288"/>
      <c r="Z20" s="288"/>
      <c r="AA20" s="288"/>
      <c r="AB20" s="288"/>
      <c r="AC20" s="288"/>
      <c r="AD20" s="288"/>
      <c r="AE20" s="288"/>
      <c r="AF20" s="288"/>
      <c r="AG20" s="288"/>
      <c r="AH20" s="288"/>
      <c r="AI20" s="289"/>
      <c r="AK20" s="447" t="s">
        <v>624</v>
      </c>
      <c r="AL20" s="448"/>
      <c r="AM20" s="448"/>
      <c r="AN20" s="448"/>
      <c r="AO20" s="448"/>
      <c r="AP20" s="448"/>
      <c r="AQ20" s="62"/>
      <c r="AR20" s="426" t="s">
        <v>625</v>
      </c>
      <c r="AS20" s="146">
        <v>11</v>
      </c>
      <c r="AT20" s="46"/>
      <c r="AU20" s="46"/>
      <c r="AV20" s="47" t="s">
        <v>111</v>
      </c>
      <c r="AW20" s="47" t="s">
        <v>612</v>
      </c>
      <c r="AX20" s="47">
        <v>0.83333333333333337</v>
      </c>
      <c r="AY20" s="47" t="s">
        <v>613</v>
      </c>
      <c r="AZ20" s="43"/>
    </row>
    <row r="21" spans="1:85" ht="18" customHeight="1" thickBot="1">
      <c r="A21" s="36" t="s">
        <v>189</v>
      </c>
      <c r="B21" s="404">
        <v>0.54166666666666663</v>
      </c>
      <c r="C21" s="404"/>
      <c r="D21" s="404"/>
      <c r="E21" s="404"/>
      <c r="F21" s="288" t="s">
        <v>793</v>
      </c>
      <c r="G21" s="288"/>
      <c r="H21" s="288"/>
      <c r="I21" s="288"/>
      <c r="J21" s="288"/>
      <c r="K21" s="288"/>
      <c r="L21" s="288"/>
      <c r="M21" s="288"/>
      <c r="N21" s="288"/>
      <c r="O21" s="288"/>
      <c r="P21" s="288"/>
      <c r="Q21" s="288"/>
      <c r="R21" s="288"/>
      <c r="S21" s="288"/>
      <c r="T21" s="288"/>
      <c r="U21" s="288"/>
      <c r="V21" s="288"/>
      <c r="W21" s="288"/>
      <c r="X21" s="288"/>
      <c r="Y21" s="288"/>
      <c r="Z21" s="288"/>
      <c r="AA21" s="288"/>
      <c r="AB21" s="288"/>
      <c r="AC21" s="288"/>
      <c r="AD21" s="288"/>
      <c r="AE21" s="288"/>
      <c r="AF21" s="288"/>
      <c r="AG21" s="288"/>
      <c r="AH21" s="288"/>
      <c r="AI21" s="289"/>
      <c r="AK21" s="429" t="s">
        <v>626</v>
      </c>
      <c r="AL21" s="430"/>
      <c r="AM21" s="430"/>
      <c r="AN21" s="430"/>
      <c r="AO21" s="430"/>
      <c r="AP21" s="430"/>
      <c r="AQ21" s="63"/>
      <c r="AR21" s="427"/>
      <c r="AW21" s="43"/>
      <c r="AX21" s="43"/>
      <c r="AY21" s="43"/>
      <c r="AZ21" s="43"/>
    </row>
    <row r="22" spans="1:85" ht="18" customHeight="1">
      <c r="A22" s="36" t="s">
        <v>189</v>
      </c>
      <c r="B22" s="404">
        <v>0.56944444444444442</v>
      </c>
      <c r="C22" s="404"/>
      <c r="D22" s="404"/>
      <c r="E22" s="404"/>
      <c r="F22" s="288" t="s">
        <v>712</v>
      </c>
      <c r="G22" s="288"/>
      <c r="H22" s="288"/>
      <c r="I22" s="288"/>
      <c r="J22" s="288"/>
      <c r="K22" s="288"/>
      <c r="L22" s="288"/>
      <c r="M22" s="288"/>
      <c r="N22" s="288"/>
      <c r="O22" s="288"/>
      <c r="P22" s="288"/>
      <c r="Q22" s="288"/>
      <c r="R22" s="288"/>
      <c r="S22" s="288"/>
      <c r="T22" s="288"/>
      <c r="U22" s="288"/>
      <c r="V22" s="288"/>
      <c r="W22" s="288"/>
      <c r="X22" s="288"/>
      <c r="Y22" s="288"/>
      <c r="Z22" s="288"/>
      <c r="AA22" s="288"/>
      <c r="AB22" s="288"/>
      <c r="AC22" s="288"/>
      <c r="AD22" s="288"/>
      <c r="AE22" s="288"/>
      <c r="AF22" s="288"/>
      <c r="AG22" s="288"/>
      <c r="AH22" s="288"/>
      <c r="AI22" s="289"/>
      <c r="AK22" s="429" t="s">
        <v>627</v>
      </c>
      <c r="AL22" s="430"/>
      <c r="AM22" s="430"/>
      <c r="AN22" s="430"/>
      <c r="AO22" s="430"/>
      <c r="AP22" s="430"/>
      <c r="AQ22" s="63"/>
      <c r="AR22" s="427"/>
      <c r="AS22" s="433" t="s">
        <v>628</v>
      </c>
      <c r="AT22" s="434"/>
      <c r="AU22" s="435"/>
      <c r="AV22" s="435"/>
      <c r="AW22" s="60" t="s">
        <v>74</v>
      </c>
      <c r="AY22" s="413" t="s">
        <v>629</v>
      </c>
      <c r="AZ22" s="413"/>
      <c r="BA22" s="412"/>
      <c r="BB22" s="412"/>
    </row>
    <row r="23" spans="1:85" ht="18" customHeight="1" thickBot="1">
      <c r="A23" s="36" t="s">
        <v>189</v>
      </c>
      <c r="B23" s="404">
        <v>0.90555555555555556</v>
      </c>
      <c r="C23" s="404"/>
      <c r="D23" s="404"/>
      <c r="E23" s="404"/>
      <c r="F23" s="288" t="s">
        <v>794</v>
      </c>
      <c r="G23" s="288"/>
      <c r="H23" s="288"/>
      <c r="I23" s="288"/>
      <c r="J23" s="288"/>
      <c r="K23" s="288"/>
      <c r="L23" s="288"/>
      <c r="M23" s="288"/>
      <c r="N23" s="288"/>
      <c r="O23" s="288"/>
      <c r="P23" s="288"/>
      <c r="Q23" s="288"/>
      <c r="R23" s="288"/>
      <c r="S23" s="288"/>
      <c r="T23" s="288"/>
      <c r="U23" s="288"/>
      <c r="V23" s="288"/>
      <c r="W23" s="288"/>
      <c r="X23" s="288"/>
      <c r="Y23" s="288"/>
      <c r="Z23" s="288"/>
      <c r="AA23" s="288"/>
      <c r="AB23" s="288"/>
      <c r="AC23" s="288"/>
      <c r="AD23" s="288"/>
      <c r="AE23" s="288"/>
      <c r="AF23" s="288"/>
      <c r="AG23" s="288"/>
      <c r="AH23" s="288"/>
      <c r="AI23" s="289"/>
      <c r="AK23" s="431" t="s">
        <v>630</v>
      </c>
      <c r="AL23" s="432"/>
      <c r="AM23" s="432"/>
      <c r="AN23" s="432"/>
      <c r="AO23" s="432"/>
      <c r="AP23" s="432"/>
      <c r="AQ23" s="64"/>
      <c r="AR23" s="428"/>
      <c r="AS23" s="536" t="s">
        <v>631</v>
      </c>
      <c r="AT23" s="246"/>
      <c r="AU23" s="537"/>
      <c r="AV23" s="537"/>
      <c r="AW23" s="56" t="s">
        <v>632</v>
      </c>
      <c r="AY23" s="413" t="s">
        <v>633</v>
      </c>
      <c r="AZ23" s="413"/>
      <c r="BA23" s="412"/>
      <c r="BB23" s="412"/>
    </row>
    <row r="24" spans="1:85" ht="18" customHeight="1" thickBot="1">
      <c r="A24" s="36" t="s">
        <v>189</v>
      </c>
      <c r="B24" s="404">
        <v>0.97222222222222221</v>
      </c>
      <c r="C24" s="404"/>
      <c r="D24" s="404"/>
      <c r="E24" s="404"/>
      <c r="F24" s="288" t="s">
        <v>795</v>
      </c>
      <c r="G24" s="288"/>
      <c r="H24" s="288"/>
      <c r="I24" s="288"/>
      <c r="J24" s="288"/>
      <c r="K24" s="288"/>
      <c r="L24" s="288"/>
      <c r="M24" s="288"/>
      <c r="N24" s="288"/>
      <c r="O24" s="288"/>
      <c r="P24" s="288"/>
      <c r="Q24" s="288"/>
      <c r="R24" s="288"/>
      <c r="S24" s="288"/>
      <c r="T24" s="288"/>
      <c r="U24" s="288"/>
      <c r="V24" s="288"/>
      <c r="W24" s="288"/>
      <c r="X24" s="288"/>
      <c r="Y24" s="288"/>
      <c r="Z24" s="288"/>
      <c r="AA24" s="288"/>
      <c r="AB24" s="288"/>
      <c r="AC24" s="288"/>
      <c r="AD24" s="288"/>
      <c r="AE24" s="288"/>
      <c r="AF24" s="288"/>
      <c r="AG24" s="288"/>
      <c r="AH24" s="288"/>
      <c r="AI24" s="289"/>
      <c r="AK24" s="527" t="s">
        <v>634</v>
      </c>
      <c r="AL24" s="528"/>
      <c r="AM24" s="528"/>
      <c r="AN24" s="528"/>
      <c r="AO24" s="528"/>
      <c r="AP24" s="528"/>
      <c r="AQ24" s="65"/>
      <c r="AR24" s="43"/>
      <c r="AY24" s="413" t="s">
        <v>635</v>
      </c>
      <c r="AZ24" s="413"/>
      <c r="BA24" s="412"/>
      <c r="BB24" s="412"/>
    </row>
    <row r="25" spans="1:85" ht="18" customHeight="1">
      <c r="A25" s="36"/>
      <c r="B25" s="404"/>
      <c r="C25" s="404"/>
      <c r="D25" s="404"/>
      <c r="E25" s="404"/>
      <c r="F25" s="288" t="s">
        <v>796</v>
      </c>
      <c r="G25" s="288"/>
      <c r="H25" s="288"/>
      <c r="I25" s="288"/>
      <c r="J25" s="288"/>
      <c r="K25" s="288"/>
      <c r="L25" s="288"/>
      <c r="M25" s="288"/>
      <c r="N25" s="288"/>
      <c r="O25" s="288"/>
      <c r="P25" s="288"/>
      <c r="Q25" s="288"/>
      <c r="R25" s="288"/>
      <c r="S25" s="288"/>
      <c r="T25" s="288"/>
      <c r="U25" s="288"/>
      <c r="V25" s="288"/>
      <c r="W25" s="288"/>
      <c r="X25" s="288"/>
      <c r="Y25" s="288"/>
      <c r="Z25" s="288"/>
      <c r="AA25" s="288"/>
      <c r="AB25" s="288"/>
      <c r="AC25" s="288"/>
      <c r="AD25" s="288"/>
      <c r="AE25" s="288"/>
      <c r="AF25" s="288"/>
      <c r="AG25" s="288"/>
      <c r="AH25" s="288"/>
      <c r="AI25" s="289"/>
      <c r="AK25" s="529" t="s">
        <v>636</v>
      </c>
      <c r="AL25" s="529"/>
      <c r="AM25" s="529"/>
      <c r="AN25" s="529"/>
      <c r="AO25" s="529"/>
      <c r="AP25" s="529"/>
      <c r="AQ25" s="66"/>
      <c r="AR25" s="43"/>
      <c r="AY25" s="413" t="s">
        <v>637</v>
      </c>
      <c r="AZ25" s="413"/>
      <c r="BA25" s="412"/>
      <c r="BB25" s="412"/>
    </row>
    <row r="26" spans="1:85" ht="18" customHeight="1">
      <c r="A26" s="36"/>
      <c r="B26" s="404">
        <v>0.99305555555555558</v>
      </c>
      <c r="C26" s="404"/>
      <c r="D26" s="404"/>
      <c r="E26" s="404"/>
      <c r="F26" s="288" t="s">
        <v>797</v>
      </c>
      <c r="G26" s="288"/>
      <c r="H26" s="288"/>
      <c r="I26" s="288"/>
      <c r="J26" s="288"/>
      <c r="K26" s="288"/>
      <c r="L26" s="288"/>
      <c r="M26" s="288"/>
      <c r="N26" s="288"/>
      <c r="O26" s="288"/>
      <c r="P26" s="288"/>
      <c r="Q26" s="288"/>
      <c r="R26" s="288"/>
      <c r="S26" s="288"/>
      <c r="T26" s="288"/>
      <c r="U26" s="288"/>
      <c r="V26" s="288"/>
      <c r="W26" s="288"/>
      <c r="X26" s="288"/>
      <c r="Y26" s="288"/>
      <c r="Z26" s="288"/>
      <c r="AA26" s="288"/>
      <c r="AB26" s="288"/>
      <c r="AC26" s="288"/>
      <c r="AD26" s="288"/>
      <c r="AE26" s="288"/>
      <c r="AF26" s="288"/>
      <c r="AG26" s="288"/>
      <c r="AH26" s="288"/>
      <c r="AI26" s="289"/>
      <c r="AK26" s="436" t="s">
        <v>638</v>
      </c>
      <c r="AL26" s="436"/>
      <c r="AM26" s="436"/>
      <c r="AN26" s="436"/>
      <c r="AO26" s="436"/>
      <c r="AP26" s="436"/>
      <c r="AQ26" s="67"/>
      <c r="AR26" s="43"/>
      <c r="AS26" s="548" t="s">
        <v>639</v>
      </c>
      <c r="AT26" s="549"/>
      <c r="AU26" s="549"/>
      <c r="AV26" s="549"/>
      <c r="AW26" s="550"/>
      <c r="AY26" s="147"/>
      <c r="AZ26" s="147"/>
      <c r="BA26" s="147"/>
      <c r="BB26" s="147"/>
    </row>
    <row r="27" spans="1:85" ht="18" customHeight="1">
      <c r="A27" s="36" t="s">
        <v>189</v>
      </c>
      <c r="B27" s="404">
        <v>1</v>
      </c>
      <c r="C27" s="404"/>
      <c r="D27" s="404"/>
      <c r="E27" s="404"/>
      <c r="F27" s="288" t="s">
        <v>798</v>
      </c>
      <c r="G27" s="288"/>
      <c r="H27" s="288"/>
      <c r="I27" s="288"/>
      <c r="J27" s="288"/>
      <c r="K27" s="288"/>
      <c r="L27" s="288"/>
      <c r="M27" s="288"/>
      <c r="N27" s="288"/>
      <c r="O27" s="288"/>
      <c r="P27" s="288"/>
      <c r="Q27" s="288"/>
      <c r="R27" s="288"/>
      <c r="S27" s="288"/>
      <c r="T27" s="288"/>
      <c r="U27" s="288"/>
      <c r="V27" s="288"/>
      <c r="W27" s="288"/>
      <c r="X27" s="288"/>
      <c r="Y27" s="288"/>
      <c r="Z27" s="288"/>
      <c r="AA27" s="288"/>
      <c r="AB27" s="288"/>
      <c r="AC27" s="288"/>
      <c r="AD27" s="288"/>
      <c r="AE27" s="288"/>
      <c r="AF27" s="288"/>
      <c r="AG27" s="288"/>
      <c r="AH27" s="288"/>
      <c r="AI27" s="289"/>
      <c r="AK27" s="436" t="s">
        <v>640</v>
      </c>
      <c r="AL27" s="436"/>
      <c r="AM27" s="436"/>
      <c r="AN27" s="436"/>
      <c r="AO27" s="436"/>
      <c r="AP27" s="436"/>
      <c r="AQ27" s="67"/>
      <c r="AR27" s="43"/>
      <c r="AS27" s="458" t="s">
        <v>641</v>
      </c>
      <c r="AT27" s="460"/>
      <c r="AU27" s="458" t="s">
        <v>642</v>
      </c>
      <c r="AV27" s="459"/>
      <c r="AW27" s="460"/>
      <c r="AY27" s="411" t="s">
        <v>643</v>
      </c>
      <c r="AZ27" s="411"/>
      <c r="BA27" s="411"/>
      <c r="BB27" s="411"/>
    </row>
    <row r="28" spans="1:85" ht="18" customHeight="1" thickBot="1">
      <c r="A28" s="36" t="s">
        <v>189</v>
      </c>
      <c r="B28" s="404">
        <v>0.2986111111111111</v>
      </c>
      <c r="C28" s="404"/>
      <c r="D28" s="404"/>
      <c r="E28" s="404"/>
      <c r="F28" s="288" t="s">
        <v>728</v>
      </c>
      <c r="G28" s="288"/>
      <c r="H28" s="288"/>
      <c r="I28" s="288"/>
      <c r="J28" s="288"/>
      <c r="K28" s="288"/>
      <c r="L28" s="288"/>
      <c r="M28" s="288"/>
      <c r="N28" s="288"/>
      <c r="O28" s="288"/>
      <c r="P28" s="288"/>
      <c r="Q28" s="288"/>
      <c r="R28" s="288"/>
      <c r="S28" s="288"/>
      <c r="T28" s="288"/>
      <c r="U28" s="288"/>
      <c r="V28" s="288"/>
      <c r="W28" s="288"/>
      <c r="X28" s="288"/>
      <c r="Y28" s="288"/>
      <c r="Z28" s="288"/>
      <c r="AA28" s="288"/>
      <c r="AB28" s="288"/>
      <c r="AC28" s="288"/>
      <c r="AD28" s="288"/>
      <c r="AE28" s="288"/>
      <c r="AF28" s="288"/>
      <c r="AG28" s="288"/>
      <c r="AH28" s="288"/>
      <c r="AI28" s="289"/>
      <c r="AK28" s="436" t="s">
        <v>644</v>
      </c>
      <c r="AL28" s="436"/>
      <c r="AM28" s="436"/>
      <c r="AN28" s="436"/>
      <c r="AO28" s="436"/>
      <c r="AP28" s="436"/>
      <c r="AQ28" s="67"/>
      <c r="AR28" s="43"/>
      <c r="AS28" s="538" t="s">
        <v>645</v>
      </c>
      <c r="AT28" s="539"/>
      <c r="AU28" s="533" t="s">
        <v>646</v>
      </c>
      <c r="AV28" s="534"/>
      <c r="AW28" s="535"/>
      <c r="AY28" s="413" t="s">
        <v>647</v>
      </c>
      <c r="AZ28" s="413"/>
      <c r="BA28" s="412"/>
      <c r="BB28" s="412"/>
    </row>
    <row r="29" spans="1:85" ht="18" customHeight="1" thickBot="1">
      <c r="A29" s="36"/>
      <c r="B29" s="404"/>
      <c r="C29" s="404"/>
      <c r="D29" s="404"/>
      <c r="E29" s="404"/>
      <c r="F29" s="288"/>
      <c r="G29" s="288"/>
      <c r="H29" s="288"/>
      <c r="I29" s="288"/>
      <c r="J29" s="288"/>
      <c r="K29" s="288"/>
      <c r="L29" s="288"/>
      <c r="M29" s="288"/>
      <c r="N29" s="288"/>
      <c r="O29" s="288"/>
      <c r="P29" s="288"/>
      <c r="Q29" s="288"/>
      <c r="R29" s="288"/>
      <c r="S29" s="288"/>
      <c r="T29" s="288"/>
      <c r="U29" s="288"/>
      <c r="V29" s="288"/>
      <c r="W29" s="288"/>
      <c r="X29" s="288"/>
      <c r="Y29" s="288"/>
      <c r="Z29" s="288"/>
      <c r="AA29" s="288"/>
      <c r="AB29" s="288"/>
      <c r="AC29" s="288"/>
      <c r="AD29" s="288"/>
      <c r="AE29" s="288"/>
      <c r="AF29" s="288"/>
      <c r="AG29" s="288"/>
      <c r="AH29" s="288"/>
      <c r="AI29" s="289"/>
      <c r="AK29" s="524"/>
      <c r="AL29" s="524"/>
      <c r="AM29" s="524"/>
      <c r="AN29" s="524"/>
      <c r="AO29" s="524"/>
      <c r="AP29" s="524"/>
      <c r="AQ29" s="58"/>
      <c r="AR29" s="43"/>
      <c r="AS29" s="551">
        <v>1.2722222222222221</v>
      </c>
      <c r="AT29" s="552"/>
      <c r="AU29" s="434" t="s">
        <v>799</v>
      </c>
      <c r="AV29" s="434"/>
      <c r="AW29" s="553"/>
      <c r="AY29" s="413" t="s">
        <v>633</v>
      </c>
      <c r="AZ29" s="413"/>
      <c r="BA29" s="412"/>
      <c r="BB29" s="412"/>
    </row>
    <row r="30" spans="1:85" ht="18" customHeight="1">
      <c r="A30" s="36"/>
      <c r="B30" s="404"/>
      <c r="C30" s="404"/>
      <c r="D30" s="404"/>
      <c r="E30" s="404"/>
      <c r="F30" s="288"/>
      <c r="G30" s="288"/>
      <c r="H30" s="288"/>
      <c r="I30" s="288"/>
      <c r="J30" s="288"/>
      <c r="K30" s="288"/>
      <c r="L30" s="288"/>
      <c r="M30" s="288"/>
      <c r="N30" s="288"/>
      <c r="O30" s="288"/>
      <c r="P30" s="288"/>
      <c r="Q30" s="288"/>
      <c r="R30" s="288"/>
      <c r="S30" s="288"/>
      <c r="T30" s="288"/>
      <c r="U30" s="288"/>
      <c r="V30" s="288"/>
      <c r="W30" s="288"/>
      <c r="X30" s="288"/>
      <c r="Y30" s="288"/>
      <c r="Z30" s="288"/>
      <c r="AA30" s="288"/>
      <c r="AB30" s="288"/>
      <c r="AC30" s="288"/>
      <c r="AD30" s="288"/>
      <c r="AE30" s="288"/>
      <c r="AF30" s="288"/>
      <c r="AG30" s="288"/>
      <c r="AH30" s="288"/>
      <c r="AI30" s="289"/>
      <c r="AK30" s="449" t="s">
        <v>648</v>
      </c>
      <c r="AL30" s="450"/>
      <c r="AM30" s="450"/>
      <c r="AN30" s="450"/>
      <c r="AO30" s="450"/>
      <c r="AP30" s="450"/>
      <c r="AQ30" s="62"/>
      <c r="AR30" s="43"/>
      <c r="AS30" s="554">
        <v>1.273611111111111</v>
      </c>
      <c r="AT30" s="532"/>
      <c r="AU30" s="439" t="s">
        <v>646</v>
      </c>
      <c r="AV30" s="439"/>
      <c r="AW30" s="555"/>
      <c r="AY30" s="413" t="s">
        <v>649</v>
      </c>
      <c r="AZ30" s="413"/>
      <c r="BA30" s="412"/>
      <c r="BB30" s="412"/>
    </row>
    <row r="31" spans="1:85" ht="18" customHeight="1" thickBot="1">
      <c r="A31" s="37"/>
      <c r="B31" s="466"/>
      <c r="C31" s="466"/>
      <c r="D31" s="466"/>
      <c r="E31" s="466"/>
      <c r="F31" s="467"/>
      <c r="G31" s="467"/>
      <c r="H31" s="467"/>
      <c r="I31" s="467"/>
      <c r="J31" s="467"/>
      <c r="K31" s="467"/>
      <c r="L31" s="467"/>
      <c r="M31" s="467"/>
      <c r="N31" s="467"/>
      <c r="O31" s="467"/>
      <c r="P31" s="467"/>
      <c r="Q31" s="467"/>
      <c r="R31" s="467"/>
      <c r="S31" s="467"/>
      <c r="T31" s="467"/>
      <c r="U31" s="467"/>
      <c r="V31" s="467"/>
      <c r="W31" s="467"/>
      <c r="X31" s="467"/>
      <c r="Y31" s="467"/>
      <c r="Z31" s="467"/>
      <c r="AA31" s="467"/>
      <c r="AB31" s="467"/>
      <c r="AC31" s="467"/>
      <c r="AD31" s="467"/>
      <c r="AE31" s="467"/>
      <c r="AF31" s="467"/>
      <c r="AG31" s="467"/>
      <c r="AH31" s="467"/>
      <c r="AI31" s="468"/>
      <c r="AK31" s="451" t="s">
        <v>650</v>
      </c>
      <c r="AL31" s="416"/>
      <c r="AM31" s="416"/>
      <c r="AN31" s="416"/>
      <c r="AO31" s="416"/>
      <c r="AP31" s="416"/>
      <c r="AQ31" s="64"/>
      <c r="AR31" s="48"/>
      <c r="AS31" s="556"/>
      <c r="AT31" s="557"/>
      <c r="AU31" s="424"/>
      <c r="AV31" s="424"/>
      <c r="AW31" s="491"/>
      <c r="AY31" s="413" t="s">
        <v>637</v>
      </c>
      <c r="AZ31" s="413"/>
      <c r="BA31" s="412"/>
      <c r="BB31" s="412"/>
    </row>
    <row r="32" spans="1:85" ht="18" customHeight="1" thickBot="1">
      <c r="A32" s="406" t="s">
        <v>651</v>
      </c>
      <c r="B32" s="407"/>
      <c r="C32" s="407"/>
      <c r="D32" s="407"/>
      <c r="E32" s="407"/>
      <c r="F32" s="407"/>
      <c r="G32" s="407"/>
      <c r="H32" s="407"/>
      <c r="I32" s="407"/>
      <c r="J32" s="407"/>
      <c r="K32" s="407"/>
      <c r="L32" s="407"/>
      <c r="M32" s="407"/>
      <c r="N32" s="407"/>
      <c r="O32" s="407"/>
      <c r="P32" s="407"/>
      <c r="Q32" s="407"/>
      <c r="R32" s="407"/>
      <c r="S32" s="407"/>
      <c r="T32" s="407"/>
      <c r="U32" s="407"/>
      <c r="V32" s="407"/>
      <c r="W32" s="407"/>
      <c r="X32" s="407"/>
      <c r="Y32" s="407"/>
      <c r="Z32" s="407"/>
      <c r="AA32" s="407"/>
      <c r="AB32" s="407"/>
      <c r="AC32" s="407"/>
      <c r="AD32" s="407"/>
      <c r="AE32" s="407"/>
      <c r="AF32" s="407"/>
      <c r="AG32" s="407"/>
      <c r="AH32" s="407"/>
      <c r="AI32" s="408"/>
      <c r="AK32" s="531"/>
      <c r="AL32" s="531"/>
      <c r="AM32" s="531"/>
      <c r="AN32" s="531"/>
      <c r="AO32" s="531"/>
      <c r="AP32" s="531"/>
      <c r="AQ32" s="61"/>
      <c r="AR32" s="48"/>
      <c r="AS32" s="558"/>
      <c r="AT32" s="558"/>
      <c r="AU32" s="559"/>
      <c r="AV32" s="559"/>
      <c r="AW32" s="559"/>
      <c r="AY32" s="413" t="s">
        <v>652</v>
      </c>
      <c r="AZ32" s="413"/>
      <c r="BA32" s="412"/>
      <c r="BB32" s="412"/>
    </row>
    <row r="33" spans="1:80" ht="18" customHeight="1">
      <c r="A33" s="39"/>
      <c r="B33" s="546" t="s">
        <v>653</v>
      </c>
      <c r="C33" s="546"/>
      <c r="D33" s="546"/>
      <c r="E33" s="546"/>
      <c r="F33" s="417" t="str" cm="1">
        <f t="array" ref="F33">_xlfn.TEXTJOIN("/",TRUE,IF(AS29:AS31&lt;&gt;"",TEXT(AS29:AS31,"h:mm")&amp;" "&amp;AU29:AU31,""))</f>
        <v>6:32 45階屋外ストレージ2/6:34 45階屋外ストレージ1</v>
      </c>
      <c r="G33" s="418"/>
      <c r="H33" s="418"/>
      <c r="I33" s="418"/>
      <c r="J33" s="418"/>
      <c r="K33" s="418"/>
      <c r="L33" s="418"/>
      <c r="M33" s="418"/>
      <c r="N33" s="418"/>
      <c r="O33" s="418"/>
      <c r="P33" s="418"/>
      <c r="Q33" s="418"/>
      <c r="R33" s="418"/>
      <c r="S33" s="418"/>
      <c r="T33" s="418"/>
      <c r="U33" s="418"/>
      <c r="V33" s="418"/>
      <c r="W33" s="418"/>
      <c r="X33" s="418"/>
      <c r="Y33" s="418"/>
      <c r="Z33" s="418"/>
      <c r="AA33" s="418"/>
      <c r="AB33" s="418"/>
      <c r="AC33" s="418"/>
      <c r="AD33" s="418"/>
      <c r="AE33" s="418"/>
      <c r="AF33" s="418"/>
      <c r="AG33" s="418"/>
      <c r="AH33" s="418"/>
      <c r="AI33" s="419"/>
      <c r="AK33" s="449" t="s">
        <v>654</v>
      </c>
      <c r="AL33" s="450"/>
      <c r="AM33" s="450"/>
      <c r="AN33" s="450"/>
      <c r="AO33" s="450"/>
      <c r="AP33" s="450"/>
      <c r="AQ33" s="60"/>
      <c r="AR33" s="48"/>
      <c r="AS33" s="532"/>
      <c r="AT33" s="532"/>
      <c r="AU33" s="439"/>
      <c r="AV33" s="439"/>
      <c r="AW33" s="439"/>
      <c r="AY33" s="413" t="s">
        <v>655</v>
      </c>
      <c r="AZ33" s="413"/>
      <c r="BA33" s="412"/>
      <c r="BB33" s="412"/>
    </row>
    <row r="34" spans="1:80" ht="18" customHeight="1" thickBot="1">
      <c r="A34" s="39"/>
      <c r="B34" s="546" t="s">
        <v>656</v>
      </c>
      <c r="C34" s="546"/>
      <c r="D34" s="546"/>
      <c r="E34" s="546"/>
      <c r="F34" s="420" t="s">
        <v>79</v>
      </c>
      <c r="G34" s="420"/>
      <c r="H34" s="420"/>
      <c r="I34" s="420"/>
      <c r="J34" s="420"/>
      <c r="K34" s="420"/>
      <c r="L34" s="420"/>
      <c r="M34" s="420"/>
      <c r="N34" s="420"/>
      <c r="O34" s="420"/>
      <c r="P34" s="420"/>
      <c r="Q34" s="420"/>
      <c r="R34" s="420"/>
      <c r="S34" s="420"/>
      <c r="T34" s="420"/>
      <c r="U34" s="420"/>
      <c r="V34" s="420"/>
      <c r="W34" s="420"/>
      <c r="X34" s="420"/>
      <c r="Y34" s="420"/>
      <c r="Z34" s="420"/>
      <c r="AA34" s="420"/>
      <c r="AB34" s="420"/>
      <c r="AC34" s="421"/>
      <c r="AD34" s="421"/>
      <c r="AE34" s="421"/>
      <c r="AF34" s="421"/>
      <c r="AG34" s="421"/>
      <c r="AH34" s="421"/>
      <c r="AI34" s="422"/>
      <c r="AK34" s="451" t="s">
        <v>657</v>
      </c>
      <c r="AL34" s="416"/>
      <c r="AM34" s="416"/>
      <c r="AN34" s="416"/>
      <c r="AO34" s="416"/>
      <c r="AP34" s="416"/>
      <c r="AQ34" s="56"/>
      <c r="AR34" s="48"/>
      <c r="AS34" s="532"/>
      <c r="AT34" s="532"/>
      <c r="AU34" s="439"/>
      <c r="AV34" s="439"/>
      <c r="AW34" s="439"/>
      <c r="AY34" s="413" t="s">
        <v>658</v>
      </c>
      <c r="AZ34" s="413"/>
      <c r="BA34" s="412"/>
      <c r="BB34" s="412"/>
    </row>
    <row r="35" spans="1:80" ht="18" customHeight="1" thickBot="1">
      <c r="A35" s="57"/>
      <c r="B35" s="547" t="s">
        <v>659</v>
      </c>
      <c r="C35" s="547"/>
      <c r="D35" s="547"/>
      <c r="E35" s="547"/>
      <c r="F35" s="389" t="s">
        <v>660</v>
      </c>
      <c r="G35" s="389"/>
      <c r="H35" s="389"/>
      <c r="I35" s="389"/>
      <c r="J35" s="389"/>
      <c r="K35" s="389"/>
      <c r="L35" s="389"/>
      <c r="M35" s="389"/>
      <c r="N35" s="389"/>
      <c r="O35" s="389"/>
      <c r="P35" s="389"/>
      <c r="Q35" s="389"/>
      <c r="R35" s="389"/>
      <c r="S35" s="389"/>
      <c r="T35" s="389"/>
      <c r="U35" s="389"/>
      <c r="V35" s="389"/>
      <c r="W35" s="390" t="s">
        <v>661</v>
      </c>
      <c r="X35" s="391"/>
      <c r="Y35" s="391"/>
      <c r="Z35" s="391"/>
      <c r="AA35" s="391"/>
      <c r="AB35" s="391"/>
      <c r="AC35" s="392" t="s">
        <v>662</v>
      </c>
      <c r="AD35" s="393"/>
      <c r="AE35" s="393"/>
      <c r="AF35" s="393"/>
      <c r="AG35" s="393"/>
      <c r="AH35" s="393"/>
      <c r="AI35" s="394"/>
      <c r="AK35" s="531"/>
      <c r="AL35" s="531"/>
      <c r="AM35" s="531"/>
      <c r="AN35" s="531"/>
      <c r="AO35" s="531"/>
      <c r="AP35" s="531"/>
      <c r="AQ35" s="61"/>
      <c r="AR35" s="48"/>
      <c r="AS35" s="532"/>
      <c r="AT35" s="532"/>
      <c r="AU35" s="439"/>
      <c r="AV35" s="439"/>
      <c r="AW35" s="439"/>
      <c r="AY35" s="413" t="s">
        <v>663</v>
      </c>
      <c r="AZ35" s="413"/>
      <c r="BA35" s="412"/>
      <c r="BB35" s="412"/>
    </row>
    <row r="36" spans="1:80" ht="18" customHeight="1" thickBot="1">
      <c r="A36" s="492" t="s">
        <v>664</v>
      </c>
      <c r="B36" s="493"/>
      <c r="C36" s="493"/>
      <c r="D36" s="493"/>
      <c r="E36" s="493"/>
      <c r="F36" s="498">
        <v>4.1666666666666664E-2</v>
      </c>
      <c r="G36" s="439"/>
      <c r="H36" s="439"/>
      <c r="I36" s="439"/>
      <c r="J36" s="439"/>
      <c r="K36" s="439"/>
      <c r="L36" s="499" t="s">
        <v>665</v>
      </c>
      <c r="M36" s="489"/>
      <c r="N36" s="489"/>
      <c r="O36" s="500"/>
      <c r="P36" s="410" t="s">
        <v>43</v>
      </c>
      <c r="Q36" s="410"/>
      <c r="R36" s="410"/>
      <c r="S36" s="55" t="s">
        <v>666</v>
      </c>
      <c r="T36" s="410" t="s">
        <v>68</v>
      </c>
      <c r="U36" s="410"/>
      <c r="V36" s="530"/>
      <c r="W36" s="489" t="s">
        <v>667</v>
      </c>
      <c r="X36" s="489"/>
      <c r="Y36" s="489"/>
      <c r="Z36" s="489"/>
      <c r="AA36" s="489"/>
      <c r="AB36" s="489"/>
      <c r="AC36" s="490" t="s">
        <v>722</v>
      </c>
      <c r="AD36" s="487"/>
      <c r="AE36" s="487"/>
      <c r="AF36" s="487"/>
      <c r="AG36" s="487"/>
      <c r="AH36" s="487"/>
      <c r="AI36" s="488"/>
      <c r="AK36" s="525" t="s">
        <v>668</v>
      </c>
      <c r="AL36" s="526"/>
      <c r="AM36" s="526"/>
      <c r="AN36" s="526"/>
      <c r="AO36" s="526"/>
      <c r="AP36" s="526"/>
      <c r="AQ36" s="117"/>
      <c r="AR36" s="48"/>
      <c r="AS36" s="532"/>
      <c r="AT36" s="532"/>
      <c r="AU36" s="439"/>
      <c r="AV36" s="439"/>
      <c r="AW36" s="439"/>
      <c r="BH36" s="50"/>
      <c r="BI36" s="51"/>
    </row>
    <row r="37" spans="1:80" ht="18" customHeight="1" thickBot="1">
      <c r="A37" s="494" t="s">
        <v>669</v>
      </c>
      <c r="B37" s="495"/>
      <c r="C37" s="495"/>
      <c r="D37" s="495"/>
      <c r="E37" s="495"/>
      <c r="F37" s="487"/>
      <c r="G37" s="487"/>
      <c r="H37" s="487"/>
      <c r="I37" s="487"/>
      <c r="J37" s="487"/>
      <c r="K37" s="487"/>
      <c r="L37" s="487"/>
      <c r="M37" s="487"/>
      <c r="N37" s="487"/>
      <c r="O37" s="487"/>
      <c r="P37" s="487"/>
      <c r="Q37" s="487"/>
      <c r="R37" s="487"/>
      <c r="S37" s="487"/>
      <c r="T37" s="487"/>
      <c r="U37" s="487"/>
      <c r="V37" s="487"/>
      <c r="W37" s="487"/>
      <c r="X37" s="487"/>
      <c r="Y37" s="487"/>
      <c r="Z37" s="487"/>
      <c r="AA37" s="487"/>
      <c r="AB37" s="487"/>
      <c r="AC37" s="487"/>
      <c r="AD37" s="487"/>
      <c r="AE37" s="487"/>
      <c r="AF37" s="487"/>
      <c r="AG37" s="487"/>
      <c r="AH37" s="487"/>
      <c r="AI37" s="488"/>
      <c r="AK37" s="544" t="s">
        <v>240</v>
      </c>
      <c r="AL37" s="545"/>
      <c r="AM37" s="545"/>
      <c r="AN37" s="545"/>
      <c r="AO37" s="545"/>
      <c r="AP37" s="545"/>
      <c r="AQ37" s="122"/>
      <c r="AR37" s="48"/>
      <c r="AS37" s="532"/>
      <c r="AT37" s="532"/>
      <c r="AU37" s="439"/>
      <c r="AV37" s="439"/>
      <c r="AW37" s="439"/>
      <c r="BH37" s="50"/>
      <c r="BI37" s="51"/>
    </row>
    <row r="38" spans="1:80" ht="18" customHeight="1" thickBot="1">
      <c r="A38" s="496" t="s">
        <v>670</v>
      </c>
      <c r="B38" s="497"/>
      <c r="C38" s="497"/>
      <c r="D38" s="497"/>
      <c r="E38" s="497"/>
      <c r="F38" s="416" t="s">
        <v>667</v>
      </c>
      <c r="G38" s="416"/>
      <c r="H38" s="416"/>
      <c r="I38" s="416"/>
      <c r="J38" s="416"/>
      <c r="K38" s="416"/>
      <c r="L38" s="424" t="s">
        <v>722</v>
      </c>
      <c r="M38" s="424"/>
      <c r="N38" s="424"/>
      <c r="O38" s="424"/>
      <c r="P38" s="416" t="s">
        <v>671</v>
      </c>
      <c r="Q38" s="416"/>
      <c r="R38" s="416"/>
      <c r="S38" s="416"/>
      <c r="T38" s="416"/>
      <c r="U38" s="416"/>
      <c r="V38" s="416"/>
      <c r="W38" s="416" t="s">
        <v>667</v>
      </c>
      <c r="X38" s="416"/>
      <c r="Y38" s="416"/>
      <c r="Z38" s="416"/>
      <c r="AA38" s="416"/>
      <c r="AB38" s="416"/>
      <c r="AC38" s="424" t="s">
        <v>722</v>
      </c>
      <c r="AD38" s="424"/>
      <c r="AE38" s="424"/>
      <c r="AF38" s="424"/>
      <c r="AG38" s="424"/>
      <c r="AH38" s="424"/>
      <c r="AI38" s="491"/>
      <c r="AK38" s="543"/>
      <c r="AL38" s="543"/>
      <c r="AM38" s="543"/>
      <c r="AN38" s="543"/>
      <c r="AO38" s="543"/>
      <c r="AP38" s="543"/>
      <c r="AQ38" s="59"/>
      <c r="AR38" s="48"/>
      <c r="BC38" s="50"/>
      <c r="BD38" s="51"/>
    </row>
    <row r="39" spans="1:80" ht="18" customHeight="1">
      <c r="A39" s="452" t="s">
        <v>672</v>
      </c>
      <c r="B39" s="453"/>
      <c r="C39" s="453"/>
      <c r="D39" s="453"/>
      <c r="E39" s="453"/>
      <c r="F39" s="453"/>
      <c r="G39" s="453"/>
      <c r="H39" s="453"/>
      <c r="I39" s="453"/>
      <c r="J39" s="453"/>
      <c r="K39" s="453"/>
      <c r="L39" s="453"/>
      <c r="M39" s="453"/>
      <c r="N39" s="453"/>
      <c r="O39" s="453"/>
      <c r="P39" s="453"/>
      <c r="Q39" s="453"/>
      <c r="R39" s="453"/>
      <c r="S39" s="453"/>
      <c r="T39" s="453"/>
      <c r="U39" s="453"/>
      <c r="V39" s="453"/>
      <c r="W39" s="453"/>
      <c r="X39" s="453"/>
      <c r="Y39" s="453"/>
      <c r="Z39" s="453"/>
      <c r="AA39" s="453"/>
      <c r="AB39" s="453"/>
      <c r="AC39" s="453"/>
      <c r="AD39" s="453"/>
      <c r="AE39" s="453"/>
      <c r="AF39" s="453"/>
      <c r="AG39" s="453"/>
      <c r="AH39" s="453"/>
      <c r="AI39" s="454"/>
      <c r="AK39" s="444" t="s">
        <v>673</v>
      </c>
      <c r="AL39" s="444"/>
      <c r="AM39" s="444"/>
      <c r="AN39" s="444"/>
      <c r="AO39" s="444"/>
      <c r="AP39" s="444"/>
      <c r="AQ39" s="42"/>
      <c r="AR39" s="48"/>
      <c r="AS39" s="423" t="s">
        <v>526</v>
      </c>
      <c r="AT39" s="423"/>
      <c r="AU39" s="148">
        <v>19</v>
      </c>
      <c r="AV39" s="423" t="s">
        <v>528</v>
      </c>
      <c r="AW39" s="423"/>
      <c r="BC39" s="50"/>
      <c r="BD39" s="51"/>
    </row>
    <row r="40" spans="1:80" ht="18" customHeight="1">
      <c r="A40" s="464" t="s">
        <v>674</v>
      </c>
      <c r="B40" s="459"/>
      <c r="C40" s="459"/>
      <c r="D40" s="459"/>
      <c r="E40" s="470" t="s">
        <v>675</v>
      </c>
      <c r="F40" s="471"/>
      <c r="G40" s="471"/>
      <c r="H40" s="471"/>
      <c r="I40" s="471"/>
      <c r="J40" s="471"/>
      <c r="K40" s="472"/>
      <c r="L40" s="458" t="s">
        <v>676</v>
      </c>
      <c r="M40" s="459"/>
      <c r="N40" s="459"/>
      <c r="O40" s="459"/>
      <c r="P40" s="459"/>
      <c r="Q40" s="459"/>
      <c r="R40" s="460"/>
      <c r="S40" s="458" t="s">
        <v>677</v>
      </c>
      <c r="T40" s="459"/>
      <c r="U40" s="459"/>
      <c r="V40" s="459"/>
      <c r="W40" s="470" t="s">
        <v>675</v>
      </c>
      <c r="X40" s="471"/>
      <c r="Y40" s="471"/>
      <c r="Z40" s="471"/>
      <c r="AA40" s="471"/>
      <c r="AB40" s="471"/>
      <c r="AC40" s="472"/>
      <c r="AD40" s="458" t="s">
        <v>678</v>
      </c>
      <c r="AE40" s="459"/>
      <c r="AF40" s="459"/>
      <c r="AG40" s="459"/>
      <c r="AH40" s="459"/>
      <c r="AI40" s="463"/>
      <c r="AK40" s="444" t="s">
        <v>679</v>
      </c>
      <c r="AL40" s="444"/>
      <c r="AM40" s="444"/>
      <c r="AN40" s="444"/>
      <c r="AO40" s="444"/>
      <c r="AP40" s="444"/>
      <c r="AQ40" s="42"/>
      <c r="AR40" s="48"/>
      <c r="AS40" s="423" t="s">
        <v>527</v>
      </c>
      <c r="AT40" s="423"/>
      <c r="AU40" s="148">
        <v>11</v>
      </c>
      <c r="AV40" s="560">
        <v>0.65310000000000001</v>
      </c>
      <c r="AW40" s="560"/>
      <c r="BC40" s="50"/>
      <c r="BD40" s="51"/>
    </row>
    <row r="41" spans="1:80" ht="18" customHeight="1">
      <c r="A41" s="464" t="s">
        <v>16</v>
      </c>
      <c r="B41" s="459"/>
      <c r="C41" s="459"/>
      <c r="D41" s="459"/>
      <c r="E41" s="469">
        <f>AX10</f>
        <v>0.33333333333333331</v>
      </c>
      <c r="F41" s="456"/>
      <c r="G41" s="456"/>
      <c r="H41" s="144" t="s">
        <v>680</v>
      </c>
      <c r="I41" s="456">
        <f>AY10</f>
        <v>0.83333333333333337</v>
      </c>
      <c r="J41" s="456"/>
      <c r="K41" s="457"/>
      <c r="L41" s="458" t="str">
        <f>AU10</f>
        <v>三角龍彦</v>
      </c>
      <c r="M41" s="459"/>
      <c r="N41" s="459"/>
      <c r="O41" s="459"/>
      <c r="P41" s="459"/>
      <c r="Q41" s="459"/>
      <c r="R41" s="460"/>
      <c r="S41" s="409" t="s">
        <v>31</v>
      </c>
      <c r="T41" s="410"/>
      <c r="U41" s="410"/>
      <c r="V41" s="410"/>
      <c r="W41" s="414">
        <v>0.39583333333333331</v>
      </c>
      <c r="X41" s="415"/>
      <c r="Y41" s="415"/>
      <c r="Z41" s="40" t="s">
        <v>680</v>
      </c>
      <c r="AA41" s="415">
        <v>0.77083333333333337</v>
      </c>
      <c r="AB41" s="415"/>
      <c r="AC41" s="461"/>
      <c r="AD41" s="409" t="str">
        <f>AU14</f>
        <v>藤井隆幸</v>
      </c>
      <c r="AE41" s="410"/>
      <c r="AF41" s="410"/>
      <c r="AG41" s="410"/>
      <c r="AH41" s="410"/>
      <c r="AI41" s="462"/>
      <c r="AK41" s="444" t="s">
        <v>681</v>
      </c>
      <c r="AL41" s="444"/>
      <c r="AM41" s="444"/>
      <c r="AN41" s="444"/>
      <c r="AO41" s="444"/>
      <c r="AP41" s="444"/>
      <c r="AQ41" s="42"/>
      <c r="AR41" s="48"/>
      <c r="BC41" s="50"/>
      <c r="BD41" s="51"/>
    </row>
    <row r="42" spans="1:80" ht="18" customHeight="1">
      <c r="A42" s="464" t="s">
        <v>24</v>
      </c>
      <c r="B42" s="459"/>
      <c r="C42" s="459"/>
      <c r="D42" s="459"/>
      <c r="E42" s="469">
        <f>AX13</f>
        <v>0.33333333333333331</v>
      </c>
      <c r="F42" s="456"/>
      <c r="G42" s="456"/>
      <c r="H42" s="144" t="s">
        <v>680</v>
      </c>
      <c r="I42" s="456">
        <f>AY12</f>
        <v>0.83333333333333337</v>
      </c>
      <c r="J42" s="456"/>
      <c r="K42" s="457"/>
      <c r="L42" s="458" t="str">
        <f>AU13</f>
        <v>木村重明</v>
      </c>
      <c r="M42" s="459"/>
      <c r="N42" s="459"/>
      <c r="O42" s="459"/>
      <c r="P42" s="459"/>
      <c r="Q42" s="459"/>
      <c r="R42" s="460"/>
      <c r="S42" s="409"/>
      <c r="T42" s="410"/>
      <c r="U42" s="410"/>
      <c r="V42" s="410"/>
      <c r="W42" s="414"/>
      <c r="X42" s="415"/>
      <c r="Y42" s="415"/>
      <c r="Z42" s="136"/>
      <c r="AA42" s="415"/>
      <c r="AB42" s="415"/>
      <c r="AC42" s="461"/>
      <c r="AD42" s="409">
        <f>AU15</f>
        <v>0</v>
      </c>
      <c r="AE42" s="410"/>
      <c r="AF42" s="410"/>
      <c r="AG42" s="410"/>
      <c r="AH42" s="410"/>
      <c r="AI42" s="462"/>
      <c r="AK42" s="445" t="s">
        <v>682</v>
      </c>
      <c r="AL42" s="445"/>
      <c r="AM42" s="445"/>
      <c r="AN42" s="445"/>
      <c r="AO42" s="445"/>
      <c r="AP42" s="445"/>
      <c r="AQ42" s="42"/>
      <c r="AR42" s="48"/>
      <c r="AS42" s="561" t="s">
        <v>683</v>
      </c>
      <c r="AT42" s="561"/>
      <c r="AU42" s="561"/>
      <c r="AV42" s="561"/>
      <c r="AW42" s="561"/>
      <c r="BC42" s="50"/>
      <c r="BD42" s="51"/>
    </row>
    <row r="43" spans="1:80" ht="18" customHeight="1">
      <c r="A43" s="464" t="s">
        <v>38</v>
      </c>
      <c r="B43" s="459"/>
      <c r="C43" s="459"/>
      <c r="D43" s="459"/>
      <c r="E43" s="469">
        <f>AX16</f>
        <v>0.83333333333333337</v>
      </c>
      <c r="F43" s="456"/>
      <c r="G43" s="456"/>
      <c r="H43" s="144" t="s">
        <v>680</v>
      </c>
      <c r="I43" s="456" t="str">
        <f>AY16</f>
        <v>翌8:00</v>
      </c>
      <c r="J43" s="456"/>
      <c r="K43" s="457"/>
      <c r="L43" s="458" t="str">
        <f>AU16</f>
        <v>山本喜久</v>
      </c>
      <c r="M43" s="459"/>
      <c r="N43" s="459"/>
      <c r="O43" s="459"/>
      <c r="P43" s="459"/>
      <c r="Q43" s="459"/>
      <c r="R43" s="460"/>
      <c r="S43" s="409"/>
      <c r="T43" s="410"/>
      <c r="U43" s="410"/>
      <c r="V43" s="410"/>
      <c r="W43" s="414"/>
      <c r="X43" s="415"/>
      <c r="Y43" s="415"/>
      <c r="Z43" s="136"/>
      <c r="AA43" s="415"/>
      <c r="AB43" s="415"/>
      <c r="AC43" s="461"/>
      <c r="AD43" s="486">
        <f>AU18</f>
        <v>0</v>
      </c>
      <c r="AE43" s="410"/>
      <c r="AF43" s="410"/>
      <c r="AG43" s="410"/>
      <c r="AH43" s="410"/>
      <c r="AI43" s="462"/>
      <c r="AK43" s="444" t="s">
        <v>684</v>
      </c>
      <c r="AL43" s="444"/>
      <c r="AM43" s="444"/>
      <c r="AN43" s="444"/>
      <c r="AO43" s="444"/>
      <c r="AP43" s="444"/>
      <c r="AQ43" s="42"/>
      <c r="AR43" s="43"/>
      <c r="AW43"/>
      <c r="AX43"/>
      <c r="AY43"/>
      <c r="AZ43"/>
      <c r="BA43"/>
      <c r="BB43"/>
      <c r="BC43" s="50"/>
      <c r="BD43" s="51"/>
      <c r="BE43"/>
      <c r="BF43"/>
      <c r="BG43"/>
      <c r="BH43"/>
      <c r="BI43"/>
      <c r="BJ43"/>
      <c r="BK43"/>
      <c r="BL43"/>
      <c r="BM43"/>
      <c r="BN43"/>
      <c r="BO43"/>
      <c r="BP43"/>
      <c r="BQ43"/>
      <c r="BR43"/>
      <c r="BS43"/>
      <c r="BT43"/>
      <c r="BU43"/>
      <c r="BV43"/>
      <c r="BW43"/>
      <c r="BX43"/>
      <c r="BY43"/>
      <c r="BZ43"/>
      <c r="CA43"/>
      <c r="CB43"/>
    </row>
    <row r="44" spans="1:80" ht="18" customHeight="1" thickBot="1">
      <c r="A44" s="473" t="s">
        <v>45</v>
      </c>
      <c r="B44" s="474"/>
      <c r="C44" s="474"/>
      <c r="D44" s="474"/>
      <c r="E44" s="475">
        <f>AX17</f>
        <v>0.83333333333333337</v>
      </c>
      <c r="F44" s="476"/>
      <c r="G44" s="476"/>
      <c r="H44" s="145" t="s">
        <v>680</v>
      </c>
      <c r="I44" s="476" t="str">
        <f>AY17</f>
        <v>翌8:00</v>
      </c>
      <c r="J44" s="476"/>
      <c r="K44" s="477"/>
      <c r="L44" s="478" t="str">
        <f>AU17</f>
        <v>石井忠志</v>
      </c>
      <c r="M44" s="478"/>
      <c r="N44" s="478"/>
      <c r="O44" s="478"/>
      <c r="P44" s="478"/>
      <c r="Q44" s="478"/>
      <c r="R44" s="478"/>
      <c r="S44" s="479"/>
      <c r="T44" s="480"/>
      <c r="U44" s="480"/>
      <c r="V44" s="480"/>
      <c r="W44" s="481"/>
      <c r="X44" s="482"/>
      <c r="Y44" s="482"/>
      <c r="Z44" s="137"/>
      <c r="AA44" s="482"/>
      <c r="AB44" s="482"/>
      <c r="AC44" s="483"/>
      <c r="AD44" s="484">
        <f>AU19</f>
        <v>0</v>
      </c>
      <c r="AE44" s="480"/>
      <c r="AF44" s="480"/>
      <c r="AG44" s="480"/>
      <c r="AH44" s="480"/>
      <c r="AI44" s="485"/>
      <c r="AK44" s="446" t="s">
        <v>685</v>
      </c>
      <c r="AL44" s="446"/>
      <c r="AM44" s="446"/>
      <c r="AN44" s="446"/>
      <c r="AO44" s="446"/>
      <c r="AP44" s="446"/>
      <c r="AQ44" s="42"/>
      <c r="AR44" s="43"/>
      <c r="BC44" s="50"/>
      <c r="BD44" s="51"/>
    </row>
    <row r="45" spans="1:80" ht="18" customHeight="1" thickBot="1">
      <c r="A45" s="27"/>
      <c r="B45" s="27"/>
      <c r="C45" s="27"/>
      <c r="D45" s="27"/>
      <c r="E45" s="27"/>
      <c r="F45" s="27"/>
      <c r="G45" s="27"/>
      <c r="H45" s="27"/>
      <c r="I45" s="27"/>
      <c r="R45" s="307">
        <f>A7</f>
        <v>46182</v>
      </c>
      <c r="S45" s="308"/>
      <c r="T45" s="308"/>
      <c r="U45" s="308"/>
      <c r="V45" s="23" t="s">
        <v>169</v>
      </c>
      <c r="W45" s="309">
        <f>G7</f>
        <v>46182</v>
      </c>
      <c r="X45" s="308"/>
      <c r="Y45" s="23" t="s">
        <v>170</v>
      </c>
      <c r="Z45" s="310">
        <f>K7</f>
        <v>46182</v>
      </c>
      <c r="AA45" s="308"/>
      <c r="AB45" s="23" t="s">
        <v>3</v>
      </c>
      <c r="AC45" s="455">
        <f>O7</f>
        <v>46182</v>
      </c>
      <c r="AD45" s="308"/>
      <c r="AE45" s="308" t="s">
        <v>292</v>
      </c>
      <c r="AF45" s="308"/>
      <c r="AK45" s="425" t="s">
        <v>686</v>
      </c>
      <c r="AL45" s="425"/>
      <c r="AM45" s="425"/>
      <c r="AN45" s="425"/>
      <c r="AO45" s="425"/>
      <c r="AP45" s="425"/>
      <c r="AQ45" s="42"/>
      <c r="AR45" s="43"/>
      <c r="BC45" s="50"/>
      <c r="BD45" s="51"/>
    </row>
    <row r="46" spans="1:80" customFormat="1" ht="18" customHeight="1">
      <c r="A46" s="452" t="s">
        <v>598</v>
      </c>
      <c r="B46" s="453"/>
      <c r="C46" s="453"/>
      <c r="D46" s="453"/>
      <c r="E46" s="453"/>
      <c r="F46" s="453"/>
      <c r="G46" s="453"/>
      <c r="H46" s="453"/>
      <c r="I46" s="453"/>
      <c r="J46" s="453"/>
      <c r="K46" s="453"/>
      <c r="L46" s="453"/>
      <c r="M46" s="453"/>
      <c r="N46" s="453"/>
      <c r="O46" s="453"/>
      <c r="P46" s="453"/>
      <c r="Q46" s="453"/>
      <c r="R46" s="453"/>
      <c r="S46" s="453"/>
      <c r="T46" s="453"/>
      <c r="U46" s="453"/>
      <c r="V46" s="453"/>
      <c r="W46" s="453"/>
      <c r="X46" s="453"/>
      <c r="Y46" s="453"/>
      <c r="Z46" s="453"/>
      <c r="AA46" s="453"/>
      <c r="AB46" s="453"/>
      <c r="AC46" s="453"/>
      <c r="AD46" s="453"/>
      <c r="AE46" s="453"/>
      <c r="AF46" s="453"/>
      <c r="AG46" s="453"/>
      <c r="AH46" s="453"/>
      <c r="AI46" s="454"/>
      <c r="AK46" s="425" t="s">
        <v>687</v>
      </c>
      <c r="AL46" s="425"/>
      <c r="AM46" s="425"/>
      <c r="AN46" s="425"/>
      <c r="AO46" s="425"/>
      <c r="AP46" s="425"/>
      <c r="AQ46" s="42"/>
      <c r="AR46" s="43"/>
      <c r="AW46" s="23"/>
      <c r="AX46" s="23"/>
      <c r="AY46" s="23"/>
      <c r="AZ46" s="23"/>
      <c r="BA46" s="23"/>
      <c r="BB46" s="23"/>
      <c r="BC46" s="50"/>
      <c r="BD46" s="51"/>
      <c r="BE46" s="23"/>
      <c r="BF46" s="23"/>
      <c r="BG46" s="23"/>
      <c r="BH46" s="23"/>
      <c r="BI46" s="23"/>
      <c r="BJ46" s="23"/>
      <c r="BK46" s="23"/>
      <c r="BL46" s="23"/>
      <c r="BM46" s="23"/>
      <c r="BN46" s="23"/>
      <c r="BO46" s="23"/>
      <c r="BP46" s="23"/>
      <c r="BQ46" s="23"/>
      <c r="BR46" s="23"/>
      <c r="BS46" s="23"/>
      <c r="BT46" s="23"/>
      <c r="BU46" s="23"/>
      <c r="BV46" s="23"/>
      <c r="BW46" s="23"/>
      <c r="BX46" s="23"/>
      <c r="BY46" s="23"/>
      <c r="BZ46" s="23"/>
      <c r="CA46" s="23"/>
      <c r="CB46" s="23"/>
    </row>
    <row r="47" spans="1:80" ht="18" customHeight="1">
      <c r="A47" s="36"/>
      <c r="B47" s="404"/>
      <c r="C47" s="404"/>
      <c r="D47" s="404"/>
      <c r="E47" s="404"/>
      <c r="F47" s="288"/>
      <c r="G47" s="288"/>
      <c r="H47" s="288"/>
      <c r="I47" s="288"/>
      <c r="J47" s="288"/>
      <c r="K47" s="288"/>
      <c r="L47" s="288"/>
      <c r="M47" s="288"/>
      <c r="N47" s="288"/>
      <c r="O47" s="288"/>
      <c r="P47" s="288"/>
      <c r="Q47" s="288"/>
      <c r="R47" s="288"/>
      <c r="S47" s="288"/>
      <c r="T47" s="288"/>
      <c r="U47" s="288"/>
      <c r="V47" s="288"/>
      <c r="W47" s="288"/>
      <c r="X47" s="288"/>
      <c r="Y47" s="288"/>
      <c r="Z47" s="288"/>
      <c r="AA47" s="288"/>
      <c r="AB47" s="288"/>
      <c r="AC47" s="288"/>
      <c r="AD47" s="288"/>
      <c r="AE47" s="288"/>
      <c r="AF47" s="288"/>
      <c r="AG47" s="288"/>
      <c r="AH47" s="288"/>
      <c r="AI47" s="289"/>
      <c r="AK47" s="425" t="s">
        <v>688</v>
      </c>
      <c r="AL47" s="425"/>
      <c r="AM47" s="425"/>
      <c r="AN47" s="425"/>
      <c r="AO47" s="425"/>
      <c r="AP47" s="425"/>
      <c r="AQ47" s="42"/>
      <c r="AR47" s="43"/>
      <c r="AS47" s="120" t="s">
        <v>189</v>
      </c>
      <c r="AT47" s="43" t="s">
        <v>728</v>
      </c>
      <c r="AU47" s="43"/>
      <c r="BC47" s="50"/>
      <c r="BD47" s="51"/>
    </row>
    <row r="48" spans="1:80" ht="18" customHeight="1">
      <c r="A48" s="36"/>
      <c r="B48" s="404"/>
      <c r="C48" s="404"/>
      <c r="D48" s="404"/>
      <c r="E48" s="404"/>
      <c r="F48" s="288"/>
      <c r="G48" s="288"/>
      <c r="H48" s="288"/>
      <c r="I48" s="288"/>
      <c r="J48" s="288"/>
      <c r="K48" s="288"/>
      <c r="L48" s="288"/>
      <c r="M48" s="288"/>
      <c r="N48" s="288"/>
      <c r="O48" s="288"/>
      <c r="P48" s="288"/>
      <c r="Q48" s="288"/>
      <c r="R48" s="288"/>
      <c r="S48" s="288"/>
      <c r="T48" s="288"/>
      <c r="U48" s="288"/>
      <c r="V48" s="288"/>
      <c r="W48" s="288"/>
      <c r="X48" s="288"/>
      <c r="Y48" s="288"/>
      <c r="Z48" s="288"/>
      <c r="AA48" s="288"/>
      <c r="AB48" s="288"/>
      <c r="AC48" s="288"/>
      <c r="AD48" s="288"/>
      <c r="AE48" s="288"/>
      <c r="AF48" s="288"/>
      <c r="AG48" s="288"/>
      <c r="AH48" s="288"/>
      <c r="AI48" s="289"/>
      <c r="AK48" s="425" t="s">
        <v>690</v>
      </c>
      <c r="AL48" s="425"/>
      <c r="AM48" s="425"/>
      <c r="AN48" s="425"/>
      <c r="AO48" s="425"/>
      <c r="AP48" s="425"/>
      <c r="AQ48" s="42"/>
      <c r="AR48" s="43"/>
      <c r="AS48" s="43"/>
      <c r="AT48" s="43"/>
      <c r="AU48" s="43"/>
      <c r="BC48" s="50"/>
      <c r="BD48" s="51"/>
    </row>
    <row r="49" spans="1:61" ht="18" customHeight="1">
      <c r="A49" s="36"/>
      <c r="B49" s="404"/>
      <c r="C49" s="404"/>
      <c r="D49" s="404"/>
      <c r="E49" s="404"/>
      <c r="F49" s="288"/>
      <c r="G49" s="288"/>
      <c r="H49" s="288"/>
      <c r="I49" s="288"/>
      <c r="J49" s="288"/>
      <c r="K49" s="288"/>
      <c r="L49" s="288"/>
      <c r="M49" s="288"/>
      <c r="N49" s="288"/>
      <c r="O49" s="288"/>
      <c r="P49" s="288"/>
      <c r="Q49" s="288"/>
      <c r="R49" s="288"/>
      <c r="S49" s="288"/>
      <c r="T49" s="288"/>
      <c r="U49" s="288"/>
      <c r="V49" s="288"/>
      <c r="W49" s="288"/>
      <c r="X49" s="288"/>
      <c r="Y49" s="288"/>
      <c r="Z49" s="288"/>
      <c r="AA49" s="288"/>
      <c r="AB49" s="288"/>
      <c r="AC49" s="288"/>
      <c r="AD49" s="288"/>
      <c r="AE49" s="288"/>
      <c r="AF49" s="288"/>
      <c r="AG49" s="288"/>
      <c r="AH49" s="288"/>
      <c r="AI49" s="289"/>
      <c r="AK49" s="425" t="s">
        <v>691</v>
      </c>
      <c r="AL49" s="425"/>
      <c r="AM49" s="425"/>
      <c r="AN49" s="425"/>
      <c r="AO49" s="425"/>
      <c r="AP49" s="425"/>
      <c r="AQ49" s="42"/>
      <c r="AR49" s="43"/>
      <c r="AS49" s="43"/>
      <c r="AT49" s="43"/>
      <c r="AU49" s="43"/>
      <c r="BC49" s="50"/>
      <c r="BD49" s="51"/>
    </row>
    <row r="50" spans="1:61" ht="18" customHeight="1">
      <c r="A50" s="36"/>
      <c r="B50" s="404"/>
      <c r="C50" s="404"/>
      <c r="D50" s="404"/>
      <c r="E50" s="404"/>
      <c r="F50" s="288"/>
      <c r="G50" s="288"/>
      <c r="H50" s="288"/>
      <c r="I50" s="288"/>
      <c r="J50" s="288"/>
      <c r="K50" s="288"/>
      <c r="L50" s="288"/>
      <c r="M50" s="288"/>
      <c r="N50" s="288"/>
      <c r="O50" s="288"/>
      <c r="P50" s="288"/>
      <c r="Q50" s="288"/>
      <c r="R50" s="288"/>
      <c r="S50" s="288"/>
      <c r="T50" s="288"/>
      <c r="U50" s="288"/>
      <c r="V50" s="288"/>
      <c r="W50" s="288"/>
      <c r="X50" s="288"/>
      <c r="Y50" s="288"/>
      <c r="Z50" s="288"/>
      <c r="AA50" s="288"/>
      <c r="AB50" s="288"/>
      <c r="AC50" s="288"/>
      <c r="AD50" s="288"/>
      <c r="AE50" s="288"/>
      <c r="AF50" s="288"/>
      <c r="AG50" s="288"/>
      <c r="AH50" s="288"/>
      <c r="AI50" s="289"/>
      <c r="AK50" s="425" t="s">
        <v>692</v>
      </c>
      <c r="AL50" s="425"/>
      <c r="AM50" s="425"/>
      <c r="AN50" s="425"/>
      <c r="AO50" s="425"/>
      <c r="AP50" s="425"/>
      <c r="AQ50" s="42"/>
      <c r="AR50" s="43"/>
      <c r="AS50" s="43"/>
      <c r="AT50" s="43"/>
      <c r="AU50" s="43"/>
      <c r="BC50" s="50"/>
      <c r="BD50" s="51"/>
    </row>
    <row r="51" spans="1:61" ht="18" customHeight="1">
      <c r="A51" s="36"/>
      <c r="B51" s="404"/>
      <c r="C51" s="404"/>
      <c r="D51" s="404"/>
      <c r="E51" s="404"/>
      <c r="F51" s="288"/>
      <c r="G51" s="288"/>
      <c r="H51" s="288"/>
      <c r="I51" s="288"/>
      <c r="J51" s="288"/>
      <c r="K51" s="288"/>
      <c r="L51" s="288"/>
      <c r="M51" s="288"/>
      <c r="N51" s="288"/>
      <c r="O51" s="288"/>
      <c r="P51" s="288"/>
      <c r="Q51" s="288"/>
      <c r="R51" s="288"/>
      <c r="S51" s="288"/>
      <c r="T51" s="288"/>
      <c r="U51" s="288"/>
      <c r="V51" s="288"/>
      <c r="W51" s="288"/>
      <c r="X51" s="288"/>
      <c r="Y51" s="288"/>
      <c r="Z51" s="288"/>
      <c r="AA51" s="288"/>
      <c r="AB51" s="288"/>
      <c r="AC51" s="288"/>
      <c r="AD51" s="288"/>
      <c r="AE51" s="288"/>
      <c r="AF51" s="288"/>
      <c r="AG51" s="288"/>
      <c r="AH51" s="288"/>
      <c r="AI51" s="289"/>
      <c r="AK51" s="425" t="s">
        <v>693</v>
      </c>
      <c r="AL51" s="425"/>
      <c r="AM51" s="425"/>
      <c r="AN51" s="425"/>
      <c r="AO51" s="425"/>
      <c r="AP51" s="425"/>
      <c r="AQ51" s="42"/>
      <c r="AR51" s="43"/>
      <c r="AS51" s="43"/>
      <c r="AT51" s="43"/>
      <c r="AU51" s="43"/>
      <c r="BC51" s="50"/>
      <c r="BD51" s="51"/>
    </row>
    <row r="52" spans="1:61" ht="18" customHeight="1">
      <c r="A52" s="36"/>
      <c r="B52" s="404"/>
      <c r="C52" s="404"/>
      <c r="D52" s="404"/>
      <c r="E52" s="404"/>
      <c r="F52" s="288"/>
      <c r="G52" s="288"/>
      <c r="H52" s="288"/>
      <c r="I52" s="288"/>
      <c r="J52" s="288"/>
      <c r="K52" s="288"/>
      <c r="L52" s="288"/>
      <c r="M52" s="288"/>
      <c r="N52" s="288"/>
      <c r="O52" s="288"/>
      <c r="P52" s="288"/>
      <c r="Q52" s="288"/>
      <c r="R52" s="288"/>
      <c r="S52" s="288"/>
      <c r="T52" s="288"/>
      <c r="U52" s="288"/>
      <c r="V52" s="288"/>
      <c r="W52" s="288"/>
      <c r="X52" s="288"/>
      <c r="Y52" s="288"/>
      <c r="Z52" s="288"/>
      <c r="AA52" s="288"/>
      <c r="AB52" s="288"/>
      <c r="AC52" s="288"/>
      <c r="AD52" s="288"/>
      <c r="AE52" s="288"/>
      <c r="AF52" s="288"/>
      <c r="AG52" s="288"/>
      <c r="AH52" s="288"/>
      <c r="AI52" s="289"/>
      <c r="AK52" s="425" t="s">
        <v>694</v>
      </c>
      <c r="AL52" s="425"/>
      <c r="AM52" s="425"/>
      <c r="AN52" s="425"/>
      <c r="AO52" s="425"/>
      <c r="AP52" s="425"/>
      <c r="AQ52" s="42"/>
      <c r="AR52" s="43"/>
      <c r="AS52" s="43"/>
      <c r="AV52" s="43"/>
      <c r="AW52" s="43"/>
      <c r="AX52" s="43"/>
      <c r="AY52" s="43"/>
      <c r="AZ52" s="43"/>
      <c r="BA52" s="43"/>
      <c r="BH52" s="52"/>
      <c r="BI52" s="51"/>
    </row>
    <row r="53" spans="1:61" ht="18" customHeight="1">
      <c r="A53" s="36"/>
      <c r="B53" s="404"/>
      <c r="C53" s="404"/>
      <c r="D53" s="404"/>
      <c r="E53" s="404"/>
      <c r="F53" s="288"/>
      <c r="G53" s="288"/>
      <c r="H53" s="288"/>
      <c r="I53" s="288"/>
      <c r="J53" s="288"/>
      <c r="K53" s="288"/>
      <c r="L53" s="288"/>
      <c r="M53" s="288"/>
      <c r="N53" s="288"/>
      <c r="O53" s="288"/>
      <c r="P53" s="288"/>
      <c r="Q53" s="288"/>
      <c r="R53" s="288"/>
      <c r="S53" s="288"/>
      <c r="T53" s="288"/>
      <c r="U53" s="288"/>
      <c r="V53" s="288"/>
      <c r="W53" s="288"/>
      <c r="X53" s="288"/>
      <c r="Y53" s="288"/>
      <c r="Z53" s="288"/>
      <c r="AA53" s="288"/>
      <c r="AB53" s="288"/>
      <c r="AC53" s="288"/>
      <c r="AD53" s="288"/>
      <c r="AE53" s="288"/>
      <c r="AF53" s="288"/>
      <c r="AG53" s="288"/>
      <c r="AH53" s="288"/>
      <c r="AI53" s="289"/>
      <c r="AK53" s="425" t="s">
        <v>695</v>
      </c>
      <c r="AL53" s="425"/>
      <c r="AM53" s="425"/>
      <c r="AN53" s="425"/>
      <c r="AO53" s="425"/>
      <c r="AP53" s="425"/>
      <c r="AQ53" s="42"/>
      <c r="AR53" s="43"/>
      <c r="AS53" s="43"/>
      <c r="AT53" s="43"/>
      <c r="AU53" s="43"/>
      <c r="AV53" s="43"/>
      <c r="AW53" s="43"/>
      <c r="AX53" s="43"/>
      <c r="AY53" s="43"/>
      <c r="AZ53" s="43"/>
      <c r="BH53" s="50"/>
      <c r="BI53" s="51"/>
    </row>
    <row r="54" spans="1:61" ht="18" customHeight="1">
      <c r="A54" s="36"/>
      <c r="B54" s="404"/>
      <c r="C54" s="404"/>
      <c r="D54" s="404"/>
      <c r="E54" s="404"/>
      <c r="F54" s="288"/>
      <c r="G54" s="288"/>
      <c r="H54" s="288"/>
      <c r="I54" s="288"/>
      <c r="J54" s="288"/>
      <c r="K54" s="288"/>
      <c r="L54" s="288"/>
      <c r="M54" s="288"/>
      <c r="N54" s="288"/>
      <c r="O54" s="288"/>
      <c r="P54" s="288"/>
      <c r="Q54" s="288"/>
      <c r="R54" s="288"/>
      <c r="S54" s="288"/>
      <c r="T54" s="288"/>
      <c r="U54" s="288"/>
      <c r="V54" s="288"/>
      <c r="W54" s="288"/>
      <c r="X54" s="288"/>
      <c r="Y54" s="288"/>
      <c r="Z54" s="288"/>
      <c r="AA54" s="288"/>
      <c r="AB54" s="288"/>
      <c r="AC54" s="288"/>
      <c r="AD54" s="288"/>
      <c r="AE54" s="288"/>
      <c r="AF54" s="288"/>
      <c r="AG54" s="288"/>
      <c r="AH54" s="288"/>
      <c r="AI54" s="289"/>
      <c r="AK54" s="425" t="s">
        <v>696</v>
      </c>
      <c r="AL54" s="425"/>
      <c r="AM54" s="425"/>
      <c r="AN54" s="425"/>
      <c r="AO54" s="425"/>
      <c r="AP54" s="425"/>
      <c r="AQ54" s="42"/>
      <c r="AR54" s="43"/>
      <c r="AS54" s="43"/>
      <c r="AT54" s="43"/>
      <c r="AU54" s="43"/>
      <c r="AV54" s="43"/>
      <c r="AW54" s="43"/>
      <c r="AX54" s="43"/>
      <c r="AY54" s="43"/>
      <c r="AZ54" s="43"/>
      <c r="BH54" s="50"/>
      <c r="BI54" s="51"/>
    </row>
    <row r="55" spans="1:61" ht="18" customHeight="1">
      <c r="A55" s="36"/>
      <c r="B55" s="404"/>
      <c r="C55" s="404"/>
      <c r="D55" s="404"/>
      <c r="E55" s="404"/>
      <c r="F55" s="288"/>
      <c r="G55" s="288"/>
      <c r="H55" s="288"/>
      <c r="I55" s="288"/>
      <c r="J55" s="288"/>
      <c r="K55" s="288"/>
      <c r="L55" s="288"/>
      <c r="M55" s="288"/>
      <c r="N55" s="288"/>
      <c r="O55" s="288"/>
      <c r="P55" s="288"/>
      <c r="Q55" s="288"/>
      <c r="R55" s="288"/>
      <c r="S55" s="288"/>
      <c r="T55" s="288"/>
      <c r="U55" s="288"/>
      <c r="V55" s="288"/>
      <c r="W55" s="288"/>
      <c r="X55" s="288"/>
      <c r="Y55" s="288"/>
      <c r="Z55" s="288"/>
      <c r="AA55" s="288"/>
      <c r="AB55" s="288"/>
      <c r="AC55" s="288"/>
      <c r="AD55" s="288"/>
      <c r="AE55" s="288"/>
      <c r="AF55" s="288"/>
      <c r="AG55" s="288"/>
      <c r="AH55" s="288"/>
      <c r="AI55" s="289"/>
      <c r="AK55" s="425" t="s">
        <v>697</v>
      </c>
      <c r="AL55" s="425"/>
      <c r="AM55" s="425"/>
      <c r="AN55" s="425"/>
      <c r="AO55" s="425"/>
      <c r="AP55" s="425"/>
      <c r="AQ55" s="42"/>
      <c r="AR55" s="43"/>
      <c r="AS55" s="43"/>
      <c r="AT55" s="43"/>
      <c r="AU55" s="43"/>
      <c r="AV55" s="43"/>
      <c r="AW55" s="43"/>
      <c r="AX55" s="43"/>
      <c r="AY55" s="43"/>
      <c r="AZ55" s="43"/>
      <c r="BH55" s="50"/>
      <c r="BI55" s="51"/>
    </row>
    <row r="56" spans="1:61" ht="18" customHeight="1">
      <c r="A56" s="36"/>
      <c r="B56" s="404"/>
      <c r="C56" s="404"/>
      <c r="D56" s="404"/>
      <c r="E56" s="404"/>
      <c r="F56" s="288"/>
      <c r="G56" s="288"/>
      <c r="H56" s="288"/>
      <c r="I56" s="288"/>
      <c r="J56" s="288"/>
      <c r="K56" s="288"/>
      <c r="L56" s="288"/>
      <c r="M56" s="288"/>
      <c r="N56" s="288"/>
      <c r="O56" s="288"/>
      <c r="P56" s="288"/>
      <c r="Q56" s="288"/>
      <c r="R56" s="288"/>
      <c r="S56" s="288"/>
      <c r="T56" s="288"/>
      <c r="U56" s="288"/>
      <c r="V56" s="288"/>
      <c r="W56" s="288"/>
      <c r="X56" s="288"/>
      <c r="Y56" s="288"/>
      <c r="Z56" s="288"/>
      <c r="AA56" s="288"/>
      <c r="AB56" s="288"/>
      <c r="AC56" s="288"/>
      <c r="AD56" s="288"/>
      <c r="AE56" s="288"/>
      <c r="AF56" s="288"/>
      <c r="AG56" s="288"/>
      <c r="AH56" s="288"/>
      <c r="AI56" s="289"/>
      <c r="AK56" s="425" t="s">
        <v>698</v>
      </c>
      <c r="AL56" s="425"/>
      <c r="AM56" s="425"/>
      <c r="AN56" s="425"/>
      <c r="AO56" s="425"/>
      <c r="AP56" s="425"/>
      <c r="AQ56" s="42"/>
      <c r="AR56" s="43"/>
      <c r="AS56" s="43"/>
      <c r="AT56" s="43"/>
      <c r="AU56" s="43"/>
      <c r="AV56" s="43"/>
      <c r="AW56" s="43"/>
      <c r="AX56" s="43"/>
      <c r="AY56" s="43"/>
      <c r="AZ56" s="43"/>
      <c r="BH56" s="52"/>
      <c r="BI56" s="51"/>
    </row>
    <row r="57" spans="1:61" ht="18" customHeight="1">
      <c r="A57" s="36"/>
      <c r="B57" s="404"/>
      <c r="C57" s="404"/>
      <c r="D57" s="404"/>
      <c r="E57" s="404"/>
      <c r="F57" s="288"/>
      <c r="G57" s="288"/>
      <c r="H57" s="288"/>
      <c r="I57" s="288"/>
      <c r="J57" s="288"/>
      <c r="K57" s="288"/>
      <c r="L57" s="288"/>
      <c r="M57" s="288"/>
      <c r="N57" s="288"/>
      <c r="O57" s="288"/>
      <c r="P57" s="288"/>
      <c r="Q57" s="288"/>
      <c r="R57" s="288"/>
      <c r="S57" s="288"/>
      <c r="T57" s="288"/>
      <c r="U57" s="288"/>
      <c r="V57" s="288"/>
      <c r="W57" s="288"/>
      <c r="X57" s="288"/>
      <c r="Y57" s="288"/>
      <c r="Z57" s="288"/>
      <c r="AA57" s="288"/>
      <c r="AB57" s="288"/>
      <c r="AC57" s="288"/>
      <c r="AD57" s="288"/>
      <c r="AE57" s="288"/>
      <c r="AF57" s="288"/>
      <c r="AG57" s="288"/>
      <c r="AH57" s="288"/>
      <c r="AI57" s="289"/>
      <c r="AK57" s="425" t="s">
        <v>699</v>
      </c>
      <c r="AL57" s="425"/>
      <c r="AM57" s="425"/>
      <c r="AN57" s="425"/>
      <c r="AO57" s="425"/>
      <c r="AP57" s="425"/>
      <c r="AQ57" s="42"/>
      <c r="AR57" s="43"/>
      <c r="AS57" s="43"/>
      <c r="AT57" s="43"/>
      <c r="AU57" s="43"/>
      <c r="AV57" s="43"/>
      <c r="AW57" s="43"/>
      <c r="AX57" s="43"/>
      <c r="AY57" s="43"/>
      <c r="AZ57" s="43"/>
      <c r="BH57" s="50"/>
      <c r="BI57" s="51"/>
    </row>
    <row r="58" spans="1:61" ht="18" customHeight="1">
      <c r="A58" s="36"/>
      <c r="B58" s="404"/>
      <c r="C58" s="404"/>
      <c r="D58" s="404"/>
      <c r="E58" s="404"/>
      <c r="F58" s="288"/>
      <c r="G58" s="288"/>
      <c r="H58" s="288"/>
      <c r="I58" s="288"/>
      <c r="J58" s="288"/>
      <c r="K58" s="288"/>
      <c r="L58" s="288"/>
      <c r="M58" s="288"/>
      <c r="N58" s="288"/>
      <c r="O58" s="288"/>
      <c r="P58" s="288"/>
      <c r="Q58" s="288"/>
      <c r="R58" s="288"/>
      <c r="S58" s="288"/>
      <c r="T58" s="288"/>
      <c r="U58" s="288"/>
      <c r="V58" s="288"/>
      <c r="W58" s="288"/>
      <c r="X58" s="288"/>
      <c r="Y58" s="288"/>
      <c r="Z58" s="288"/>
      <c r="AA58" s="288"/>
      <c r="AB58" s="288"/>
      <c r="AC58" s="288"/>
      <c r="AD58" s="288"/>
      <c r="AE58" s="288"/>
      <c r="AF58" s="288"/>
      <c r="AG58" s="288"/>
      <c r="AH58" s="288"/>
      <c r="AI58" s="289"/>
      <c r="AK58" s="425" t="s">
        <v>700</v>
      </c>
      <c r="AL58" s="425"/>
      <c r="AM58" s="425"/>
      <c r="AN58" s="425"/>
      <c r="AO58" s="425"/>
      <c r="AP58" s="425"/>
      <c r="AQ58" s="42"/>
      <c r="AR58" s="43"/>
      <c r="AS58" s="43"/>
      <c r="AT58" s="43"/>
      <c r="AU58" s="43"/>
      <c r="AV58" s="43"/>
      <c r="AW58" s="43"/>
      <c r="AX58" s="43"/>
      <c r="AY58" s="43"/>
      <c r="AZ58" s="43"/>
      <c r="BH58" s="50"/>
      <c r="BI58" s="51"/>
    </row>
    <row r="59" spans="1:61" ht="18" customHeight="1">
      <c r="A59" s="36"/>
      <c r="B59" s="404"/>
      <c r="C59" s="404"/>
      <c r="D59" s="404"/>
      <c r="E59" s="404"/>
      <c r="F59" s="288"/>
      <c r="G59" s="288"/>
      <c r="H59" s="288"/>
      <c r="I59" s="288"/>
      <c r="J59" s="288"/>
      <c r="K59" s="288"/>
      <c r="L59" s="288"/>
      <c r="M59" s="288"/>
      <c r="N59" s="288"/>
      <c r="O59" s="288"/>
      <c r="P59" s="288"/>
      <c r="Q59" s="288"/>
      <c r="R59" s="288"/>
      <c r="S59" s="288"/>
      <c r="T59" s="288"/>
      <c r="U59" s="288"/>
      <c r="V59" s="288"/>
      <c r="W59" s="288"/>
      <c r="X59" s="288"/>
      <c r="Y59" s="288"/>
      <c r="Z59" s="288"/>
      <c r="AA59" s="288"/>
      <c r="AB59" s="288"/>
      <c r="AC59" s="288"/>
      <c r="AD59" s="288"/>
      <c r="AE59" s="288"/>
      <c r="AF59" s="288"/>
      <c r="AG59" s="288"/>
      <c r="AH59" s="288"/>
      <c r="AI59" s="289"/>
      <c r="AK59" s="425" t="s">
        <v>701</v>
      </c>
      <c r="AL59" s="425"/>
      <c r="AM59" s="425"/>
      <c r="AN59" s="425"/>
      <c r="AO59" s="425"/>
      <c r="AP59" s="425"/>
      <c r="AQ59" s="42"/>
      <c r="AR59" s="43"/>
      <c r="AS59" s="43"/>
      <c r="AT59" s="43"/>
      <c r="AU59" s="43"/>
      <c r="AV59" s="43"/>
      <c r="AW59" s="43"/>
      <c r="AX59" s="43"/>
      <c r="AY59" s="43"/>
      <c r="AZ59" s="43"/>
      <c r="BH59" s="50"/>
      <c r="BI59" s="51"/>
    </row>
    <row r="60" spans="1:61" ht="18" customHeight="1">
      <c r="A60" s="36"/>
      <c r="B60" s="404"/>
      <c r="C60" s="404"/>
      <c r="D60" s="404"/>
      <c r="E60" s="404"/>
      <c r="F60" s="288"/>
      <c r="G60" s="288"/>
      <c r="H60" s="288"/>
      <c r="I60" s="288"/>
      <c r="J60" s="288"/>
      <c r="K60" s="288"/>
      <c r="L60" s="288"/>
      <c r="M60" s="288"/>
      <c r="N60" s="288"/>
      <c r="O60" s="288"/>
      <c r="P60" s="288"/>
      <c r="Q60" s="288"/>
      <c r="R60" s="288"/>
      <c r="S60" s="288"/>
      <c r="T60" s="288"/>
      <c r="U60" s="288"/>
      <c r="V60" s="288"/>
      <c r="W60" s="288"/>
      <c r="X60" s="288"/>
      <c r="Y60" s="288"/>
      <c r="Z60" s="288"/>
      <c r="AA60" s="288"/>
      <c r="AB60" s="288"/>
      <c r="AC60" s="288"/>
      <c r="AD60" s="288"/>
      <c r="AE60" s="288"/>
      <c r="AF60" s="288"/>
      <c r="AG60" s="288"/>
      <c r="AH60" s="288"/>
      <c r="AI60" s="289"/>
      <c r="AK60" s="425" t="s">
        <v>702</v>
      </c>
      <c r="AL60" s="425"/>
      <c r="AM60" s="425"/>
      <c r="AN60" s="425"/>
      <c r="AO60" s="425"/>
      <c r="AP60" s="425"/>
      <c r="AQ60" s="42"/>
      <c r="AR60" s="43"/>
      <c r="AS60" s="43"/>
      <c r="AT60" s="43"/>
      <c r="AU60" s="43"/>
      <c r="AV60" s="43"/>
      <c r="AW60" s="43"/>
      <c r="AX60" s="43"/>
      <c r="AY60" s="43"/>
      <c r="AZ60" s="43"/>
      <c r="BH60" s="52"/>
      <c r="BI60" s="51"/>
    </row>
    <row r="61" spans="1:61" ht="18" customHeight="1">
      <c r="A61" s="36"/>
      <c r="B61" s="404"/>
      <c r="C61" s="404"/>
      <c r="D61" s="404"/>
      <c r="E61" s="404"/>
      <c r="F61" s="288"/>
      <c r="G61" s="288"/>
      <c r="H61" s="288"/>
      <c r="I61" s="288"/>
      <c r="J61" s="288"/>
      <c r="K61" s="288"/>
      <c r="L61" s="288"/>
      <c r="M61" s="288"/>
      <c r="N61" s="288"/>
      <c r="O61" s="288"/>
      <c r="P61" s="288"/>
      <c r="Q61" s="288"/>
      <c r="R61" s="288"/>
      <c r="S61" s="288"/>
      <c r="T61" s="288"/>
      <c r="U61" s="288"/>
      <c r="V61" s="288"/>
      <c r="W61" s="288"/>
      <c r="X61" s="288"/>
      <c r="Y61" s="288"/>
      <c r="Z61" s="288"/>
      <c r="AA61" s="288"/>
      <c r="AB61" s="288"/>
      <c r="AC61" s="288"/>
      <c r="AD61" s="288"/>
      <c r="AE61" s="288"/>
      <c r="AF61" s="288"/>
      <c r="AG61" s="288"/>
      <c r="AH61" s="288"/>
      <c r="AI61" s="289"/>
      <c r="AK61" s="425" t="s">
        <v>703</v>
      </c>
      <c r="AL61" s="425"/>
      <c r="AM61" s="425"/>
      <c r="AN61" s="425"/>
      <c r="AO61" s="425"/>
      <c r="AP61" s="425"/>
      <c r="AQ61" s="42"/>
      <c r="AR61" s="43"/>
      <c r="AS61" s="43"/>
      <c r="AT61" s="43"/>
      <c r="AU61" s="43"/>
      <c r="AV61" s="43"/>
      <c r="AW61" s="43"/>
      <c r="AX61" s="43"/>
      <c r="AY61" s="43"/>
      <c r="AZ61" s="43"/>
      <c r="BH61" s="50"/>
      <c r="BI61" s="51"/>
    </row>
    <row r="62" spans="1:61" ht="18" customHeight="1">
      <c r="A62" s="36"/>
      <c r="B62" s="404"/>
      <c r="C62" s="404"/>
      <c r="D62" s="404"/>
      <c r="E62" s="404"/>
      <c r="F62" s="288"/>
      <c r="G62" s="288"/>
      <c r="H62" s="288"/>
      <c r="I62" s="288"/>
      <c r="J62" s="288"/>
      <c r="K62" s="288"/>
      <c r="L62" s="288"/>
      <c r="M62" s="288"/>
      <c r="N62" s="288"/>
      <c r="O62" s="288"/>
      <c r="P62" s="288"/>
      <c r="Q62" s="288"/>
      <c r="R62" s="288"/>
      <c r="S62" s="288"/>
      <c r="T62" s="288"/>
      <c r="U62" s="288"/>
      <c r="V62" s="288"/>
      <c r="W62" s="288"/>
      <c r="X62" s="288"/>
      <c r="Y62" s="288"/>
      <c r="Z62" s="288"/>
      <c r="AA62" s="288"/>
      <c r="AB62" s="288"/>
      <c r="AC62" s="288"/>
      <c r="AD62" s="288"/>
      <c r="AE62" s="288"/>
      <c r="AF62" s="288"/>
      <c r="AG62" s="288"/>
      <c r="AH62" s="288"/>
      <c r="AI62" s="289"/>
      <c r="AK62" s="425"/>
      <c r="AL62" s="425"/>
      <c r="AM62" s="425"/>
      <c r="AN62" s="425"/>
      <c r="AO62" s="425"/>
      <c r="AP62" s="425"/>
      <c r="AQ62" s="42"/>
      <c r="AR62" s="43"/>
      <c r="AS62" s="43"/>
      <c r="AT62" s="43"/>
      <c r="AU62" s="43"/>
      <c r="AV62" s="43"/>
      <c r="AW62" s="43"/>
      <c r="AX62" s="43"/>
      <c r="AY62" s="43"/>
      <c r="AZ62" s="43"/>
      <c r="BH62" s="50"/>
      <c r="BI62" s="51"/>
    </row>
    <row r="63" spans="1:61" ht="18" customHeight="1">
      <c r="A63" s="36"/>
      <c r="B63" s="404"/>
      <c r="C63" s="404"/>
      <c r="D63" s="404"/>
      <c r="E63" s="404"/>
      <c r="F63" s="288"/>
      <c r="G63" s="288"/>
      <c r="H63" s="288"/>
      <c r="I63" s="288"/>
      <c r="J63" s="288"/>
      <c r="K63" s="288"/>
      <c r="L63" s="288"/>
      <c r="M63" s="288"/>
      <c r="N63" s="288"/>
      <c r="O63" s="288"/>
      <c r="P63" s="288"/>
      <c r="Q63" s="288"/>
      <c r="R63" s="288"/>
      <c r="S63" s="288"/>
      <c r="T63" s="288"/>
      <c r="U63" s="288"/>
      <c r="V63" s="288"/>
      <c r="W63" s="288"/>
      <c r="X63" s="288"/>
      <c r="Y63" s="288"/>
      <c r="Z63" s="288"/>
      <c r="AA63" s="288"/>
      <c r="AB63" s="288"/>
      <c r="AC63" s="288"/>
      <c r="AD63" s="288"/>
      <c r="AE63" s="288"/>
      <c r="AF63" s="288"/>
      <c r="AG63" s="288"/>
      <c r="AH63" s="288"/>
      <c r="AI63" s="289"/>
      <c r="AK63" s="425"/>
      <c r="AL63" s="425"/>
      <c r="AM63" s="425"/>
      <c r="AN63" s="425"/>
      <c r="AO63" s="425"/>
      <c r="AP63" s="425"/>
      <c r="AQ63" s="42"/>
      <c r="AR63" s="43"/>
      <c r="AS63" s="43"/>
      <c r="AT63" s="43"/>
      <c r="AU63" s="43"/>
      <c r="AV63" s="43"/>
      <c r="AW63" s="43"/>
      <c r="AX63" s="43"/>
      <c r="AY63" s="43"/>
      <c r="AZ63" s="43"/>
      <c r="BH63" s="52"/>
      <c r="BI63" s="51"/>
    </row>
    <row r="64" spans="1:61" ht="18" customHeight="1">
      <c r="A64" s="36"/>
      <c r="B64" s="404"/>
      <c r="C64" s="404"/>
      <c r="D64" s="404"/>
      <c r="E64" s="404"/>
      <c r="F64" s="288"/>
      <c r="G64" s="288"/>
      <c r="H64" s="288"/>
      <c r="I64" s="288"/>
      <c r="J64" s="288"/>
      <c r="K64" s="288"/>
      <c r="L64" s="288"/>
      <c r="M64" s="288"/>
      <c r="N64" s="288"/>
      <c r="O64" s="288"/>
      <c r="P64" s="288"/>
      <c r="Q64" s="288"/>
      <c r="R64" s="288"/>
      <c r="S64" s="288"/>
      <c r="T64" s="288"/>
      <c r="U64" s="288"/>
      <c r="V64" s="288"/>
      <c r="W64" s="288"/>
      <c r="X64" s="288"/>
      <c r="Y64" s="288"/>
      <c r="Z64" s="288"/>
      <c r="AA64" s="288"/>
      <c r="AB64" s="288"/>
      <c r="AC64" s="288"/>
      <c r="AD64" s="288"/>
      <c r="AE64" s="288"/>
      <c r="AF64" s="288"/>
      <c r="AG64" s="288"/>
      <c r="AH64" s="288"/>
      <c r="AI64" s="289"/>
      <c r="AK64" s="425"/>
      <c r="AL64" s="425"/>
      <c r="AM64" s="425"/>
      <c r="AN64" s="425"/>
      <c r="AO64" s="425"/>
      <c r="AP64" s="425"/>
      <c r="AQ64" s="42"/>
      <c r="AR64" s="43"/>
      <c r="AS64" s="43"/>
      <c r="AT64" s="43"/>
      <c r="AU64" s="43"/>
      <c r="AV64" s="43"/>
      <c r="AW64" s="43"/>
      <c r="AX64" s="43"/>
      <c r="AY64" s="43"/>
      <c r="AZ64" s="43"/>
      <c r="BH64" s="52"/>
      <c r="BI64" s="51"/>
    </row>
    <row r="65" spans="1:61" ht="18" customHeight="1">
      <c r="A65" s="36"/>
      <c r="B65" s="404"/>
      <c r="C65" s="404"/>
      <c r="D65" s="404"/>
      <c r="E65" s="404"/>
      <c r="F65" s="288"/>
      <c r="G65" s="288"/>
      <c r="H65" s="288"/>
      <c r="I65" s="288"/>
      <c r="J65" s="288"/>
      <c r="K65" s="288"/>
      <c r="L65" s="288"/>
      <c r="M65" s="288"/>
      <c r="N65" s="288"/>
      <c r="O65" s="288"/>
      <c r="P65" s="288"/>
      <c r="Q65" s="288"/>
      <c r="R65" s="288"/>
      <c r="S65" s="288"/>
      <c r="T65" s="288"/>
      <c r="U65" s="288"/>
      <c r="V65" s="288"/>
      <c r="W65" s="288"/>
      <c r="X65" s="288"/>
      <c r="Y65" s="288"/>
      <c r="Z65" s="288"/>
      <c r="AA65" s="288"/>
      <c r="AB65" s="288"/>
      <c r="AC65" s="288"/>
      <c r="AD65" s="288"/>
      <c r="AE65" s="288"/>
      <c r="AF65" s="288"/>
      <c r="AG65" s="288"/>
      <c r="AH65" s="288"/>
      <c r="AI65" s="289"/>
      <c r="AK65" s="425"/>
      <c r="AL65" s="425"/>
      <c r="AM65" s="425"/>
      <c r="AN65" s="425"/>
      <c r="AO65" s="425"/>
      <c r="AP65" s="425"/>
      <c r="AQ65" s="42"/>
      <c r="AR65" s="43"/>
      <c r="AS65" s="43"/>
      <c r="AT65" s="43"/>
      <c r="AU65" s="43"/>
      <c r="AV65" s="43"/>
      <c r="AW65" s="43"/>
      <c r="AX65" s="43"/>
      <c r="AY65" s="43"/>
      <c r="AZ65" s="43"/>
      <c r="BH65" s="50"/>
      <c r="BI65" s="51"/>
    </row>
    <row r="66" spans="1:61" ht="18" customHeight="1">
      <c r="A66" s="36"/>
      <c r="B66" s="404"/>
      <c r="C66" s="404"/>
      <c r="D66" s="404"/>
      <c r="E66" s="404"/>
      <c r="F66" s="288"/>
      <c r="G66" s="288"/>
      <c r="H66" s="288"/>
      <c r="I66" s="288"/>
      <c r="J66" s="288"/>
      <c r="K66" s="288"/>
      <c r="L66" s="288"/>
      <c r="M66" s="288"/>
      <c r="N66" s="288"/>
      <c r="O66" s="288"/>
      <c r="P66" s="288"/>
      <c r="Q66" s="288"/>
      <c r="R66" s="288"/>
      <c r="S66" s="288"/>
      <c r="T66" s="288"/>
      <c r="U66" s="288"/>
      <c r="V66" s="288"/>
      <c r="W66" s="288"/>
      <c r="X66" s="288"/>
      <c r="Y66" s="288"/>
      <c r="Z66" s="288"/>
      <c r="AA66" s="288"/>
      <c r="AB66" s="288"/>
      <c r="AC66" s="288"/>
      <c r="AD66" s="288"/>
      <c r="AE66" s="288"/>
      <c r="AF66" s="288"/>
      <c r="AG66" s="288"/>
      <c r="AH66" s="288"/>
      <c r="AI66" s="289"/>
      <c r="AK66" s="425"/>
      <c r="AL66" s="425"/>
      <c r="AM66" s="425"/>
      <c r="AN66" s="425"/>
      <c r="AO66" s="425"/>
      <c r="AP66" s="425"/>
      <c r="AQ66" s="42"/>
      <c r="AR66" s="43"/>
      <c r="AS66" s="43"/>
      <c r="AT66" s="43"/>
      <c r="AU66" s="43"/>
      <c r="AV66" s="43"/>
      <c r="AW66" s="43"/>
      <c r="AX66" s="43"/>
      <c r="AY66" s="43"/>
      <c r="AZ66" s="43"/>
      <c r="BH66" s="50"/>
      <c r="BI66" s="51"/>
    </row>
    <row r="67" spans="1:61" ht="18" customHeight="1">
      <c r="A67" s="36"/>
      <c r="B67" s="404"/>
      <c r="C67" s="404"/>
      <c r="D67" s="404"/>
      <c r="E67" s="404"/>
      <c r="F67" s="288"/>
      <c r="G67" s="288"/>
      <c r="H67" s="288"/>
      <c r="I67" s="288"/>
      <c r="J67" s="288"/>
      <c r="K67" s="288"/>
      <c r="L67" s="288"/>
      <c r="M67" s="288"/>
      <c r="N67" s="288"/>
      <c r="O67" s="288"/>
      <c r="P67" s="288"/>
      <c r="Q67" s="288"/>
      <c r="R67" s="288"/>
      <c r="S67" s="288"/>
      <c r="T67" s="288"/>
      <c r="U67" s="288"/>
      <c r="V67" s="288"/>
      <c r="W67" s="288"/>
      <c r="X67" s="288"/>
      <c r="Y67" s="288"/>
      <c r="Z67" s="288"/>
      <c r="AA67" s="288"/>
      <c r="AB67" s="288"/>
      <c r="AC67" s="288"/>
      <c r="AD67" s="288"/>
      <c r="AE67" s="288"/>
      <c r="AF67" s="288"/>
      <c r="AG67" s="288"/>
      <c r="AH67" s="288"/>
      <c r="AI67" s="289"/>
      <c r="AK67" s="425"/>
      <c r="AL67" s="425"/>
      <c r="AM67" s="425"/>
      <c r="AN67" s="425"/>
      <c r="AO67" s="425"/>
      <c r="AP67" s="425"/>
      <c r="AQ67" s="67"/>
      <c r="AR67" s="43"/>
      <c r="AS67" s="43"/>
      <c r="AT67" s="43"/>
      <c r="AU67" s="43"/>
      <c r="AV67" s="43"/>
      <c r="AW67" s="43"/>
      <c r="AX67" s="43"/>
      <c r="AY67" s="43"/>
      <c r="AZ67" s="43"/>
      <c r="BH67" s="50"/>
      <c r="BI67" s="51"/>
    </row>
    <row r="68" spans="1:61" ht="18" customHeight="1">
      <c r="A68" s="36"/>
      <c r="B68" s="404"/>
      <c r="C68" s="404"/>
      <c r="D68" s="404"/>
      <c r="E68" s="404"/>
      <c r="F68" s="288"/>
      <c r="G68" s="288"/>
      <c r="H68" s="288"/>
      <c r="I68" s="288"/>
      <c r="J68" s="288"/>
      <c r="K68" s="288"/>
      <c r="L68" s="288"/>
      <c r="M68" s="288"/>
      <c r="N68" s="288"/>
      <c r="O68" s="288"/>
      <c r="P68" s="288"/>
      <c r="Q68" s="288"/>
      <c r="R68" s="288"/>
      <c r="S68" s="288"/>
      <c r="T68" s="288"/>
      <c r="U68" s="288"/>
      <c r="V68" s="288"/>
      <c r="W68" s="288"/>
      <c r="X68" s="288"/>
      <c r="Y68" s="288"/>
      <c r="Z68" s="288"/>
      <c r="AA68" s="288"/>
      <c r="AB68" s="288"/>
      <c r="AC68" s="288"/>
      <c r="AD68" s="288"/>
      <c r="AE68" s="288"/>
      <c r="AF68" s="288"/>
      <c r="AG68" s="288"/>
      <c r="AH68" s="288"/>
      <c r="AI68" s="289"/>
      <c r="AK68" s="425"/>
      <c r="AL68" s="425"/>
      <c r="AM68" s="425"/>
      <c r="AN68" s="425"/>
      <c r="AO68" s="425"/>
      <c r="AP68" s="425"/>
      <c r="AQ68" s="67"/>
      <c r="AR68" s="43"/>
      <c r="AS68" s="43"/>
      <c r="AT68" s="43"/>
      <c r="AU68" s="43"/>
      <c r="AV68" s="43"/>
      <c r="AW68" s="43"/>
      <c r="AX68" s="43"/>
      <c r="AY68" s="43"/>
      <c r="AZ68" s="43"/>
      <c r="BH68" s="50"/>
      <c r="BI68" s="51"/>
    </row>
    <row r="69" spans="1:61" ht="18" customHeight="1">
      <c r="A69" s="36"/>
      <c r="B69" s="404"/>
      <c r="C69" s="404"/>
      <c r="D69" s="404"/>
      <c r="E69" s="404"/>
      <c r="F69" s="288"/>
      <c r="G69" s="288"/>
      <c r="H69" s="288"/>
      <c r="I69" s="288"/>
      <c r="J69" s="288"/>
      <c r="K69" s="288"/>
      <c r="L69" s="288"/>
      <c r="M69" s="288"/>
      <c r="N69" s="288"/>
      <c r="O69" s="288"/>
      <c r="P69" s="288"/>
      <c r="Q69" s="288"/>
      <c r="R69" s="288"/>
      <c r="S69" s="288"/>
      <c r="T69" s="288"/>
      <c r="U69" s="288"/>
      <c r="V69" s="288"/>
      <c r="W69" s="288"/>
      <c r="X69" s="288"/>
      <c r="Y69" s="288"/>
      <c r="Z69" s="288"/>
      <c r="AA69" s="288"/>
      <c r="AB69" s="288"/>
      <c r="AC69" s="288"/>
      <c r="AD69" s="288"/>
      <c r="AE69" s="288"/>
      <c r="AF69" s="288"/>
      <c r="AG69" s="288"/>
      <c r="AH69" s="288"/>
      <c r="AI69" s="289"/>
      <c r="AK69" s="425"/>
      <c r="AL69" s="425"/>
      <c r="AM69" s="425"/>
      <c r="AN69" s="425"/>
      <c r="AO69" s="425"/>
      <c r="AP69" s="425"/>
      <c r="AQ69" s="42"/>
      <c r="AR69" s="43"/>
      <c r="AS69" s="43"/>
      <c r="AT69" s="43"/>
      <c r="AU69" s="43"/>
      <c r="AV69" s="43"/>
      <c r="AW69" s="43"/>
      <c r="AX69" s="43"/>
      <c r="AY69" s="43"/>
      <c r="AZ69" s="43"/>
      <c r="BH69" s="50"/>
      <c r="BI69" s="51"/>
    </row>
    <row r="70" spans="1:61" ht="18" customHeight="1">
      <c r="A70" s="36"/>
      <c r="B70" s="404"/>
      <c r="C70" s="404"/>
      <c r="D70" s="404"/>
      <c r="E70" s="404"/>
      <c r="F70" s="288"/>
      <c r="G70" s="288"/>
      <c r="H70" s="288"/>
      <c r="I70" s="288"/>
      <c r="J70" s="288"/>
      <c r="K70" s="288"/>
      <c r="L70" s="288"/>
      <c r="M70" s="288"/>
      <c r="N70" s="288"/>
      <c r="O70" s="288"/>
      <c r="P70" s="288"/>
      <c r="Q70" s="288"/>
      <c r="R70" s="288"/>
      <c r="S70" s="288"/>
      <c r="T70" s="288"/>
      <c r="U70" s="288"/>
      <c r="V70" s="288"/>
      <c r="W70" s="288"/>
      <c r="X70" s="288"/>
      <c r="Y70" s="288"/>
      <c r="Z70" s="288"/>
      <c r="AA70" s="288"/>
      <c r="AB70" s="288"/>
      <c r="AC70" s="288"/>
      <c r="AD70" s="288"/>
      <c r="AE70" s="288"/>
      <c r="AF70" s="288"/>
      <c r="AG70" s="288"/>
      <c r="AH70" s="288"/>
      <c r="AI70" s="289"/>
      <c r="AK70" s="425"/>
      <c r="AL70" s="425"/>
      <c r="AM70" s="425"/>
      <c r="AN70" s="425"/>
      <c r="AO70" s="425"/>
      <c r="AP70" s="425"/>
      <c r="AQ70" s="42"/>
      <c r="AR70" s="43"/>
      <c r="AS70" s="43"/>
      <c r="AT70" s="43"/>
      <c r="AU70" s="43"/>
      <c r="AV70" s="43"/>
      <c r="AW70" s="43"/>
      <c r="AX70" s="43"/>
      <c r="AY70" s="43"/>
      <c r="AZ70" s="43"/>
      <c r="BH70" s="50"/>
      <c r="BI70" s="51"/>
    </row>
    <row r="71" spans="1:61" ht="18" customHeight="1">
      <c r="A71" s="36"/>
      <c r="B71" s="404"/>
      <c r="C71" s="404"/>
      <c r="D71" s="404"/>
      <c r="E71" s="404"/>
      <c r="F71" s="288"/>
      <c r="G71" s="288"/>
      <c r="H71" s="288"/>
      <c r="I71" s="288"/>
      <c r="J71" s="288"/>
      <c r="K71" s="288"/>
      <c r="L71" s="288"/>
      <c r="M71" s="288"/>
      <c r="N71" s="288"/>
      <c r="O71" s="288"/>
      <c r="P71" s="288"/>
      <c r="Q71" s="288"/>
      <c r="R71" s="288"/>
      <c r="S71" s="288"/>
      <c r="T71" s="288"/>
      <c r="U71" s="288"/>
      <c r="V71" s="288"/>
      <c r="W71" s="288"/>
      <c r="X71" s="288"/>
      <c r="Y71" s="288"/>
      <c r="Z71" s="288"/>
      <c r="AA71" s="288"/>
      <c r="AB71" s="288"/>
      <c r="AC71" s="288"/>
      <c r="AD71" s="288"/>
      <c r="AE71" s="288"/>
      <c r="AF71" s="288"/>
      <c r="AG71" s="288"/>
      <c r="AH71" s="288"/>
      <c r="AI71" s="289"/>
      <c r="AK71" s="425"/>
      <c r="AL71" s="425"/>
      <c r="AM71" s="425"/>
      <c r="AN71" s="425"/>
      <c r="AO71" s="425"/>
      <c r="AP71" s="425"/>
      <c r="AQ71" s="42"/>
      <c r="AR71" s="43"/>
      <c r="AS71" s="43"/>
      <c r="AT71" s="43"/>
      <c r="AU71" s="43"/>
      <c r="AV71" s="43"/>
      <c r="AW71" s="43"/>
      <c r="AX71" s="43"/>
      <c r="AY71" s="43"/>
      <c r="AZ71" s="43"/>
      <c r="BH71" s="52"/>
      <c r="BI71" s="51"/>
    </row>
    <row r="72" spans="1:61" ht="18" customHeight="1">
      <c r="A72" s="36"/>
      <c r="B72" s="404"/>
      <c r="C72" s="404"/>
      <c r="D72" s="404"/>
      <c r="E72" s="404"/>
      <c r="F72" s="288"/>
      <c r="G72" s="288"/>
      <c r="H72" s="288"/>
      <c r="I72" s="288"/>
      <c r="J72" s="288"/>
      <c r="K72" s="288"/>
      <c r="L72" s="288"/>
      <c r="M72" s="288"/>
      <c r="N72" s="288"/>
      <c r="O72" s="288"/>
      <c r="P72" s="288"/>
      <c r="Q72" s="288"/>
      <c r="R72" s="288"/>
      <c r="S72" s="288"/>
      <c r="T72" s="288"/>
      <c r="U72" s="288"/>
      <c r="V72" s="288"/>
      <c r="W72" s="288"/>
      <c r="X72" s="288"/>
      <c r="Y72" s="288"/>
      <c r="Z72" s="288"/>
      <c r="AA72" s="288"/>
      <c r="AB72" s="288"/>
      <c r="AC72" s="288"/>
      <c r="AD72" s="288"/>
      <c r="AE72" s="288"/>
      <c r="AF72" s="288"/>
      <c r="AG72" s="288"/>
      <c r="AH72" s="288"/>
      <c r="AI72" s="289"/>
      <c r="AK72" s="425"/>
      <c r="AL72" s="425"/>
      <c r="AM72" s="425"/>
      <c r="AN72" s="425"/>
      <c r="AO72" s="425"/>
      <c r="AP72" s="425"/>
      <c r="AQ72" s="42"/>
      <c r="AR72" s="43"/>
      <c r="AS72" s="43"/>
      <c r="AT72" s="43"/>
      <c r="AU72" s="43"/>
      <c r="AV72" s="43"/>
      <c r="AW72" s="43"/>
      <c r="AX72" s="43"/>
      <c r="AY72" s="43"/>
      <c r="AZ72" s="43"/>
      <c r="BH72" s="53"/>
      <c r="BI72" s="51"/>
    </row>
    <row r="73" spans="1:61" ht="18" customHeight="1">
      <c r="A73" s="36"/>
      <c r="B73" s="404"/>
      <c r="C73" s="404"/>
      <c r="D73" s="404"/>
      <c r="E73" s="404"/>
      <c r="F73" s="288"/>
      <c r="G73" s="288"/>
      <c r="H73" s="288"/>
      <c r="I73" s="288"/>
      <c r="J73" s="288"/>
      <c r="K73" s="288"/>
      <c r="L73" s="288"/>
      <c r="M73" s="288"/>
      <c r="N73" s="288"/>
      <c r="O73" s="288"/>
      <c r="P73" s="288"/>
      <c r="Q73" s="288"/>
      <c r="R73" s="288"/>
      <c r="S73" s="288"/>
      <c r="T73" s="288"/>
      <c r="U73" s="288"/>
      <c r="V73" s="288"/>
      <c r="W73" s="288"/>
      <c r="X73" s="288"/>
      <c r="Y73" s="288"/>
      <c r="Z73" s="288"/>
      <c r="AA73" s="288"/>
      <c r="AB73" s="288"/>
      <c r="AC73" s="288"/>
      <c r="AD73" s="288"/>
      <c r="AE73" s="288"/>
      <c r="AF73" s="288"/>
      <c r="AG73" s="288"/>
      <c r="AH73" s="288"/>
      <c r="AI73" s="289"/>
      <c r="AK73" s="425"/>
      <c r="AL73" s="425"/>
      <c r="AM73" s="425"/>
      <c r="AN73" s="425"/>
      <c r="AO73" s="425"/>
      <c r="AP73" s="425"/>
      <c r="AQ73" s="42"/>
      <c r="AR73" s="43"/>
      <c r="AS73" s="43"/>
      <c r="AT73" s="43"/>
      <c r="AU73" s="43"/>
      <c r="AV73" s="43"/>
      <c r="AW73" s="43"/>
      <c r="AX73" s="43"/>
      <c r="AY73" s="43"/>
      <c r="AZ73" s="43"/>
      <c r="BH73" s="54"/>
      <c r="BI73" s="51"/>
    </row>
    <row r="74" spans="1:61" ht="18" customHeight="1">
      <c r="A74" s="36"/>
      <c r="B74" s="404"/>
      <c r="C74" s="404"/>
      <c r="D74" s="404"/>
      <c r="E74" s="404"/>
      <c r="F74" s="288"/>
      <c r="G74" s="288"/>
      <c r="H74" s="288"/>
      <c r="I74" s="288"/>
      <c r="J74" s="288"/>
      <c r="K74" s="288"/>
      <c r="L74" s="288"/>
      <c r="M74" s="288"/>
      <c r="N74" s="288"/>
      <c r="O74" s="288"/>
      <c r="P74" s="288"/>
      <c r="Q74" s="288"/>
      <c r="R74" s="288"/>
      <c r="S74" s="288"/>
      <c r="T74" s="288"/>
      <c r="U74" s="288"/>
      <c r="V74" s="288"/>
      <c r="W74" s="288"/>
      <c r="X74" s="288"/>
      <c r="Y74" s="288"/>
      <c r="Z74" s="288"/>
      <c r="AA74" s="288"/>
      <c r="AB74" s="288"/>
      <c r="AC74" s="288"/>
      <c r="AD74" s="288"/>
      <c r="AE74" s="288"/>
      <c r="AF74" s="288"/>
      <c r="AG74" s="288"/>
      <c r="AH74" s="288"/>
      <c r="AI74" s="289"/>
      <c r="AK74" s="425"/>
      <c r="AL74" s="425"/>
      <c r="AM74" s="425"/>
      <c r="AN74" s="425"/>
      <c r="AO74" s="425"/>
      <c r="AP74" s="425"/>
      <c r="AQ74" s="42"/>
      <c r="AR74" s="43"/>
      <c r="AS74" s="43"/>
      <c r="AT74" s="43"/>
      <c r="AU74" s="43"/>
      <c r="AV74" s="43"/>
      <c r="AW74" s="43"/>
      <c r="AX74" s="43"/>
      <c r="AY74" s="43"/>
      <c r="AZ74" s="43"/>
      <c r="BH74" s="54"/>
      <c r="BI74" s="51"/>
    </row>
    <row r="75" spans="1:61" ht="18" customHeight="1">
      <c r="A75" s="36"/>
      <c r="B75" s="404"/>
      <c r="C75" s="404"/>
      <c r="D75" s="404"/>
      <c r="E75" s="404"/>
      <c r="F75" s="288"/>
      <c r="G75" s="288"/>
      <c r="H75" s="288"/>
      <c r="I75" s="288"/>
      <c r="J75" s="288"/>
      <c r="K75" s="288"/>
      <c r="L75" s="288"/>
      <c r="M75" s="288"/>
      <c r="N75" s="288"/>
      <c r="O75" s="288"/>
      <c r="P75" s="288"/>
      <c r="Q75" s="288"/>
      <c r="R75" s="288"/>
      <c r="S75" s="288"/>
      <c r="T75" s="288"/>
      <c r="U75" s="288"/>
      <c r="V75" s="288"/>
      <c r="W75" s="288"/>
      <c r="X75" s="288"/>
      <c r="Y75" s="288"/>
      <c r="Z75" s="288"/>
      <c r="AA75" s="288"/>
      <c r="AB75" s="288"/>
      <c r="AC75" s="288"/>
      <c r="AD75" s="288"/>
      <c r="AE75" s="288"/>
      <c r="AF75" s="288"/>
      <c r="AG75" s="288"/>
      <c r="AH75" s="288"/>
      <c r="AI75" s="289"/>
      <c r="AK75" s="425"/>
      <c r="AL75" s="425"/>
      <c r="AM75" s="425"/>
      <c r="AN75" s="425"/>
      <c r="AO75" s="425"/>
      <c r="AP75" s="425"/>
      <c r="AQ75" s="42"/>
      <c r="AR75" s="43"/>
      <c r="AS75" s="43"/>
      <c r="AT75" s="43"/>
      <c r="AU75" s="43"/>
      <c r="AV75" s="43"/>
      <c r="AW75" s="43"/>
      <c r="AX75" s="43"/>
      <c r="AY75" s="43"/>
      <c r="AZ75" s="43"/>
      <c r="BH75" s="53"/>
      <c r="BI75" s="51"/>
    </row>
    <row r="76" spans="1:61" ht="18" customHeight="1">
      <c r="A76" s="36"/>
      <c r="B76" s="404"/>
      <c r="C76" s="404"/>
      <c r="D76" s="404"/>
      <c r="E76" s="404"/>
      <c r="F76" s="288"/>
      <c r="G76" s="288"/>
      <c r="H76" s="288"/>
      <c r="I76" s="288"/>
      <c r="J76" s="288"/>
      <c r="K76" s="288"/>
      <c r="L76" s="288"/>
      <c r="M76" s="288"/>
      <c r="N76" s="288"/>
      <c r="O76" s="288"/>
      <c r="P76" s="288"/>
      <c r="Q76" s="288"/>
      <c r="R76" s="288"/>
      <c r="S76" s="288"/>
      <c r="T76" s="288"/>
      <c r="U76" s="288"/>
      <c r="V76" s="288"/>
      <c r="W76" s="288"/>
      <c r="X76" s="288"/>
      <c r="Y76" s="288"/>
      <c r="Z76" s="288"/>
      <c r="AA76" s="288"/>
      <c r="AB76" s="288"/>
      <c r="AC76" s="288"/>
      <c r="AD76" s="288"/>
      <c r="AE76" s="288"/>
      <c r="AF76" s="288"/>
      <c r="AG76" s="288"/>
      <c r="AH76" s="288"/>
      <c r="AI76" s="289"/>
      <c r="AK76" s="425"/>
      <c r="AL76" s="425"/>
      <c r="AM76" s="425"/>
      <c r="AN76" s="425"/>
      <c r="AO76" s="425"/>
      <c r="AP76" s="425"/>
      <c r="AQ76" s="42"/>
      <c r="AR76" s="43"/>
      <c r="AS76" s="43"/>
      <c r="AT76" s="43"/>
      <c r="AU76" s="43"/>
      <c r="AV76" s="43"/>
      <c r="AW76" s="43"/>
      <c r="AX76" s="43"/>
      <c r="AY76" s="43"/>
      <c r="AZ76" s="43"/>
      <c r="BH76" s="53"/>
      <c r="BI76" s="51"/>
    </row>
    <row r="77" spans="1:61" ht="18" customHeight="1">
      <c r="A77" s="36"/>
      <c r="B77" s="404"/>
      <c r="C77" s="404"/>
      <c r="D77" s="404"/>
      <c r="E77" s="404"/>
      <c r="F77" s="288"/>
      <c r="G77" s="288"/>
      <c r="H77" s="288"/>
      <c r="I77" s="288"/>
      <c r="J77" s="288"/>
      <c r="K77" s="288"/>
      <c r="L77" s="288"/>
      <c r="M77" s="288"/>
      <c r="N77" s="288"/>
      <c r="O77" s="288"/>
      <c r="P77" s="288"/>
      <c r="Q77" s="288"/>
      <c r="R77" s="288"/>
      <c r="S77" s="288"/>
      <c r="T77" s="288"/>
      <c r="U77" s="288"/>
      <c r="V77" s="288"/>
      <c r="W77" s="288"/>
      <c r="X77" s="288"/>
      <c r="Y77" s="288"/>
      <c r="Z77" s="288"/>
      <c r="AA77" s="288"/>
      <c r="AB77" s="288"/>
      <c r="AC77" s="288"/>
      <c r="AD77" s="288"/>
      <c r="AE77" s="288"/>
      <c r="AF77" s="288"/>
      <c r="AG77" s="288"/>
      <c r="AH77" s="288"/>
      <c r="AI77" s="289"/>
      <c r="AK77" s="425"/>
      <c r="AL77" s="425"/>
      <c r="AM77" s="425"/>
      <c r="AN77" s="425"/>
      <c r="AO77" s="425"/>
      <c r="AP77" s="425"/>
      <c r="AQ77" s="42"/>
      <c r="AR77" s="43"/>
      <c r="AS77" s="43"/>
      <c r="AT77" s="43"/>
      <c r="AU77" s="43"/>
      <c r="AV77" s="43"/>
      <c r="AW77" s="43"/>
      <c r="AX77" s="43"/>
      <c r="AY77" s="43"/>
      <c r="AZ77" s="43"/>
      <c r="BH77" s="54"/>
      <c r="BI77" s="51"/>
    </row>
    <row r="78" spans="1:61" ht="18" customHeight="1">
      <c r="A78" s="36"/>
      <c r="B78" s="404"/>
      <c r="C78" s="404"/>
      <c r="D78" s="404"/>
      <c r="E78" s="404"/>
      <c r="F78" s="288"/>
      <c r="G78" s="288"/>
      <c r="H78" s="288"/>
      <c r="I78" s="288"/>
      <c r="J78" s="288"/>
      <c r="K78" s="288"/>
      <c r="L78" s="288"/>
      <c r="M78" s="288"/>
      <c r="N78" s="288"/>
      <c r="O78" s="288"/>
      <c r="P78" s="288"/>
      <c r="Q78" s="288"/>
      <c r="R78" s="288"/>
      <c r="S78" s="288"/>
      <c r="T78" s="288"/>
      <c r="U78" s="288"/>
      <c r="V78" s="288"/>
      <c r="W78" s="288"/>
      <c r="X78" s="288"/>
      <c r="Y78" s="288"/>
      <c r="Z78" s="288"/>
      <c r="AA78" s="288"/>
      <c r="AB78" s="288"/>
      <c r="AC78" s="288"/>
      <c r="AD78" s="288"/>
      <c r="AE78" s="288"/>
      <c r="AF78" s="288"/>
      <c r="AG78" s="288"/>
      <c r="AH78" s="288"/>
      <c r="AI78" s="289"/>
      <c r="AK78" s="425"/>
      <c r="AL78" s="425"/>
      <c r="AM78" s="425"/>
      <c r="AN78" s="425"/>
      <c r="AO78" s="425"/>
      <c r="AP78" s="425"/>
      <c r="AQ78" s="42"/>
      <c r="AR78" s="43"/>
      <c r="AS78" s="43"/>
      <c r="AT78" s="43"/>
      <c r="AU78" s="43"/>
      <c r="AV78" s="43"/>
      <c r="AW78" s="43"/>
      <c r="AX78" s="43"/>
      <c r="AY78" s="43"/>
      <c r="AZ78" s="43"/>
      <c r="BH78" s="54"/>
      <c r="BI78" s="51"/>
    </row>
    <row r="79" spans="1:61" ht="18" customHeight="1">
      <c r="A79" s="36"/>
      <c r="B79" s="404"/>
      <c r="C79" s="404"/>
      <c r="D79" s="404"/>
      <c r="E79" s="404"/>
      <c r="F79" s="288"/>
      <c r="G79" s="288"/>
      <c r="H79" s="288"/>
      <c r="I79" s="288"/>
      <c r="J79" s="288"/>
      <c r="K79" s="288"/>
      <c r="L79" s="288"/>
      <c r="M79" s="288"/>
      <c r="N79" s="288"/>
      <c r="O79" s="288"/>
      <c r="P79" s="288"/>
      <c r="Q79" s="288"/>
      <c r="R79" s="288"/>
      <c r="S79" s="288"/>
      <c r="T79" s="288"/>
      <c r="U79" s="288"/>
      <c r="V79" s="288"/>
      <c r="W79" s="288"/>
      <c r="X79" s="288"/>
      <c r="Y79" s="288"/>
      <c r="Z79" s="288"/>
      <c r="AA79" s="288"/>
      <c r="AB79" s="288"/>
      <c r="AC79" s="288"/>
      <c r="AD79" s="288"/>
      <c r="AE79" s="288"/>
      <c r="AF79" s="288"/>
      <c r="AG79" s="288"/>
      <c r="AH79" s="288"/>
      <c r="AI79" s="289"/>
      <c r="AK79" s="425"/>
      <c r="AL79" s="425"/>
      <c r="AM79" s="425"/>
      <c r="AN79" s="425"/>
      <c r="AO79" s="425"/>
      <c r="AP79" s="425"/>
      <c r="AQ79" s="42"/>
      <c r="AR79" s="43"/>
      <c r="AS79" s="43"/>
      <c r="AT79" s="43"/>
      <c r="AU79" s="43"/>
      <c r="AV79" s="43"/>
      <c r="AW79" s="43"/>
      <c r="AX79" s="43"/>
      <c r="AY79" s="43"/>
      <c r="AZ79" s="43"/>
      <c r="BH79" s="54"/>
      <c r="BI79" s="51"/>
    </row>
    <row r="80" spans="1:61" ht="18" customHeight="1">
      <c r="A80" s="37"/>
      <c r="B80" s="466"/>
      <c r="C80" s="466"/>
      <c r="D80" s="466"/>
      <c r="E80" s="466"/>
      <c r="F80" s="467"/>
      <c r="G80" s="467"/>
      <c r="H80" s="467"/>
      <c r="I80" s="467"/>
      <c r="J80" s="467"/>
      <c r="K80" s="467"/>
      <c r="L80" s="467"/>
      <c r="M80" s="467"/>
      <c r="N80" s="467"/>
      <c r="O80" s="467"/>
      <c r="P80" s="467"/>
      <c r="Q80" s="467"/>
      <c r="R80" s="467"/>
      <c r="S80" s="467"/>
      <c r="T80" s="467"/>
      <c r="U80" s="467"/>
      <c r="V80" s="467"/>
      <c r="W80" s="467"/>
      <c r="X80" s="467"/>
      <c r="Y80" s="467"/>
      <c r="Z80" s="467"/>
      <c r="AA80" s="467"/>
      <c r="AB80" s="467"/>
      <c r="AC80" s="467"/>
      <c r="AD80" s="467"/>
      <c r="AE80" s="467"/>
      <c r="AF80" s="467"/>
      <c r="AG80" s="467"/>
      <c r="AH80" s="467"/>
      <c r="AI80" s="468"/>
      <c r="AK80" s="425"/>
      <c r="AL80" s="425"/>
      <c r="AM80" s="425"/>
      <c r="AN80" s="425"/>
      <c r="AO80" s="425"/>
      <c r="AP80" s="425"/>
      <c r="AQ80" s="42"/>
      <c r="AR80" s="43"/>
      <c r="AS80" s="43"/>
      <c r="AT80" s="43"/>
      <c r="AU80" s="43"/>
      <c r="AV80" s="43"/>
      <c r="AW80" s="43"/>
      <c r="AX80" s="43"/>
      <c r="AY80" s="43"/>
      <c r="AZ80" s="43"/>
      <c r="BH80" s="54"/>
      <c r="BI80" s="51"/>
    </row>
    <row r="81" spans="1:61" ht="18" customHeight="1">
      <c r="A81" s="406" t="s">
        <v>704</v>
      </c>
      <c r="B81" s="407"/>
      <c r="C81" s="407"/>
      <c r="D81" s="407"/>
      <c r="E81" s="407"/>
      <c r="F81" s="407"/>
      <c r="G81" s="407"/>
      <c r="H81" s="407"/>
      <c r="I81" s="407"/>
      <c r="J81" s="407"/>
      <c r="K81" s="407"/>
      <c r="L81" s="407"/>
      <c r="M81" s="407"/>
      <c r="N81" s="407"/>
      <c r="O81" s="407"/>
      <c r="P81" s="407"/>
      <c r="Q81" s="407"/>
      <c r="R81" s="407"/>
      <c r="S81" s="407"/>
      <c r="T81" s="407"/>
      <c r="U81" s="407"/>
      <c r="V81" s="407"/>
      <c r="W81" s="407"/>
      <c r="X81" s="407"/>
      <c r="Y81" s="407"/>
      <c r="Z81" s="407"/>
      <c r="AA81" s="407"/>
      <c r="AB81" s="407"/>
      <c r="AC81" s="407"/>
      <c r="AD81" s="407"/>
      <c r="AE81" s="407"/>
      <c r="AF81" s="407"/>
      <c r="AG81" s="407"/>
      <c r="AH81" s="407"/>
      <c r="AI81" s="408"/>
      <c r="AK81" s="425"/>
      <c r="AL81" s="425"/>
      <c r="AM81" s="425"/>
      <c r="AN81" s="425"/>
      <c r="AO81" s="425"/>
      <c r="AP81" s="425"/>
      <c r="AQ81" s="42"/>
      <c r="AR81" s="43"/>
      <c r="AS81" s="43"/>
      <c r="AT81" s="43"/>
      <c r="AU81" s="43"/>
      <c r="AV81" s="43"/>
      <c r="AW81" s="43"/>
      <c r="AX81" s="43"/>
      <c r="AY81" s="43"/>
      <c r="AZ81" s="43"/>
      <c r="BH81" s="53"/>
      <c r="BI81" s="51"/>
    </row>
    <row r="82" spans="1:61" ht="18" customHeight="1">
      <c r="A82" s="38"/>
      <c r="B82" s="465">
        <v>46168</v>
      </c>
      <c r="C82" s="465"/>
      <c r="D82" s="465"/>
      <c r="E82" s="465"/>
      <c r="F82" s="288" t="s">
        <v>723</v>
      </c>
      <c r="G82" s="288"/>
      <c r="H82" s="288"/>
      <c r="I82" s="288"/>
      <c r="J82" s="288"/>
      <c r="K82" s="288"/>
      <c r="L82" s="288"/>
      <c r="M82" s="288"/>
      <c r="N82" s="288"/>
      <c r="O82" s="288"/>
      <c r="P82" s="288"/>
      <c r="Q82" s="288"/>
      <c r="R82" s="288"/>
      <c r="S82" s="288"/>
      <c r="T82" s="288"/>
      <c r="U82" s="288"/>
      <c r="V82" s="288"/>
      <c r="W82" s="288"/>
      <c r="X82" s="288"/>
      <c r="Y82" s="288"/>
      <c r="Z82" s="288"/>
      <c r="AA82" s="288"/>
      <c r="AB82" s="288"/>
      <c r="AC82" s="288"/>
      <c r="AD82" s="288"/>
      <c r="AE82" s="288"/>
      <c r="AF82" s="288"/>
      <c r="AG82" s="288"/>
      <c r="AH82" s="288"/>
      <c r="AI82" s="289"/>
      <c r="AK82" s="425"/>
      <c r="AL82" s="425"/>
      <c r="AM82" s="425"/>
      <c r="AN82" s="425"/>
      <c r="AO82" s="425"/>
      <c r="AP82" s="425"/>
      <c r="AQ82" s="42"/>
      <c r="AR82" s="43"/>
      <c r="AS82" s="43"/>
      <c r="AT82" s="43"/>
      <c r="AU82" s="43"/>
      <c r="AV82" s="43"/>
      <c r="AW82" s="43"/>
      <c r="AX82" s="43"/>
      <c r="AY82" s="43"/>
      <c r="AZ82" s="43"/>
      <c r="BH82" s="53"/>
      <c r="BI82" s="51"/>
    </row>
    <row r="83" spans="1:61" ht="18" customHeight="1">
      <c r="A83" s="38"/>
      <c r="B83" s="465"/>
      <c r="C83" s="465"/>
      <c r="D83" s="465"/>
      <c r="E83" s="465"/>
      <c r="F83" s="288"/>
      <c r="G83" s="288"/>
      <c r="H83" s="288"/>
      <c r="I83" s="288"/>
      <c r="J83" s="288"/>
      <c r="K83" s="288"/>
      <c r="L83" s="288"/>
      <c r="M83" s="288"/>
      <c r="N83" s="288"/>
      <c r="O83" s="288"/>
      <c r="P83" s="288"/>
      <c r="Q83" s="288"/>
      <c r="R83" s="288"/>
      <c r="S83" s="288"/>
      <c r="T83" s="288"/>
      <c r="U83" s="288"/>
      <c r="V83" s="288"/>
      <c r="W83" s="288"/>
      <c r="X83" s="288"/>
      <c r="Y83" s="288"/>
      <c r="Z83" s="288"/>
      <c r="AA83" s="288"/>
      <c r="AB83" s="288"/>
      <c r="AC83" s="288"/>
      <c r="AD83" s="288"/>
      <c r="AE83" s="288"/>
      <c r="AF83" s="288"/>
      <c r="AG83" s="288"/>
      <c r="AH83" s="288"/>
      <c r="AI83" s="289"/>
      <c r="AK83" s="425"/>
      <c r="AL83" s="425"/>
      <c r="AM83" s="425"/>
      <c r="AN83" s="425"/>
      <c r="AO83" s="425"/>
      <c r="AP83" s="425"/>
      <c r="AQ83" s="42"/>
      <c r="AR83" s="43"/>
      <c r="AS83" s="43"/>
      <c r="AT83" s="43"/>
      <c r="AU83" s="43"/>
      <c r="AV83" s="43"/>
      <c r="AW83" s="43"/>
      <c r="AX83" s="43"/>
      <c r="AY83" s="43"/>
      <c r="AZ83" s="43"/>
      <c r="BH83" s="53"/>
      <c r="BI83" s="51"/>
    </row>
    <row r="84" spans="1:61" ht="18" customHeight="1">
      <c r="A84" s="38"/>
      <c r="B84" s="465"/>
      <c r="C84" s="465"/>
      <c r="D84" s="465"/>
      <c r="E84" s="465"/>
      <c r="F84" s="288"/>
      <c r="G84" s="288"/>
      <c r="H84" s="288"/>
      <c r="I84" s="288"/>
      <c r="J84" s="288"/>
      <c r="K84" s="288"/>
      <c r="L84" s="288"/>
      <c r="M84" s="288"/>
      <c r="N84" s="288"/>
      <c r="O84" s="288"/>
      <c r="P84" s="288"/>
      <c r="Q84" s="288"/>
      <c r="R84" s="288"/>
      <c r="S84" s="288"/>
      <c r="T84" s="288"/>
      <c r="U84" s="288"/>
      <c r="V84" s="288"/>
      <c r="W84" s="288"/>
      <c r="X84" s="288"/>
      <c r="Y84" s="288"/>
      <c r="Z84" s="288"/>
      <c r="AA84" s="288"/>
      <c r="AB84" s="288"/>
      <c r="AC84" s="288"/>
      <c r="AD84" s="288"/>
      <c r="AE84" s="288"/>
      <c r="AF84" s="288"/>
      <c r="AG84" s="288"/>
      <c r="AH84" s="288"/>
      <c r="AI84" s="289"/>
      <c r="AK84" s="425"/>
      <c r="AL84" s="425"/>
      <c r="AM84" s="425"/>
      <c r="AN84" s="425"/>
      <c r="AO84" s="425"/>
      <c r="AP84" s="425"/>
      <c r="AQ84" s="42"/>
      <c r="AR84" s="43"/>
      <c r="AS84" s="43"/>
      <c r="AT84" s="43"/>
      <c r="AU84" s="43"/>
      <c r="AV84" s="43"/>
      <c r="AW84" s="43"/>
      <c r="AX84" s="43"/>
      <c r="AY84" s="43"/>
      <c r="AZ84" s="43"/>
    </row>
    <row r="85" spans="1:61" ht="18" customHeight="1">
      <c r="A85" s="38"/>
      <c r="B85" s="465"/>
      <c r="C85" s="465"/>
      <c r="D85" s="465"/>
      <c r="E85" s="465"/>
      <c r="F85" s="288"/>
      <c r="G85" s="288"/>
      <c r="H85" s="288"/>
      <c r="I85" s="288"/>
      <c r="J85" s="288"/>
      <c r="K85" s="288"/>
      <c r="L85" s="288"/>
      <c r="M85" s="288"/>
      <c r="N85" s="288"/>
      <c r="O85" s="288"/>
      <c r="P85" s="288"/>
      <c r="Q85" s="288"/>
      <c r="R85" s="288"/>
      <c r="S85" s="288"/>
      <c r="T85" s="288"/>
      <c r="U85" s="288"/>
      <c r="V85" s="288"/>
      <c r="W85" s="288"/>
      <c r="X85" s="288"/>
      <c r="Y85" s="288"/>
      <c r="Z85" s="288"/>
      <c r="AA85" s="288"/>
      <c r="AB85" s="288"/>
      <c r="AC85" s="288"/>
      <c r="AD85" s="288"/>
      <c r="AE85" s="288"/>
      <c r="AF85" s="288"/>
      <c r="AG85" s="288"/>
      <c r="AH85" s="288"/>
      <c r="AI85" s="289"/>
      <c r="AK85" s="425"/>
      <c r="AL85" s="425"/>
      <c r="AM85" s="425"/>
      <c r="AN85" s="425"/>
      <c r="AO85" s="425"/>
      <c r="AP85" s="425"/>
      <c r="AQ85" s="42"/>
      <c r="AR85" s="43"/>
      <c r="AS85" s="43"/>
      <c r="AT85" s="43"/>
      <c r="AU85" s="43"/>
      <c r="AV85" s="43"/>
      <c r="AW85" s="43"/>
      <c r="AX85" s="43"/>
      <c r="AY85" s="43"/>
      <c r="AZ85" s="43"/>
    </row>
    <row r="86" spans="1:61" ht="18" customHeight="1" thickBot="1">
      <c r="A86" s="41"/>
      <c r="B86" s="540"/>
      <c r="C86" s="540"/>
      <c r="D86" s="540"/>
      <c r="E86" s="540"/>
      <c r="F86" s="541"/>
      <c r="G86" s="541"/>
      <c r="H86" s="541"/>
      <c r="I86" s="541"/>
      <c r="J86" s="541"/>
      <c r="K86" s="541"/>
      <c r="L86" s="541"/>
      <c r="M86" s="541"/>
      <c r="N86" s="541"/>
      <c r="O86" s="541"/>
      <c r="P86" s="541"/>
      <c r="Q86" s="541"/>
      <c r="R86" s="541"/>
      <c r="S86" s="541"/>
      <c r="T86" s="541"/>
      <c r="U86" s="541"/>
      <c r="V86" s="541"/>
      <c r="W86" s="541"/>
      <c r="X86" s="541"/>
      <c r="Y86" s="541"/>
      <c r="Z86" s="541"/>
      <c r="AA86" s="541"/>
      <c r="AB86" s="541"/>
      <c r="AC86" s="541"/>
      <c r="AD86" s="541"/>
      <c r="AE86" s="541"/>
      <c r="AF86" s="541"/>
      <c r="AG86" s="541"/>
      <c r="AH86" s="541"/>
      <c r="AI86" s="542"/>
      <c r="AK86" s="425"/>
      <c r="AL86" s="425"/>
      <c r="AM86" s="425"/>
      <c r="AN86" s="425"/>
      <c r="AO86" s="425"/>
      <c r="AP86" s="425"/>
      <c r="AQ86" s="42"/>
      <c r="AR86" s="43"/>
      <c r="AS86" s="43"/>
      <c r="AT86" s="43"/>
      <c r="AU86" s="43"/>
      <c r="AV86" s="43"/>
      <c r="AW86" s="43"/>
      <c r="AX86" s="43"/>
      <c r="AY86" s="43"/>
      <c r="AZ86" s="43"/>
    </row>
    <row r="87" spans="1:61" ht="14.1" customHeight="1">
      <c r="AK87" s="438"/>
      <c r="AL87" s="438"/>
      <c r="AM87" s="438"/>
      <c r="AN87" s="438"/>
      <c r="AO87" s="438"/>
      <c r="AP87" s="438"/>
      <c r="AQ87" s="119"/>
    </row>
    <row r="88" spans="1:61" ht="14.1" customHeight="1">
      <c r="AK88" s="437"/>
      <c r="AL88" s="437"/>
      <c r="AM88" s="437"/>
      <c r="AN88" s="437"/>
      <c r="AO88" s="437"/>
      <c r="AP88" s="437"/>
      <c r="AQ88" s="120"/>
    </row>
    <row r="89" spans="1:61" ht="14.1" customHeight="1">
      <c r="AK89" s="437"/>
      <c r="AL89" s="437"/>
      <c r="AM89" s="437"/>
      <c r="AN89" s="437"/>
      <c r="AO89" s="437"/>
      <c r="AP89" s="437"/>
      <c r="AQ89" s="120"/>
    </row>
    <row r="90" spans="1:61" ht="14.1" customHeight="1"/>
    <row r="91" spans="1:61" ht="14.1" customHeight="1"/>
    <row r="92" spans="1:61" ht="14.1" customHeight="1"/>
    <row r="93" spans="1:61" ht="14.1" customHeight="1"/>
    <row r="94" spans="1:61" ht="14.1" customHeight="1"/>
    <row r="95" spans="1:61" ht="14.1" customHeight="1"/>
    <row r="96" spans="1:61" ht="14.1" customHeight="1"/>
    <row r="97" ht="14.1" customHeight="1"/>
    <row r="98" ht="14.1" customHeight="1"/>
    <row r="99" ht="14.1" customHeight="1"/>
    <row r="100" ht="14.1" customHeight="1"/>
    <row r="101" ht="14.1" customHeight="1"/>
    <row r="102" ht="14.1" customHeight="1"/>
    <row r="103" ht="14.1" customHeight="1"/>
    <row r="104" ht="14.1" customHeight="1"/>
    <row r="105" ht="14.1" customHeight="1"/>
    <row r="106" ht="14.1" customHeight="1"/>
    <row r="107" ht="14.1" customHeight="1"/>
    <row r="108" ht="14.1" customHeight="1"/>
    <row r="109" ht="14.1" customHeight="1"/>
    <row r="110" ht="14.1" customHeight="1"/>
    <row r="111" ht="14.1" customHeight="1"/>
    <row r="112" ht="14.1" customHeight="1"/>
    <row r="113" ht="14.1" customHeight="1"/>
    <row r="114" ht="14.1" customHeight="1"/>
    <row r="115" ht="14.1" customHeight="1"/>
    <row r="116" ht="14.1" customHeight="1"/>
    <row r="117" ht="14.1" customHeight="1"/>
    <row r="118" ht="14.1" customHeight="1"/>
    <row r="119" ht="14.1" customHeight="1"/>
    <row r="120" ht="14.1" customHeight="1"/>
    <row r="121" ht="14.1" customHeight="1"/>
    <row r="122" ht="14.1" customHeight="1"/>
    <row r="123" ht="14.1" customHeight="1"/>
    <row r="124" ht="14.1" customHeight="1"/>
    <row r="125" ht="14.1" customHeight="1"/>
    <row r="126" ht="14.1" customHeight="1"/>
    <row r="127" ht="14.1" customHeight="1"/>
    <row r="128" ht="14.1" customHeight="1"/>
    <row r="129" ht="14.1" customHeight="1"/>
    <row r="130" ht="14.1" customHeight="1"/>
    <row r="131" ht="14.1" customHeight="1"/>
    <row r="132" ht="14.1" customHeight="1"/>
    <row r="133" ht="14.1" customHeight="1"/>
    <row r="134" ht="14.1" customHeight="1"/>
    <row r="135" ht="14.1" customHeight="1"/>
    <row r="136" ht="14.1" customHeight="1"/>
    <row r="137" ht="14.1" customHeight="1"/>
    <row r="138" ht="14.1" customHeight="1"/>
    <row r="139" ht="14.1" customHeight="1"/>
    <row r="140" ht="14.1" customHeight="1"/>
    <row r="141" ht="14.1" customHeight="1"/>
    <row r="142" ht="14.1" customHeight="1"/>
    <row r="143" ht="14.1" customHeight="1"/>
    <row r="144" ht="14.1" customHeight="1"/>
    <row r="145" ht="14.1" customHeight="1"/>
    <row r="146" ht="14.1" customHeight="1"/>
    <row r="147" ht="14.1" customHeight="1"/>
    <row r="148" ht="14.1" customHeight="1"/>
    <row r="149" ht="14.1" customHeight="1"/>
    <row r="150" ht="14.1" customHeight="1"/>
    <row r="151" ht="14.1" customHeight="1"/>
    <row r="152" ht="14.1" customHeight="1"/>
    <row r="153" ht="14.1" customHeight="1"/>
    <row r="154" ht="14.1" customHeight="1"/>
    <row r="155" ht="14.1" customHeight="1"/>
    <row r="156" ht="14.1" customHeight="1"/>
    <row r="157" ht="14.1" customHeight="1"/>
    <row r="158" ht="14.1" customHeight="1"/>
    <row r="159" ht="14.1" customHeight="1"/>
    <row r="160" ht="14.1" customHeight="1"/>
    <row r="161" ht="14.1" customHeight="1"/>
    <row r="162" ht="14.1" customHeight="1"/>
    <row r="163" ht="14.1" customHeight="1"/>
    <row r="164" ht="14.1" customHeight="1"/>
    <row r="165" ht="14.1" customHeight="1"/>
    <row r="166" ht="14.1" customHeight="1"/>
    <row r="167" ht="14.1" customHeight="1"/>
    <row r="168" ht="14.1" customHeight="1"/>
    <row r="169" ht="14.1" customHeight="1"/>
    <row r="170" ht="14.1" customHeight="1"/>
    <row r="171" ht="14.1" customHeight="1"/>
    <row r="172" ht="14.1" customHeight="1"/>
    <row r="173" ht="14.1" customHeight="1"/>
    <row r="174" ht="14.1" customHeight="1"/>
    <row r="175" ht="14.1" customHeight="1"/>
    <row r="176" ht="14.1" customHeight="1"/>
    <row r="177" ht="14.1" customHeight="1"/>
    <row r="178" ht="14.1" customHeight="1"/>
    <row r="179" ht="14.1" customHeight="1"/>
    <row r="180" ht="14.1" customHeight="1"/>
    <row r="181" ht="14.1" customHeight="1"/>
    <row r="182" ht="14.1" customHeight="1"/>
    <row r="183" ht="14.1" customHeight="1"/>
    <row r="184" ht="14.1" customHeight="1"/>
    <row r="185" ht="14.1" customHeight="1"/>
    <row r="186" ht="14.1" customHeight="1"/>
    <row r="187" ht="14.1" customHeight="1"/>
    <row r="188" ht="14.1" customHeight="1"/>
    <row r="189" ht="14.1" customHeight="1"/>
    <row r="190" ht="14.1" customHeight="1"/>
    <row r="191" ht="14.1" customHeight="1"/>
    <row r="192" ht="14.1" customHeight="1"/>
    <row r="193" ht="14.1" customHeight="1"/>
    <row r="194" ht="14.1" customHeight="1"/>
    <row r="195" ht="14.1" customHeight="1"/>
    <row r="196" ht="14.1" customHeight="1"/>
    <row r="197" ht="14.1" customHeight="1"/>
    <row r="198" ht="14.1" customHeight="1"/>
    <row r="199" ht="14.1" customHeight="1"/>
    <row r="200" ht="14.1" customHeight="1"/>
    <row r="201" ht="14.1" customHeight="1"/>
    <row r="202" ht="14.1" customHeight="1"/>
    <row r="203" ht="14.1" customHeight="1"/>
    <row r="204" ht="14.1" customHeight="1"/>
    <row r="205" ht="14.1" customHeight="1"/>
    <row r="206" ht="14.1" customHeight="1"/>
    <row r="207" ht="14.1" customHeight="1"/>
    <row r="208" ht="14.1" customHeight="1"/>
    <row r="209" ht="14.1" customHeight="1"/>
    <row r="210" ht="14.1" customHeight="1"/>
    <row r="211" ht="14.1" customHeight="1"/>
    <row r="212" ht="14.1" customHeight="1"/>
    <row r="213" ht="14.1" customHeight="1"/>
    <row r="214" ht="14.1" customHeight="1"/>
    <row r="215" ht="14.1" customHeight="1"/>
    <row r="216" ht="14.1" customHeight="1"/>
    <row r="217" ht="14.1" customHeight="1"/>
    <row r="218" ht="14.1" customHeight="1"/>
    <row r="219" ht="14.1" customHeight="1"/>
    <row r="220" ht="14.1" customHeight="1"/>
    <row r="221" ht="14.1" customHeight="1"/>
    <row r="222" ht="14.1" customHeight="1"/>
    <row r="223" ht="14.1" customHeight="1"/>
    <row r="224" ht="14.1" customHeight="1"/>
    <row r="225" ht="14.1" customHeight="1"/>
    <row r="226" ht="14.1" customHeight="1"/>
    <row r="227" ht="14.1" customHeight="1"/>
    <row r="228" ht="14.1" customHeight="1"/>
    <row r="229" ht="14.1" customHeight="1"/>
    <row r="230" ht="14.1" customHeight="1"/>
    <row r="231" ht="14.1" customHeight="1"/>
    <row r="232" ht="14.1" customHeight="1"/>
    <row r="233" ht="14.1" customHeight="1"/>
    <row r="234" ht="14.1" customHeight="1"/>
    <row r="235" ht="14.1" customHeight="1"/>
    <row r="236" ht="14.1" customHeight="1"/>
    <row r="237" ht="14.1" customHeight="1"/>
    <row r="238" ht="14.1" customHeight="1"/>
    <row r="239" ht="14.1" customHeight="1"/>
    <row r="240" ht="14.1" customHeight="1"/>
    <row r="241" ht="14.1" customHeight="1"/>
    <row r="242" ht="14.1" customHeight="1"/>
    <row r="243" ht="14.1" customHeight="1"/>
    <row r="244" ht="14.1" customHeight="1"/>
    <row r="245" ht="14.1" customHeight="1"/>
    <row r="246" ht="14.1" customHeight="1"/>
    <row r="247" ht="14.1" customHeight="1"/>
    <row r="248" ht="14.1" customHeight="1"/>
    <row r="249" ht="14.1" customHeight="1"/>
    <row r="250" ht="14.1" customHeight="1"/>
    <row r="251" ht="14.1" customHeight="1"/>
    <row r="252" ht="14.1" customHeight="1"/>
    <row r="253" ht="14.1" customHeight="1"/>
    <row r="254" ht="14.1" customHeight="1"/>
    <row r="255" ht="14.1" customHeight="1"/>
    <row r="256" ht="14.1" customHeight="1"/>
    <row r="257" ht="14.1" customHeight="1"/>
    <row r="258" ht="14.1" customHeight="1"/>
    <row r="259" ht="14.1" customHeight="1"/>
    <row r="260" ht="14.1" customHeight="1"/>
    <row r="261" ht="14.1" customHeight="1"/>
    <row r="262" ht="14.1" customHeight="1"/>
    <row r="263" ht="14.1" customHeight="1"/>
    <row r="264" ht="14.1" customHeight="1"/>
    <row r="265" ht="14.1" customHeight="1"/>
    <row r="266" ht="14.1" customHeight="1"/>
  </sheetData>
  <sheetProtection algorithmName="SHA-512" hashValue="0loLJCJhL4ad+e9W1BFBlntzNt2hf75qC+V2eugpQkoXMOcFlTwiL5DSpVRXAf1cyQ/kgBnOXO/4cSPzCUKn4A==" saltValue="4etb9yyOEqZ9UduJqdtb6g==" spinCount="100000" sheet="1" autoFilter="0"/>
  <mergeCells count="381">
    <mergeCell ref="A1:S3"/>
    <mergeCell ref="T1:Z3"/>
    <mergeCell ref="AD1:AI1"/>
    <mergeCell ref="AD2:AF4"/>
    <mergeCell ref="AG2:AI4"/>
    <mergeCell ref="A4:S5"/>
    <mergeCell ref="AK7:AP8"/>
    <mergeCell ref="AQ7:AQ8"/>
    <mergeCell ref="V8:X8"/>
    <mergeCell ref="A9:AI9"/>
    <mergeCell ref="AK9:AP9"/>
    <mergeCell ref="A10:H10"/>
    <mergeCell ref="I10:J10"/>
    <mergeCell ref="K10:L10"/>
    <mergeCell ref="M10:T10"/>
    <mergeCell ref="U10:V10"/>
    <mergeCell ref="O7:P8"/>
    <mergeCell ref="Q7:R8"/>
    <mergeCell ref="S7:T8"/>
    <mergeCell ref="V7:X7"/>
    <mergeCell ref="Y7:AA8"/>
    <mergeCell ref="AB7:AI8"/>
    <mergeCell ref="A7:E8"/>
    <mergeCell ref="F7:F8"/>
    <mergeCell ref="G7:I8"/>
    <mergeCell ref="J7:J8"/>
    <mergeCell ref="K7:M8"/>
    <mergeCell ref="N7:N8"/>
    <mergeCell ref="W10:X10"/>
    <mergeCell ref="Y10:AF10"/>
    <mergeCell ref="AG10:AH10"/>
    <mergeCell ref="AK10:AP10"/>
    <mergeCell ref="A11:H11"/>
    <mergeCell ref="I11:J11"/>
    <mergeCell ref="K11:L11"/>
    <mergeCell ref="M11:T11"/>
    <mergeCell ref="U11:V11"/>
    <mergeCell ref="W11:X11"/>
    <mergeCell ref="Y11:AF11"/>
    <mergeCell ref="AG11:AH11"/>
    <mergeCell ref="AK11:AP11"/>
    <mergeCell ref="A12:H12"/>
    <mergeCell ref="I12:J12"/>
    <mergeCell ref="K12:L12"/>
    <mergeCell ref="M12:T12"/>
    <mergeCell ref="U12:V12"/>
    <mergeCell ref="W12:X12"/>
    <mergeCell ref="Y12:AF12"/>
    <mergeCell ref="AG12:AH12"/>
    <mergeCell ref="AK12:AP12"/>
    <mergeCell ref="A13:H13"/>
    <mergeCell ref="I13:J13"/>
    <mergeCell ref="K13:L13"/>
    <mergeCell ref="M13:T13"/>
    <mergeCell ref="U13:V13"/>
    <mergeCell ref="W13:X13"/>
    <mergeCell ref="Y13:AF13"/>
    <mergeCell ref="AG13:AH13"/>
    <mergeCell ref="AK13:AP13"/>
    <mergeCell ref="A14:AI14"/>
    <mergeCell ref="AK14:AP14"/>
    <mergeCell ref="B15:I15"/>
    <mergeCell ref="J15:L15"/>
    <mergeCell ref="M15:N15"/>
    <mergeCell ref="O15:V15"/>
    <mergeCell ref="W15:Y15"/>
    <mergeCell ref="Z15:AA15"/>
    <mergeCell ref="AB15:AG15"/>
    <mergeCell ref="A18:E18"/>
    <mergeCell ref="F18:AI18"/>
    <mergeCell ref="AK18:AP18"/>
    <mergeCell ref="B19:E19"/>
    <mergeCell ref="F19:AI19"/>
    <mergeCell ref="AK19:AP19"/>
    <mergeCell ref="AH15:AI15"/>
    <mergeCell ref="AK15:AP15"/>
    <mergeCell ref="A16:AI16"/>
    <mergeCell ref="AK16:AP16"/>
    <mergeCell ref="A17:E17"/>
    <mergeCell ref="F17:AI17"/>
    <mergeCell ref="AK17:AP17"/>
    <mergeCell ref="B20:E20"/>
    <mergeCell ref="F20:AI20"/>
    <mergeCell ref="AK20:AP20"/>
    <mergeCell ref="AR20:AR23"/>
    <mergeCell ref="B21:E21"/>
    <mergeCell ref="F21:AI21"/>
    <mergeCell ref="AK21:AP21"/>
    <mergeCell ref="B22:E22"/>
    <mergeCell ref="F22:AI22"/>
    <mergeCell ref="AK22:AP22"/>
    <mergeCell ref="BA23:BB23"/>
    <mergeCell ref="B24:E24"/>
    <mergeCell ref="F24:AI24"/>
    <mergeCell ref="AK24:AP24"/>
    <mergeCell ref="AY24:AZ24"/>
    <mergeCell ref="BA24:BB24"/>
    <mergeCell ref="AS22:AT22"/>
    <mergeCell ref="AU22:AV22"/>
    <mergeCell ref="AY22:AZ22"/>
    <mergeCell ref="BA22:BB22"/>
    <mergeCell ref="B23:E23"/>
    <mergeCell ref="F23:AI23"/>
    <mergeCell ref="AK23:AP23"/>
    <mergeCell ref="AS23:AT23"/>
    <mergeCell ref="AU23:AV23"/>
    <mergeCell ref="AY23:AZ23"/>
    <mergeCell ref="B27:E27"/>
    <mergeCell ref="F27:AI27"/>
    <mergeCell ref="AK27:AP27"/>
    <mergeCell ref="AS27:AT27"/>
    <mergeCell ref="AU27:AW27"/>
    <mergeCell ref="AY27:BB27"/>
    <mergeCell ref="B25:E25"/>
    <mergeCell ref="F25:AI25"/>
    <mergeCell ref="AK25:AP25"/>
    <mergeCell ref="AY25:AZ25"/>
    <mergeCell ref="BA25:BB25"/>
    <mergeCell ref="B26:E26"/>
    <mergeCell ref="F26:AI26"/>
    <mergeCell ref="AK26:AP26"/>
    <mergeCell ref="AS26:AW26"/>
    <mergeCell ref="BA28:BB28"/>
    <mergeCell ref="B29:E29"/>
    <mergeCell ref="F29:AI29"/>
    <mergeCell ref="AK29:AP29"/>
    <mergeCell ref="AS29:AT29"/>
    <mergeCell ref="AU29:AW29"/>
    <mergeCell ref="AY29:AZ29"/>
    <mergeCell ref="BA29:BB29"/>
    <mergeCell ref="B28:E28"/>
    <mergeCell ref="F28:AI28"/>
    <mergeCell ref="AK28:AP28"/>
    <mergeCell ref="AS28:AT28"/>
    <mergeCell ref="AU28:AW28"/>
    <mergeCell ref="AY28:AZ28"/>
    <mergeCell ref="A32:AI32"/>
    <mergeCell ref="AK32:AP32"/>
    <mergeCell ref="AS32:AT32"/>
    <mergeCell ref="AU32:AW32"/>
    <mergeCell ref="AY32:AZ32"/>
    <mergeCell ref="BA32:BB32"/>
    <mergeCell ref="BA30:BB30"/>
    <mergeCell ref="B31:E31"/>
    <mergeCell ref="F31:AI31"/>
    <mergeCell ref="AK31:AP31"/>
    <mergeCell ref="AS31:AT31"/>
    <mergeCell ref="AU31:AW31"/>
    <mergeCell ref="AY31:AZ31"/>
    <mergeCell ref="BA31:BB31"/>
    <mergeCell ref="B30:E30"/>
    <mergeCell ref="F30:AI30"/>
    <mergeCell ref="AK30:AP30"/>
    <mergeCell ref="AS30:AT30"/>
    <mergeCell ref="AU30:AW30"/>
    <mergeCell ref="AY30:AZ30"/>
    <mergeCell ref="BA33:BB33"/>
    <mergeCell ref="B34:E34"/>
    <mergeCell ref="F34:AI34"/>
    <mergeCell ref="AK34:AP34"/>
    <mergeCell ref="AS34:AT34"/>
    <mergeCell ref="AU34:AW34"/>
    <mergeCell ref="AY34:AZ34"/>
    <mergeCell ref="BA34:BB34"/>
    <mergeCell ref="B33:E33"/>
    <mergeCell ref="F33:AI33"/>
    <mergeCell ref="AK33:AP33"/>
    <mergeCell ref="AS33:AT33"/>
    <mergeCell ref="AU33:AW33"/>
    <mergeCell ref="AY33:AZ33"/>
    <mergeCell ref="AY35:AZ35"/>
    <mergeCell ref="BA35:BB35"/>
    <mergeCell ref="A36:E36"/>
    <mergeCell ref="F36:K36"/>
    <mergeCell ref="L36:O36"/>
    <mergeCell ref="P36:R36"/>
    <mergeCell ref="T36:V36"/>
    <mergeCell ref="W36:AB36"/>
    <mergeCell ref="AC36:AI36"/>
    <mergeCell ref="B35:E35"/>
    <mergeCell ref="F35:V35"/>
    <mergeCell ref="W35:AB35"/>
    <mergeCell ref="AC35:AI35"/>
    <mergeCell ref="AK35:AP35"/>
    <mergeCell ref="AS35:AT35"/>
    <mergeCell ref="AK36:AP36"/>
    <mergeCell ref="AS36:AT36"/>
    <mergeCell ref="AU36:AW36"/>
    <mergeCell ref="AU35:AW35"/>
    <mergeCell ref="A39:AI39"/>
    <mergeCell ref="AK39:AP39"/>
    <mergeCell ref="AS39:AT39"/>
    <mergeCell ref="AV39:AW39"/>
    <mergeCell ref="A38:E38"/>
    <mergeCell ref="F38:K38"/>
    <mergeCell ref="L38:O38"/>
    <mergeCell ref="P38:V38"/>
    <mergeCell ref="W38:AB38"/>
    <mergeCell ref="AC38:AI38"/>
    <mergeCell ref="AD40:AI40"/>
    <mergeCell ref="A37:E37"/>
    <mergeCell ref="F37:AI37"/>
    <mergeCell ref="AK40:AP40"/>
    <mergeCell ref="AS40:AT40"/>
    <mergeCell ref="AV40:AW40"/>
    <mergeCell ref="A41:D41"/>
    <mergeCell ref="E41:G41"/>
    <mergeCell ref="I41:K41"/>
    <mergeCell ref="L41:R41"/>
    <mergeCell ref="S41:V41"/>
    <mergeCell ref="W41:Y41"/>
    <mergeCell ref="AA41:AC41"/>
    <mergeCell ref="AD41:AI41"/>
    <mergeCell ref="AK41:AP41"/>
    <mergeCell ref="A40:D40"/>
    <mergeCell ref="E40:K40"/>
    <mergeCell ref="L40:R40"/>
    <mergeCell ref="S40:V40"/>
    <mergeCell ref="W40:AC40"/>
    <mergeCell ref="AK37:AP37"/>
    <mergeCell ref="AS37:AT37"/>
    <mergeCell ref="AU37:AW37"/>
    <mergeCell ref="AK38:AP38"/>
    <mergeCell ref="A42:D42"/>
    <mergeCell ref="E42:G42"/>
    <mergeCell ref="I42:K42"/>
    <mergeCell ref="L42:R42"/>
    <mergeCell ref="S42:V42"/>
    <mergeCell ref="W42:Y42"/>
    <mergeCell ref="AA42:AC42"/>
    <mergeCell ref="AK42:AP42"/>
    <mergeCell ref="AS42:AW42"/>
    <mergeCell ref="A43:D43"/>
    <mergeCell ref="E43:G43"/>
    <mergeCell ref="I43:K43"/>
    <mergeCell ref="L43:R43"/>
    <mergeCell ref="S43:V43"/>
    <mergeCell ref="W43:Y43"/>
    <mergeCell ref="AA43:AC43"/>
    <mergeCell ref="A44:D44"/>
    <mergeCell ref="E44:G44"/>
    <mergeCell ref="I44:K44"/>
    <mergeCell ref="L44:R44"/>
    <mergeCell ref="S44:V44"/>
    <mergeCell ref="W44:Y44"/>
    <mergeCell ref="AA44:AC44"/>
    <mergeCell ref="AD44:AI44"/>
    <mergeCell ref="AD42:AI42"/>
    <mergeCell ref="AK44:AP44"/>
    <mergeCell ref="R45:U45"/>
    <mergeCell ref="W45:X45"/>
    <mergeCell ref="Z45:AA45"/>
    <mergeCell ref="AC45:AD45"/>
    <mergeCell ref="AE45:AF45"/>
    <mergeCell ref="AK45:AP45"/>
    <mergeCell ref="AD43:AI43"/>
    <mergeCell ref="AK43:AP43"/>
    <mergeCell ref="B49:E49"/>
    <mergeCell ref="F49:AI49"/>
    <mergeCell ref="AK49:AP49"/>
    <mergeCell ref="B50:E50"/>
    <mergeCell ref="F50:AI50"/>
    <mergeCell ref="AK50:AP50"/>
    <mergeCell ref="A46:AI46"/>
    <mergeCell ref="AK46:AP46"/>
    <mergeCell ref="B47:E47"/>
    <mergeCell ref="F47:AI47"/>
    <mergeCell ref="AK47:AP47"/>
    <mergeCell ref="B48:E48"/>
    <mergeCell ref="F48:AI48"/>
    <mergeCell ref="AK48:AP48"/>
    <mergeCell ref="B53:E53"/>
    <mergeCell ref="F53:AI53"/>
    <mergeCell ref="AK53:AP53"/>
    <mergeCell ref="B54:E54"/>
    <mergeCell ref="F54:AI54"/>
    <mergeCell ref="AK54:AP54"/>
    <mergeCell ref="B51:E51"/>
    <mergeCell ref="F51:AI51"/>
    <mergeCell ref="AK51:AP51"/>
    <mergeCell ref="B52:E52"/>
    <mergeCell ref="F52:AI52"/>
    <mergeCell ref="AK52:AP52"/>
    <mergeCell ref="B57:E57"/>
    <mergeCell ref="F57:AI57"/>
    <mergeCell ref="AK57:AP57"/>
    <mergeCell ref="B58:E58"/>
    <mergeCell ref="F58:AI58"/>
    <mergeCell ref="AK58:AP58"/>
    <mergeCell ref="B55:E55"/>
    <mergeCell ref="F55:AI55"/>
    <mergeCell ref="AK55:AP55"/>
    <mergeCell ref="B56:E56"/>
    <mergeCell ref="F56:AI56"/>
    <mergeCell ref="AK56:AP56"/>
    <mergeCell ref="B61:E61"/>
    <mergeCell ref="F61:AI61"/>
    <mergeCell ref="AK61:AP61"/>
    <mergeCell ref="B62:E62"/>
    <mergeCell ref="F62:AI62"/>
    <mergeCell ref="AK62:AP62"/>
    <mergeCell ref="B59:E59"/>
    <mergeCell ref="F59:AI59"/>
    <mergeCell ref="AK59:AP59"/>
    <mergeCell ref="B60:E60"/>
    <mergeCell ref="F60:AI60"/>
    <mergeCell ref="AK60:AP60"/>
    <mergeCell ref="B65:E65"/>
    <mergeCell ref="F65:AI65"/>
    <mergeCell ref="AK65:AP65"/>
    <mergeCell ref="B66:E66"/>
    <mergeCell ref="F66:AI66"/>
    <mergeCell ref="AK66:AP66"/>
    <mergeCell ref="B63:E63"/>
    <mergeCell ref="F63:AI63"/>
    <mergeCell ref="AK63:AP63"/>
    <mergeCell ref="B64:E64"/>
    <mergeCell ref="F64:AI64"/>
    <mergeCell ref="AK64:AP64"/>
    <mergeCell ref="B69:E69"/>
    <mergeCell ref="F69:AI69"/>
    <mergeCell ref="AK69:AP69"/>
    <mergeCell ref="B70:E70"/>
    <mergeCell ref="F70:AI70"/>
    <mergeCell ref="AK70:AP70"/>
    <mergeCell ref="B67:E67"/>
    <mergeCell ref="F67:AI67"/>
    <mergeCell ref="AK67:AP67"/>
    <mergeCell ref="B68:E68"/>
    <mergeCell ref="F68:AI68"/>
    <mergeCell ref="AK68:AP68"/>
    <mergeCell ref="B73:E73"/>
    <mergeCell ref="F73:AI73"/>
    <mergeCell ref="AK73:AP73"/>
    <mergeCell ref="B74:E74"/>
    <mergeCell ref="F74:AI74"/>
    <mergeCell ref="AK74:AP74"/>
    <mergeCell ref="B71:E71"/>
    <mergeCell ref="F71:AI71"/>
    <mergeCell ref="AK71:AP71"/>
    <mergeCell ref="B72:E72"/>
    <mergeCell ref="F72:AI72"/>
    <mergeCell ref="AK72:AP72"/>
    <mergeCell ref="B77:E77"/>
    <mergeCell ref="F77:AI77"/>
    <mergeCell ref="AK77:AP77"/>
    <mergeCell ref="B78:E78"/>
    <mergeCell ref="F78:AI78"/>
    <mergeCell ref="AK78:AP78"/>
    <mergeCell ref="B75:E75"/>
    <mergeCell ref="F75:AI75"/>
    <mergeCell ref="AK75:AP75"/>
    <mergeCell ref="B76:E76"/>
    <mergeCell ref="F76:AI76"/>
    <mergeCell ref="AK76:AP76"/>
    <mergeCell ref="A81:AI81"/>
    <mergeCell ref="AK81:AP81"/>
    <mergeCell ref="B82:E82"/>
    <mergeCell ref="F82:AI82"/>
    <mergeCell ref="AK82:AP82"/>
    <mergeCell ref="B83:E83"/>
    <mergeCell ref="F83:AI83"/>
    <mergeCell ref="AK83:AP83"/>
    <mergeCell ref="B79:E79"/>
    <mergeCell ref="F79:AI79"/>
    <mergeCell ref="AK79:AP79"/>
    <mergeCell ref="B80:E80"/>
    <mergeCell ref="F80:AI80"/>
    <mergeCell ref="AK80:AP80"/>
    <mergeCell ref="B86:E86"/>
    <mergeCell ref="F86:AI86"/>
    <mergeCell ref="AK86:AP86"/>
    <mergeCell ref="AK87:AP87"/>
    <mergeCell ref="AK88:AP88"/>
    <mergeCell ref="AK89:AP89"/>
    <mergeCell ref="B84:E84"/>
    <mergeCell ref="F84:AI84"/>
    <mergeCell ref="AK84:AP84"/>
    <mergeCell ref="B85:E85"/>
    <mergeCell ref="F85:AI85"/>
    <mergeCell ref="AK85:AP85"/>
  </mergeCells>
  <phoneticPr fontId="2"/>
  <conditionalFormatting sqref="AQ20:AQ28 AQ30:AQ31 AQ9 AQ11:AQ12 AQ14 AQ33:AQ34">
    <cfRule type="containsBlanks" dxfId="275" priority="12">
      <formula>LEN(TRIM(AQ9))=0</formula>
    </cfRule>
  </conditionalFormatting>
  <conditionalFormatting sqref="BC11:CF11">
    <cfRule type="containsText" dxfId="274" priority="8" operator="containsText" text="青">
      <formula>NOT(ISERROR(SEARCH("青",BC11)))</formula>
    </cfRule>
    <cfRule type="containsText" dxfId="273" priority="9" operator="containsText" text="緑">
      <formula>NOT(ISERROR(SEARCH("緑",BC11)))</formula>
    </cfRule>
    <cfRule type="containsText" dxfId="272" priority="10" operator="containsText" text="黄">
      <formula>NOT(ISERROR(SEARCH("黄",BC11)))</formula>
    </cfRule>
    <cfRule type="containsText" dxfId="271" priority="11" operator="containsText" text="赤">
      <formula>NOT(ISERROR(SEARCH("赤",BC11)))</formula>
    </cfRule>
  </conditionalFormatting>
  <conditionalFormatting sqref="V7:X8">
    <cfRule type="containsBlanks" dxfId="270" priority="7">
      <formula>LEN(TRIM(V7))=0</formula>
    </cfRule>
  </conditionalFormatting>
  <conditionalFormatting sqref="AB7:AI8">
    <cfRule type="containsBlanks" dxfId="269" priority="6">
      <formula>LEN(TRIM(AB7))=0</formula>
    </cfRule>
  </conditionalFormatting>
  <conditionalFormatting sqref="A7:E8 G7:I8 K7:M8 O7:P8">
    <cfRule type="containsBlanks" dxfId="268" priority="5">
      <formula>LEN(TRIM(A7))=0</formula>
    </cfRule>
  </conditionalFormatting>
  <conditionalFormatting sqref="W15:Y15 AH15:AI15 J15:L15">
    <cfRule type="containsBlanks" dxfId="267" priority="4">
      <formula>LEN(TRIM(J15))=0</formula>
    </cfRule>
  </conditionalFormatting>
  <conditionalFormatting sqref="L41:R44">
    <cfRule type="cellIs" dxfId="266" priority="1" operator="equal">
      <formula>0</formula>
    </cfRule>
  </conditionalFormatting>
  <conditionalFormatting sqref="P36:R36 T36:V36 L38:O38 AC38:AI38 AC36:AI36">
    <cfRule type="containsBlanks" dxfId="265" priority="3">
      <formula>LEN(TRIM(L36))=0</formula>
    </cfRule>
  </conditionalFormatting>
  <conditionalFormatting sqref="W41:Y44 AA41:AI44">
    <cfRule type="cellIs" dxfId="264" priority="2" operator="equal">
      <formula>0</formula>
    </cfRule>
  </conditionalFormatting>
  <printOptions horizontalCentered="1" verticalCentered="1"/>
  <pageMargins left="0.70866141732283472" right="0.59055118110236227" top="0.55118110236220474" bottom="0.55118110236220474" header="0.31496062992125984" footer="0.31496062992125984"/>
  <pageSetup paperSize="9" orientation="portrait" horizontalDpi="300" verticalDpi="300" r:id="rId1"/>
  <headerFooter scaleWithDoc="0" alignWithMargins="0">
    <oddFooter>&amp;C&amp;P&amp;Rヒトトヒト株式会社</oddFooter>
  </headerFooter>
  <rowBreaks count="1" manualBreakCount="1">
    <brk id="44" max="34" man="1"/>
  </rowBreaks>
  <drawing r:id="rId2"/>
  <extLst>
    <ext xmlns:x14="http://schemas.microsoft.com/office/spreadsheetml/2009/9/main" uri="{CCE6A557-97BC-4b89-ADB6-D9C93CAAB3DF}">
      <x14:dataValidations xmlns:xm="http://schemas.microsoft.com/office/excel/2006/main" count="6">
        <x14:dataValidation type="list" allowBlank="1" showInputMessage="1" showErrorMessage="1" xr:uid="{C9D32757-E5FE-45E4-819B-83A2CBC7B634}">
          <x14:formula1>
            <xm:f>初期値!$C$12:$C$27</xm:f>
          </x14:formula1>
          <xm:sqref>P36:R36 T36:V36</xm:sqref>
        </x14:dataValidation>
        <x14:dataValidation type="list" allowBlank="1" showInputMessage="1" showErrorMessage="1" xr:uid="{4CBE768E-3FF0-47CD-9852-BFF1B4D645FD}">
          <x14:formula1>
            <xm:f>初期値!$G$12:$G$24</xm:f>
          </x14:formula1>
          <xm:sqref>V7:X8</xm:sqref>
        </x14:dataValidation>
        <x14:dataValidation type="list" allowBlank="1" showInputMessage="1" showErrorMessage="1" xr:uid="{4743FDFA-DAC2-46A6-9880-B513B7D0C7DC}">
          <x14:formula1>
            <xm:f>初期値!$E$12:$E$13</xm:f>
          </x14:formula1>
          <xm:sqref>L38:O38 AC38:AI38 AC36:AI36</xm:sqref>
        </x14:dataValidation>
        <x14:dataValidation type="list" allowBlank="1" showInputMessage="1" showErrorMessage="1" xr:uid="{A79B52D4-BC29-4C1D-9402-6D9E26108B3C}">
          <x14:formula1>
            <xm:f>初期値!$N$22:$N$23</xm:f>
          </x14:formula1>
          <xm:sqref>AW23</xm:sqref>
        </x14:dataValidation>
        <x14:dataValidation type="list" allowBlank="1" showInputMessage="1" showErrorMessage="1" xr:uid="{F87262E0-1DE8-4A71-9B55-5606EA530DD1}">
          <x14:formula1>
            <xm:f>初期値!$P$12:$P$27</xm:f>
          </x14:formula1>
          <xm:sqref>BA24:BB24 BA22:BB22 BA28:BB28 BA30:BB30 BA32:BB32 BA34:BB34</xm:sqref>
        </x14:dataValidation>
        <x14:dataValidation type="list" allowBlank="1" showInputMessage="1" showErrorMessage="1" xr:uid="{9794508D-2A7F-4C4A-914C-76CD00D45F0C}">
          <x14:formula1>
            <xm:f>初期値!$N$12:$N$19</xm:f>
          </x14:formula1>
          <xm:sqref>AU22:AV22</xm:sqref>
        </x14:dataValidation>
      </x14:dataValidations>
    </ext>
  </extLst>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1D70DBB-9964-49EB-ABF6-068A5436B0E7}">
  <sheetPr codeName="Sheet17"/>
  <dimension ref="A1:CG266"/>
  <sheetViews>
    <sheetView topLeftCell="A22" zoomScaleNormal="100" zoomScaleSheetLayoutView="100" workbookViewId="0">
      <selection activeCell="AK42" sqref="AK42:AP42"/>
    </sheetView>
  </sheetViews>
  <sheetFormatPr defaultColWidth="8.875" defaultRowHeight="13.5"/>
  <cols>
    <col min="1" max="42" width="2.25" style="23" customWidth="1"/>
    <col min="43" max="43" width="6" style="23" bestFit="1" customWidth="1"/>
    <col min="44" max="44" width="4.5" style="23" bestFit="1" customWidth="1"/>
    <col min="45" max="45" width="6" style="23" bestFit="1" customWidth="1"/>
    <col min="46" max="46" width="4.5" style="23" bestFit="1" customWidth="1"/>
    <col min="47" max="47" width="9" style="23" bestFit="1" customWidth="1"/>
    <col min="48" max="48" width="8.5" style="23" bestFit="1" customWidth="1"/>
    <col min="49" max="49" width="7.5" style="23" bestFit="1" customWidth="1"/>
    <col min="50" max="50" width="6.5" style="23" bestFit="1" customWidth="1"/>
    <col min="51" max="51" width="7.5" style="23" bestFit="1" customWidth="1"/>
    <col min="52" max="52" width="2.125" style="23" customWidth="1"/>
    <col min="53" max="54" width="7.375" style="23" customWidth="1"/>
    <col min="55" max="63" width="3.625" style="23" bestFit="1" customWidth="1"/>
    <col min="64" max="84" width="4" style="23" bestFit="1" customWidth="1"/>
    <col min="85" max="16384" width="8.875" style="23"/>
  </cols>
  <sheetData>
    <row r="1" spans="1:85" ht="14.1" customHeight="1">
      <c r="A1" s="510" t="s">
        <v>551</v>
      </c>
      <c r="B1" s="510"/>
      <c r="C1" s="510"/>
      <c r="D1" s="510"/>
      <c r="E1" s="510"/>
      <c r="F1" s="510"/>
      <c r="G1" s="510"/>
      <c r="H1" s="510"/>
      <c r="I1" s="510"/>
      <c r="J1" s="510"/>
      <c r="K1" s="510"/>
      <c r="L1" s="510"/>
      <c r="M1" s="510"/>
      <c r="N1" s="510"/>
      <c r="O1" s="510"/>
      <c r="P1" s="510"/>
      <c r="Q1" s="510"/>
      <c r="R1" s="510"/>
      <c r="S1" s="510"/>
      <c r="T1" s="388"/>
      <c r="U1" s="388"/>
      <c r="V1" s="388"/>
      <c r="W1" s="388"/>
      <c r="X1" s="388"/>
      <c r="Y1" s="388"/>
      <c r="Z1" s="388"/>
      <c r="AA1" s="24"/>
      <c r="AB1" s="32"/>
      <c r="AD1" s="252" t="s">
        <v>167</v>
      </c>
      <c r="AE1" s="252"/>
      <c r="AF1" s="252"/>
      <c r="AG1" s="252"/>
      <c r="AH1" s="252"/>
      <c r="AI1" s="252"/>
      <c r="AM1" s="123">
        <v>10</v>
      </c>
      <c r="BB1"/>
    </row>
    <row r="2" spans="1:85" ht="14.1" customHeight="1">
      <c r="A2" s="510"/>
      <c r="B2" s="510"/>
      <c r="C2" s="510"/>
      <c r="D2" s="510"/>
      <c r="E2" s="510"/>
      <c r="F2" s="510"/>
      <c r="G2" s="510"/>
      <c r="H2" s="510"/>
      <c r="I2" s="510"/>
      <c r="J2" s="510"/>
      <c r="K2" s="510"/>
      <c r="L2" s="510"/>
      <c r="M2" s="510"/>
      <c r="N2" s="510"/>
      <c r="O2" s="510"/>
      <c r="P2" s="510"/>
      <c r="Q2" s="510"/>
      <c r="R2" s="510"/>
      <c r="S2" s="510"/>
      <c r="T2" s="388"/>
      <c r="U2" s="388"/>
      <c r="V2" s="388"/>
      <c r="W2" s="388"/>
      <c r="X2" s="388"/>
      <c r="Y2" s="388"/>
      <c r="Z2" s="388"/>
      <c r="AA2" s="25"/>
      <c r="AB2" s="31"/>
      <c r="AD2" s="253"/>
      <c r="AE2" s="253"/>
      <c r="AF2" s="253"/>
      <c r="AG2" s="253"/>
      <c r="AH2" s="253"/>
      <c r="AI2" s="253"/>
      <c r="BA2"/>
    </row>
    <row r="3" spans="1:85" ht="14.1" customHeight="1">
      <c r="A3" s="510"/>
      <c r="B3" s="510"/>
      <c r="C3" s="510"/>
      <c r="D3" s="510"/>
      <c r="E3" s="510"/>
      <c r="F3" s="510"/>
      <c r="G3" s="510"/>
      <c r="H3" s="510"/>
      <c r="I3" s="510"/>
      <c r="J3" s="510"/>
      <c r="K3" s="510"/>
      <c r="L3" s="510"/>
      <c r="M3" s="510"/>
      <c r="N3" s="510"/>
      <c r="O3" s="510"/>
      <c r="P3" s="510"/>
      <c r="Q3" s="510"/>
      <c r="R3" s="510"/>
      <c r="S3" s="510"/>
      <c r="T3" s="388"/>
      <c r="U3" s="388"/>
      <c r="V3" s="388"/>
      <c r="W3" s="388"/>
      <c r="X3" s="388"/>
      <c r="Y3" s="388"/>
      <c r="Z3" s="388"/>
      <c r="AA3" s="25"/>
      <c r="AB3" s="31"/>
      <c r="AD3" s="253"/>
      <c r="AE3" s="253"/>
      <c r="AF3" s="253"/>
      <c r="AG3" s="253"/>
      <c r="AH3" s="253"/>
      <c r="AI3" s="253"/>
      <c r="BA3"/>
    </row>
    <row r="4" spans="1:85" ht="14.1" customHeight="1">
      <c r="A4" s="395" t="s">
        <v>552</v>
      </c>
      <c r="B4" s="395"/>
      <c r="C4" s="395"/>
      <c r="D4" s="395"/>
      <c r="E4" s="395"/>
      <c r="F4" s="395"/>
      <c r="G4" s="395"/>
      <c r="H4" s="395"/>
      <c r="I4" s="395"/>
      <c r="J4" s="395"/>
      <c r="K4" s="395"/>
      <c r="L4" s="395"/>
      <c r="M4" s="395"/>
      <c r="N4" s="395"/>
      <c r="O4" s="395"/>
      <c r="P4" s="395"/>
      <c r="Q4" s="395"/>
      <c r="R4" s="395"/>
      <c r="S4" s="395"/>
      <c r="T4" s="155"/>
      <c r="U4" s="155"/>
      <c r="V4" s="155"/>
      <c r="W4" s="155"/>
      <c r="X4" s="155"/>
      <c r="Y4" s="155"/>
      <c r="Z4" s="155"/>
      <c r="AA4" s="26"/>
      <c r="AB4" s="31"/>
      <c r="AD4" s="253"/>
      <c r="AE4" s="253"/>
      <c r="AF4" s="253"/>
      <c r="AG4" s="253"/>
      <c r="AH4" s="253"/>
      <c r="AI4" s="253"/>
      <c r="BA4"/>
    </row>
    <row r="5" spans="1:85" ht="14.1" customHeight="1">
      <c r="A5" s="395"/>
      <c r="B5" s="395"/>
      <c r="C5" s="395"/>
      <c r="D5" s="395"/>
      <c r="E5" s="395"/>
      <c r="F5" s="395"/>
      <c r="G5" s="395"/>
      <c r="H5" s="395"/>
      <c r="I5" s="395"/>
      <c r="J5" s="395"/>
      <c r="K5" s="395"/>
      <c r="L5" s="395"/>
      <c r="M5" s="395"/>
      <c r="N5" s="395"/>
      <c r="O5" s="395"/>
      <c r="P5" s="395"/>
      <c r="Q5" s="395"/>
      <c r="R5" s="395"/>
      <c r="S5" s="395"/>
      <c r="T5" s="155"/>
      <c r="U5" s="155"/>
      <c r="V5" s="155"/>
      <c r="W5" s="155"/>
      <c r="X5" s="155"/>
      <c r="Y5" s="155"/>
      <c r="Z5" s="155"/>
      <c r="AA5" s="26"/>
      <c r="AB5" s="31"/>
      <c r="AC5" s="31"/>
      <c r="AD5" s="31"/>
      <c r="AE5" s="31"/>
      <c r="AF5" s="31"/>
      <c r="AG5" s="31"/>
      <c r="AH5" s="31"/>
      <c r="AI5" s="31"/>
      <c r="BA5"/>
    </row>
    <row r="6" spans="1:85" ht="14.1" customHeight="1" thickBot="1">
      <c r="A6" s="27"/>
      <c r="B6" s="27"/>
      <c r="C6" s="27"/>
      <c r="D6" s="27"/>
      <c r="E6" s="27"/>
      <c r="F6" s="27"/>
      <c r="G6" s="27"/>
      <c r="H6" s="27"/>
      <c r="I6" s="27"/>
      <c r="BA6"/>
    </row>
    <row r="7" spans="1:85" ht="12" customHeight="1">
      <c r="A7" s="255">
        <f>DATE(初期値!A2,初期値!A3,AM1)</f>
        <v>46183</v>
      </c>
      <c r="B7" s="256"/>
      <c r="C7" s="256"/>
      <c r="D7" s="256"/>
      <c r="E7" s="256"/>
      <c r="F7" s="259" t="s">
        <v>169</v>
      </c>
      <c r="G7" s="236">
        <f>$A$7</f>
        <v>46183</v>
      </c>
      <c r="H7" s="236"/>
      <c r="I7" s="236"/>
      <c r="J7" s="239" t="s">
        <v>170</v>
      </c>
      <c r="K7" s="261">
        <f>$A$7</f>
        <v>46183</v>
      </c>
      <c r="L7" s="261"/>
      <c r="M7" s="261"/>
      <c r="N7" s="239" t="s">
        <v>3</v>
      </c>
      <c r="O7" s="520">
        <f>$A$7</f>
        <v>46183</v>
      </c>
      <c r="P7" s="520"/>
      <c r="Q7" s="239" t="s">
        <v>292</v>
      </c>
      <c r="R7" s="240"/>
      <c r="S7" s="522" t="s">
        <v>553</v>
      </c>
      <c r="T7" s="244"/>
      <c r="U7" s="29" t="s">
        <v>554</v>
      </c>
      <c r="V7" s="518" t="s">
        <v>23</v>
      </c>
      <c r="W7" s="518"/>
      <c r="X7" s="518"/>
      <c r="Y7" s="511" t="s">
        <v>555</v>
      </c>
      <c r="Z7" s="512"/>
      <c r="AA7" s="513"/>
      <c r="AB7" s="244" t="str">
        <f>L43</f>
        <v>山本喜久</v>
      </c>
      <c r="AC7" s="244"/>
      <c r="AD7" s="244"/>
      <c r="AE7" s="244"/>
      <c r="AF7" s="244"/>
      <c r="AG7" s="244"/>
      <c r="AH7" s="244"/>
      <c r="AI7" s="245"/>
      <c r="AK7" s="425" t="s">
        <v>556</v>
      </c>
      <c r="AL7" s="425"/>
      <c r="AM7" s="425"/>
      <c r="AN7" s="425"/>
      <c r="AO7" s="425"/>
      <c r="AP7" s="425"/>
      <c r="AQ7" s="439" t="s">
        <v>557</v>
      </c>
      <c r="AR7" s="43"/>
      <c r="AS7" s="43"/>
      <c r="AT7" s="43"/>
      <c r="AU7" s="43"/>
      <c r="AV7" s="43"/>
      <c r="AW7" s="43"/>
      <c r="AX7" s="43"/>
      <c r="AY7" s="43"/>
      <c r="AZ7" s="43"/>
      <c r="BA7"/>
    </row>
    <row r="8" spans="1:85" ht="12" customHeight="1" thickBot="1">
      <c r="A8" s="257"/>
      <c r="B8" s="258"/>
      <c r="C8" s="258"/>
      <c r="D8" s="258"/>
      <c r="E8" s="258"/>
      <c r="F8" s="260"/>
      <c r="G8" s="237"/>
      <c r="H8" s="237"/>
      <c r="I8" s="237"/>
      <c r="J8" s="242"/>
      <c r="K8" s="262"/>
      <c r="L8" s="262"/>
      <c r="M8" s="262"/>
      <c r="N8" s="242"/>
      <c r="O8" s="521"/>
      <c r="P8" s="521"/>
      <c r="Q8" s="242"/>
      <c r="R8" s="243"/>
      <c r="S8" s="523"/>
      <c r="T8" s="246"/>
      <c r="U8" s="33" t="s">
        <v>558</v>
      </c>
      <c r="V8" s="519" t="s">
        <v>23</v>
      </c>
      <c r="W8" s="519"/>
      <c r="X8" s="519"/>
      <c r="Y8" s="514"/>
      <c r="Z8" s="515"/>
      <c r="AA8" s="516"/>
      <c r="AB8" s="246"/>
      <c r="AC8" s="246"/>
      <c r="AD8" s="246"/>
      <c r="AE8" s="246"/>
      <c r="AF8" s="246"/>
      <c r="AG8" s="246"/>
      <c r="AH8" s="246"/>
      <c r="AI8" s="247"/>
      <c r="AK8" s="425"/>
      <c r="AL8" s="425"/>
      <c r="AM8" s="425"/>
      <c r="AN8" s="425"/>
      <c r="AO8" s="425"/>
      <c r="AP8" s="425"/>
      <c r="AQ8" s="439"/>
      <c r="AR8" s="43"/>
      <c r="AS8" s="43"/>
      <c r="AT8" s="43"/>
      <c r="AU8" s="43"/>
      <c r="AV8" s="43"/>
      <c r="AW8" s="43"/>
      <c r="AX8" s="43"/>
      <c r="AY8" s="43"/>
      <c r="AZ8" s="43"/>
      <c r="BA8"/>
    </row>
    <row r="9" spans="1:85" ht="18" customHeight="1">
      <c r="A9" s="507" t="s">
        <v>559</v>
      </c>
      <c r="B9" s="508"/>
      <c r="C9" s="508"/>
      <c r="D9" s="508"/>
      <c r="E9" s="508"/>
      <c r="F9" s="508"/>
      <c r="G9" s="508"/>
      <c r="H9" s="508"/>
      <c r="I9" s="508"/>
      <c r="J9" s="508"/>
      <c r="K9" s="508"/>
      <c r="L9" s="508"/>
      <c r="M9" s="508"/>
      <c r="N9" s="508"/>
      <c r="O9" s="508"/>
      <c r="P9" s="508"/>
      <c r="Q9" s="508"/>
      <c r="R9" s="508"/>
      <c r="S9" s="508"/>
      <c r="T9" s="508"/>
      <c r="U9" s="508"/>
      <c r="V9" s="508"/>
      <c r="W9" s="508"/>
      <c r="X9" s="508"/>
      <c r="Y9" s="508"/>
      <c r="Z9" s="508"/>
      <c r="AA9" s="508"/>
      <c r="AB9" s="508"/>
      <c r="AC9" s="508"/>
      <c r="AD9" s="508"/>
      <c r="AE9" s="508"/>
      <c r="AF9" s="508"/>
      <c r="AG9" s="508"/>
      <c r="AH9" s="508"/>
      <c r="AI9" s="509"/>
      <c r="AK9" s="440" t="s">
        <v>560</v>
      </c>
      <c r="AL9" s="440"/>
      <c r="AM9" s="440"/>
      <c r="AN9" s="440"/>
      <c r="AO9" s="440"/>
      <c r="AP9" s="440"/>
      <c r="AQ9" s="42">
        <v>41</v>
      </c>
      <c r="AR9" s="43"/>
      <c r="AS9" s="44" t="s">
        <v>561</v>
      </c>
      <c r="AT9" s="44" t="s">
        <v>562</v>
      </c>
      <c r="AU9" s="44" t="s">
        <v>563</v>
      </c>
      <c r="AV9" s="44" t="s">
        <v>564</v>
      </c>
      <c r="AW9" s="45" t="s">
        <v>565</v>
      </c>
      <c r="AX9" s="45" t="s">
        <v>566</v>
      </c>
      <c r="AY9" s="44" t="s">
        <v>567</v>
      </c>
      <c r="AZ9" s="43"/>
      <c r="BB9" s="49" t="s">
        <v>568</v>
      </c>
      <c r="BC9" s="43"/>
      <c r="BD9" s="43"/>
      <c r="BE9" s="43"/>
      <c r="BF9" s="43"/>
      <c r="BG9" s="43"/>
      <c r="BH9" s="43"/>
      <c r="BI9" s="43"/>
      <c r="BJ9" s="43"/>
      <c r="BK9" s="43"/>
      <c r="BL9" s="43"/>
      <c r="BM9" s="43"/>
      <c r="BN9" s="43"/>
      <c r="BO9" s="43"/>
      <c r="BP9" s="43"/>
      <c r="BQ9" s="43"/>
      <c r="BR9" s="43"/>
      <c r="BS9" s="43"/>
      <c r="BT9" s="43"/>
      <c r="BU9" s="43"/>
      <c r="BV9" s="43"/>
      <c r="BW9" s="43"/>
      <c r="BX9" s="43"/>
      <c r="BY9" s="43"/>
      <c r="BZ9" s="43"/>
      <c r="CA9" s="43"/>
      <c r="CB9" s="43"/>
      <c r="CC9" s="43"/>
      <c r="CD9" s="43"/>
      <c r="CE9" s="43"/>
      <c r="CF9" s="43"/>
      <c r="CG9" s="43"/>
    </row>
    <row r="10" spans="1:85" ht="18" customHeight="1">
      <c r="A10" s="265" t="s">
        <v>569</v>
      </c>
      <c r="B10" s="266"/>
      <c r="C10" s="266"/>
      <c r="D10" s="266"/>
      <c r="E10" s="266"/>
      <c r="F10" s="266"/>
      <c r="G10" s="266"/>
      <c r="H10" s="266"/>
      <c r="I10" s="264">
        <f>AQ14</f>
        <v>1</v>
      </c>
      <c r="J10" s="264"/>
      <c r="K10" s="267" t="s">
        <v>176</v>
      </c>
      <c r="L10" s="268"/>
      <c r="M10" s="269" t="s">
        <v>570</v>
      </c>
      <c r="N10" s="266"/>
      <c r="O10" s="266"/>
      <c r="P10" s="266"/>
      <c r="Q10" s="266"/>
      <c r="R10" s="266"/>
      <c r="S10" s="266"/>
      <c r="T10" s="266"/>
      <c r="U10" s="264">
        <f>AQ37</f>
        <v>0</v>
      </c>
      <c r="V10" s="264"/>
      <c r="W10" s="267" t="s">
        <v>176</v>
      </c>
      <c r="X10" s="268"/>
      <c r="Y10" s="269" t="s">
        <v>571</v>
      </c>
      <c r="Z10" s="266"/>
      <c r="AA10" s="266"/>
      <c r="AB10" s="266"/>
      <c r="AC10" s="266"/>
      <c r="AD10" s="266"/>
      <c r="AE10" s="266"/>
      <c r="AF10" s="266"/>
      <c r="AG10" s="264">
        <f>AQ26+AQ25</f>
        <v>0</v>
      </c>
      <c r="AH10" s="264"/>
      <c r="AI10" s="28" t="s">
        <v>176</v>
      </c>
      <c r="AK10" s="440" t="s">
        <v>572</v>
      </c>
      <c r="AL10" s="440"/>
      <c r="AM10" s="440"/>
      <c r="AN10" s="440"/>
      <c r="AO10" s="440"/>
      <c r="AP10" s="440"/>
      <c r="AQ10" s="42"/>
      <c r="AR10" s="43"/>
      <c r="AS10" s="46">
        <v>1</v>
      </c>
      <c r="AT10" s="46"/>
      <c r="AU10" s="46" t="s">
        <v>20</v>
      </c>
      <c r="AV10" s="47" t="s">
        <v>573</v>
      </c>
      <c r="AW10" s="47" t="s">
        <v>574</v>
      </c>
      <c r="AX10" s="47">
        <v>0.33333333333333331</v>
      </c>
      <c r="AY10" s="47">
        <v>0.83333333333333337</v>
      </c>
      <c r="AZ10" s="43"/>
      <c r="BB10" s="49" t="s">
        <v>95</v>
      </c>
      <c r="BC10" s="120">
        <v>1</v>
      </c>
      <c r="BD10" s="120">
        <v>2</v>
      </c>
      <c r="BE10" s="120">
        <v>3</v>
      </c>
      <c r="BF10" s="120">
        <v>4</v>
      </c>
      <c r="BG10" s="120">
        <v>5</v>
      </c>
      <c r="BH10" s="120">
        <v>6</v>
      </c>
      <c r="BI10" s="120">
        <v>7</v>
      </c>
      <c r="BJ10" s="120">
        <v>8</v>
      </c>
      <c r="BK10" s="120">
        <v>9</v>
      </c>
      <c r="BL10" s="120">
        <v>10</v>
      </c>
      <c r="BM10" s="120">
        <v>11</v>
      </c>
      <c r="BN10" s="120">
        <v>12</v>
      </c>
      <c r="BO10" s="120">
        <v>13</v>
      </c>
      <c r="BP10" s="120">
        <v>14</v>
      </c>
      <c r="BQ10" s="120">
        <v>15</v>
      </c>
      <c r="BR10" s="120">
        <v>16</v>
      </c>
      <c r="BS10" s="120">
        <v>17</v>
      </c>
      <c r="BT10" s="120">
        <v>18</v>
      </c>
      <c r="BU10" s="120">
        <v>19</v>
      </c>
      <c r="BV10" s="120">
        <v>20</v>
      </c>
      <c r="BW10" s="120">
        <v>21</v>
      </c>
      <c r="BX10" s="120">
        <v>22</v>
      </c>
      <c r="BY10" s="120">
        <v>23</v>
      </c>
      <c r="BZ10" s="120">
        <v>24</v>
      </c>
      <c r="CA10" s="120">
        <v>25</v>
      </c>
      <c r="CB10" s="120">
        <v>26</v>
      </c>
      <c r="CC10" s="120">
        <v>27</v>
      </c>
      <c r="CD10" s="120">
        <v>28</v>
      </c>
      <c r="CE10" s="120">
        <v>29</v>
      </c>
      <c r="CF10" s="120">
        <v>30</v>
      </c>
      <c r="CG10" s="43"/>
    </row>
    <row r="11" spans="1:85" ht="18" customHeight="1">
      <c r="A11" s="265" t="s">
        <v>575</v>
      </c>
      <c r="B11" s="266"/>
      <c r="C11" s="266"/>
      <c r="D11" s="266"/>
      <c r="E11" s="266"/>
      <c r="F11" s="266"/>
      <c r="G11" s="266"/>
      <c r="H11" s="266"/>
      <c r="I11" s="264">
        <f>AQ27</f>
        <v>0</v>
      </c>
      <c r="J11" s="264"/>
      <c r="K11" s="267" t="s">
        <v>176</v>
      </c>
      <c r="L11" s="268"/>
      <c r="M11" s="269" t="s">
        <v>576</v>
      </c>
      <c r="N11" s="266"/>
      <c r="O11" s="266"/>
      <c r="P11" s="266"/>
      <c r="Q11" s="266"/>
      <c r="R11" s="266"/>
      <c r="S11" s="266"/>
      <c r="T11" s="266"/>
      <c r="U11" s="264">
        <f>AQ36</f>
        <v>0</v>
      </c>
      <c r="V11" s="264"/>
      <c r="W11" s="267" t="s">
        <v>176</v>
      </c>
      <c r="X11" s="268"/>
      <c r="Y11" s="269" t="s">
        <v>577</v>
      </c>
      <c r="Z11" s="266"/>
      <c r="AA11" s="266"/>
      <c r="AB11" s="266"/>
      <c r="AC11" s="266"/>
      <c r="AD11" s="266"/>
      <c r="AE11" s="266"/>
      <c r="AF11" s="266"/>
      <c r="AG11" s="264">
        <f>AQ34</f>
        <v>0</v>
      </c>
      <c r="AH11" s="264"/>
      <c r="AI11" s="28" t="s">
        <v>176</v>
      </c>
      <c r="AK11" s="441" t="s">
        <v>578</v>
      </c>
      <c r="AL11" s="442"/>
      <c r="AM11" s="442"/>
      <c r="AN11" s="442"/>
      <c r="AO11" s="442"/>
      <c r="AP11" s="443"/>
      <c r="AQ11" s="42">
        <v>29</v>
      </c>
      <c r="AR11" s="43"/>
      <c r="AS11" s="46">
        <v>2</v>
      </c>
      <c r="AT11" s="46"/>
      <c r="AU11" s="46"/>
      <c r="AV11" s="47" t="s">
        <v>579</v>
      </c>
      <c r="AW11" s="47" t="s">
        <v>580</v>
      </c>
      <c r="AX11" s="47">
        <v>0.33333333333333331</v>
      </c>
      <c r="AY11" s="47">
        <v>0.58333333333333337</v>
      </c>
      <c r="AZ11" s="43"/>
      <c r="BB11" s="121" t="s">
        <v>581</v>
      </c>
      <c r="BC11" s="138" t="s">
        <v>582</v>
      </c>
      <c r="BD11" s="138" t="s">
        <v>583</v>
      </c>
      <c r="BE11" s="138" t="s">
        <v>584</v>
      </c>
      <c r="BF11" s="138" t="s">
        <v>585</v>
      </c>
      <c r="BG11" s="139" t="s">
        <v>584</v>
      </c>
      <c r="BH11" s="138" t="s">
        <v>582</v>
      </c>
      <c r="BI11" s="138" t="s">
        <v>585</v>
      </c>
      <c r="BJ11" s="138" t="s">
        <v>583</v>
      </c>
      <c r="BK11" s="138" t="s">
        <v>584</v>
      </c>
      <c r="BL11" s="138" t="s">
        <v>583</v>
      </c>
      <c r="BM11" s="138" t="s">
        <v>585</v>
      </c>
      <c r="BN11" s="138" t="s">
        <v>582</v>
      </c>
      <c r="BO11" s="138" t="s">
        <v>584</v>
      </c>
      <c r="BP11" s="138" t="s">
        <v>585</v>
      </c>
      <c r="BQ11" s="138" t="s">
        <v>583</v>
      </c>
      <c r="BR11" s="138" t="s">
        <v>585</v>
      </c>
      <c r="BS11" s="138" t="s">
        <v>584</v>
      </c>
      <c r="BT11" s="138" t="s">
        <v>582</v>
      </c>
      <c r="BU11" s="138" t="s">
        <v>583</v>
      </c>
      <c r="BV11" s="138" t="s">
        <v>585</v>
      </c>
      <c r="BW11" s="138" t="s">
        <v>582</v>
      </c>
      <c r="BX11" s="138" t="s">
        <v>584</v>
      </c>
      <c r="BY11" s="138" t="s">
        <v>585</v>
      </c>
      <c r="BZ11" s="138" t="s">
        <v>583</v>
      </c>
      <c r="CA11" s="138" t="s">
        <v>582</v>
      </c>
      <c r="CB11" s="138" t="s">
        <v>585</v>
      </c>
      <c r="CC11" s="138" t="s">
        <v>584</v>
      </c>
      <c r="CD11" s="138" t="s">
        <v>582</v>
      </c>
      <c r="CE11" s="138" t="s">
        <v>585</v>
      </c>
      <c r="CF11" s="138" t="s">
        <v>583</v>
      </c>
      <c r="CG11" s="43"/>
    </row>
    <row r="12" spans="1:85" ht="18" customHeight="1">
      <c r="A12" s="265" t="s">
        <v>586</v>
      </c>
      <c r="B12" s="266"/>
      <c r="C12" s="266"/>
      <c r="D12" s="266"/>
      <c r="E12" s="266"/>
      <c r="F12" s="266"/>
      <c r="G12" s="266"/>
      <c r="H12" s="266"/>
      <c r="I12" s="264">
        <f>AQ33</f>
        <v>0</v>
      </c>
      <c r="J12" s="264"/>
      <c r="K12" s="267" t="s">
        <v>176</v>
      </c>
      <c r="L12" s="268"/>
      <c r="M12" s="269" t="s">
        <v>587</v>
      </c>
      <c r="N12" s="266"/>
      <c r="O12" s="266"/>
      <c r="P12" s="266"/>
      <c r="Q12" s="266"/>
      <c r="R12" s="266"/>
      <c r="S12" s="266"/>
      <c r="T12" s="266"/>
      <c r="U12" s="264">
        <f>AQ24</f>
        <v>0</v>
      </c>
      <c r="V12" s="264"/>
      <c r="W12" s="267" t="s">
        <v>176</v>
      </c>
      <c r="X12" s="268"/>
      <c r="Y12" s="269" t="s">
        <v>588</v>
      </c>
      <c r="Z12" s="266"/>
      <c r="AA12" s="266"/>
      <c r="AB12" s="266"/>
      <c r="AC12" s="266"/>
      <c r="AD12" s="266"/>
      <c r="AE12" s="266"/>
      <c r="AF12" s="266"/>
      <c r="AG12" s="264">
        <f>AQ20+AQ21+AQ22+AQ23</f>
        <v>1</v>
      </c>
      <c r="AH12" s="264"/>
      <c r="AI12" s="28" t="s">
        <v>176</v>
      </c>
      <c r="AK12" s="441" t="s">
        <v>589</v>
      </c>
      <c r="AL12" s="442"/>
      <c r="AM12" s="442"/>
      <c r="AN12" s="442"/>
      <c r="AO12" s="442"/>
      <c r="AP12" s="443"/>
      <c r="AQ12" s="42">
        <v>11</v>
      </c>
      <c r="AR12" s="43"/>
      <c r="AS12" s="46">
        <v>3</v>
      </c>
      <c r="AT12" s="46"/>
      <c r="AU12" s="46"/>
      <c r="AV12" s="47" t="s">
        <v>590</v>
      </c>
      <c r="AW12" s="47" t="s">
        <v>574</v>
      </c>
      <c r="AX12" s="47">
        <v>0.58333333333333337</v>
      </c>
      <c r="AY12" s="47">
        <v>0.83333333333333337</v>
      </c>
      <c r="AZ12" s="43"/>
      <c r="BB12" s="49"/>
      <c r="BC12" s="43"/>
      <c r="BD12" s="43"/>
      <c r="BE12" s="43"/>
      <c r="BF12" s="43"/>
      <c r="BG12" s="43"/>
      <c r="BH12" s="43"/>
      <c r="BI12" s="43"/>
      <c r="BJ12" s="43"/>
      <c r="BK12" s="43"/>
      <c r="BL12" s="43"/>
      <c r="BM12" s="43"/>
      <c r="BN12" s="43"/>
      <c r="BO12" s="43"/>
      <c r="BP12" s="43"/>
      <c r="BQ12" s="43"/>
      <c r="BR12" s="43"/>
      <c r="BS12" s="43"/>
      <c r="BT12" s="43"/>
      <c r="BU12" s="43"/>
      <c r="BV12" s="43"/>
      <c r="BW12" s="43"/>
      <c r="BX12" s="43"/>
      <c r="BY12" s="43"/>
      <c r="BZ12" s="43"/>
      <c r="CA12" s="43"/>
      <c r="CB12" s="43"/>
      <c r="CC12" s="43"/>
      <c r="CD12" s="43"/>
      <c r="CE12" s="43"/>
      <c r="CF12" s="43"/>
      <c r="CG12" s="43"/>
    </row>
    <row r="13" spans="1:85" ht="18" customHeight="1" thickBot="1">
      <c r="A13" s="517" t="s">
        <v>591</v>
      </c>
      <c r="B13" s="277"/>
      <c r="C13" s="277"/>
      <c r="D13" s="277"/>
      <c r="E13" s="277"/>
      <c r="F13" s="277"/>
      <c r="G13" s="277"/>
      <c r="H13" s="277"/>
      <c r="I13" s="272">
        <f>AQ30+AQ31</f>
        <v>0</v>
      </c>
      <c r="J13" s="272"/>
      <c r="K13" s="273" t="s">
        <v>176</v>
      </c>
      <c r="L13" s="274"/>
      <c r="M13" s="276" t="s">
        <v>592</v>
      </c>
      <c r="N13" s="277"/>
      <c r="O13" s="277"/>
      <c r="P13" s="277"/>
      <c r="Q13" s="277"/>
      <c r="R13" s="277"/>
      <c r="S13" s="277"/>
      <c r="T13" s="277"/>
      <c r="U13" s="272">
        <f>AQ28</f>
        <v>1</v>
      </c>
      <c r="V13" s="272"/>
      <c r="W13" s="273" t="s">
        <v>176</v>
      </c>
      <c r="X13" s="274"/>
      <c r="Y13" s="276" t="s">
        <v>593</v>
      </c>
      <c r="Z13" s="277"/>
      <c r="AA13" s="277"/>
      <c r="AB13" s="277"/>
      <c r="AC13" s="277"/>
      <c r="AD13" s="277"/>
      <c r="AE13" s="277"/>
      <c r="AF13" s="277"/>
      <c r="AG13" s="272">
        <f>AQ13</f>
        <v>0</v>
      </c>
      <c r="AH13" s="272"/>
      <c r="AI13" s="34" t="s">
        <v>176</v>
      </c>
      <c r="AK13" s="425" t="s">
        <v>594</v>
      </c>
      <c r="AL13" s="425"/>
      <c r="AM13" s="425"/>
      <c r="AN13" s="425"/>
      <c r="AO13" s="425"/>
      <c r="AP13" s="425"/>
      <c r="AQ13" s="42"/>
      <c r="AR13" s="43"/>
      <c r="AS13" s="46">
        <v>4</v>
      </c>
      <c r="AT13" s="46"/>
      <c r="AU13" s="46" t="s">
        <v>28</v>
      </c>
      <c r="AV13" s="47" t="s">
        <v>595</v>
      </c>
      <c r="AW13" s="47" t="s">
        <v>596</v>
      </c>
      <c r="AX13" s="47">
        <v>0.33333333333333331</v>
      </c>
      <c r="AY13" s="47">
        <v>0.83333333333333337</v>
      </c>
      <c r="AZ13" s="43"/>
      <c r="BB13" s="121" t="s">
        <v>597</v>
      </c>
      <c r="BC13" s="140" t="s">
        <v>20</v>
      </c>
      <c r="BD13" s="140" t="s">
        <v>119</v>
      </c>
      <c r="BE13" s="140" t="s">
        <v>20</v>
      </c>
      <c r="BF13" s="140" t="s">
        <v>20</v>
      </c>
      <c r="BG13" s="140" t="s">
        <v>20</v>
      </c>
      <c r="BH13" s="140" t="s">
        <v>20</v>
      </c>
      <c r="BI13" s="140" t="s">
        <v>80</v>
      </c>
      <c r="BJ13" s="140" t="s">
        <v>20</v>
      </c>
      <c r="BK13" s="140" t="s">
        <v>20</v>
      </c>
      <c r="BL13" s="140" t="s">
        <v>20</v>
      </c>
      <c r="BM13" s="140" t="s">
        <v>20</v>
      </c>
      <c r="BN13" s="140" t="s">
        <v>20</v>
      </c>
      <c r="BO13" s="140" t="s">
        <v>119</v>
      </c>
      <c r="BP13" s="140" t="s">
        <v>119</v>
      </c>
      <c r="BQ13" s="140" t="s">
        <v>20</v>
      </c>
      <c r="BR13" s="140" t="s">
        <v>119</v>
      </c>
      <c r="BS13" s="140" t="s">
        <v>20</v>
      </c>
      <c r="BT13" s="140" t="s">
        <v>20</v>
      </c>
      <c r="BU13" s="140" t="s">
        <v>20</v>
      </c>
      <c r="BV13" s="140" t="s">
        <v>119</v>
      </c>
      <c r="BW13" s="140" t="s">
        <v>119</v>
      </c>
      <c r="BX13" s="140" t="s">
        <v>20</v>
      </c>
      <c r="BY13" s="140" t="s">
        <v>119</v>
      </c>
      <c r="BZ13" s="140" t="s">
        <v>20</v>
      </c>
      <c r="CA13" s="140" t="s">
        <v>119</v>
      </c>
      <c r="CB13" s="140" t="s">
        <v>20</v>
      </c>
      <c r="CC13" s="140" t="s">
        <v>20</v>
      </c>
      <c r="CD13" s="140" t="s">
        <v>119</v>
      </c>
      <c r="CE13" s="140" t="s">
        <v>20</v>
      </c>
      <c r="CF13" s="140" t="s">
        <v>119</v>
      </c>
      <c r="CG13" s="43"/>
    </row>
    <row r="14" spans="1:85" ht="18" customHeight="1" thickBot="1">
      <c r="A14" s="452" t="s">
        <v>598</v>
      </c>
      <c r="B14" s="453"/>
      <c r="C14" s="453"/>
      <c r="D14" s="453"/>
      <c r="E14" s="453"/>
      <c r="F14" s="453"/>
      <c r="G14" s="453"/>
      <c r="H14" s="453"/>
      <c r="I14" s="453"/>
      <c r="J14" s="453"/>
      <c r="K14" s="453"/>
      <c r="L14" s="453"/>
      <c r="M14" s="453"/>
      <c r="N14" s="453"/>
      <c r="O14" s="453"/>
      <c r="P14" s="453"/>
      <c r="Q14" s="453"/>
      <c r="R14" s="453"/>
      <c r="S14" s="453"/>
      <c r="T14" s="453"/>
      <c r="U14" s="453"/>
      <c r="V14" s="453"/>
      <c r="W14" s="453"/>
      <c r="X14" s="453"/>
      <c r="Y14" s="453"/>
      <c r="Z14" s="453"/>
      <c r="AA14" s="453"/>
      <c r="AB14" s="453"/>
      <c r="AC14" s="453"/>
      <c r="AD14" s="453"/>
      <c r="AE14" s="453"/>
      <c r="AF14" s="453"/>
      <c r="AG14" s="453"/>
      <c r="AH14" s="453"/>
      <c r="AI14" s="454"/>
      <c r="AK14" s="440" t="s">
        <v>599</v>
      </c>
      <c r="AL14" s="440"/>
      <c r="AM14" s="440"/>
      <c r="AN14" s="440"/>
      <c r="AO14" s="440"/>
      <c r="AP14" s="440"/>
      <c r="AQ14" s="42">
        <v>1</v>
      </c>
      <c r="AR14" s="43"/>
      <c r="AS14" s="46">
        <v>5</v>
      </c>
      <c r="AT14" s="46"/>
      <c r="AU14" s="46" t="s">
        <v>602</v>
      </c>
      <c r="AV14" s="47" t="s">
        <v>600</v>
      </c>
      <c r="AW14" s="47" t="s">
        <v>596</v>
      </c>
      <c r="AX14" s="47">
        <v>0.33333333333333331</v>
      </c>
      <c r="AY14" s="47">
        <v>0.83333333333333337</v>
      </c>
      <c r="AZ14" s="43"/>
      <c r="BB14" s="121" t="s">
        <v>601</v>
      </c>
      <c r="BC14" s="162" t="s">
        <v>28</v>
      </c>
      <c r="BD14" s="162" t="s">
        <v>602</v>
      </c>
      <c r="BE14" s="162" t="s">
        <v>602</v>
      </c>
      <c r="BF14" s="162" t="s">
        <v>28</v>
      </c>
      <c r="BG14" s="162" t="s">
        <v>602</v>
      </c>
      <c r="BH14" s="162" t="s">
        <v>602</v>
      </c>
      <c r="BI14" s="162" t="s">
        <v>28</v>
      </c>
      <c r="BJ14" s="162" t="s">
        <v>28</v>
      </c>
      <c r="BK14" s="162" t="s">
        <v>602</v>
      </c>
      <c r="BL14" s="162" t="s">
        <v>28</v>
      </c>
      <c r="BM14" s="162" t="s">
        <v>602</v>
      </c>
      <c r="BN14" s="162" t="s">
        <v>28</v>
      </c>
      <c r="BO14" s="162" t="s">
        <v>28</v>
      </c>
      <c r="BP14" s="162" t="s">
        <v>76</v>
      </c>
      <c r="BQ14" s="162" t="s">
        <v>28</v>
      </c>
      <c r="BR14" s="162" t="s">
        <v>602</v>
      </c>
      <c r="BS14" s="162" t="s">
        <v>28</v>
      </c>
      <c r="BT14" s="162" t="s">
        <v>602</v>
      </c>
      <c r="BU14" s="162" t="s">
        <v>28</v>
      </c>
      <c r="BV14" s="162" t="s">
        <v>602</v>
      </c>
      <c r="BW14" s="162" t="s">
        <v>28</v>
      </c>
      <c r="BX14" s="162" t="s">
        <v>28</v>
      </c>
      <c r="BY14" s="162" t="s">
        <v>602</v>
      </c>
      <c r="BZ14" s="162" t="s">
        <v>28</v>
      </c>
      <c r="CA14" s="162" t="s">
        <v>602</v>
      </c>
      <c r="CB14" s="162" t="s">
        <v>28</v>
      </c>
      <c r="CC14" s="162" t="s">
        <v>28</v>
      </c>
      <c r="CD14" s="162" t="s">
        <v>76</v>
      </c>
      <c r="CE14" s="162" t="s">
        <v>28</v>
      </c>
      <c r="CF14" s="162" t="s">
        <v>602</v>
      </c>
      <c r="CG14" s="43"/>
    </row>
    <row r="15" spans="1:85" ht="18" customHeight="1" thickBot="1">
      <c r="A15" s="30" t="s">
        <v>189</v>
      </c>
      <c r="B15" s="264" t="s">
        <v>603</v>
      </c>
      <c r="C15" s="264"/>
      <c r="D15" s="264"/>
      <c r="E15" s="264"/>
      <c r="F15" s="264"/>
      <c r="G15" s="264"/>
      <c r="H15" s="264"/>
      <c r="I15" s="264"/>
      <c r="J15" s="278">
        <f>AQ9+AQ10</f>
        <v>41</v>
      </c>
      <c r="K15" s="278"/>
      <c r="L15" s="278"/>
      <c r="M15" s="264" t="s">
        <v>176</v>
      </c>
      <c r="N15" s="264"/>
      <c r="O15" s="264" t="s">
        <v>604</v>
      </c>
      <c r="P15" s="264"/>
      <c r="Q15" s="264"/>
      <c r="R15" s="264"/>
      <c r="S15" s="264"/>
      <c r="T15" s="264"/>
      <c r="U15" s="264"/>
      <c r="V15" s="264"/>
      <c r="W15" s="278">
        <f>AQ11+AQ12</f>
        <v>40</v>
      </c>
      <c r="X15" s="278"/>
      <c r="Y15" s="278"/>
      <c r="Z15" s="264" t="s">
        <v>176</v>
      </c>
      <c r="AA15" s="264"/>
      <c r="AB15" s="503" t="s">
        <v>605</v>
      </c>
      <c r="AC15" s="503"/>
      <c r="AD15" s="503"/>
      <c r="AE15" s="503"/>
      <c r="AF15" s="503"/>
      <c r="AG15" s="503"/>
      <c r="AH15" s="281" t="s">
        <v>583</v>
      </c>
      <c r="AI15" s="282"/>
      <c r="AK15" s="425" t="s">
        <v>606</v>
      </c>
      <c r="AL15" s="425"/>
      <c r="AM15" s="425"/>
      <c r="AN15" s="425"/>
      <c r="AO15" s="425"/>
      <c r="AP15" s="425"/>
      <c r="AQ15" s="42"/>
      <c r="AR15" s="43"/>
      <c r="AS15" s="46">
        <v>6</v>
      </c>
      <c r="AT15" s="46"/>
      <c r="AU15" s="46"/>
      <c r="AV15" s="47" t="s">
        <v>607</v>
      </c>
      <c r="AW15" s="47" t="s">
        <v>596</v>
      </c>
      <c r="AX15" s="47">
        <v>0.33333333333333331</v>
      </c>
      <c r="AY15" s="47">
        <v>0.83333333333333337</v>
      </c>
      <c r="AZ15" s="43"/>
      <c r="BB15" s="121" t="s">
        <v>31</v>
      </c>
      <c r="BC15" s="163" t="s">
        <v>119</v>
      </c>
      <c r="BD15" s="164"/>
      <c r="BE15" s="165" t="s">
        <v>28</v>
      </c>
      <c r="BF15" s="165" t="s">
        <v>119</v>
      </c>
      <c r="BG15" s="164"/>
      <c r="BH15" s="164"/>
      <c r="BI15" s="164"/>
      <c r="BJ15" s="164"/>
      <c r="BK15" s="165" t="s">
        <v>119</v>
      </c>
      <c r="BL15" s="165" t="s">
        <v>602</v>
      </c>
      <c r="BM15" s="165" t="s">
        <v>119</v>
      </c>
      <c r="BN15" s="165" t="s">
        <v>602</v>
      </c>
      <c r="BO15" s="164"/>
      <c r="BP15" s="164"/>
      <c r="BQ15" s="165" t="s">
        <v>608</v>
      </c>
      <c r="BR15" s="165" t="s">
        <v>20</v>
      </c>
      <c r="BS15" s="165" t="s">
        <v>602</v>
      </c>
      <c r="BT15" s="165" t="s">
        <v>119</v>
      </c>
      <c r="BU15" s="165" t="s">
        <v>602</v>
      </c>
      <c r="BV15" s="164"/>
      <c r="BW15" s="164"/>
      <c r="BX15" s="165" t="s">
        <v>119</v>
      </c>
      <c r="BY15" s="165" t="s">
        <v>20</v>
      </c>
      <c r="BZ15" s="165" t="s">
        <v>602</v>
      </c>
      <c r="CA15" s="165" t="s">
        <v>20</v>
      </c>
      <c r="CB15" s="165" t="s">
        <v>602</v>
      </c>
      <c r="CC15" s="165" t="s">
        <v>602</v>
      </c>
      <c r="CD15" s="164"/>
      <c r="CE15" s="165" t="s">
        <v>119</v>
      </c>
      <c r="CF15" s="165" t="s">
        <v>20</v>
      </c>
      <c r="CG15" s="43"/>
    </row>
    <row r="16" spans="1:85" ht="18" customHeight="1">
      <c r="A16" s="504" t="s">
        <v>609</v>
      </c>
      <c r="B16" s="505"/>
      <c r="C16" s="505"/>
      <c r="D16" s="505"/>
      <c r="E16" s="505"/>
      <c r="F16" s="505"/>
      <c r="G16" s="505"/>
      <c r="H16" s="505"/>
      <c r="I16" s="505"/>
      <c r="J16" s="505"/>
      <c r="K16" s="505"/>
      <c r="L16" s="505"/>
      <c r="M16" s="505"/>
      <c r="N16" s="505"/>
      <c r="O16" s="505"/>
      <c r="P16" s="505"/>
      <c r="Q16" s="505"/>
      <c r="R16" s="505"/>
      <c r="S16" s="505"/>
      <c r="T16" s="505"/>
      <c r="U16" s="505"/>
      <c r="V16" s="505"/>
      <c r="W16" s="505"/>
      <c r="X16" s="505"/>
      <c r="Y16" s="505"/>
      <c r="Z16" s="505"/>
      <c r="AA16" s="505"/>
      <c r="AB16" s="505"/>
      <c r="AC16" s="505"/>
      <c r="AD16" s="505"/>
      <c r="AE16" s="505"/>
      <c r="AF16" s="505"/>
      <c r="AG16" s="505"/>
      <c r="AH16" s="505"/>
      <c r="AI16" s="506"/>
      <c r="AK16" s="425" t="s">
        <v>610</v>
      </c>
      <c r="AL16" s="425"/>
      <c r="AM16" s="425"/>
      <c r="AN16" s="425"/>
      <c r="AO16" s="425"/>
      <c r="AP16" s="425"/>
      <c r="AQ16" s="42"/>
      <c r="AR16" s="43"/>
      <c r="AS16" s="46">
        <v>7</v>
      </c>
      <c r="AT16" s="46"/>
      <c r="AU16" s="46" t="s">
        <v>42</v>
      </c>
      <c r="AV16" s="47" t="s">
        <v>611</v>
      </c>
      <c r="AW16" s="47" t="s">
        <v>612</v>
      </c>
      <c r="AX16" s="47">
        <v>0.83333333333333337</v>
      </c>
      <c r="AY16" s="47" t="s">
        <v>613</v>
      </c>
      <c r="AZ16" s="43"/>
      <c r="BB16" s="121" t="s">
        <v>614</v>
      </c>
      <c r="BC16" s="142" t="s">
        <v>20</v>
      </c>
      <c r="BD16" s="140" t="s">
        <v>67</v>
      </c>
      <c r="BE16" s="142" t="s">
        <v>42</v>
      </c>
      <c r="BF16" s="142" t="s">
        <v>20</v>
      </c>
      <c r="BG16" s="142" t="s">
        <v>42</v>
      </c>
      <c r="BH16" s="142" t="s">
        <v>61</v>
      </c>
      <c r="BI16" s="142" t="s">
        <v>67</v>
      </c>
      <c r="BJ16" s="142" t="s">
        <v>67</v>
      </c>
      <c r="BK16" s="142" t="s">
        <v>42</v>
      </c>
      <c r="BL16" s="142" t="s">
        <v>42</v>
      </c>
      <c r="BM16" s="142" t="s">
        <v>67</v>
      </c>
      <c r="BN16" s="142" t="s">
        <v>67</v>
      </c>
      <c r="BO16" s="142" t="s">
        <v>42</v>
      </c>
      <c r="BP16" s="142" t="s">
        <v>67</v>
      </c>
      <c r="BQ16" s="142" t="s">
        <v>20</v>
      </c>
      <c r="BR16" s="142" t="s">
        <v>71</v>
      </c>
      <c r="BS16" s="142" t="s">
        <v>67</v>
      </c>
      <c r="BT16" s="142" t="s">
        <v>67</v>
      </c>
      <c r="BU16" s="142" t="s">
        <v>61</v>
      </c>
      <c r="BV16" s="142" t="s">
        <v>42</v>
      </c>
      <c r="BW16" s="142" t="s">
        <v>49</v>
      </c>
      <c r="BX16" s="142" t="s">
        <v>20</v>
      </c>
      <c r="BY16" s="142" t="s">
        <v>71</v>
      </c>
      <c r="BZ16" s="142" t="s">
        <v>42</v>
      </c>
      <c r="CA16" s="142" t="s">
        <v>20</v>
      </c>
      <c r="CB16" s="142" t="s">
        <v>61</v>
      </c>
      <c r="CC16" s="142" t="s">
        <v>42</v>
      </c>
      <c r="CD16" s="142" t="s">
        <v>49</v>
      </c>
      <c r="CE16" s="142" t="s">
        <v>20</v>
      </c>
      <c r="CF16" s="143" t="s">
        <v>71</v>
      </c>
      <c r="CG16" s="43"/>
    </row>
    <row r="17" spans="1:85" ht="18" customHeight="1">
      <c r="A17" s="396" t="s">
        <v>615</v>
      </c>
      <c r="B17" s="397"/>
      <c r="C17" s="397"/>
      <c r="D17" s="397"/>
      <c r="E17" s="397"/>
      <c r="F17" s="398" t="s">
        <v>616</v>
      </c>
      <c r="G17" s="398"/>
      <c r="H17" s="398"/>
      <c r="I17" s="398"/>
      <c r="J17" s="398"/>
      <c r="K17" s="398"/>
      <c r="L17" s="398"/>
      <c r="M17" s="398"/>
      <c r="N17" s="398"/>
      <c r="O17" s="398"/>
      <c r="P17" s="398"/>
      <c r="Q17" s="398"/>
      <c r="R17" s="398"/>
      <c r="S17" s="398"/>
      <c r="T17" s="398"/>
      <c r="U17" s="398"/>
      <c r="V17" s="398"/>
      <c r="W17" s="398"/>
      <c r="X17" s="398"/>
      <c r="Y17" s="398"/>
      <c r="Z17" s="398"/>
      <c r="AA17" s="398"/>
      <c r="AB17" s="398"/>
      <c r="AC17" s="398"/>
      <c r="AD17" s="398"/>
      <c r="AE17" s="398"/>
      <c r="AF17" s="398"/>
      <c r="AG17" s="398"/>
      <c r="AH17" s="398"/>
      <c r="AI17" s="399"/>
      <c r="AK17" s="425" t="s">
        <v>617</v>
      </c>
      <c r="AL17" s="425"/>
      <c r="AM17" s="425"/>
      <c r="AN17" s="425"/>
      <c r="AO17" s="425"/>
      <c r="AP17" s="425"/>
      <c r="AQ17" s="42"/>
      <c r="AR17" s="43"/>
      <c r="AS17" s="46">
        <v>8</v>
      </c>
      <c r="AT17" s="46"/>
      <c r="AU17" s="46" t="s">
        <v>67</v>
      </c>
      <c r="AV17" s="47" t="s">
        <v>618</v>
      </c>
      <c r="AW17" s="47" t="s">
        <v>612</v>
      </c>
      <c r="AX17" s="47">
        <v>0.83333333333333337</v>
      </c>
      <c r="AY17" s="47" t="s">
        <v>613</v>
      </c>
      <c r="AZ17" s="43"/>
      <c r="BB17" s="121" t="s">
        <v>619</v>
      </c>
      <c r="BC17" s="141" t="s">
        <v>67</v>
      </c>
      <c r="BD17" s="140" t="s">
        <v>42</v>
      </c>
      <c r="BE17" s="141" t="s">
        <v>71</v>
      </c>
      <c r="BF17" s="140" t="s">
        <v>67</v>
      </c>
      <c r="BG17" s="140" t="s">
        <v>61</v>
      </c>
      <c r="BH17" s="140" t="s">
        <v>42</v>
      </c>
      <c r="BI17" s="140" t="s">
        <v>49</v>
      </c>
      <c r="BJ17" s="140" t="s">
        <v>61</v>
      </c>
      <c r="BK17" s="140" t="s">
        <v>71</v>
      </c>
      <c r="BL17" s="140" t="s">
        <v>67</v>
      </c>
      <c r="BM17" s="140" t="s">
        <v>49</v>
      </c>
      <c r="BN17" s="140" t="s">
        <v>49</v>
      </c>
      <c r="BO17" s="140" t="s">
        <v>61</v>
      </c>
      <c r="BP17" s="140" t="s">
        <v>49</v>
      </c>
      <c r="BQ17" s="140" t="s">
        <v>67</v>
      </c>
      <c r="BR17" s="140" t="s">
        <v>42</v>
      </c>
      <c r="BS17" s="140" t="s">
        <v>42</v>
      </c>
      <c r="BT17" s="140" t="s">
        <v>49</v>
      </c>
      <c r="BU17" s="140" t="s">
        <v>42</v>
      </c>
      <c r="BV17" s="140" t="s">
        <v>61</v>
      </c>
      <c r="BW17" s="140" t="s">
        <v>71</v>
      </c>
      <c r="BX17" s="140" t="s">
        <v>67</v>
      </c>
      <c r="BY17" s="140" t="s">
        <v>42</v>
      </c>
      <c r="BZ17" s="140" t="s">
        <v>67</v>
      </c>
      <c r="CA17" s="140" t="s">
        <v>67</v>
      </c>
      <c r="CB17" s="140" t="s">
        <v>49</v>
      </c>
      <c r="CC17" s="140" t="s">
        <v>61</v>
      </c>
      <c r="CD17" s="140" t="s">
        <v>71</v>
      </c>
      <c r="CE17" s="140" t="s">
        <v>67</v>
      </c>
      <c r="CF17" s="140" t="s">
        <v>42</v>
      </c>
      <c r="CG17" s="43"/>
    </row>
    <row r="18" spans="1:85" ht="18" customHeight="1">
      <c r="A18" s="501" t="s">
        <v>620</v>
      </c>
      <c r="B18" s="502"/>
      <c r="C18" s="502"/>
      <c r="D18" s="502"/>
      <c r="E18" s="502"/>
      <c r="F18" s="400" t="s">
        <v>616</v>
      </c>
      <c r="G18" s="400"/>
      <c r="H18" s="400"/>
      <c r="I18" s="400"/>
      <c r="J18" s="400"/>
      <c r="K18" s="400"/>
      <c r="L18" s="400"/>
      <c r="M18" s="400"/>
      <c r="N18" s="400"/>
      <c r="O18" s="400"/>
      <c r="P18" s="400"/>
      <c r="Q18" s="400"/>
      <c r="R18" s="400"/>
      <c r="S18" s="400"/>
      <c r="T18" s="400"/>
      <c r="U18" s="400"/>
      <c r="V18" s="400"/>
      <c r="W18" s="400"/>
      <c r="X18" s="400"/>
      <c r="Y18" s="400"/>
      <c r="Z18" s="400"/>
      <c r="AA18" s="400"/>
      <c r="AB18" s="400"/>
      <c r="AC18" s="400"/>
      <c r="AD18" s="400"/>
      <c r="AE18" s="400"/>
      <c r="AF18" s="400"/>
      <c r="AG18" s="400"/>
      <c r="AH18" s="400"/>
      <c r="AI18" s="401"/>
      <c r="AK18" s="425" t="s">
        <v>621</v>
      </c>
      <c r="AL18" s="425"/>
      <c r="AM18" s="425"/>
      <c r="AN18" s="425"/>
      <c r="AO18" s="425"/>
      <c r="AP18" s="425"/>
      <c r="AQ18" s="42"/>
      <c r="AR18" s="43"/>
      <c r="AS18" s="46">
        <v>9</v>
      </c>
      <c r="AT18" s="46"/>
      <c r="AU18" s="46"/>
      <c r="AV18" s="47" t="s">
        <v>622</v>
      </c>
      <c r="AW18" s="47" t="s">
        <v>612</v>
      </c>
      <c r="AX18" s="47">
        <v>0.83333333333333337</v>
      </c>
      <c r="AY18" s="47" t="s">
        <v>613</v>
      </c>
      <c r="AZ18" s="43"/>
    </row>
    <row r="19" spans="1:85" ht="18" customHeight="1" thickBot="1">
      <c r="A19" s="35" t="s">
        <v>189</v>
      </c>
      <c r="B19" s="405">
        <v>0.39930555555555558</v>
      </c>
      <c r="C19" s="405"/>
      <c r="D19" s="405"/>
      <c r="E19" s="405"/>
      <c r="F19" s="402" t="s">
        <v>800</v>
      </c>
      <c r="G19" s="402"/>
      <c r="H19" s="402"/>
      <c r="I19" s="402"/>
      <c r="J19" s="402"/>
      <c r="K19" s="402"/>
      <c r="L19" s="402"/>
      <c r="M19" s="402"/>
      <c r="N19" s="402"/>
      <c r="O19" s="402"/>
      <c r="P19" s="402"/>
      <c r="Q19" s="402"/>
      <c r="R19" s="402"/>
      <c r="S19" s="402"/>
      <c r="T19" s="402"/>
      <c r="U19" s="402"/>
      <c r="V19" s="402"/>
      <c r="W19" s="402"/>
      <c r="X19" s="402"/>
      <c r="Y19" s="402"/>
      <c r="Z19" s="402"/>
      <c r="AA19" s="402"/>
      <c r="AB19" s="402"/>
      <c r="AC19" s="402"/>
      <c r="AD19" s="402"/>
      <c r="AE19" s="402"/>
      <c r="AF19" s="402"/>
      <c r="AG19" s="402"/>
      <c r="AH19" s="402"/>
      <c r="AI19" s="403"/>
      <c r="AK19" s="524" t="s">
        <v>623</v>
      </c>
      <c r="AL19" s="524"/>
      <c r="AM19" s="524"/>
      <c r="AN19" s="524"/>
      <c r="AO19" s="524"/>
      <c r="AP19" s="524"/>
      <c r="AQ19" s="58"/>
      <c r="AR19" s="43"/>
      <c r="AS19" s="46">
        <v>10</v>
      </c>
      <c r="AT19" s="46"/>
      <c r="AU19" s="46"/>
      <c r="AV19" s="47" t="s">
        <v>111</v>
      </c>
      <c r="AW19" s="47" t="s">
        <v>612</v>
      </c>
      <c r="AX19" s="47">
        <v>0.83333333333333337</v>
      </c>
      <c r="AY19" s="47" t="s">
        <v>613</v>
      </c>
      <c r="AZ19" s="43"/>
    </row>
    <row r="20" spans="1:85" ht="18" customHeight="1">
      <c r="A20" s="36" t="s">
        <v>189</v>
      </c>
      <c r="B20" s="404">
        <v>0.45833333333333331</v>
      </c>
      <c r="C20" s="404"/>
      <c r="D20" s="404"/>
      <c r="E20" s="404"/>
      <c r="F20" s="288" t="s">
        <v>801</v>
      </c>
      <c r="G20" s="288"/>
      <c r="H20" s="288"/>
      <c r="I20" s="288"/>
      <c r="J20" s="288"/>
      <c r="K20" s="288"/>
      <c r="L20" s="288"/>
      <c r="M20" s="288"/>
      <c r="N20" s="288"/>
      <c r="O20" s="288"/>
      <c r="P20" s="288"/>
      <c r="Q20" s="288"/>
      <c r="R20" s="288"/>
      <c r="S20" s="288"/>
      <c r="T20" s="288"/>
      <c r="U20" s="288"/>
      <c r="V20" s="288"/>
      <c r="W20" s="288"/>
      <c r="X20" s="288"/>
      <c r="Y20" s="288"/>
      <c r="Z20" s="288"/>
      <c r="AA20" s="288"/>
      <c r="AB20" s="288"/>
      <c r="AC20" s="288"/>
      <c r="AD20" s="288"/>
      <c r="AE20" s="288"/>
      <c r="AF20" s="288"/>
      <c r="AG20" s="288"/>
      <c r="AH20" s="288"/>
      <c r="AI20" s="289"/>
      <c r="AK20" s="447" t="s">
        <v>624</v>
      </c>
      <c r="AL20" s="448"/>
      <c r="AM20" s="448"/>
      <c r="AN20" s="448"/>
      <c r="AO20" s="448"/>
      <c r="AP20" s="448"/>
      <c r="AQ20" s="62"/>
      <c r="AR20" s="426" t="s">
        <v>625</v>
      </c>
      <c r="AS20" s="146">
        <v>11</v>
      </c>
      <c r="AT20" s="46"/>
      <c r="AU20" s="46"/>
      <c r="AV20" s="47" t="s">
        <v>111</v>
      </c>
      <c r="AW20" s="47" t="s">
        <v>612</v>
      </c>
      <c r="AX20" s="47">
        <v>0.83333333333333337</v>
      </c>
      <c r="AY20" s="47" t="s">
        <v>613</v>
      </c>
      <c r="AZ20" s="43"/>
    </row>
    <row r="21" spans="1:85" ht="18" customHeight="1" thickBot="1">
      <c r="A21" s="36" t="s">
        <v>189</v>
      </c>
      <c r="B21" s="404">
        <v>0.45833333333333331</v>
      </c>
      <c r="C21" s="404"/>
      <c r="D21" s="404"/>
      <c r="E21" s="404"/>
      <c r="F21" s="288" t="s">
        <v>802</v>
      </c>
      <c r="G21" s="288"/>
      <c r="H21" s="288"/>
      <c r="I21" s="288"/>
      <c r="J21" s="288"/>
      <c r="K21" s="288"/>
      <c r="L21" s="288"/>
      <c r="M21" s="288"/>
      <c r="N21" s="288"/>
      <c r="O21" s="288"/>
      <c r="P21" s="288"/>
      <c r="Q21" s="288"/>
      <c r="R21" s="288"/>
      <c r="S21" s="288"/>
      <c r="T21" s="288"/>
      <c r="U21" s="288"/>
      <c r="V21" s="288"/>
      <c r="W21" s="288"/>
      <c r="X21" s="288"/>
      <c r="Y21" s="288"/>
      <c r="Z21" s="288"/>
      <c r="AA21" s="288"/>
      <c r="AB21" s="288"/>
      <c r="AC21" s="288"/>
      <c r="AD21" s="288"/>
      <c r="AE21" s="288"/>
      <c r="AF21" s="288"/>
      <c r="AG21" s="288"/>
      <c r="AH21" s="288"/>
      <c r="AI21" s="289"/>
      <c r="AK21" s="429" t="s">
        <v>626</v>
      </c>
      <c r="AL21" s="430"/>
      <c r="AM21" s="430"/>
      <c r="AN21" s="430"/>
      <c r="AO21" s="430"/>
      <c r="AP21" s="430"/>
      <c r="AQ21" s="63"/>
      <c r="AR21" s="427"/>
      <c r="AW21" s="43"/>
      <c r="AX21" s="43"/>
      <c r="AY21" s="43"/>
      <c r="AZ21" s="43"/>
    </row>
    <row r="22" spans="1:85" ht="18" customHeight="1">
      <c r="A22" s="36"/>
      <c r="B22" s="404"/>
      <c r="C22" s="404"/>
      <c r="D22" s="404"/>
      <c r="E22" s="404"/>
      <c r="F22" s="288" t="s">
        <v>803</v>
      </c>
      <c r="G22" s="288"/>
      <c r="H22" s="288"/>
      <c r="I22" s="288"/>
      <c r="J22" s="288"/>
      <c r="K22" s="288"/>
      <c r="L22" s="288"/>
      <c r="M22" s="288"/>
      <c r="N22" s="288"/>
      <c r="O22" s="288"/>
      <c r="P22" s="288"/>
      <c r="Q22" s="288"/>
      <c r="R22" s="288"/>
      <c r="S22" s="288"/>
      <c r="T22" s="288"/>
      <c r="U22" s="288"/>
      <c r="V22" s="288"/>
      <c r="W22" s="288"/>
      <c r="X22" s="288"/>
      <c r="Y22" s="288"/>
      <c r="Z22" s="288"/>
      <c r="AA22" s="288"/>
      <c r="AB22" s="288"/>
      <c r="AC22" s="288"/>
      <c r="AD22" s="288"/>
      <c r="AE22" s="288"/>
      <c r="AF22" s="288"/>
      <c r="AG22" s="288"/>
      <c r="AH22" s="288"/>
      <c r="AI22" s="289"/>
      <c r="AK22" s="429" t="s">
        <v>627</v>
      </c>
      <c r="AL22" s="430"/>
      <c r="AM22" s="430"/>
      <c r="AN22" s="430"/>
      <c r="AO22" s="430"/>
      <c r="AP22" s="430"/>
      <c r="AQ22" s="63">
        <v>1</v>
      </c>
      <c r="AR22" s="427"/>
      <c r="AS22" s="433" t="s">
        <v>628</v>
      </c>
      <c r="AT22" s="434"/>
      <c r="AU22" s="435"/>
      <c r="AV22" s="435"/>
      <c r="AW22" s="60" t="s">
        <v>74</v>
      </c>
      <c r="AY22" s="413" t="s">
        <v>629</v>
      </c>
      <c r="AZ22" s="413"/>
      <c r="BA22" s="412"/>
      <c r="BB22" s="412"/>
    </row>
    <row r="23" spans="1:85" ht="18" customHeight="1" thickBot="1">
      <c r="A23" s="36" t="s">
        <v>189</v>
      </c>
      <c r="B23" s="404">
        <v>0.50972222222222219</v>
      </c>
      <c r="C23" s="404"/>
      <c r="D23" s="404"/>
      <c r="E23" s="404"/>
      <c r="F23" s="288" t="s">
        <v>804</v>
      </c>
      <c r="G23" s="288"/>
      <c r="H23" s="288"/>
      <c r="I23" s="288"/>
      <c r="J23" s="288"/>
      <c r="K23" s="288"/>
      <c r="L23" s="288"/>
      <c r="M23" s="288"/>
      <c r="N23" s="288"/>
      <c r="O23" s="288"/>
      <c r="P23" s="288"/>
      <c r="Q23" s="288"/>
      <c r="R23" s="288"/>
      <c r="S23" s="288"/>
      <c r="T23" s="288"/>
      <c r="U23" s="288"/>
      <c r="V23" s="288"/>
      <c r="W23" s="288"/>
      <c r="X23" s="288"/>
      <c r="Y23" s="288"/>
      <c r="Z23" s="288"/>
      <c r="AA23" s="288"/>
      <c r="AB23" s="288"/>
      <c r="AC23" s="288"/>
      <c r="AD23" s="288"/>
      <c r="AE23" s="288"/>
      <c r="AF23" s="288"/>
      <c r="AG23" s="288"/>
      <c r="AH23" s="288"/>
      <c r="AI23" s="289"/>
      <c r="AK23" s="431" t="s">
        <v>630</v>
      </c>
      <c r="AL23" s="432"/>
      <c r="AM23" s="432"/>
      <c r="AN23" s="432"/>
      <c r="AO23" s="432"/>
      <c r="AP23" s="432"/>
      <c r="AQ23" s="64"/>
      <c r="AR23" s="428"/>
      <c r="AS23" s="536" t="s">
        <v>631</v>
      </c>
      <c r="AT23" s="246"/>
      <c r="AU23" s="537"/>
      <c r="AV23" s="537"/>
      <c r="AW23" s="56" t="s">
        <v>632</v>
      </c>
      <c r="AY23" s="413" t="s">
        <v>633</v>
      </c>
      <c r="AZ23" s="413"/>
      <c r="BA23" s="412"/>
      <c r="BB23" s="412"/>
    </row>
    <row r="24" spans="1:85" ht="18" customHeight="1" thickBot="1">
      <c r="A24" s="36"/>
      <c r="B24" s="404">
        <v>0.51249999999999996</v>
      </c>
      <c r="C24" s="404"/>
      <c r="D24" s="404"/>
      <c r="E24" s="404"/>
      <c r="F24" s="288" t="s">
        <v>805</v>
      </c>
      <c r="G24" s="288"/>
      <c r="H24" s="288"/>
      <c r="I24" s="288"/>
      <c r="J24" s="288"/>
      <c r="K24" s="288"/>
      <c r="L24" s="288"/>
      <c r="M24" s="288"/>
      <c r="N24" s="288"/>
      <c r="O24" s="288"/>
      <c r="P24" s="288"/>
      <c r="Q24" s="288"/>
      <c r="R24" s="288"/>
      <c r="S24" s="288"/>
      <c r="T24" s="288"/>
      <c r="U24" s="288"/>
      <c r="V24" s="288"/>
      <c r="W24" s="288"/>
      <c r="X24" s="288"/>
      <c r="Y24" s="288"/>
      <c r="Z24" s="288"/>
      <c r="AA24" s="288"/>
      <c r="AB24" s="288"/>
      <c r="AC24" s="288"/>
      <c r="AD24" s="288"/>
      <c r="AE24" s="288"/>
      <c r="AF24" s="288"/>
      <c r="AG24" s="288"/>
      <c r="AH24" s="288"/>
      <c r="AI24" s="289"/>
      <c r="AK24" s="527" t="s">
        <v>634</v>
      </c>
      <c r="AL24" s="528"/>
      <c r="AM24" s="528"/>
      <c r="AN24" s="528"/>
      <c r="AO24" s="528"/>
      <c r="AP24" s="528"/>
      <c r="AQ24" s="65"/>
      <c r="AR24" s="43"/>
      <c r="AY24" s="413" t="s">
        <v>635</v>
      </c>
      <c r="AZ24" s="413"/>
      <c r="BA24" s="412"/>
      <c r="BB24" s="412"/>
    </row>
    <row r="25" spans="1:85" ht="18" customHeight="1">
      <c r="A25" s="36"/>
      <c r="B25" s="404"/>
      <c r="C25" s="404"/>
      <c r="D25" s="404"/>
      <c r="E25" s="404"/>
      <c r="F25" s="288" t="s">
        <v>806</v>
      </c>
      <c r="G25" s="288"/>
      <c r="H25" s="288"/>
      <c r="I25" s="288"/>
      <c r="J25" s="288"/>
      <c r="K25" s="288"/>
      <c r="L25" s="288"/>
      <c r="M25" s="288"/>
      <c r="N25" s="288"/>
      <c r="O25" s="288"/>
      <c r="P25" s="288"/>
      <c r="Q25" s="288"/>
      <c r="R25" s="288"/>
      <c r="S25" s="288"/>
      <c r="T25" s="288"/>
      <c r="U25" s="288"/>
      <c r="V25" s="288"/>
      <c r="W25" s="288"/>
      <c r="X25" s="288"/>
      <c r="Y25" s="288"/>
      <c r="Z25" s="288"/>
      <c r="AA25" s="288"/>
      <c r="AB25" s="288"/>
      <c r="AC25" s="288"/>
      <c r="AD25" s="288"/>
      <c r="AE25" s="288"/>
      <c r="AF25" s="288"/>
      <c r="AG25" s="288"/>
      <c r="AH25" s="288"/>
      <c r="AI25" s="289"/>
      <c r="AK25" s="529" t="s">
        <v>636</v>
      </c>
      <c r="AL25" s="529"/>
      <c r="AM25" s="529"/>
      <c r="AN25" s="529"/>
      <c r="AO25" s="529"/>
      <c r="AP25" s="529"/>
      <c r="AQ25" s="66"/>
      <c r="AR25" s="43"/>
      <c r="AY25" s="413" t="s">
        <v>637</v>
      </c>
      <c r="AZ25" s="413"/>
      <c r="BA25" s="412"/>
      <c r="BB25" s="412"/>
    </row>
    <row r="26" spans="1:85" ht="18" customHeight="1">
      <c r="A26" s="36" t="s">
        <v>189</v>
      </c>
      <c r="B26" s="404">
        <v>0.57847222222222228</v>
      </c>
      <c r="C26" s="404"/>
      <c r="D26" s="404"/>
      <c r="E26" s="404"/>
      <c r="F26" s="288" t="s">
        <v>807</v>
      </c>
      <c r="G26" s="288"/>
      <c r="H26" s="288"/>
      <c r="I26" s="288"/>
      <c r="J26" s="288"/>
      <c r="K26" s="288"/>
      <c r="L26" s="288"/>
      <c r="M26" s="288"/>
      <c r="N26" s="288"/>
      <c r="O26" s="288"/>
      <c r="P26" s="288"/>
      <c r="Q26" s="288"/>
      <c r="R26" s="288"/>
      <c r="S26" s="288"/>
      <c r="T26" s="288"/>
      <c r="U26" s="288"/>
      <c r="V26" s="288"/>
      <c r="W26" s="288"/>
      <c r="X26" s="288"/>
      <c r="Y26" s="288"/>
      <c r="Z26" s="288"/>
      <c r="AA26" s="288"/>
      <c r="AB26" s="288"/>
      <c r="AC26" s="288"/>
      <c r="AD26" s="288"/>
      <c r="AE26" s="288"/>
      <c r="AF26" s="288"/>
      <c r="AG26" s="288"/>
      <c r="AH26" s="288"/>
      <c r="AI26" s="289"/>
      <c r="AK26" s="436" t="s">
        <v>638</v>
      </c>
      <c r="AL26" s="436"/>
      <c r="AM26" s="436"/>
      <c r="AN26" s="436"/>
      <c r="AO26" s="436"/>
      <c r="AP26" s="436"/>
      <c r="AQ26" s="67"/>
      <c r="AR26" s="43"/>
      <c r="AS26" s="548" t="s">
        <v>639</v>
      </c>
      <c r="AT26" s="549"/>
      <c r="AU26" s="549"/>
      <c r="AV26" s="549"/>
      <c r="AW26" s="550"/>
      <c r="AY26" s="147"/>
      <c r="AZ26" s="147"/>
      <c r="BA26" s="147"/>
      <c r="BB26" s="147"/>
    </row>
    <row r="27" spans="1:85" ht="18" customHeight="1">
      <c r="A27" s="36" t="s">
        <v>189</v>
      </c>
      <c r="B27" s="404">
        <v>0.59236111111111112</v>
      </c>
      <c r="C27" s="404"/>
      <c r="D27" s="404"/>
      <c r="E27" s="404"/>
      <c r="F27" s="288" t="s">
        <v>808</v>
      </c>
      <c r="G27" s="288"/>
      <c r="H27" s="288"/>
      <c r="I27" s="288"/>
      <c r="J27" s="288"/>
      <c r="K27" s="288"/>
      <c r="L27" s="288"/>
      <c r="M27" s="288"/>
      <c r="N27" s="288"/>
      <c r="O27" s="288"/>
      <c r="P27" s="288"/>
      <c r="Q27" s="288"/>
      <c r="R27" s="288"/>
      <c r="S27" s="288"/>
      <c r="T27" s="288"/>
      <c r="U27" s="288"/>
      <c r="V27" s="288"/>
      <c r="W27" s="288"/>
      <c r="X27" s="288"/>
      <c r="Y27" s="288"/>
      <c r="Z27" s="288"/>
      <c r="AA27" s="288"/>
      <c r="AB27" s="288"/>
      <c r="AC27" s="288"/>
      <c r="AD27" s="288"/>
      <c r="AE27" s="288"/>
      <c r="AF27" s="288"/>
      <c r="AG27" s="288"/>
      <c r="AH27" s="288"/>
      <c r="AI27" s="289"/>
      <c r="AK27" s="436" t="s">
        <v>640</v>
      </c>
      <c r="AL27" s="436"/>
      <c r="AM27" s="436"/>
      <c r="AN27" s="436"/>
      <c r="AO27" s="436"/>
      <c r="AP27" s="436"/>
      <c r="AQ27" s="67"/>
      <c r="AR27" s="43"/>
      <c r="AS27" s="458" t="s">
        <v>641</v>
      </c>
      <c r="AT27" s="460"/>
      <c r="AU27" s="458" t="s">
        <v>642</v>
      </c>
      <c r="AV27" s="459"/>
      <c r="AW27" s="460"/>
      <c r="AY27" s="411" t="s">
        <v>643</v>
      </c>
      <c r="AZ27" s="411"/>
      <c r="BA27" s="411"/>
      <c r="BB27" s="411"/>
    </row>
    <row r="28" spans="1:85" ht="18" customHeight="1" thickBot="1">
      <c r="A28" s="36" t="s">
        <v>189</v>
      </c>
      <c r="B28" s="404">
        <v>0.59513888888888888</v>
      </c>
      <c r="C28" s="404"/>
      <c r="D28" s="404"/>
      <c r="E28" s="404"/>
      <c r="F28" s="288" t="s">
        <v>809</v>
      </c>
      <c r="G28" s="288"/>
      <c r="H28" s="288"/>
      <c r="I28" s="288"/>
      <c r="J28" s="288"/>
      <c r="K28" s="288"/>
      <c r="L28" s="288"/>
      <c r="M28" s="288"/>
      <c r="N28" s="288"/>
      <c r="O28" s="288"/>
      <c r="P28" s="288"/>
      <c r="Q28" s="288"/>
      <c r="R28" s="288"/>
      <c r="S28" s="288"/>
      <c r="T28" s="288"/>
      <c r="U28" s="288"/>
      <c r="V28" s="288"/>
      <c r="W28" s="288"/>
      <c r="X28" s="288"/>
      <c r="Y28" s="288"/>
      <c r="Z28" s="288"/>
      <c r="AA28" s="288"/>
      <c r="AB28" s="288"/>
      <c r="AC28" s="288"/>
      <c r="AD28" s="288"/>
      <c r="AE28" s="288"/>
      <c r="AF28" s="288"/>
      <c r="AG28" s="288"/>
      <c r="AH28" s="288"/>
      <c r="AI28" s="289"/>
      <c r="AK28" s="436" t="s">
        <v>644</v>
      </c>
      <c r="AL28" s="436"/>
      <c r="AM28" s="436"/>
      <c r="AN28" s="436"/>
      <c r="AO28" s="436"/>
      <c r="AP28" s="436"/>
      <c r="AQ28" s="67">
        <v>1</v>
      </c>
      <c r="AR28" s="43"/>
      <c r="AS28" s="538" t="s">
        <v>645</v>
      </c>
      <c r="AT28" s="539"/>
      <c r="AU28" s="533" t="s">
        <v>646</v>
      </c>
      <c r="AV28" s="534"/>
      <c r="AW28" s="535"/>
      <c r="AY28" s="413" t="s">
        <v>647</v>
      </c>
      <c r="AZ28" s="413"/>
      <c r="BA28" s="412"/>
      <c r="BB28" s="412"/>
    </row>
    <row r="29" spans="1:85" ht="18" customHeight="1" thickBot="1">
      <c r="A29" s="36" t="s">
        <v>189</v>
      </c>
      <c r="B29" s="404">
        <v>0.60416666666666663</v>
      </c>
      <c r="C29" s="404"/>
      <c r="D29" s="404"/>
      <c r="E29" s="404"/>
      <c r="F29" s="288" t="s">
        <v>810</v>
      </c>
      <c r="G29" s="288"/>
      <c r="H29" s="288"/>
      <c r="I29" s="288"/>
      <c r="J29" s="288"/>
      <c r="K29" s="288"/>
      <c r="L29" s="288"/>
      <c r="M29" s="288"/>
      <c r="N29" s="288"/>
      <c r="O29" s="288"/>
      <c r="P29" s="288"/>
      <c r="Q29" s="288"/>
      <c r="R29" s="288"/>
      <c r="S29" s="288"/>
      <c r="T29" s="288"/>
      <c r="U29" s="288"/>
      <c r="V29" s="288"/>
      <c r="W29" s="288"/>
      <c r="X29" s="288"/>
      <c r="Y29" s="288"/>
      <c r="Z29" s="288"/>
      <c r="AA29" s="288"/>
      <c r="AB29" s="288"/>
      <c r="AC29" s="288"/>
      <c r="AD29" s="288"/>
      <c r="AE29" s="288"/>
      <c r="AF29" s="288"/>
      <c r="AG29" s="288"/>
      <c r="AH29" s="288"/>
      <c r="AI29" s="289"/>
      <c r="AK29" s="524"/>
      <c r="AL29" s="524"/>
      <c r="AM29" s="524"/>
      <c r="AN29" s="524"/>
      <c r="AO29" s="524"/>
      <c r="AP29" s="524"/>
      <c r="AQ29" s="58"/>
      <c r="AR29" s="43"/>
      <c r="AS29" s="551">
        <v>0.26805555555555555</v>
      </c>
      <c r="AT29" s="552"/>
      <c r="AU29" s="434" t="s">
        <v>799</v>
      </c>
      <c r="AV29" s="434"/>
      <c r="AW29" s="553"/>
      <c r="AY29" s="413" t="s">
        <v>633</v>
      </c>
      <c r="AZ29" s="413"/>
      <c r="BA29" s="412"/>
      <c r="BB29" s="412"/>
    </row>
    <row r="30" spans="1:85" ht="18" customHeight="1">
      <c r="A30" s="36" t="s">
        <v>189</v>
      </c>
      <c r="B30" s="404">
        <v>0.8125</v>
      </c>
      <c r="C30" s="404"/>
      <c r="D30" s="404"/>
      <c r="E30" s="404"/>
      <c r="F30" s="288" t="s">
        <v>811</v>
      </c>
      <c r="G30" s="288"/>
      <c r="H30" s="288"/>
      <c r="I30" s="288"/>
      <c r="J30" s="288"/>
      <c r="K30" s="288"/>
      <c r="L30" s="288"/>
      <c r="M30" s="288"/>
      <c r="N30" s="288"/>
      <c r="O30" s="288"/>
      <c r="P30" s="288"/>
      <c r="Q30" s="288"/>
      <c r="R30" s="288"/>
      <c r="S30" s="288"/>
      <c r="T30" s="288"/>
      <c r="U30" s="288"/>
      <c r="V30" s="288"/>
      <c r="W30" s="288"/>
      <c r="X30" s="288"/>
      <c r="Y30" s="288"/>
      <c r="Z30" s="288"/>
      <c r="AA30" s="288"/>
      <c r="AB30" s="288"/>
      <c r="AC30" s="288"/>
      <c r="AD30" s="288"/>
      <c r="AE30" s="288"/>
      <c r="AF30" s="288"/>
      <c r="AG30" s="288"/>
      <c r="AH30" s="288"/>
      <c r="AI30" s="289"/>
      <c r="AK30" s="449" t="s">
        <v>648</v>
      </c>
      <c r="AL30" s="450"/>
      <c r="AM30" s="450"/>
      <c r="AN30" s="450"/>
      <c r="AO30" s="450"/>
      <c r="AP30" s="450"/>
      <c r="AQ30" s="62"/>
      <c r="AR30" s="43"/>
      <c r="AS30" s="554"/>
      <c r="AT30" s="532"/>
      <c r="AU30" s="439"/>
      <c r="AV30" s="439"/>
      <c r="AW30" s="555"/>
      <c r="AY30" s="413" t="s">
        <v>649</v>
      </c>
      <c r="AZ30" s="413"/>
      <c r="BA30" s="412"/>
      <c r="BB30" s="412"/>
    </row>
    <row r="31" spans="1:85" ht="18" customHeight="1" thickBot="1">
      <c r="A31" s="37" t="s">
        <v>189</v>
      </c>
      <c r="B31" s="466">
        <v>0.90069444444444446</v>
      </c>
      <c r="C31" s="466"/>
      <c r="D31" s="466"/>
      <c r="E31" s="466"/>
      <c r="F31" s="467" t="s">
        <v>714</v>
      </c>
      <c r="G31" s="467"/>
      <c r="H31" s="467"/>
      <c r="I31" s="467"/>
      <c r="J31" s="467"/>
      <c r="K31" s="467"/>
      <c r="L31" s="467"/>
      <c r="M31" s="467"/>
      <c r="N31" s="467"/>
      <c r="O31" s="467"/>
      <c r="P31" s="467"/>
      <c r="Q31" s="467"/>
      <c r="R31" s="467"/>
      <c r="S31" s="467"/>
      <c r="T31" s="467"/>
      <c r="U31" s="467"/>
      <c r="V31" s="467"/>
      <c r="W31" s="467"/>
      <c r="X31" s="467"/>
      <c r="Y31" s="467"/>
      <c r="Z31" s="467"/>
      <c r="AA31" s="467"/>
      <c r="AB31" s="467"/>
      <c r="AC31" s="467"/>
      <c r="AD31" s="467"/>
      <c r="AE31" s="467"/>
      <c r="AF31" s="467"/>
      <c r="AG31" s="467"/>
      <c r="AH31" s="467"/>
      <c r="AI31" s="468"/>
      <c r="AK31" s="451" t="s">
        <v>650</v>
      </c>
      <c r="AL31" s="416"/>
      <c r="AM31" s="416"/>
      <c r="AN31" s="416"/>
      <c r="AO31" s="416"/>
      <c r="AP31" s="416"/>
      <c r="AQ31" s="64"/>
      <c r="AR31" s="48"/>
      <c r="AS31" s="556"/>
      <c r="AT31" s="557"/>
      <c r="AU31" s="424"/>
      <c r="AV31" s="424"/>
      <c r="AW31" s="491"/>
      <c r="AY31" s="413" t="s">
        <v>637</v>
      </c>
      <c r="AZ31" s="413"/>
      <c r="BA31" s="412"/>
      <c r="BB31" s="412"/>
    </row>
    <row r="32" spans="1:85" ht="18" customHeight="1" thickBot="1">
      <c r="A32" s="406" t="s">
        <v>651</v>
      </c>
      <c r="B32" s="407"/>
      <c r="C32" s="407"/>
      <c r="D32" s="407"/>
      <c r="E32" s="407"/>
      <c r="F32" s="407"/>
      <c r="G32" s="407"/>
      <c r="H32" s="407"/>
      <c r="I32" s="407"/>
      <c r="J32" s="407"/>
      <c r="K32" s="407"/>
      <c r="L32" s="407"/>
      <c r="M32" s="407"/>
      <c r="N32" s="407"/>
      <c r="O32" s="407"/>
      <c r="P32" s="407"/>
      <c r="Q32" s="407"/>
      <c r="R32" s="407"/>
      <c r="S32" s="407"/>
      <c r="T32" s="407"/>
      <c r="U32" s="407"/>
      <c r="V32" s="407"/>
      <c r="W32" s="407"/>
      <c r="X32" s="407"/>
      <c r="Y32" s="407"/>
      <c r="Z32" s="407"/>
      <c r="AA32" s="407"/>
      <c r="AB32" s="407"/>
      <c r="AC32" s="407"/>
      <c r="AD32" s="407"/>
      <c r="AE32" s="407"/>
      <c r="AF32" s="407"/>
      <c r="AG32" s="407"/>
      <c r="AH32" s="407"/>
      <c r="AI32" s="408"/>
      <c r="AK32" s="531"/>
      <c r="AL32" s="531"/>
      <c r="AM32" s="531"/>
      <c r="AN32" s="531"/>
      <c r="AO32" s="531"/>
      <c r="AP32" s="531"/>
      <c r="AQ32" s="61"/>
      <c r="AR32" s="48"/>
      <c r="AS32" s="558"/>
      <c r="AT32" s="558"/>
      <c r="AU32" s="559"/>
      <c r="AV32" s="559"/>
      <c r="AW32" s="559"/>
      <c r="AY32" s="413" t="s">
        <v>652</v>
      </c>
      <c r="AZ32" s="413"/>
      <c r="BA32" s="412"/>
      <c r="BB32" s="412"/>
    </row>
    <row r="33" spans="1:80" ht="18" customHeight="1">
      <c r="A33" s="39"/>
      <c r="B33" s="546" t="s">
        <v>653</v>
      </c>
      <c r="C33" s="546"/>
      <c r="D33" s="546"/>
      <c r="E33" s="546"/>
      <c r="F33" s="417" t="str" cm="1">
        <f t="array" ref="F33">_xlfn.TEXTJOIN("/",TRUE,IF(AS29:AS31&lt;&gt;"",TEXT(AS29:AS31,"h:mm")&amp;" "&amp;AU29:AU31,""))</f>
        <v>6:26 45階屋外ストレージ2</v>
      </c>
      <c r="G33" s="418"/>
      <c r="H33" s="418"/>
      <c r="I33" s="418"/>
      <c r="J33" s="418"/>
      <c r="K33" s="418"/>
      <c r="L33" s="418"/>
      <c r="M33" s="418"/>
      <c r="N33" s="418"/>
      <c r="O33" s="418"/>
      <c r="P33" s="418"/>
      <c r="Q33" s="418"/>
      <c r="R33" s="418"/>
      <c r="S33" s="418"/>
      <c r="T33" s="418"/>
      <c r="U33" s="418"/>
      <c r="V33" s="418"/>
      <c r="W33" s="418"/>
      <c r="X33" s="418"/>
      <c r="Y33" s="418"/>
      <c r="Z33" s="418"/>
      <c r="AA33" s="418"/>
      <c r="AB33" s="418"/>
      <c r="AC33" s="418"/>
      <c r="AD33" s="418"/>
      <c r="AE33" s="418"/>
      <c r="AF33" s="418"/>
      <c r="AG33" s="418"/>
      <c r="AH33" s="418"/>
      <c r="AI33" s="419"/>
      <c r="AK33" s="449" t="s">
        <v>654</v>
      </c>
      <c r="AL33" s="450"/>
      <c r="AM33" s="450"/>
      <c r="AN33" s="450"/>
      <c r="AO33" s="450"/>
      <c r="AP33" s="450"/>
      <c r="AQ33" s="60"/>
      <c r="AR33" s="48"/>
      <c r="AS33" s="532"/>
      <c r="AT33" s="532"/>
      <c r="AU33" s="439"/>
      <c r="AV33" s="439"/>
      <c r="AW33" s="439"/>
      <c r="AY33" s="413" t="s">
        <v>655</v>
      </c>
      <c r="AZ33" s="413"/>
      <c r="BA33" s="412"/>
      <c r="BB33" s="412"/>
    </row>
    <row r="34" spans="1:80" ht="18" customHeight="1" thickBot="1">
      <c r="A34" s="39"/>
      <c r="B34" s="546" t="s">
        <v>656</v>
      </c>
      <c r="C34" s="546"/>
      <c r="D34" s="546"/>
      <c r="E34" s="546"/>
      <c r="F34" s="420" t="s">
        <v>79</v>
      </c>
      <c r="G34" s="420"/>
      <c r="H34" s="420"/>
      <c r="I34" s="420"/>
      <c r="J34" s="420"/>
      <c r="K34" s="420"/>
      <c r="L34" s="420"/>
      <c r="M34" s="420"/>
      <c r="N34" s="420"/>
      <c r="O34" s="420"/>
      <c r="P34" s="420"/>
      <c r="Q34" s="420"/>
      <c r="R34" s="420"/>
      <c r="S34" s="420"/>
      <c r="T34" s="420"/>
      <c r="U34" s="420"/>
      <c r="V34" s="420"/>
      <c r="W34" s="420"/>
      <c r="X34" s="420"/>
      <c r="Y34" s="420"/>
      <c r="Z34" s="420"/>
      <c r="AA34" s="420"/>
      <c r="AB34" s="420"/>
      <c r="AC34" s="421"/>
      <c r="AD34" s="421"/>
      <c r="AE34" s="421"/>
      <c r="AF34" s="421"/>
      <c r="AG34" s="421"/>
      <c r="AH34" s="421"/>
      <c r="AI34" s="422"/>
      <c r="AK34" s="451" t="s">
        <v>657</v>
      </c>
      <c r="AL34" s="416"/>
      <c r="AM34" s="416"/>
      <c r="AN34" s="416"/>
      <c r="AO34" s="416"/>
      <c r="AP34" s="416"/>
      <c r="AQ34" s="56"/>
      <c r="AR34" s="48"/>
      <c r="AS34" s="532"/>
      <c r="AT34" s="532"/>
      <c r="AU34" s="439"/>
      <c r="AV34" s="439"/>
      <c r="AW34" s="439"/>
      <c r="AY34" s="413" t="s">
        <v>658</v>
      </c>
      <c r="AZ34" s="413"/>
      <c r="BA34" s="412"/>
      <c r="BB34" s="412"/>
    </row>
    <row r="35" spans="1:80" ht="18" customHeight="1" thickBot="1">
      <c r="A35" s="57"/>
      <c r="B35" s="547" t="s">
        <v>659</v>
      </c>
      <c r="C35" s="547"/>
      <c r="D35" s="547"/>
      <c r="E35" s="547"/>
      <c r="F35" s="389" t="s">
        <v>660</v>
      </c>
      <c r="G35" s="389"/>
      <c r="H35" s="389"/>
      <c r="I35" s="389"/>
      <c r="J35" s="389"/>
      <c r="K35" s="389"/>
      <c r="L35" s="389"/>
      <c r="M35" s="389"/>
      <c r="N35" s="389"/>
      <c r="O35" s="389"/>
      <c r="P35" s="389"/>
      <c r="Q35" s="389"/>
      <c r="R35" s="389"/>
      <c r="S35" s="389"/>
      <c r="T35" s="389"/>
      <c r="U35" s="389"/>
      <c r="V35" s="389"/>
      <c r="W35" s="390" t="s">
        <v>661</v>
      </c>
      <c r="X35" s="391"/>
      <c r="Y35" s="391"/>
      <c r="Z35" s="391"/>
      <c r="AA35" s="391"/>
      <c r="AB35" s="391"/>
      <c r="AC35" s="392" t="s">
        <v>662</v>
      </c>
      <c r="AD35" s="393"/>
      <c r="AE35" s="393"/>
      <c r="AF35" s="393"/>
      <c r="AG35" s="393"/>
      <c r="AH35" s="393"/>
      <c r="AI35" s="394"/>
      <c r="AK35" s="531"/>
      <c r="AL35" s="531"/>
      <c r="AM35" s="531"/>
      <c r="AN35" s="531"/>
      <c r="AO35" s="531"/>
      <c r="AP35" s="531"/>
      <c r="AQ35" s="61"/>
      <c r="AR35" s="48"/>
      <c r="AS35" s="532"/>
      <c r="AT35" s="532"/>
      <c r="AU35" s="439"/>
      <c r="AV35" s="439"/>
      <c r="AW35" s="439"/>
      <c r="AY35" s="413" t="s">
        <v>663</v>
      </c>
      <c r="AZ35" s="413"/>
      <c r="BA35" s="412"/>
      <c r="BB35" s="412"/>
    </row>
    <row r="36" spans="1:80" ht="18" customHeight="1" thickBot="1">
      <c r="A36" s="492" t="s">
        <v>664</v>
      </c>
      <c r="B36" s="493"/>
      <c r="C36" s="493"/>
      <c r="D36" s="493"/>
      <c r="E36" s="493"/>
      <c r="F36" s="498">
        <v>4.1666666666666664E-2</v>
      </c>
      <c r="G36" s="439"/>
      <c r="H36" s="439"/>
      <c r="I36" s="439"/>
      <c r="J36" s="439"/>
      <c r="K36" s="439"/>
      <c r="L36" s="499" t="s">
        <v>665</v>
      </c>
      <c r="M36" s="489"/>
      <c r="N36" s="489"/>
      <c r="O36" s="500"/>
      <c r="P36" s="410" t="s">
        <v>43</v>
      </c>
      <c r="Q36" s="410"/>
      <c r="R36" s="410"/>
      <c r="S36" s="55" t="s">
        <v>666</v>
      </c>
      <c r="T36" s="410" t="s">
        <v>72</v>
      </c>
      <c r="U36" s="410"/>
      <c r="V36" s="530"/>
      <c r="W36" s="489" t="s">
        <v>667</v>
      </c>
      <c r="X36" s="489"/>
      <c r="Y36" s="489"/>
      <c r="Z36" s="489"/>
      <c r="AA36" s="489"/>
      <c r="AB36" s="489"/>
      <c r="AC36" s="490" t="s">
        <v>722</v>
      </c>
      <c r="AD36" s="487"/>
      <c r="AE36" s="487"/>
      <c r="AF36" s="487"/>
      <c r="AG36" s="487"/>
      <c r="AH36" s="487"/>
      <c r="AI36" s="488"/>
      <c r="AK36" s="525" t="s">
        <v>668</v>
      </c>
      <c r="AL36" s="526"/>
      <c r="AM36" s="526"/>
      <c r="AN36" s="526"/>
      <c r="AO36" s="526"/>
      <c r="AP36" s="526"/>
      <c r="AQ36" s="117"/>
      <c r="AR36" s="48"/>
      <c r="AS36" s="532"/>
      <c r="AT36" s="532"/>
      <c r="AU36" s="439"/>
      <c r="AV36" s="439"/>
      <c r="AW36" s="439"/>
      <c r="BH36" s="50"/>
      <c r="BI36" s="51"/>
    </row>
    <row r="37" spans="1:80" ht="18" customHeight="1" thickBot="1">
      <c r="A37" s="494" t="s">
        <v>669</v>
      </c>
      <c r="B37" s="495"/>
      <c r="C37" s="495"/>
      <c r="D37" s="495"/>
      <c r="E37" s="495"/>
      <c r="F37" s="487"/>
      <c r="G37" s="487"/>
      <c r="H37" s="487"/>
      <c r="I37" s="487"/>
      <c r="J37" s="487"/>
      <c r="K37" s="487"/>
      <c r="L37" s="487"/>
      <c r="M37" s="487"/>
      <c r="N37" s="487"/>
      <c r="O37" s="487"/>
      <c r="P37" s="487"/>
      <c r="Q37" s="487"/>
      <c r="R37" s="487"/>
      <c r="S37" s="487"/>
      <c r="T37" s="487"/>
      <c r="U37" s="487"/>
      <c r="V37" s="487"/>
      <c r="W37" s="487"/>
      <c r="X37" s="487"/>
      <c r="Y37" s="487"/>
      <c r="Z37" s="487"/>
      <c r="AA37" s="487"/>
      <c r="AB37" s="487"/>
      <c r="AC37" s="487"/>
      <c r="AD37" s="487"/>
      <c r="AE37" s="487"/>
      <c r="AF37" s="487"/>
      <c r="AG37" s="487"/>
      <c r="AH37" s="487"/>
      <c r="AI37" s="488"/>
      <c r="AK37" s="544" t="s">
        <v>240</v>
      </c>
      <c r="AL37" s="545"/>
      <c r="AM37" s="545"/>
      <c r="AN37" s="545"/>
      <c r="AO37" s="545"/>
      <c r="AP37" s="545"/>
      <c r="AQ37" s="122"/>
      <c r="AR37" s="48"/>
      <c r="AS37" s="532"/>
      <c r="AT37" s="532"/>
      <c r="AU37" s="439"/>
      <c r="AV37" s="439"/>
      <c r="AW37" s="439"/>
      <c r="BH37" s="50"/>
      <c r="BI37" s="51"/>
    </row>
    <row r="38" spans="1:80" ht="18" customHeight="1" thickBot="1">
      <c r="A38" s="496" t="s">
        <v>670</v>
      </c>
      <c r="B38" s="497"/>
      <c r="C38" s="497"/>
      <c r="D38" s="497"/>
      <c r="E38" s="497"/>
      <c r="F38" s="416" t="s">
        <v>667</v>
      </c>
      <c r="G38" s="416"/>
      <c r="H38" s="416"/>
      <c r="I38" s="416"/>
      <c r="J38" s="416"/>
      <c r="K38" s="416"/>
      <c r="L38" s="424" t="s">
        <v>722</v>
      </c>
      <c r="M38" s="424"/>
      <c r="N38" s="424"/>
      <c r="O38" s="424"/>
      <c r="P38" s="416" t="s">
        <v>671</v>
      </c>
      <c r="Q38" s="416"/>
      <c r="R38" s="416"/>
      <c r="S38" s="416"/>
      <c r="T38" s="416"/>
      <c r="U38" s="416"/>
      <c r="V38" s="416"/>
      <c r="W38" s="416" t="s">
        <v>667</v>
      </c>
      <c r="X38" s="416"/>
      <c r="Y38" s="416"/>
      <c r="Z38" s="416"/>
      <c r="AA38" s="416"/>
      <c r="AB38" s="416"/>
      <c r="AC38" s="424" t="s">
        <v>722</v>
      </c>
      <c r="AD38" s="424"/>
      <c r="AE38" s="424"/>
      <c r="AF38" s="424"/>
      <c r="AG38" s="424"/>
      <c r="AH38" s="424"/>
      <c r="AI38" s="491"/>
      <c r="AK38" s="543"/>
      <c r="AL38" s="543"/>
      <c r="AM38" s="543"/>
      <c r="AN38" s="543"/>
      <c r="AO38" s="543"/>
      <c r="AP38" s="543"/>
      <c r="AQ38" s="59"/>
      <c r="AR38" s="48"/>
      <c r="BC38" s="50"/>
      <c r="BD38" s="51"/>
    </row>
    <row r="39" spans="1:80" ht="18" customHeight="1">
      <c r="A39" s="452" t="s">
        <v>672</v>
      </c>
      <c r="B39" s="453"/>
      <c r="C39" s="453"/>
      <c r="D39" s="453"/>
      <c r="E39" s="453"/>
      <c r="F39" s="453"/>
      <c r="G39" s="453"/>
      <c r="H39" s="453"/>
      <c r="I39" s="453"/>
      <c r="J39" s="453"/>
      <c r="K39" s="453"/>
      <c r="L39" s="453"/>
      <c r="M39" s="453"/>
      <c r="N39" s="453"/>
      <c r="O39" s="453"/>
      <c r="P39" s="453"/>
      <c r="Q39" s="453"/>
      <c r="R39" s="453"/>
      <c r="S39" s="453"/>
      <c r="T39" s="453"/>
      <c r="U39" s="453"/>
      <c r="V39" s="453"/>
      <c r="W39" s="453"/>
      <c r="X39" s="453"/>
      <c r="Y39" s="453"/>
      <c r="Z39" s="453"/>
      <c r="AA39" s="453"/>
      <c r="AB39" s="453"/>
      <c r="AC39" s="453"/>
      <c r="AD39" s="453"/>
      <c r="AE39" s="453"/>
      <c r="AF39" s="453"/>
      <c r="AG39" s="453"/>
      <c r="AH39" s="453"/>
      <c r="AI39" s="454"/>
      <c r="AK39" s="444" t="s">
        <v>673</v>
      </c>
      <c r="AL39" s="444"/>
      <c r="AM39" s="444"/>
      <c r="AN39" s="444"/>
      <c r="AO39" s="444"/>
      <c r="AP39" s="444"/>
      <c r="AQ39" s="42"/>
      <c r="AR39" s="48"/>
      <c r="AS39" s="423" t="s">
        <v>526</v>
      </c>
      <c r="AT39" s="423"/>
      <c r="AU39" s="148">
        <v>20</v>
      </c>
      <c r="AV39" s="423" t="s">
        <v>528</v>
      </c>
      <c r="AW39" s="423"/>
      <c r="BC39" s="50"/>
      <c r="BD39" s="51"/>
    </row>
    <row r="40" spans="1:80" ht="18" customHeight="1">
      <c r="A40" s="464" t="s">
        <v>674</v>
      </c>
      <c r="B40" s="459"/>
      <c r="C40" s="459"/>
      <c r="D40" s="459"/>
      <c r="E40" s="470" t="s">
        <v>675</v>
      </c>
      <c r="F40" s="471"/>
      <c r="G40" s="471"/>
      <c r="H40" s="471"/>
      <c r="I40" s="471"/>
      <c r="J40" s="471"/>
      <c r="K40" s="472"/>
      <c r="L40" s="458" t="s">
        <v>676</v>
      </c>
      <c r="M40" s="459"/>
      <c r="N40" s="459"/>
      <c r="O40" s="459"/>
      <c r="P40" s="459"/>
      <c r="Q40" s="459"/>
      <c r="R40" s="460"/>
      <c r="S40" s="458" t="s">
        <v>677</v>
      </c>
      <c r="T40" s="459"/>
      <c r="U40" s="459"/>
      <c r="V40" s="459"/>
      <c r="W40" s="470" t="s">
        <v>675</v>
      </c>
      <c r="X40" s="471"/>
      <c r="Y40" s="471"/>
      <c r="Z40" s="471"/>
      <c r="AA40" s="471"/>
      <c r="AB40" s="471"/>
      <c r="AC40" s="472"/>
      <c r="AD40" s="458" t="s">
        <v>678</v>
      </c>
      <c r="AE40" s="459"/>
      <c r="AF40" s="459"/>
      <c r="AG40" s="459"/>
      <c r="AH40" s="459"/>
      <c r="AI40" s="463"/>
      <c r="AK40" s="444" t="s">
        <v>679</v>
      </c>
      <c r="AL40" s="444"/>
      <c r="AM40" s="444"/>
      <c r="AN40" s="444"/>
      <c r="AO40" s="444"/>
      <c r="AP40" s="444"/>
      <c r="AQ40" s="42"/>
      <c r="AR40" s="48"/>
      <c r="AS40" s="423" t="s">
        <v>527</v>
      </c>
      <c r="AT40" s="423"/>
      <c r="AU40" s="148">
        <v>32</v>
      </c>
      <c r="AV40" s="560">
        <v>0.51019999999999999</v>
      </c>
      <c r="AW40" s="560"/>
      <c r="BC40" s="50"/>
      <c r="BD40" s="51"/>
    </row>
    <row r="41" spans="1:80" ht="18" customHeight="1">
      <c r="A41" s="464" t="s">
        <v>16</v>
      </c>
      <c r="B41" s="459"/>
      <c r="C41" s="459"/>
      <c r="D41" s="459"/>
      <c r="E41" s="469">
        <f>AX10</f>
        <v>0.33333333333333331</v>
      </c>
      <c r="F41" s="456"/>
      <c r="G41" s="456"/>
      <c r="H41" s="144" t="s">
        <v>680</v>
      </c>
      <c r="I41" s="456">
        <f>AY10</f>
        <v>0.83333333333333337</v>
      </c>
      <c r="J41" s="456"/>
      <c r="K41" s="457"/>
      <c r="L41" s="458" t="str">
        <f>AU10</f>
        <v>三角龍彦</v>
      </c>
      <c r="M41" s="459"/>
      <c r="N41" s="459"/>
      <c r="O41" s="459"/>
      <c r="P41" s="459"/>
      <c r="Q41" s="459"/>
      <c r="R41" s="460"/>
      <c r="S41" s="409" t="s">
        <v>31</v>
      </c>
      <c r="T41" s="410"/>
      <c r="U41" s="410"/>
      <c r="V41" s="410"/>
      <c r="W41" s="414">
        <v>0.39583333333333331</v>
      </c>
      <c r="X41" s="415"/>
      <c r="Y41" s="415"/>
      <c r="Z41" s="40" t="s">
        <v>680</v>
      </c>
      <c r="AA41" s="415">
        <v>0.77083333333333337</v>
      </c>
      <c r="AB41" s="415"/>
      <c r="AC41" s="461"/>
      <c r="AD41" s="409" t="str">
        <f>AU14</f>
        <v>木村重明</v>
      </c>
      <c r="AE41" s="410"/>
      <c r="AF41" s="410"/>
      <c r="AG41" s="410"/>
      <c r="AH41" s="410"/>
      <c r="AI41" s="462"/>
      <c r="AK41" s="444" t="s">
        <v>681</v>
      </c>
      <c r="AL41" s="444"/>
      <c r="AM41" s="444"/>
      <c r="AN41" s="444"/>
      <c r="AO41" s="444"/>
      <c r="AP41" s="444"/>
      <c r="AQ41" s="42"/>
      <c r="AR41" s="48"/>
      <c r="BC41" s="50"/>
      <c r="BD41" s="51"/>
    </row>
    <row r="42" spans="1:80" ht="18" customHeight="1">
      <c r="A42" s="464" t="s">
        <v>24</v>
      </c>
      <c r="B42" s="459"/>
      <c r="C42" s="459"/>
      <c r="D42" s="459"/>
      <c r="E42" s="469">
        <f>AX13</f>
        <v>0.33333333333333331</v>
      </c>
      <c r="F42" s="456"/>
      <c r="G42" s="456"/>
      <c r="H42" s="144" t="s">
        <v>680</v>
      </c>
      <c r="I42" s="456">
        <f>AY12</f>
        <v>0.83333333333333337</v>
      </c>
      <c r="J42" s="456"/>
      <c r="K42" s="457"/>
      <c r="L42" s="458" t="str">
        <f>AU13</f>
        <v>松葉眞</v>
      </c>
      <c r="M42" s="459"/>
      <c r="N42" s="459"/>
      <c r="O42" s="459"/>
      <c r="P42" s="459"/>
      <c r="Q42" s="459"/>
      <c r="R42" s="460"/>
      <c r="S42" s="409"/>
      <c r="T42" s="410"/>
      <c r="U42" s="410"/>
      <c r="V42" s="410"/>
      <c r="W42" s="414"/>
      <c r="X42" s="415"/>
      <c r="Y42" s="415"/>
      <c r="Z42" s="136"/>
      <c r="AA42" s="415"/>
      <c r="AB42" s="415"/>
      <c r="AC42" s="461"/>
      <c r="AD42" s="409">
        <f>AU15</f>
        <v>0</v>
      </c>
      <c r="AE42" s="410"/>
      <c r="AF42" s="410"/>
      <c r="AG42" s="410"/>
      <c r="AH42" s="410"/>
      <c r="AI42" s="462"/>
      <c r="AK42" s="445" t="s">
        <v>682</v>
      </c>
      <c r="AL42" s="445"/>
      <c r="AM42" s="445"/>
      <c r="AN42" s="445"/>
      <c r="AO42" s="445"/>
      <c r="AP42" s="445"/>
      <c r="AQ42" s="42"/>
      <c r="AR42" s="48"/>
      <c r="AS42" s="561" t="s">
        <v>683</v>
      </c>
      <c r="AT42" s="561"/>
      <c r="AU42" s="561"/>
      <c r="AV42" s="561"/>
      <c r="AW42" s="561"/>
      <c r="BC42" s="50"/>
      <c r="BD42" s="51"/>
    </row>
    <row r="43" spans="1:80" ht="18" customHeight="1">
      <c r="A43" s="464" t="s">
        <v>38</v>
      </c>
      <c r="B43" s="459"/>
      <c r="C43" s="459"/>
      <c r="D43" s="459"/>
      <c r="E43" s="469">
        <f>AX16</f>
        <v>0.83333333333333337</v>
      </c>
      <c r="F43" s="456"/>
      <c r="G43" s="456"/>
      <c r="H43" s="144" t="s">
        <v>680</v>
      </c>
      <c r="I43" s="456" t="str">
        <f>AY16</f>
        <v>翌8:00</v>
      </c>
      <c r="J43" s="456"/>
      <c r="K43" s="457"/>
      <c r="L43" s="458" t="str">
        <f>AU16</f>
        <v>山本喜久</v>
      </c>
      <c r="M43" s="459"/>
      <c r="N43" s="459"/>
      <c r="O43" s="459"/>
      <c r="P43" s="459"/>
      <c r="Q43" s="459"/>
      <c r="R43" s="460"/>
      <c r="S43" s="409"/>
      <c r="T43" s="410"/>
      <c r="U43" s="410"/>
      <c r="V43" s="410"/>
      <c r="W43" s="414"/>
      <c r="X43" s="415"/>
      <c r="Y43" s="415"/>
      <c r="Z43" s="136"/>
      <c r="AA43" s="415"/>
      <c r="AB43" s="415"/>
      <c r="AC43" s="461"/>
      <c r="AD43" s="486">
        <f>AU18</f>
        <v>0</v>
      </c>
      <c r="AE43" s="410"/>
      <c r="AF43" s="410"/>
      <c r="AG43" s="410"/>
      <c r="AH43" s="410"/>
      <c r="AI43" s="462"/>
      <c r="AK43" s="444" t="s">
        <v>684</v>
      </c>
      <c r="AL43" s="444"/>
      <c r="AM43" s="444"/>
      <c r="AN43" s="444"/>
      <c r="AO43" s="444"/>
      <c r="AP43" s="444"/>
      <c r="AQ43" s="42"/>
      <c r="AR43" s="43"/>
      <c r="AW43"/>
      <c r="AX43"/>
      <c r="AY43"/>
      <c r="AZ43"/>
      <c r="BA43"/>
      <c r="BB43"/>
      <c r="BC43" s="50"/>
      <c r="BD43" s="51"/>
      <c r="BE43"/>
      <c r="BF43"/>
      <c r="BG43"/>
      <c r="BH43"/>
      <c r="BI43"/>
      <c r="BJ43"/>
      <c r="BK43"/>
      <c r="BL43"/>
      <c r="BM43"/>
      <c r="BN43"/>
      <c r="BO43"/>
      <c r="BP43"/>
      <c r="BQ43"/>
      <c r="BR43"/>
      <c r="BS43"/>
      <c r="BT43"/>
      <c r="BU43"/>
      <c r="BV43"/>
      <c r="BW43"/>
      <c r="BX43"/>
      <c r="BY43"/>
      <c r="BZ43"/>
      <c r="CA43"/>
      <c r="CB43"/>
    </row>
    <row r="44" spans="1:80" ht="18" customHeight="1" thickBot="1">
      <c r="A44" s="473" t="s">
        <v>45</v>
      </c>
      <c r="B44" s="474"/>
      <c r="C44" s="474"/>
      <c r="D44" s="474"/>
      <c r="E44" s="475">
        <f>AX17</f>
        <v>0.83333333333333337</v>
      </c>
      <c r="F44" s="476"/>
      <c r="G44" s="476"/>
      <c r="H44" s="145" t="s">
        <v>680</v>
      </c>
      <c r="I44" s="476" t="str">
        <f>AY17</f>
        <v>翌8:00</v>
      </c>
      <c r="J44" s="476"/>
      <c r="K44" s="477"/>
      <c r="L44" s="478" t="str">
        <f>AU17</f>
        <v>片山薫</v>
      </c>
      <c r="M44" s="478"/>
      <c r="N44" s="478"/>
      <c r="O44" s="478"/>
      <c r="P44" s="478"/>
      <c r="Q44" s="478"/>
      <c r="R44" s="478"/>
      <c r="S44" s="479"/>
      <c r="T44" s="480"/>
      <c r="U44" s="480"/>
      <c r="V44" s="480"/>
      <c r="W44" s="481"/>
      <c r="X44" s="482"/>
      <c r="Y44" s="482"/>
      <c r="Z44" s="137"/>
      <c r="AA44" s="482"/>
      <c r="AB44" s="482"/>
      <c r="AC44" s="483"/>
      <c r="AD44" s="484">
        <f>AU19</f>
        <v>0</v>
      </c>
      <c r="AE44" s="480"/>
      <c r="AF44" s="480"/>
      <c r="AG44" s="480"/>
      <c r="AH44" s="480"/>
      <c r="AI44" s="485"/>
      <c r="AK44" s="446" t="s">
        <v>685</v>
      </c>
      <c r="AL44" s="446"/>
      <c r="AM44" s="446"/>
      <c r="AN44" s="446"/>
      <c r="AO44" s="446"/>
      <c r="AP44" s="446"/>
      <c r="AQ44" s="42"/>
      <c r="AR44" s="43"/>
      <c r="BC44" s="50"/>
      <c r="BD44" s="51"/>
    </row>
    <row r="45" spans="1:80" ht="18" customHeight="1" thickBot="1">
      <c r="A45" s="27"/>
      <c r="B45" s="27"/>
      <c r="C45" s="27"/>
      <c r="D45" s="27"/>
      <c r="E45" s="27"/>
      <c r="F45" s="27"/>
      <c r="G45" s="27"/>
      <c r="H45" s="27"/>
      <c r="I45" s="27"/>
      <c r="R45" s="307">
        <f>A7</f>
        <v>46183</v>
      </c>
      <c r="S45" s="308"/>
      <c r="T45" s="308"/>
      <c r="U45" s="308"/>
      <c r="V45" s="23" t="s">
        <v>169</v>
      </c>
      <c r="W45" s="309">
        <f>G7</f>
        <v>46183</v>
      </c>
      <c r="X45" s="308"/>
      <c r="Y45" s="23" t="s">
        <v>170</v>
      </c>
      <c r="Z45" s="310">
        <f>K7</f>
        <v>46183</v>
      </c>
      <c r="AA45" s="308"/>
      <c r="AB45" s="23" t="s">
        <v>3</v>
      </c>
      <c r="AC45" s="455">
        <f>O7</f>
        <v>46183</v>
      </c>
      <c r="AD45" s="308"/>
      <c r="AE45" s="308" t="s">
        <v>292</v>
      </c>
      <c r="AF45" s="308"/>
      <c r="AK45" s="425" t="s">
        <v>686</v>
      </c>
      <c r="AL45" s="425"/>
      <c r="AM45" s="425"/>
      <c r="AN45" s="425"/>
      <c r="AO45" s="425"/>
      <c r="AP45" s="425"/>
      <c r="AQ45" s="42"/>
      <c r="AR45" s="43"/>
      <c r="BC45" s="50"/>
      <c r="BD45" s="51"/>
    </row>
    <row r="46" spans="1:80" customFormat="1" ht="18" customHeight="1">
      <c r="A46" s="452" t="s">
        <v>598</v>
      </c>
      <c r="B46" s="453"/>
      <c r="C46" s="453"/>
      <c r="D46" s="453"/>
      <c r="E46" s="453"/>
      <c r="F46" s="453"/>
      <c r="G46" s="453"/>
      <c r="H46" s="453"/>
      <c r="I46" s="453"/>
      <c r="J46" s="453"/>
      <c r="K46" s="453"/>
      <c r="L46" s="453"/>
      <c r="M46" s="453"/>
      <c r="N46" s="453"/>
      <c r="O46" s="453"/>
      <c r="P46" s="453"/>
      <c r="Q46" s="453"/>
      <c r="R46" s="453"/>
      <c r="S46" s="453"/>
      <c r="T46" s="453"/>
      <c r="U46" s="453"/>
      <c r="V46" s="453"/>
      <c r="W46" s="453"/>
      <c r="X46" s="453"/>
      <c r="Y46" s="453"/>
      <c r="Z46" s="453"/>
      <c r="AA46" s="453"/>
      <c r="AB46" s="453"/>
      <c r="AC46" s="453"/>
      <c r="AD46" s="453"/>
      <c r="AE46" s="453"/>
      <c r="AF46" s="453"/>
      <c r="AG46" s="453"/>
      <c r="AH46" s="453"/>
      <c r="AI46" s="454"/>
      <c r="AK46" s="425" t="s">
        <v>687</v>
      </c>
      <c r="AL46" s="425"/>
      <c r="AM46" s="425"/>
      <c r="AN46" s="425"/>
      <c r="AO46" s="425"/>
      <c r="AP46" s="425"/>
      <c r="AQ46" s="42"/>
      <c r="AR46" s="43"/>
      <c r="AW46" s="23"/>
      <c r="AX46" s="23"/>
      <c r="AY46" s="23"/>
      <c r="AZ46" s="23"/>
      <c r="BA46" s="23"/>
      <c r="BB46" s="23"/>
      <c r="BC46" s="50"/>
      <c r="BD46" s="51"/>
      <c r="BE46" s="23"/>
      <c r="BF46" s="23"/>
      <c r="BG46" s="23"/>
      <c r="BH46" s="23"/>
      <c r="BI46" s="23"/>
      <c r="BJ46" s="23"/>
      <c r="BK46" s="23"/>
      <c r="BL46" s="23"/>
      <c r="BM46" s="23"/>
      <c r="BN46" s="23"/>
      <c r="BO46" s="23"/>
      <c r="BP46" s="23"/>
      <c r="BQ46" s="23"/>
      <c r="BR46" s="23"/>
      <c r="BS46" s="23"/>
      <c r="BT46" s="23"/>
      <c r="BU46" s="23"/>
      <c r="BV46" s="23"/>
      <c r="BW46" s="23"/>
      <c r="BX46" s="23"/>
      <c r="BY46" s="23"/>
      <c r="BZ46" s="23"/>
      <c r="CA46" s="23"/>
      <c r="CB46" s="23"/>
    </row>
    <row r="47" spans="1:80" ht="18" customHeight="1">
      <c r="A47" s="36" t="s">
        <v>189</v>
      </c>
      <c r="B47" s="404">
        <v>0.96736111111111112</v>
      </c>
      <c r="C47" s="404"/>
      <c r="D47" s="404"/>
      <c r="E47" s="404"/>
      <c r="F47" s="288" t="s">
        <v>812</v>
      </c>
      <c r="G47" s="288"/>
      <c r="H47" s="288"/>
      <c r="I47" s="288"/>
      <c r="J47" s="288"/>
      <c r="K47" s="288"/>
      <c r="L47" s="288"/>
      <c r="M47" s="288"/>
      <c r="N47" s="288"/>
      <c r="O47" s="288"/>
      <c r="P47" s="288"/>
      <c r="Q47" s="288"/>
      <c r="R47" s="288"/>
      <c r="S47" s="288"/>
      <c r="T47" s="288"/>
      <c r="U47" s="288"/>
      <c r="V47" s="288"/>
      <c r="W47" s="288"/>
      <c r="X47" s="288"/>
      <c r="Y47" s="288"/>
      <c r="Z47" s="288"/>
      <c r="AA47" s="288"/>
      <c r="AB47" s="288"/>
      <c r="AC47" s="288"/>
      <c r="AD47" s="288"/>
      <c r="AE47" s="288"/>
      <c r="AF47" s="288"/>
      <c r="AG47" s="288"/>
      <c r="AH47" s="288"/>
      <c r="AI47" s="289"/>
      <c r="AK47" s="425" t="s">
        <v>688</v>
      </c>
      <c r="AL47" s="425"/>
      <c r="AM47" s="425"/>
      <c r="AN47" s="425"/>
      <c r="AO47" s="425"/>
      <c r="AP47" s="425"/>
      <c r="AQ47" s="42"/>
      <c r="AR47" s="43"/>
      <c r="AS47" s="120" t="s">
        <v>189</v>
      </c>
      <c r="AT47" s="43" t="s">
        <v>728</v>
      </c>
      <c r="AU47" s="43"/>
      <c r="BC47" s="50"/>
      <c r="BD47" s="51"/>
    </row>
    <row r="48" spans="1:80" ht="18" customHeight="1">
      <c r="A48" s="36"/>
      <c r="B48" s="404"/>
      <c r="C48" s="404"/>
      <c r="D48" s="404"/>
      <c r="E48" s="404"/>
      <c r="F48" s="288" t="s">
        <v>813</v>
      </c>
      <c r="G48" s="288"/>
      <c r="H48" s="288"/>
      <c r="I48" s="288"/>
      <c r="J48" s="288"/>
      <c r="K48" s="288"/>
      <c r="L48" s="288"/>
      <c r="M48" s="288"/>
      <c r="N48" s="288"/>
      <c r="O48" s="288"/>
      <c r="P48" s="288"/>
      <c r="Q48" s="288"/>
      <c r="R48" s="288"/>
      <c r="S48" s="288"/>
      <c r="T48" s="288"/>
      <c r="U48" s="288"/>
      <c r="V48" s="288"/>
      <c r="W48" s="288"/>
      <c r="X48" s="288"/>
      <c r="Y48" s="288"/>
      <c r="Z48" s="288"/>
      <c r="AA48" s="288"/>
      <c r="AB48" s="288"/>
      <c r="AC48" s="288"/>
      <c r="AD48" s="288"/>
      <c r="AE48" s="288"/>
      <c r="AF48" s="288"/>
      <c r="AG48" s="288"/>
      <c r="AH48" s="288"/>
      <c r="AI48" s="289"/>
      <c r="AK48" s="425" t="s">
        <v>690</v>
      </c>
      <c r="AL48" s="425"/>
      <c r="AM48" s="425"/>
      <c r="AN48" s="425"/>
      <c r="AO48" s="425"/>
      <c r="AP48" s="425"/>
      <c r="AQ48" s="42"/>
      <c r="AR48" s="43"/>
      <c r="AS48" s="43"/>
      <c r="AT48" s="43"/>
      <c r="AU48" s="43"/>
      <c r="BC48" s="50"/>
      <c r="BD48" s="51"/>
    </row>
    <row r="49" spans="1:61" ht="18" customHeight="1">
      <c r="A49" s="36"/>
      <c r="B49" s="404">
        <v>0.97013888888888888</v>
      </c>
      <c r="C49" s="404"/>
      <c r="D49" s="404"/>
      <c r="E49" s="404"/>
      <c r="F49" s="288" t="s">
        <v>814</v>
      </c>
      <c r="G49" s="288"/>
      <c r="H49" s="288"/>
      <c r="I49" s="288"/>
      <c r="J49" s="288"/>
      <c r="K49" s="288"/>
      <c r="L49" s="288"/>
      <c r="M49" s="288"/>
      <c r="N49" s="288"/>
      <c r="O49" s="288"/>
      <c r="P49" s="288"/>
      <c r="Q49" s="288"/>
      <c r="R49" s="288"/>
      <c r="S49" s="288"/>
      <c r="T49" s="288"/>
      <c r="U49" s="288"/>
      <c r="V49" s="288"/>
      <c r="W49" s="288"/>
      <c r="X49" s="288"/>
      <c r="Y49" s="288"/>
      <c r="Z49" s="288"/>
      <c r="AA49" s="288"/>
      <c r="AB49" s="288"/>
      <c r="AC49" s="288"/>
      <c r="AD49" s="288"/>
      <c r="AE49" s="288"/>
      <c r="AF49" s="288"/>
      <c r="AG49" s="288"/>
      <c r="AH49" s="288"/>
      <c r="AI49" s="289"/>
      <c r="AK49" s="425" t="s">
        <v>691</v>
      </c>
      <c r="AL49" s="425"/>
      <c r="AM49" s="425"/>
      <c r="AN49" s="425"/>
      <c r="AO49" s="425"/>
      <c r="AP49" s="425"/>
      <c r="AQ49" s="42"/>
      <c r="AR49" s="43"/>
      <c r="AS49" s="43"/>
      <c r="AT49" s="43"/>
      <c r="AU49" s="43"/>
      <c r="BC49" s="50"/>
      <c r="BD49" s="51"/>
    </row>
    <row r="50" spans="1:61" ht="18" customHeight="1">
      <c r="A50" s="36" t="s">
        <v>189</v>
      </c>
      <c r="B50" s="404">
        <v>6.9444444444444441E-3</v>
      </c>
      <c r="C50" s="404"/>
      <c r="D50" s="404"/>
      <c r="E50" s="404"/>
      <c r="F50" s="288" t="s">
        <v>802</v>
      </c>
      <c r="G50" s="288"/>
      <c r="H50" s="288"/>
      <c r="I50" s="288"/>
      <c r="J50" s="288"/>
      <c r="K50" s="288"/>
      <c r="L50" s="288"/>
      <c r="M50" s="288"/>
      <c r="N50" s="288"/>
      <c r="O50" s="288"/>
      <c r="P50" s="288"/>
      <c r="Q50" s="288"/>
      <c r="R50" s="288"/>
      <c r="S50" s="288"/>
      <c r="T50" s="288"/>
      <c r="U50" s="288"/>
      <c r="V50" s="288"/>
      <c r="W50" s="288"/>
      <c r="X50" s="288"/>
      <c r="Y50" s="288"/>
      <c r="Z50" s="288"/>
      <c r="AA50" s="288"/>
      <c r="AB50" s="288"/>
      <c r="AC50" s="288"/>
      <c r="AD50" s="288"/>
      <c r="AE50" s="288"/>
      <c r="AF50" s="288"/>
      <c r="AG50" s="288"/>
      <c r="AH50" s="288"/>
      <c r="AI50" s="289"/>
      <c r="AK50" s="425" t="s">
        <v>692</v>
      </c>
      <c r="AL50" s="425"/>
      <c r="AM50" s="425"/>
      <c r="AN50" s="425"/>
      <c r="AO50" s="425"/>
      <c r="AP50" s="425"/>
      <c r="AQ50" s="42"/>
      <c r="AR50" s="43"/>
      <c r="AS50" s="43"/>
      <c r="AT50" s="43"/>
      <c r="AU50" s="43"/>
      <c r="BC50" s="50"/>
      <c r="BD50" s="51"/>
    </row>
    <row r="51" spans="1:61" ht="18" customHeight="1">
      <c r="A51" s="36"/>
      <c r="B51" s="404"/>
      <c r="C51" s="404"/>
      <c r="D51" s="404"/>
      <c r="E51" s="404"/>
      <c r="F51" s="288" t="s">
        <v>815</v>
      </c>
      <c r="G51" s="288"/>
      <c r="H51" s="288"/>
      <c r="I51" s="288"/>
      <c r="J51" s="288"/>
      <c r="K51" s="288"/>
      <c r="L51" s="288"/>
      <c r="M51" s="288"/>
      <c r="N51" s="288"/>
      <c r="O51" s="288"/>
      <c r="P51" s="288"/>
      <c r="Q51" s="288"/>
      <c r="R51" s="288"/>
      <c r="S51" s="288"/>
      <c r="T51" s="288"/>
      <c r="U51" s="288"/>
      <c r="V51" s="288"/>
      <c r="W51" s="288"/>
      <c r="X51" s="288"/>
      <c r="Y51" s="288"/>
      <c r="Z51" s="288"/>
      <c r="AA51" s="288"/>
      <c r="AB51" s="288"/>
      <c r="AC51" s="288"/>
      <c r="AD51" s="288"/>
      <c r="AE51" s="288"/>
      <c r="AF51" s="288"/>
      <c r="AG51" s="288"/>
      <c r="AH51" s="288"/>
      <c r="AI51" s="289"/>
      <c r="AK51" s="425" t="s">
        <v>693</v>
      </c>
      <c r="AL51" s="425"/>
      <c r="AM51" s="425"/>
      <c r="AN51" s="425"/>
      <c r="AO51" s="425"/>
      <c r="AP51" s="425"/>
      <c r="AQ51" s="42"/>
      <c r="AR51" s="43"/>
      <c r="AS51" s="43"/>
      <c r="AT51" s="43"/>
      <c r="AU51" s="43"/>
      <c r="BC51" s="50"/>
      <c r="BD51" s="51"/>
    </row>
    <row r="52" spans="1:61" ht="18" customHeight="1">
      <c r="A52" s="36" t="s">
        <v>189</v>
      </c>
      <c r="B52" s="404">
        <v>0.29166666666666669</v>
      </c>
      <c r="C52" s="404"/>
      <c r="D52" s="404"/>
      <c r="E52" s="404"/>
      <c r="F52" s="288" t="s">
        <v>728</v>
      </c>
      <c r="G52" s="288"/>
      <c r="H52" s="288"/>
      <c r="I52" s="288"/>
      <c r="J52" s="288"/>
      <c r="K52" s="288"/>
      <c r="L52" s="288"/>
      <c r="M52" s="288"/>
      <c r="N52" s="288"/>
      <c r="O52" s="288"/>
      <c r="P52" s="288"/>
      <c r="Q52" s="288"/>
      <c r="R52" s="288"/>
      <c r="S52" s="288"/>
      <c r="T52" s="288"/>
      <c r="U52" s="288"/>
      <c r="V52" s="288"/>
      <c r="W52" s="288"/>
      <c r="X52" s="288"/>
      <c r="Y52" s="288"/>
      <c r="Z52" s="288"/>
      <c r="AA52" s="288"/>
      <c r="AB52" s="288"/>
      <c r="AC52" s="288"/>
      <c r="AD52" s="288"/>
      <c r="AE52" s="288"/>
      <c r="AF52" s="288"/>
      <c r="AG52" s="288"/>
      <c r="AH52" s="288"/>
      <c r="AI52" s="289"/>
      <c r="AK52" s="425" t="s">
        <v>694</v>
      </c>
      <c r="AL52" s="425"/>
      <c r="AM52" s="425"/>
      <c r="AN52" s="425"/>
      <c r="AO52" s="425"/>
      <c r="AP52" s="425"/>
      <c r="AQ52" s="42"/>
      <c r="AR52" s="43"/>
      <c r="AS52" s="43"/>
      <c r="AV52" s="43"/>
      <c r="AW52" s="43"/>
      <c r="AX52" s="43"/>
      <c r="AY52" s="43"/>
      <c r="AZ52" s="43"/>
      <c r="BA52" s="43"/>
      <c r="BH52" s="52"/>
      <c r="BI52" s="51"/>
    </row>
    <row r="53" spans="1:61" ht="18" customHeight="1">
      <c r="A53" s="36"/>
      <c r="B53" s="404"/>
      <c r="C53" s="404"/>
      <c r="D53" s="404"/>
      <c r="E53" s="404"/>
      <c r="F53" s="288"/>
      <c r="G53" s="288"/>
      <c r="H53" s="288"/>
      <c r="I53" s="288"/>
      <c r="J53" s="288"/>
      <c r="K53" s="288"/>
      <c r="L53" s="288"/>
      <c r="M53" s="288"/>
      <c r="N53" s="288"/>
      <c r="O53" s="288"/>
      <c r="P53" s="288"/>
      <c r="Q53" s="288"/>
      <c r="R53" s="288"/>
      <c r="S53" s="288"/>
      <c r="T53" s="288"/>
      <c r="U53" s="288"/>
      <c r="V53" s="288"/>
      <c r="W53" s="288"/>
      <c r="X53" s="288"/>
      <c r="Y53" s="288"/>
      <c r="Z53" s="288"/>
      <c r="AA53" s="288"/>
      <c r="AB53" s="288"/>
      <c r="AC53" s="288"/>
      <c r="AD53" s="288"/>
      <c r="AE53" s="288"/>
      <c r="AF53" s="288"/>
      <c r="AG53" s="288"/>
      <c r="AH53" s="288"/>
      <c r="AI53" s="289"/>
      <c r="AK53" s="425" t="s">
        <v>695</v>
      </c>
      <c r="AL53" s="425"/>
      <c r="AM53" s="425"/>
      <c r="AN53" s="425"/>
      <c r="AO53" s="425"/>
      <c r="AP53" s="425"/>
      <c r="AQ53" s="42"/>
      <c r="AR53" s="43"/>
      <c r="AS53" s="43"/>
      <c r="AT53" s="43"/>
      <c r="AU53" s="43"/>
      <c r="AV53" s="43"/>
      <c r="AW53" s="43"/>
      <c r="AX53" s="43"/>
      <c r="AY53" s="43"/>
      <c r="AZ53" s="43"/>
      <c r="BH53" s="50"/>
      <c r="BI53" s="51"/>
    </row>
    <row r="54" spans="1:61" ht="18" customHeight="1">
      <c r="A54" s="36"/>
      <c r="B54" s="404"/>
      <c r="C54" s="404"/>
      <c r="D54" s="404"/>
      <c r="E54" s="404"/>
      <c r="F54" s="288"/>
      <c r="G54" s="288"/>
      <c r="H54" s="288"/>
      <c r="I54" s="288"/>
      <c r="J54" s="288"/>
      <c r="K54" s="288"/>
      <c r="L54" s="288"/>
      <c r="M54" s="288"/>
      <c r="N54" s="288"/>
      <c r="O54" s="288"/>
      <c r="P54" s="288"/>
      <c r="Q54" s="288"/>
      <c r="R54" s="288"/>
      <c r="S54" s="288"/>
      <c r="T54" s="288"/>
      <c r="U54" s="288"/>
      <c r="V54" s="288"/>
      <c r="W54" s="288"/>
      <c r="X54" s="288"/>
      <c r="Y54" s="288"/>
      <c r="Z54" s="288"/>
      <c r="AA54" s="288"/>
      <c r="AB54" s="288"/>
      <c r="AC54" s="288"/>
      <c r="AD54" s="288"/>
      <c r="AE54" s="288"/>
      <c r="AF54" s="288"/>
      <c r="AG54" s="288"/>
      <c r="AH54" s="288"/>
      <c r="AI54" s="289"/>
      <c r="AK54" s="425" t="s">
        <v>696</v>
      </c>
      <c r="AL54" s="425"/>
      <c r="AM54" s="425"/>
      <c r="AN54" s="425"/>
      <c r="AO54" s="425"/>
      <c r="AP54" s="425"/>
      <c r="AQ54" s="42"/>
      <c r="AR54" s="43"/>
      <c r="AS54" s="43"/>
      <c r="AT54" s="43"/>
      <c r="AU54" s="43"/>
      <c r="AV54" s="43"/>
      <c r="AW54" s="43"/>
      <c r="AX54" s="43"/>
      <c r="AY54" s="43"/>
      <c r="AZ54" s="43"/>
      <c r="BH54" s="50"/>
      <c r="BI54" s="51"/>
    </row>
    <row r="55" spans="1:61" ht="18" customHeight="1">
      <c r="A55" s="36"/>
      <c r="B55" s="404"/>
      <c r="C55" s="404"/>
      <c r="D55" s="404"/>
      <c r="E55" s="404"/>
      <c r="F55" s="288"/>
      <c r="G55" s="288"/>
      <c r="H55" s="288"/>
      <c r="I55" s="288"/>
      <c r="J55" s="288"/>
      <c r="K55" s="288"/>
      <c r="L55" s="288"/>
      <c r="M55" s="288"/>
      <c r="N55" s="288"/>
      <c r="O55" s="288"/>
      <c r="P55" s="288"/>
      <c r="Q55" s="288"/>
      <c r="R55" s="288"/>
      <c r="S55" s="288"/>
      <c r="T55" s="288"/>
      <c r="U55" s="288"/>
      <c r="V55" s="288"/>
      <c r="W55" s="288"/>
      <c r="X55" s="288"/>
      <c r="Y55" s="288"/>
      <c r="Z55" s="288"/>
      <c r="AA55" s="288"/>
      <c r="AB55" s="288"/>
      <c r="AC55" s="288"/>
      <c r="AD55" s="288"/>
      <c r="AE55" s="288"/>
      <c r="AF55" s="288"/>
      <c r="AG55" s="288"/>
      <c r="AH55" s="288"/>
      <c r="AI55" s="289"/>
      <c r="AK55" s="425" t="s">
        <v>697</v>
      </c>
      <c r="AL55" s="425"/>
      <c r="AM55" s="425"/>
      <c r="AN55" s="425"/>
      <c r="AO55" s="425"/>
      <c r="AP55" s="425"/>
      <c r="AQ55" s="42"/>
      <c r="AR55" s="43"/>
      <c r="AS55" s="43"/>
      <c r="AT55" s="43"/>
      <c r="AU55" s="43"/>
      <c r="AV55" s="43"/>
      <c r="AW55" s="43"/>
      <c r="AX55" s="43"/>
      <c r="AY55" s="43"/>
      <c r="AZ55" s="43"/>
      <c r="BH55" s="50"/>
      <c r="BI55" s="51"/>
    </row>
    <row r="56" spans="1:61" ht="18" customHeight="1">
      <c r="A56" s="36"/>
      <c r="B56" s="404"/>
      <c r="C56" s="404"/>
      <c r="D56" s="404"/>
      <c r="E56" s="404"/>
      <c r="F56" s="288"/>
      <c r="G56" s="288"/>
      <c r="H56" s="288"/>
      <c r="I56" s="288"/>
      <c r="J56" s="288"/>
      <c r="K56" s="288"/>
      <c r="L56" s="288"/>
      <c r="M56" s="288"/>
      <c r="N56" s="288"/>
      <c r="O56" s="288"/>
      <c r="P56" s="288"/>
      <c r="Q56" s="288"/>
      <c r="R56" s="288"/>
      <c r="S56" s="288"/>
      <c r="T56" s="288"/>
      <c r="U56" s="288"/>
      <c r="V56" s="288"/>
      <c r="W56" s="288"/>
      <c r="X56" s="288"/>
      <c r="Y56" s="288"/>
      <c r="Z56" s="288"/>
      <c r="AA56" s="288"/>
      <c r="AB56" s="288"/>
      <c r="AC56" s="288"/>
      <c r="AD56" s="288"/>
      <c r="AE56" s="288"/>
      <c r="AF56" s="288"/>
      <c r="AG56" s="288"/>
      <c r="AH56" s="288"/>
      <c r="AI56" s="289"/>
      <c r="AK56" s="425" t="s">
        <v>698</v>
      </c>
      <c r="AL56" s="425"/>
      <c r="AM56" s="425"/>
      <c r="AN56" s="425"/>
      <c r="AO56" s="425"/>
      <c r="AP56" s="425"/>
      <c r="AQ56" s="42"/>
      <c r="AR56" s="43"/>
      <c r="AS56" s="43"/>
      <c r="AT56" s="43"/>
      <c r="AU56" s="43"/>
      <c r="AV56" s="43"/>
      <c r="AW56" s="43"/>
      <c r="AX56" s="43"/>
      <c r="AY56" s="43"/>
      <c r="AZ56" s="43"/>
      <c r="BH56" s="52"/>
      <c r="BI56" s="51"/>
    </row>
    <row r="57" spans="1:61" ht="18" customHeight="1">
      <c r="A57" s="36"/>
      <c r="B57" s="404"/>
      <c r="C57" s="404"/>
      <c r="D57" s="404"/>
      <c r="E57" s="404"/>
      <c r="F57" s="288"/>
      <c r="G57" s="288"/>
      <c r="H57" s="288"/>
      <c r="I57" s="288"/>
      <c r="J57" s="288"/>
      <c r="K57" s="288"/>
      <c r="L57" s="288"/>
      <c r="M57" s="288"/>
      <c r="N57" s="288"/>
      <c r="O57" s="288"/>
      <c r="P57" s="288"/>
      <c r="Q57" s="288"/>
      <c r="R57" s="288"/>
      <c r="S57" s="288"/>
      <c r="T57" s="288"/>
      <c r="U57" s="288"/>
      <c r="V57" s="288"/>
      <c r="W57" s="288"/>
      <c r="X57" s="288"/>
      <c r="Y57" s="288"/>
      <c r="Z57" s="288"/>
      <c r="AA57" s="288"/>
      <c r="AB57" s="288"/>
      <c r="AC57" s="288"/>
      <c r="AD57" s="288"/>
      <c r="AE57" s="288"/>
      <c r="AF57" s="288"/>
      <c r="AG57" s="288"/>
      <c r="AH57" s="288"/>
      <c r="AI57" s="289"/>
      <c r="AK57" s="425" t="s">
        <v>699</v>
      </c>
      <c r="AL57" s="425"/>
      <c r="AM57" s="425"/>
      <c r="AN57" s="425"/>
      <c r="AO57" s="425"/>
      <c r="AP57" s="425"/>
      <c r="AQ57" s="42"/>
      <c r="AR57" s="43"/>
      <c r="AS57" s="43"/>
      <c r="AT57" s="43"/>
      <c r="AU57" s="43"/>
      <c r="AV57" s="43"/>
      <c r="AW57" s="43"/>
      <c r="AX57" s="43"/>
      <c r="AY57" s="43"/>
      <c r="AZ57" s="43"/>
      <c r="BH57" s="50"/>
      <c r="BI57" s="51"/>
    </row>
    <row r="58" spans="1:61" ht="18" customHeight="1">
      <c r="A58" s="36"/>
      <c r="B58" s="404"/>
      <c r="C58" s="404"/>
      <c r="D58" s="404"/>
      <c r="E58" s="404"/>
      <c r="F58" s="288"/>
      <c r="G58" s="288"/>
      <c r="H58" s="288"/>
      <c r="I58" s="288"/>
      <c r="J58" s="288"/>
      <c r="K58" s="288"/>
      <c r="L58" s="288"/>
      <c r="M58" s="288"/>
      <c r="N58" s="288"/>
      <c r="O58" s="288"/>
      <c r="P58" s="288"/>
      <c r="Q58" s="288"/>
      <c r="R58" s="288"/>
      <c r="S58" s="288"/>
      <c r="T58" s="288"/>
      <c r="U58" s="288"/>
      <c r="V58" s="288"/>
      <c r="W58" s="288"/>
      <c r="X58" s="288"/>
      <c r="Y58" s="288"/>
      <c r="Z58" s="288"/>
      <c r="AA58" s="288"/>
      <c r="AB58" s="288"/>
      <c r="AC58" s="288"/>
      <c r="AD58" s="288"/>
      <c r="AE58" s="288"/>
      <c r="AF58" s="288"/>
      <c r="AG58" s="288"/>
      <c r="AH58" s="288"/>
      <c r="AI58" s="289"/>
      <c r="AK58" s="425" t="s">
        <v>700</v>
      </c>
      <c r="AL58" s="425"/>
      <c r="AM58" s="425"/>
      <c r="AN58" s="425"/>
      <c r="AO58" s="425"/>
      <c r="AP58" s="425"/>
      <c r="AQ58" s="42"/>
      <c r="AR58" s="43"/>
      <c r="AS58" s="43"/>
      <c r="AT58" s="43"/>
      <c r="AU58" s="43"/>
      <c r="AV58" s="43"/>
      <c r="AW58" s="43"/>
      <c r="AX58" s="43"/>
      <c r="AY58" s="43"/>
      <c r="AZ58" s="43"/>
      <c r="BH58" s="50"/>
      <c r="BI58" s="51"/>
    </row>
    <row r="59" spans="1:61" ht="18" customHeight="1">
      <c r="A59" s="36"/>
      <c r="B59" s="404"/>
      <c r="C59" s="404"/>
      <c r="D59" s="404"/>
      <c r="E59" s="404"/>
      <c r="F59" s="288"/>
      <c r="G59" s="288"/>
      <c r="H59" s="288"/>
      <c r="I59" s="288"/>
      <c r="J59" s="288"/>
      <c r="K59" s="288"/>
      <c r="L59" s="288"/>
      <c r="M59" s="288"/>
      <c r="N59" s="288"/>
      <c r="O59" s="288"/>
      <c r="P59" s="288"/>
      <c r="Q59" s="288"/>
      <c r="R59" s="288"/>
      <c r="S59" s="288"/>
      <c r="T59" s="288"/>
      <c r="U59" s="288"/>
      <c r="V59" s="288"/>
      <c r="W59" s="288"/>
      <c r="X59" s="288"/>
      <c r="Y59" s="288"/>
      <c r="Z59" s="288"/>
      <c r="AA59" s="288"/>
      <c r="AB59" s="288"/>
      <c r="AC59" s="288"/>
      <c r="AD59" s="288"/>
      <c r="AE59" s="288"/>
      <c r="AF59" s="288"/>
      <c r="AG59" s="288"/>
      <c r="AH59" s="288"/>
      <c r="AI59" s="289"/>
      <c r="AK59" s="425" t="s">
        <v>701</v>
      </c>
      <c r="AL59" s="425"/>
      <c r="AM59" s="425"/>
      <c r="AN59" s="425"/>
      <c r="AO59" s="425"/>
      <c r="AP59" s="425"/>
      <c r="AQ59" s="42"/>
      <c r="AR59" s="43"/>
      <c r="AS59" s="43"/>
      <c r="AT59" s="43"/>
      <c r="AU59" s="43"/>
      <c r="AV59" s="43"/>
      <c r="AW59" s="43"/>
      <c r="AX59" s="43"/>
      <c r="AY59" s="43"/>
      <c r="AZ59" s="43"/>
      <c r="BH59" s="50"/>
      <c r="BI59" s="51"/>
    </row>
    <row r="60" spans="1:61" ht="18" customHeight="1">
      <c r="A60" s="36"/>
      <c r="B60" s="404"/>
      <c r="C60" s="404"/>
      <c r="D60" s="404"/>
      <c r="E60" s="404"/>
      <c r="F60" s="288"/>
      <c r="G60" s="288"/>
      <c r="H60" s="288"/>
      <c r="I60" s="288"/>
      <c r="J60" s="288"/>
      <c r="K60" s="288"/>
      <c r="L60" s="288"/>
      <c r="M60" s="288"/>
      <c r="N60" s="288"/>
      <c r="O60" s="288"/>
      <c r="P60" s="288"/>
      <c r="Q60" s="288"/>
      <c r="R60" s="288"/>
      <c r="S60" s="288"/>
      <c r="T60" s="288"/>
      <c r="U60" s="288"/>
      <c r="V60" s="288"/>
      <c r="W60" s="288"/>
      <c r="X60" s="288"/>
      <c r="Y60" s="288"/>
      <c r="Z60" s="288"/>
      <c r="AA60" s="288"/>
      <c r="AB60" s="288"/>
      <c r="AC60" s="288"/>
      <c r="AD60" s="288"/>
      <c r="AE60" s="288"/>
      <c r="AF60" s="288"/>
      <c r="AG60" s="288"/>
      <c r="AH60" s="288"/>
      <c r="AI60" s="289"/>
      <c r="AK60" s="425" t="s">
        <v>702</v>
      </c>
      <c r="AL60" s="425"/>
      <c r="AM60" s="425"/>
      <c r="AN60" s="425"/>
      <c r="AO60" s="425"/>
      <c r="AP60" s="425"/>
      <c r="AQ60" s="42"/>
      <c r="AR60" s="43"/>
      <c r="AS60" s="43"/>
      <c r="AT60" s="43"/>
      <c r="AU60" s="43"/>
      <c r="AV60" s="43"/>
      <c r="AW60" s="43"/>
      <c r="AX60" s="43"/>
      <c r="AY60" s="43"/>
      <c r="AZ60" s="43"/>
      <c r="BH60" s="52"/>
      <c r="BI60" s="51"/>
    </row>
    <row r="61" spans="1:61" ht="18" customHeight="1">
      <c r="A61" s="36"/>
      <c r="B61" s="404"/>
      <c r="C61" s="404"/>
      <c r="D61" s="404"/>
      <c r="E61" s="404"/>
      <c r="F61" s="288"/>
      <c r="G61" s="288"/>
      <c r="H61" s="288"/>
      <c r="I61" s="288"/>
      <c r="J61" s="288"/>
      <c r="K61" s="288"/>
      <c r="L61" s="288"/>
      <c r="M61" s="288"/>
      <c r="N61" s="288"/>
      <c r="O61" s="288"/>
      <c r="P61" s="288"/>
      <c r="Q61" s="288"/>
      <c r="R61" s="288"/>
      <c r="S61" s="288"/>
      <c r="T61" s="288"/>
      <c r="U61" s="288"/>
      <c r="V61" s="288"/>
      <c r="W61" s="288"/>
      <c r="X61" s="288"/>
      <c r="Y61" s="288"/>
      <c r="Z61" s="288"/>
      <c r="AA61" s="288"/>
      <c r="AB61" s="288"/>
      <c r="AC61" s="288"/>
      <c r="AD61" s="288"/>
      <c r="AE61" s="288"/>
      <c r="AF61" s="288"/>
      <c r="AG61" s="288"/>
      <c r="AH61" s="288"/>
      <c r="AI61" s="289"/>
      <c r="AK61" s="425" t="s">
        <v>703</v>
      </c>
      <c r="AL61" s="425"/>
      <c r="AM61" s="425"/>
      <c r="AN61" s="425"/>
      <c r="AO61" s="425"/>
      <c r="AP61" s="425"/>
      <c r="AQ61" s="42"/>
      <c r="AR61" s="43"/>
      <c r="AS61" s="43"/>
      <c r="AT61" s="43"/>
      <c r="AU61" s="43"/>
      <c r="AV61" s="43"/>
      <c r="AW61" s="43"/>
      <c r="AX61" s="43"/>
      <c r="AY61" s="43"/>
      <c r="AZ61" s="43"/>
      <c r="BH61" s="50"/>
      <c r="BI61" s="51"/>
    </row>
    <row r="62" spans="1:61" ht="18" customHeight="1">
      <c r="A62" s="36"/>
      <c r="B62" s="404"/>
      <c r="C62" s="404"/>
      <c r="D62" s="404"/>
      <c r="E62" s="404"/>
      <c r="F62" s="288"/>
      <c r="G62" s="288"/>
      <c r="H62" s="288"/>
      <c r="I62" s="288"/>
      <c r="J62" s="288"/>
      <c r="K62" s="288"/>
      <c r="L62" s="288"/>
      <c r="M62" s="288"/>
      <c r="N62" s="288"/>
      <c r="O62" s="288"/>
      <c r="P62" s="288"/>
      <c r="Q62" s="288"/>
      <c r="R62" s="288"/>
      <c r="S62" s="288"/>
      <c r="T62" s="288"/>
      <c r="U62" s="288"/>
      <c r="V62" s="288"/>
      <c r="W62" s="288"/>
      <c r="X62" s="288"/>
      <c r="Y62" s="288"/>
      <c r="Z62" s="288"/>
      <c r="AA62" s="288"/>
      <c r="AB62" s="288"/>
      <c r="AC62" s="288"/>
      <c r="AD62" s="288"/>
      <c r="AE62" s="288"/>
      <c r="AF62" s="288"/>
      <c r="AG62" s="288"/>
      <c r="AH62" s="288"/>
      <c r="AI62" s="289"/>
      <c r="AK62" s="425"/>
      <c r="AL62" s="425"/>
      <c r="AM62" s="425"/>
      <c r="AN62" s="425"/>
      <c r="AO62" s="425"/>
      <c r="AP62" s="425"/>
      <c r="AQ62" s="42"/>
      <c r="AR62" s="43"/>
      <c r="AS62" s="43"/>
      <c r="AT62" s="43"/>
      <c r="AU62" s="43"/>
      <c r="AV62" s="43"/>
      <c r="AW62" s="43"/>
      <c r="AX62" s="43"/>
      <c r="AY62" s="43"/>
      <c r="AZ62" s="43"/>
      <c r="BH62" s="50"/>
      <c r="BI62" s="51"/>
    </row>
    <row r="63" spans="1:61" ht="18" customHeight="1">
      <c r="A63" s="36"/>
      <c r="B63" s="404"/>
      <c r="C63" s="404"/>
      <c r="D63" s="404"/>
      <c r="E63" s="404"/>
      <c r="F63" s="288"/>
      <c r="G63" s="288"/>
      <c r="H63" s="288"/>
      <c r="I63" s="288"/>
      <c r="J63" s="288"/>
      <c r="K63" s="288"/>
      <c r="L63" s="288"/>
      <c r="M63" s="288"/>
      <c r="N63" s="288"/>
      <c r="O63" s="288"/>
      <c r="P63" s="288"/>
      <c r="Q63" s="288"/>
      <c r="R63" s="288"/>
      <c r="S63" s="288"/>
      <c r="T63" s="288"/>
      <c r="U63" s="288"/>
      <c r="V63" s="288"/>
      <c r="W63" s="288"/>
      <c r="X63" s="288"/>
      <c r="Y63" s="288"/>
      <c r="Z63" s="288"/>
      <c r="AA63" s="288"/>
      <c r="AB63" s="288"/>
      <c r="AC63" s="288"/>
      <c r="AD63" s="288"/>
      <c r="AE63" s="288"/>
      <c r="AF63" s="288"/>
      <c r="AG63" s="288"/>
      <c r="AH63" s="288"/>
      <c r="AI63" s="289"/>
      <c r="AK63" s="425"/>
      <c r="AL63" s="425"/>
      <c r="AM63" s="425"/>
      <c r="AN63" s="425"/>
      <c r="AO63" s="425"/>
      <c r="AP63" s="425"/>
      <c r="AQ63" s="42"/>
      <c r="AR63" s="43"/>
      <c r="AS63" s="43"/>
      <c r="AT63" s="43"/>
      <c r="AU63" s="43"/>
      <c r="AV63" s="43"/>
      <c r="AW63" s="43"/>
      <c r="AX63" s="43"/>
      <c r="AY63" s="43"/>
      <c r="AZ63" s="43"/>
      <c r="BH63" s="52"/>
      <c r="BI63" s="51"/>
    </row>
    <row r="64" spans="1:61" ht="18" customHeight="1">
      <c r="A64" s="36"/>
      <c r="B64" s="404"/>
      <c r="C64" s="404"/>
      <c r="D64" s="404"/>
      <c r="E64" s="404"/>
      <c r="F64" s="288"/>
      <c r="G64" s="288"/>
      <c r="H64" s="288"/>
      <c r="I64" s="288"/>
      <c r="J64" s="288"/>
      <c r="K64" s="288"/>
      <c r="L64" s="288"/>
      <c r="M64" s="288"/>
      <c r="N64" s="288"/>
      <c r="O64" s="288"/>
      <c r="P64" s="288"/>
      <c r="Q64" s="288"/>
      <c r="R64" s="288"/>
      <c r="S64" s="288"/>
      <c r="T64" s="288"/>
      <c r="U64" s="288"/>
      <c r="V64" s="288"/>
      <c r="W64" s="288"/>
      <c r="X64" s="288"/>
      <c r="Y64" s="288"/>
      <c r="Z64" s="288"/>
      <c r="AA64" s="288"/>
      <c r="AB64" s="288"/>
      <c r="AC64" s="288"/>
      <c r="AD64" s="288"/>
      <c r="AE64" s="288"/>
      <c r="AF64" s="288"/>
      <c r="AG64" s="288"/>
      <c r="AH64" s="288"/>
      <c r="AI64" s="289"/>
      <c r="AK64" s="425"/>
      <c r="AL64" s="425"/>
      <c r="AM64" s="425"/>
      <c r="AN64" s="425"/>
      <c r="AO64" s="425"/>
      <c r="AP64" s="425"/>
      <c r="AQ64" s="42"/>
      <c r="AR64" s="43"/>
      <c r="AS64" s="43"/>
      <c r="AT64" s="43"/>
      <c r="AU64" s="43"/>
      <c r="AV64" s="43"/>
      <c r="AW64" s="43"/>
      <c r="AX64" s="43"/>
      <c r="AY64" s="43"/>
      <c r="AZ64" s="43"/>
      <c r="BH64" s="52"/>
      <c r="BI64" s="51"/>
    </row>
    <row r="65" spans="1:61" ht="18" customHeight="1">
      <c r="A65" s="36"/>
      <c r="B65" s="404"/>
      <c r="C65" s="404"/>
      <c r="D65" s="404"/>
      <c r="E65" s="404"/>
      <c r="F65" s="288"/>
      <c r="G65" s="288"/>
      <c r="H65" s="288"/>
      <c r="I65" s="288"/>
      <c r="J65" s="288"/>
      <c r="K65" s="288"/>
      <c r="L65" s="288"/>
      <c r="M65" s="288"/>
      <c r="N65" s="288"/>
      <c r="O65" s="288"/>
      <c r="P65" s="288"/>
      <c r="Q65" s="288"/>
      <c r="R65" s="288"/>
      <c r="S65" s="288"/>
      <c r="T65" s="288"/>
      <c r="U65" s="288"/>
      <c r="V65" s="288"/>
      <c r="W65" s="288"/>
      <c r="X65" s="288"/>
      <c r="Y65" s="288"/>
      <c r="Z65" s="288"/>
      <c r="AA65" s="288"/>
      <c r="AB65" s="288"/>
      <c r="AC65" s="288"/>
      <c r="AD65" s="288"/>
      <c r="AE65" s="288"/>
      <c r="AF65" s="288"/>
      <c r="AG65" s="288"/>
      <c r="AH65" s="288"/>
      <c r="AI65" s="289"/>
      <c r="AK65" s="425"/>
      <c r="AL65" s="425"/>
      <c r="AM65" s="425"/>
      <c r="AN65" s="425"/>
      <c r="AO65" s="425"/>
      <c r="AP65" s="425"/>
      <c r="AQ65" s="42"/>
      <c r="AR65" s="43"/>
      <c r="AS65" s="43"/>
      <c r="AT65" s="43"/>
      <c r="AU65" s="43"/>
      <c r="AV65" s="43"/>
      <c r="AW65" s="43"/>
      <c r="AX65" s="43"/>
      <c r="AY65" s="43"/>
      <c r="AZ65" s="43"/>
      <c r="BH65" s="50"/>
      <c r="BI65" s="51"/>
    </row>
    <row r="66" spans="1:61" ht="18" customHeight="1">
      <c r="A66" s="36"/>
      <c r="B66" s="404"/>
      <c r="C66" s="404"/>
      <c r="D66" s="404"/>
      <c r="E66" s="404"/>
      <c r="F66" s="288"/>
      <c r="G66" s="288"/>
      <c r="H66" s="288"/>
      <c r="I66" s="288"/>
      <c r="J66" s="288"/>
      <c r="K66" s="288"/>
      <c r="L66" s="288"/>
      <c r="M66" s="288"/>
      <c r="N66" s="288"/>
      <c r="O66" s="288"/>
      <c r="P66" s="288"/>
      <c r="Q66" s="288"/>
      <c r="R66" s="288"/>
      <c r="S66" s="288"/>
      <c r="T66" s="288"/>
      <c r="U66" s="288"/>
      <c r="V66" s="288"/>
      <c r="W66" s="288"/>
      <c r="X66" s="288"/>
      <c r="Y66" s="288"/>
      <c r="Z66" s="288"/>
      <c r="AA66" s="288"/>
      <c r="AB66" s="288"/>
      <c r="AC66" s="288"/>
      <c r="AD66" s="288"/>
      <c r="AE66" s="288"/>
      <c r="AF66" s="288"/>
      <c r="AG66" s="288"/>
      <c r="AH66" s="288"/>
      <c r="AI66" s="289"/>
      <c r="AK66" s="425"/>
      <c r="AL66" s="425"/>
      <c r="AM66" s="425"/>
      <c r="AN66" s="425"/>
      <c r="AO66" s="425"/>
      <c r="AP66" s="425"/>
      <c r="AQ66" s="42"/>
      <c r="AR66" s="43"/>
      <c r="AS66" s="43"/>
      <c r="AT66" s="43"/>
      <c r="AU66" s="43"/>
      <c r="AV66" s="43"/>
      <c r="AW66" s="43"/>
      <c r="AX66" s="43"/>
      <c r="AY66" s="43"/>
      <c r="AZ66" s="43"/>
      <c r="BH66" s="50"/>
      <c r="BI66" s="51"/>
    </row>
    <row r="67" spans="1:61" ht="18" customHeight="1">
      <c r="A67" s="36"/>
      <c r="B67" s="404"/>
      <c r="C67" s="404"/>
      <c r="D67" s="404"/>
      <c r="E67" s="404"/>
      <c r="F67" s="288"/>
      <c r="G67" s="288"/>
      <c r="H67" s="288"/>
      <c r="I67" s="288"/>
      <c r="J67" s="288"/>
      <c r="K67" s="288"/>
      <c r="L67" s="288"/>
      <c r="M67" s="288"/>
      <c r="N67" s="288"/>
      <c r="O67" s="288"/>
      <c r="P67" s="288"/>
      <c r="Q67" s="288"/>
      <c r="R67" s="288"/>
      <c r="S67" s="288"/>
      <c r="T67" s="288"/>
      <c r="U67" s="288"/>
      <c r="V67" s="288"/>
      <c r="W67" s="288"/>
      <c r="X67" s="288"/>
      <c r="Y67" s="288"/>
      <c r="Z67" s="288"/>
      <c r="AA67" s="288"/>
      <c r="AB67" s="288"/>
      <c r="AC67" s="288"/>
      <c r="AD67" s="288"/>
      <c r="AE67" s="288"/>
      <c r="AF67" s="288"/>
      <c r="AG67" s="288"/>
      <c r="AH67" s="288"/>
      <c r="AI67" s="289"/>
      <c r="AK67" s="425"/>
      <c r="AL67" s="425"/>
      <c r="AM67" s="425"/>
      <c r="AN67" s="425"/>
      <c r="AO67" s="425"/>
      <c r="AP67" s="425"/>
      <c r="AQ67" s="67"/>
      <c r="AR67" s="43"/>
      <c r="AS67" s="43"/>
      <c r="AT67" s="43"/>
      <c r="AU67" s="43"/>
      <c r="AV67" s="43"/>
      <c r="AW67" s="43"/>
      <c r="AX67" s="43"/>
      <c r="AY67" s="43"/>
      <c r="AZ67" s="43"/>
      <c r="BH67" s="50"/>
      <c r="BI67" s="51"/>
    </row>
    <row r="68" spans="1:61" ht="18" customHeight="1">
      <c r="A68" s="36"/>
      <c r="B68" s="404"/>
      <c r="C68" s="404"/>
      <c r="D68" s="404"/>
      <c r="E68" s="404"/>
      <c r="F68" s="288"/>
      <c r="G68" s="288"/>
      <c r="H68" s="288"/>
      <c r="I68" s="288"/>
      <c r="J68" s="288"/>
      <c r="K68" s="288"/>
      <c r="L68" s="288"/>
      <c r="M68" s="288"/>
      <c r="N68" s="288"/>
      <c r="O68" s="288"/>
      <c r="P68" s="288"/>
      <c r="Q68" s="288"/>
      <c r="R68" s="288"/>
      <c r="S68" s="288"/>
      <c r="T68" s="288"/>
      <c r="U68" s="288"/>
      <c r="V68" s="288"/>
      <c r="W68" s="288"/>
      <c r="X68" s="288"/>
      <c r="Y68" s="288"/>
      <c r="Z68" s="288"/>
      <c r="AA68" s="288"/>
      <c r="AB68" s="288"/>
      <c r="AC68" s="288"/>
      <c r="AD68" s="288"/>
      <c r="AE68" s="288"/>
      <c r="AF68" s="288"/>
      <c r="AG68" s="288"/>
      <c r="AH68" s="288"/>
      <c r="AI68" s="289"/>
      <c r="AK68" s="425"/>
      <c r="AL68" s="425"/>
      <c r="AM68" s="425"/>
      <c r="AN68" s="425"/>
      <c r="AO68" s="425"/>
      <c r="AP68" s="425"/>
      <c r="AQ68" s="67"/>
      <c r="AR68" s="43"/>
      <c r="AS68" s="43"/>
      <c r="AT68" s="43"/>
      <c r="AU68" s="43"/>
      <c r="AV68" s="43"/>
      <c r="AW68" s="43"/>
      <c r="AX68" s="43"/>
      <c r="AY68" s="43"/>
      <c r="AZ68" s="43"/>
      <c r="BH68" s="50"/>
      <c r="BI68" s="51"/>
    </row>
    <row r="69" spans="1:61" ht="18" customHeight="1">
      <c r="A69" s="36"/>
      <c r="B69" s="404"/>
      <c r="C69" s="404"/>
      <c r="D69" s="404"/>
      <c r="E69" s="404"/>
      <c r="F69" s="288"/>
      <c r="G69" s="288"/>
      <c r="H69" s="288"/>
      <c r="I69" s="288"/>
      <c r="J69" s="288"/>
      <c r="K69" s="288"/>
      <c r="L69" s="288"/>
      <c r="M69" s="288"/>
      <c r="N69" s="288"/>
      <c r="O69" s="288"/>
      <c r="P69" s="288"/>
      <c r="Q69" s="288"/>
      <c r="R69" s="288"/>
      <c r="S69" s="288"/>
      <c r="T69" s="288"/>
      <c r="U69" s="288"/>
      <c r="V69" s="288"/>
      <c r="W69" s="288"/>
      <c r="X69" s="288"/>
      <c r="Y69" s="288"/>
      <c r="Z69" s="288"/>
      <c r="AA69" s="288"/>
      <c r="AB69" s="288"/>
      <c r="AC69" s="288"/>
      <c r="AD69" s="288"/>
      <c r="AE69" s="288"/>
      <c r="AF69" s="288"/>
      <c r="AG69" s="288"/>
      <c r="AH69" s="288"/>
      <c r="AI69" s="289"/>
      <c r="AK69" s="425"/>
      <c r="AL69" s="425"/>
      <c r="AM69" s="425"/>
      <c r="AN69" s="425"/>
      <c r="AO69" s="425"/>
      <c r="AP69" s="425"/>
      <c r="AQ69" s="42"/>
      <c r="AR69" s="43"/>
      <c r="AS69" s="43"/>
      <c r="AT69" s="43"/>
      <c r="AU69" s="43"/>
      <c r="AV69" s="43"/>
      <c r="AW69" s="43"/>
      <c r="AX69" s="43"/>
      <c r="AY69" s="43"/>
      <c r="AZ69" s="43"/>
      <c r="BH69" s="50"/>
      <c r="BI69" s="51"/>
    </row>
    <row r="70" spans="1:61" ht="18" customHeight="1">
      <c r="A70" s="36"/>
      <c r="B70" s="404"/>
      <c r="C70" s="404"/>
      <c r="D70" s="404"/>
      <c r="E70" s="404"/>
      <c r="F70" s="288"/>
      <c r="G70" s="288"/>
      <c r="H70" s="288"/>
      <c r="I70" s="288"/>
      <c r="J70" s="288"/>
      <c r="K70" s="288"/>
      <c r="L70" s="288"/>
      <c r="M70" s="288"/>
      <c r="N70" s="288"/>
      <c r="O70" s="288"/>
      <c r="P70" s="288"/>
      <c r="Q70" s="288"/>
      <c r="R70" s="288"/>
      <c r="S70" s="288"/>
      <c r="T70" s="288"/>
      <c r="U70" s="288"/>
      <c r="V70" s="288"/>
      <c r="W70" s="288"/>
      <c r="X70" s="288"/>
      <c r="Y70" s="288"/>
      <c r="Z70" s="288"/>
      <c r="AA70" s="288"/>
      <c r="AB70" s="288"/>
      <c r="AC70" s="288"/>
      <c r="AD70" s="288"/>
      <c r="AE70" s="288"/>
      <c r="AF70" s="288"/>
      <c r="AG70" s="288"/>
      <c r="AH70" s="288"/>
      <c r="AI70" s="289"/>
      <c r="AK70" s="425"/>
      <c r="AL70" s="425"/>
      <c r="AM70" s="425"/>
      <c r="AN70" s="425"/>
      <c r="AO70" s="425"/>
      <c r="AP70" s="425"/>
      <c r="AQ70" s="42"/>
      <c r="AR70" s="43"/>
      <c r="AS70" s="43"/>
      <c r="AT70" s="43"/>
      <c r="AU70" s="43"/>
      <c r="AV70" s="43"/>
      <c r="AW70" s="43"/>
      <c r="AX70" s="43"/>
      <c r="AY70" s="43"/>
      <c r="AZ70" s="43"/>
      <c r="BH70" s="50"/>
      <c r="BI70" s="51"/>
    </row>
    <row r="71" spans="1:61" ht="18" customHeight="1">
      <c r="A71" s="36"/>
      <c r="B71" s="404"/>
      <c r="C71" s="404"/>
      <c r="D71" s="404"/>
      <c r="E71" s="404"/>
      <c r="F71" s="288"/>
      <c r="G71" s="288"/>
      <c r="H71" s="288"/>
      <c r="I71" s="288"/>
      <c r="J71" s="288"/>
      <c r="K71" s="288"/>
      <c r="L71" s="288"/>
      <c r="M71" s="288"/>
      <c r="N71" s="288"/>
      <c r="O71" s="288"/>
      <c r="P71" s="288"/>
      <c r="Q71" s="288"/>
      <c r="R71" s="288"/>
      <c r="S71" s="288"/>
      <c r="T71" s="288"/>
      <c r="U71" s="288"/>
      <c r="V71" s="288"/>
      <c r="W71" s="288"/>
      <c r="X71" s="288"/>
      <c r="Y71" s="288"/>
      <c r="Z71" s="288"/>
      <c r="AA71" s="288"/>
      <c r="AB71" s="288"/>
      <c r="AC71" s="288"/>
      <c r="AD71" s="288"/>
      <c r="AE71" s="288"/>
      <c r="AF71" s="288"/>
      <c r="AG71" s="288"/>
      <c r="AH71" s="288"/>
      <c r="AI71" s="289"/>
      <c r="AK71" s="425"/>
      <c r="AL71" s="425"/>
      <c r="AM71" s="425"/>
      <c r="AN71" s="425"/>
      <c r="AO71" s="425"/>
      <c r="AP71" s="425"/>
      <c r="AQ71" s="42"/>
      <c r="AR71" s="43"/>
      <c r="AS71" s="43"/>
      <c r="AT71" s="43"/>
      <c r="AU71" s="43"/>
      <c r="AV71" s="43"/>
      <c r="AW71" s="43"/>
      <c r="AX71" s="43"/>
      <c r="AY71" s="43"/>
      <c r="AZ71" s="43"/>
      <c r="BH71" s="52"/>
      <c r="BI71" s="51"/>
    </row>
    <row r="72" spans="1:61" ht="18" customHeight="1">
      <c r="A72" s="36"/>
      <c r="B72" s="404"/>
      <c r="C72" s="404"/>
      <c r="D72" s="404"/>
      <c r="E72" s="404"/>
      <c r="F72" s="288"/>
      <c r="G72" s="288"/>
      <c r="H72" s="288"/>
      <c r="I72" s="288"/>
      <c r="J72" s="288"/>
      <c r="K72" s="288"/>
      <c r="L72" s="288"/>
      <c r="M72" s="288"/>
      <c r="N72" s="288"/>
      <c r="O72" s="288"/>
      <c r="P72" s="288"/>
      <c r="Q72" s="288"/>
      <c r="R72" s="288"/>
      <c r="S72" s="288"/>
      <c r="T72" s="288"/>
      <c r="U72" s="288"/>
      <c r="V72" s="288"/>
      <c r="W72" s="288"/>
      <c r="X72" s="288"/>
      <c r="Y72" s="288"/>
      <c r="Z72" s="288"/>
      <c r="AA72" s="288"/>
      <c r="AB72" s="288"/>
      <c r="AC72" s="288"/>
      <c r="AD72" s="288"/>
      <c r="AE72" s="288"/>
      <c r="AF72" s="288"/>
      <c r="AG72" s="288"/>
      <c r="AH72" s="288"/>
      <c r="AI72" s="289"/>
      <c r="AK72" s="425"/>
      <c r="AL72" s="425"/>
      <c r="AM72" s="425"/>
      <c r="AN72" s="425"/>
      <c r="AO72" s="425"/>
      <c r="AP72" s="425"/>
      <c r="AQ72" s="42"/>
      <c r="AR72" s="43"/>
      <c r="AS72" s="43"/>
      <c r="AT72" s="43"/>
      <c r="AU72" s="43"/>
      <c r="AV72" s="43"/>
      <c r="AW72" s="43"/>
      <c r="AX72" s="43"/>
      <c r="AY72" s="43"/>
      <c r="AZ72" s="43"/>
      <c r="BH72" s="53"/>
      <c r="BI72" s="51"/>
    </row>
    <row r="73" spans="1:61" ht="18" customHeight="1">
      <c r="A73" s="36"/>
      <c r="B73" s="404"/>
      <c r="C73" s="404"/>
      <c r="D73" s="404"/>
      <c r="E73" s="404"/>
      <c r="F73" s="288"/>
      <c r="G73" s="288"/>
      <c r="H73" s="288"/>
      <c r="I73" s="288"/>
      <c r="J73" s="288"/>
      <c r="K73" s="288"/>
      <c r="L73" s="288"/>
      <c r="M73" s="288"/>
      <c r="N73" s="288"/>
      <c r="O73" s="288"/>
      <c r="P73" s="288"/>
      <c r="Q73" s="288"/>
      <c r="R73" s="288"/>
      <c r="S73" s="288"/>
      <c r="T73" s="288"/>
      <c r="U73" s="288"/>
      <c r="V73" s="288"/>
      <c r="W73" s="288"/>
      <c r="X73" s="288"/>
      <c r="Y73" s="288"/>
      <c r="Z73" s="288"/>
      <c r="AA73" s="288"/>
      <c r="AB73" s="288"/>
      <c r="AC73" s="288"/>
      <c r="AD73" s="288"/>
      <c r="AE73" s="288"/>
      <c r="AF73" s="288"/>
      <c r="AG73" s="288"/>
      <c r="AH73" s="288"/>
      <c r="AI73" s="289"/>
      <c r="AK73" s="425"/>
      <c r="AL73" s="425"/>
      <c r="AM73" s="425"/>
      <c r="AN73" s="425"/>
      <c r="AO73" s="425"/>
      <c r="AP73" s="425"/>
      <c r="AQ73" s="42"/>
      <c r="AR73" s="43"/>
      <c r="AS73" s="43"/>
      <c r="AT73" s="43"/>
      <c r="AU73" s="43"/>
      <c r="AV73" s="43"/>
      <c r="AW73" s="43"/>
      <c r="AX73" s="43"/>
      <c r="AY73" s="43"/>
      <c r="AZ73" s="43"/>
      <c r="BH73" s="54"/>
      <c r="BI73" s="51"/>
    </row>
    <row r="74" spans="1:61" ht="18" customHeight="1">
      <c r="A74" s="36"/>
      <c r="B74" s="404"/>
      <c r="C74" s="404"/>
      <c r="D74" s="404"/>
      <c r="E74" s="404"/>
      <c r="F74" s="288"/>
      <c r="G74" s="288"/>
      <c r="H74" s="288"/>
      <c r="I74" s="288"/>
      <c r="J74" s="288"/>
      <c r="K74" s="288"/>
      <c r="L74" s="288"/>
      <c r="M74" s="288"/>
      <c r="N74" s="288"/>
      <c r="O74" s="288"/>
      <c r="P74" s="288"/>
      <c r="Q74" s="288"/>
      <c r="R74" s="288"/>
      <c r="S74" s="288"/>
      <c r="T74" s="288"/>
      <c r="U74" s="288"/>
      <c r="V74" s="288"/>
      <c r="W74" s="288"/>
      <c r="X74" s="288"/>
      <c r="Y74" s="288"/>
      <c r="Z74" s="288"/>
      <c r="AA74" s="288"/>
      <c r="AB74" s="288"/>
      <c r="AC74" s="288"/>
      <c r="AD74" s="288"/>
      <c r="AE74" s="288"/>
      <c r="AF74" s="288"/>
      <c r="AG74" s="288"/>
      <c r="AH74" s="288"/>
      <c r="AI74" s="289"/>
      <c r="AK74" s="425"/>
      <c r="AL74" s="425"/>
      <c r="AM74" s="425"/>
      <c r="AN74" s="425"/>
      <c r="AO74" s="425"/>
      <c r="AP74" s="425"/>
      <c r="AQ74" s="42"/>
      <c r="AR74" s="43"/>
      <c r="AS74" s="43"/>
      <c r="AT74" s="43"/>
      <c r="AU74" s="43"/>
      <c r="AV74" s="43"/>
      <c r="AW74" s="43"/>
      <c r="AX74" s="43"/>
      <c r="AY74" s="43"/>
      <c r="AZ74" s="43"/>
      <c r="BH74" s="54"/>
      <c r="BI74" s="51"/>
    </row>
    <row r="75" spans="1:61" ht="18" customHeight="1">
      <c r="A75" s="36"/>
      <c r="B75" s="404"/>
      <c r="C75" s="404"/>
      <c r="D75" s="404"/>
      <c r="E75" s="404"/>
      <c r="F75" s="288"/>
      <c r="G75" s="288"/>
      <c r="H75" s="288"/>
      <c r="I75" s="288"/>
      <c r="J75" s="288"/>
      <c r="K75" s="288"/>
      <c r="L75" s="288"/>
      <c r="M75" s="288"/>
      <c r="N75" s="288"/>
      <c r="O75" s="288"/>
      <c r="P75" s="288"/>
      <c r="Q75" s="288"/>
      <c r="R75" s="288"/>
      <c r="S75" s="288"/>
      <c r="T75" s="288"/>
      <c r="U75" s="288"/>
      <c r="V75" s="288"/>
      <c r="W75" s="288"/>
      <c r="X75" s="288"/>
      <c r="Y75" s="288"/>
      <c r="Z75" s="288"/>
      <c r="AA75" s="288"/>
      <c r="AB75" s="288"/>
      <c r="AC75" s="288"/>
      <c r="AD75" s="288"/>
      <c r="AE75" s="288"/>
      <c r="AF75" s="288"/>
      <c r="AG75" s="288"/>
      <c r="AH75" s="288"/>
      <c r="AI75" s="289"/>
      <c r="AK75" s="425"/>
      <c r="AL75" s="425"/>
      <c r="AM75" s="425"/>
      <c r="AN75" s="425"/>
      <c r="AO75" s="425"/>
      <c r="AP75" s="425"/>
      <c r="AQ75" s="42"/>
      <c r="AR75" s="43"/>
      <c r="AS75" s="43"/>
      <c r="AT75" s="43"/>
      <c r="AU75" s="43"/>
      <c r="AV75" s="43"/>
      <c r="AW75" s="43"/>
      <c r="AX75" s="43"/>
      <c r="AY75" s="43"/>
      <c r="AZ75" s="43"/>
      <c r="BH75" s="53"/>
      <c r="BI75" s="51"/>
    </row>
    <row r="76" spans="1:61" ht="18" customHeight="1">
      <c r="A76" s="36"/>
      <c r="B76" s="404"/>
      <c r="C76" s="404"/>
      <c r="D76" s="404"/>
      <c r="E76" s="404"/>
      <c r="F76" s="288"/>
      <c r="G76" s="288"/>
      <c r="H76" s="288"/>
      <c r="I76" s="288"/>
      <c r="J76" s="288"/>
      <c r="K76" s="288"/>
      <c r="L76" s="288"/>
      <c r="M76" s="288"/>
      <c r="N76" s="288"/>
      <c r="O76" s="288"/>
      <c r="P76" s="288"/>
      <c r="Q76" s="288"/>
      <c r="R76" s="288"/>
      <c r="S76" s="288"/>
      <c r="T76" s="288"/>
      <c r="U76" s="288"/>
      <c r="V76" s="288"/>
      <c r="W76" s="288"/>
      <c r="X76" s="288"/>
      <c r="Y76" s="288"/>
      <c r="Z76" s="288"/>
      <c r="AA76" s="288"/>
      <c r="AB76" s="288"/>
      <c r="AC76" s="288"/>
      <c r="AD76" s="288"/>
      <c r="AE76" s="288"/>
      <c r="AF76" s="288"/>
      <c r="AG76" s="288"/>
      <c r="AH76" s="288"/>
      <c r="AI76" s="289"/>
      <c r="AK76" s="425"/>
      <c r="AL76" s="425"/>
      <c r="AM76" s="425"/>
      <c r="AN76" s="425"/>
      <c r="AO76" s="425"/>
      <c r="AP76" s="425"/>
      <c r="AQ76" s="42"/>
      <c r="AR76" s="43"/>
      <c r="AS76" s="43"/>
      <c r="AT76" s="43"/>
      <c r="AU76" s="43"/>
      <c r="AV76" s="43"/>
      <c r="AW76" s="43"/>
      <c r="AX76" s="43"/>
      <c r="AY76" s="43"/>
      <c r="AZ76" s="43"/>
      <c r="BH76" s="53"/>
      <c r="BI76" s="51"/>
    </row>
    <row r="77" spans="1:61" ht="18" customHeight="1">
      <c r="A77" s="36"/>
      <c r="B77" s="404"/>
      <c r="C77" s="404"/>
      <c r="D77" s="404"/>
      <c r="E77" s="404"/>
      <c r="F77" s="288"/>
      <c r="G77" s="288"/>
      <c r="H77" s="288"/>
      <c r="I77" s="288"/>
      <c r="J77" s="288"/>
      <c r="K77" s="288"/>
      <c r="L77" s="288"/>
      <c r="M77" s="288"/>
      <c r="N77" s="288"/>
      <c r="O77" s="288"/>
      <c r="P77" s="288"/>
      <c r="Q77" s="288"/>
      <c r="R77" s="288"/>
      <c r="S77" s="288"/>
      <c r="T77" s="288"/>
      <c r="U77" s="288"/>
      <c r="V77" s="288"/>
      <c r="W77" s="288"/>
      <c r="X77" s="288"/>
      <c r="Y77" s="288"/>
      <c r="Z77" s="288"/>
      <c r="AA77" s="288"/>
      <c r="AB77" s="288"/>
      <c r="AC77" s="288"/>
      <c r="AD77" s="288"/>
      <c r="AE77" s="288"/>
      <c r="AF77" s="288"/>
      <c r="AG77" s="288"/>
      <c r="AH77" s="288"/>
      <c r="AI77" s="289"/>
      <c r="AK77" s="425"/>
      <c r="AL77" s="425"/>
      <c r="AM77" s="425"/>
      <c r="AN77" s="425"/>
      <c r="AO77" s="425"/>
      <c r="AP77" s="425"/>
      <c r="AQ77" s="42"/>
      <c r="AR77" s="43"/>
      <c r="AS77" s="43"/>
      <c r="AT77" s="43"/>
      <c r="AU77" s="43"/>
      <c r="AV77" s="43"/>
      <c r="AW77" s="43"/>
      <c r="AX77" s="43"/>
      <c r="AY77" s="43"/>
      <c r="AZ77" s="43"/>
      <c r="BH77" s="54"/>
      <c r="BI77" s="51"/>
    </row>
    <row r="78" spans="1:61" ht="18" customHeight="1">
      <c r="A78" s="36"/>
      <c r="B78" s="404"/>
      <c r="C78" s="404"/>
      <c r="D78" s="404"/>
      <c r="E78" s="404"/>
      <c r="F78" s="288"/>
      <c r="G78" s="288"/>
      <c r="H78" s="288"/>
      <c r="I78" s="288"/>
      <c r="J78" s="288"/>
      <c r="K78" s="288"/>
      <c r="L78" s="288"/>
      <c r="M78" s="288"/>
      <c r="N78" s="288"/>
      <c r="O78" s="288"/>
      <c r="P78" s="288"/>
      <c r="Q78" s="288"/>
      <c r="R78" s="288"/>
      <c r="S78" s="288"/>
      <c r="T78" s="288"/>
      <c r="U78" s="288"/>
      <c r="V78" s="288"/>
      <c r="W78" s="288"/>
      <c r="X78" s="288"/>
      <c r="Y78" s="288"/>
      <c r="Z78" s="288"/>
      <c r="AA78" s="288"/>
      <c r="AB78" s="288"/>
      <c r="AC78" s="288"/>
      <c r="AD78" s="288"/>
      <c r="AE78" s="288"/>
      <c r="AF78" s="288"/>
      <c r="AG78" s="288"/>
      <c r="AH78" s="288"/>
      <c r="AI78" s="289"/>
      <c r="AK78" s="425"/>
      <c r="AL78" s="425"/>
      <c r="AM78" s="425"/>
      <c r="AN78" s="425"/>
      <c r="AO78" s="425"/>
      <c r="AP78" s="425"/>
      <c r="AQ78" s="42"/>
      <c r="AR78" s="43"/>
      <c r="AS78" s="43"/>
      <c r="AT78" s="43"/>
      <c r="AU78" s="43"/>
      <c r="AV78" s="43"/>
      <c r="AW78" s="43"/>
      <c r="AX78" s="43"/>
      <c r="AY78" s="43"/>
      <c r="AZ78" s="43"/>
      <c r="BH78" s="54"/>
      <c r="BI78" s="51"/>
    </row>
    <row r="79" spans="1:61" ht="18" customHeight="1">
      <c r="A79" s="36"/>
      <c r="B79" s="404"/>
      <c r="C79" s="404"/>
      <c r="D79" s="404"/>
      <c r="E79" s="404"/>
      <c r="F79" s="288"/>
      <c r="G79" s="288"/>
      <c r="H79" s="288"/>
      <c r="I79" s="288"/>
      <c r="J79" s="288"/>
      <c r="K79" s="288"/>
      <c r="L79" s="288"/>
      <c r="M79" s="288"/>
      <c r="N79" s="288"/>
      <c r="O79" s="288"/>
      <c r="P79" s="288"/>
      <c r="Q79" s="288"/>
      <c r="R79" s="288"/>
      <c r="S79" s="288"/>
      <c r="T79" s="288"/>
      <c r="U79" s="288"/>
      <c r="V79" s="288"/>
      <c r="W79" s="288"/>
      <c r="X79" s="288"/>
      <c r="Y79" s="288"/>
      <c r="Z79" s="288"/>
      <c r="AA79" s="288"/>
      <c r="AB79" s="288"/>
      <c r="AC79" s="288"/>
      <c r="AD79" s="288"/>
      <c r="AE79" s="288"/>
      <c r="AF79" s="288"/>
      <c r="AG79" s="288"/>
      <c r="AH79" s="288"/>
      <c r="AI79" s="289"/>
      <c r="AK79" s="425"/>
      <c r="AL79" s="425"/>
      <c r="AM79" s="425"/>
      <c r="AN79" s="425"/>
      <c r="AO79" s="425"/>
      <c r="AP79" s="425"/>
      <c r="AQ79" s="42"/>
      <c r="AR79" s="43"/>
      <c r="AS79" s="43"/>
      <c r="AT79" s="43"/>
      <c r="AU79" s="43"/>
      <c r="AV79" s="43"/>
      <c r="AW79" s="43"/>
      <c r="AX79" s="43"/>
      <c r="AY79" s="43"/>
      <c r="AZ79" s="43"/>
      <c r="BH79" s="54"/>
      <c r="BI79" s="51"/>
    </row>
    <row r="80" spans="1:61" ht="18" customHeight="1">
      <c r="A80" s="37"/>
      <c r="B80" s="466"/>
      <c r="C80" s="466"/>
      <c r="D80" s="466"/>
      <c r="E80" s="466"/>
      <c r="F80" s="467"/>
      <c r="G80" s="467"/>
      <c r="H80" s="467"/>
      <c r="I80" s="467"/>
      <c r="J80" s="467"/>
      <c r="K80" s="467"/>
      <c r="L80" s="467"/>
      <c r="M80" s="467"/>
      <c r="N80" s="467"/>
      <c r="O80" s="467"/>
      <c r="P80" s="467"/>
      <c r="Q80" s="467"/>
      <c r="R80" s="467"/>
      <c r="S80" s="467"/>
      <c r="T80" s="467"/>
      <c r="U80" s="467"/>
      <c r="V80" s="467"/>
      <c r="W80" s="467"/>
      <c r="X80" s="467"/>
      <c r="Y80" s="467"/>
      <c r="Z80" s="467"/>
      <c r="AA80" s="467"/>
      <c r="AB80" s="467"/>
      <c r="AC80" s="467"/>
      <c r="AD80" s="467"/>
      <c r="AE80" s="467"/>
      <c r="AF80" s="467"/>
      <c r="AG80" s="467"/>
      <c r="AH80" s="467"/>
      <c r="AI80" s="468"/>
      <c r="AK80" s="425"/>
      <c r="AL80" s="425"/>
      <c r="AM80" s="425"/>
      <c r="AN80" s="425"/>
      <c r="AO80" s="425"/>
      <c r="AP80" s="425"/>
      <c r="AQ80" s="42"/>
      <c r="AR80" s="43"/>
      <c r="AS80" s="43"/>
      <c r="AT80" s="43"/>
      <c r="AU80" s="43"/>
      <c r="AV80" s="43"/>
      <c r="AW80" s="43"/>
      <c r="AX80" s="43"/>
      <c r="AY80" s="43"/>
      <c r="AZ80" s="43"/>
      <c r="BH80" s="54"/>
      <c r="BI80" s="51"/>
    </row>
    <row r="81" spans="1:61" ht="18" customHeight="1">
      <c r="A81" s="406" t="s">
        <v>704</v>
      </c>
      <c r="B81" s="407"/>
      <c r="C81" s="407"/>
      <c r="D81" s="407"/>
      <c r="E81" s="407"/>
      <c r="F81" s="407"/>
      <c r="G81" s="407"/>
      <c r="H81" s="407"/>
      <c r="I81" s="407"/>
      <c r="J81" s="407"/>
      <c r="K81" s="407"/>
      <c r="L81" s="407"/>
      <c r="M81" s="407"/>
      <c r="N81" s="407"/>
      <c r="O81" s="407"/>
      <c r="P81" s="407"/>
      <c r="Q81" s="407"/>
      <c r="R81" s="407"/>
      <c r="S81" s="407"/>
      <c r="T81" s="407"/>
      <c r="U81" s="407"/>
      <c r="V81" s="407"/>
      <c r="W81" s="407"/>
      <c r="X81" s="407"/>
      <c r="Y81" s="407"/>
      <c r="Z81" s="407"/>
      <c r="AA81" s="407"/>
      <c r="AB81" s="407"/>
      <c r="AC81" s="407"/>
      <c r="AD81" s="407"/>
      <c r="AE81" s="407"/>
      <c r="AF81" s="407"/>
      <c r="AG81" s="407"/>
      <c r="AH81" s="407"/>
      <c r="AI81" s="408"/>
      <c r="AK81" s="425"/>
      <c r="AL81" s="425"/>
      <c r="AM81" s="425"/>
      <c r="AN81" s="425"/>
      <c r="AO81" s="425"/>
      <c r="AP81" s="425"/>
      <c r="AQ81" s="42"/>
      <c r="AR81" s="43"/>
      <c r="AS81" s="43"/>
      <c r="AT81" s="43"/>
      <c r="AU81" s="43"/>
      <c r="AV81" s="43"/>
      <c r="AW81" s="43"/>
      <c r="AX81" s="43"/>
      <c r="AY81" s="43"/>
      <c r="AZ81" s="43"/>
      <c r="BH81" s="53"/>
      <c r="BI81" s="51"/>
    </row>
    <row r="82" spans="1:61" ht="18" customHeight="1">
      <c r="A82" s="38"/>
      <c r="B82" s="465"/>
      <c r="C82" s="465"/>
      <c r="D82" s="465"/>
      <c r="E82" s="465"/>
      <c r="F82" s="288"/>
      <c r="G82" s="288"/>
      <c r="H82" s="288"/>
      <c r="I82" s="288"/>
      <c r="J82" s="288"/>
      <c r="K82" s="288"/>
      <c r="L82" s="288"/>
      <c r="M82" s="288"/>
      <c r="N82" s="288"/>
      <c r="O82" s="288"/>
      <c r="P82" s="288"/>
      <c r="Q82" s="288"/>
      <c r="R82" s="288"/>
      <c r="S82" s="288"/>
      <c r="T82" s="288"/>
      <c r="U82" s="288"/>
      <c r="V82" s="288"/>
      <c r="W82" s="288"/>
      <c r="X82" s="288"/>
      <c r="Y82" s="288"/>
      <c r="Z82" s="288"/>
      <c r="AA82" s="288"/>
      <c r="AB82" s="288"/>
      <c r="AC82" s="288"/>
      <c r="AD82" s="288"/>
      <c r="AE82" s="288"/>
      <c r="AF82" s="288"/>
      <c r="AG82" s="288"/>
      <c r="AH82" s="288"/>
      <c r="AI82" s="289"/>
      <c r="AK82" s="425"/>
      <c r="AL82" s="425"/>
      <c r="AM82" s="425"/>
      <c r="AN82" s="425"/>
      <c r="AO82" s="425"/>
      <c r="AP82" s="425"/>
      <c r="AQ82" s="42"/>
      <c r="AR82" s="43"/>
      <c r="AS82" s="43"/>
      <c r="AT82" s="43"/>
      <c r="AU82" s="43"/>
      <c r="AV82" s="43"/>
      <c r="AW82" s="43"/>
      <c r="AX82" s="43"/>
      <c r="AY82" s="43"/>
      <c r="AZ82" s="43"/>
      <c r="BH82" s="53"/>
      <c r="BI82" s="51"/>
    </row>
    <row r="83" spans="1:61" ht="18" customHeight="1">
      <c r="A83" s="38"/>
      <c r="B83" s="465"/>
      <c r="C83" s="465"/>
      <c r="D83" s="465"/>
      <c r="E83" s="465"/>
      <c r="F83" s="288"/>
      <c r="G83" s="288"/>
      <c r="H83" s="288"/>
      <c r="I83" s="288"/>
      <c r="J83" s="288"/>
      <c r="K83" s="288"/>
      <c r="L83" s="288"/>
      <c r="M83" s="288"/>
      <c r="N83" s="288"/>
      <c r="O83" s="288"/>
      <c r="P83" s="288"/>
      <c r="Q83" s="288"/>
      <c r="R83" s="288"/>
      <c r="S83" s="288"/>
      <c r="T83" s="288"/>
      <c r="U83" s="288"/>
      <c r="V83" s="288"/>
      <c r="W83" s="288"/>
      <c r="X83" s="288"/>
      <c r="Y83" s="288"/>
      <c r="Z83" s="288"/>
      <c r="AA83" s="288"/>
      <c r="AB83" s="288"/>
      <c r="AC83" s="288"/>
      <c r="AD83" s="288"/>
      <c r="AE83" s="288"/>
      <c r="AF83" s="288"/>
      <c r="AG83" s="288"/>
      <c r="AH83" s="288"/>
      <c r="AI83" s="289"/>
      <c r="AK83" s="425"/>
      <c r="AL83" s="425"/>
      <c r="AM83" s="425"/>
      <c r="AN83" s="425"/>
      <c r="AO83" s="425"/>
      <c r="AP83" s="425"/>
      <c r="AQ83" s="42"/>
      <c r="AR83" s="43"/>
      <c r="AS83" s="43"/>
      <c r="AT83" s="43"/>
      <c r="AU83" s="43"/>
      <c r="AV83" s="43"/>
      <c r="AW83" s="43"/>
      <c r="AX83" s="43"/>
      <c r="AY83" s="43"/>
      <c r="AZ83" s="43"/>
      <c r="BH83" s="53"/>
      <c r="BI83" s="51"/>
    </row>
    <row r="84" spans="1:61" ht="18" customHeight="1">
      <c r="A84" s="38"/>
      <c r="B84" s="465"/>
      <c r="C84" s="465"/>
      <c r="D84" s="465"/>
      <c r="E84" s="465"/>
      <c r="F84" s="288"/>
      <c r="G84" s="288"/>
      <c r="H84" s="288"/>
      <c r="I84" s="288"/>
      <c r="J84" s="288"/>
      <c r="K84" s="288"/>
      <c r="L84" s="288"/>
      <c r="M84" s="288"/>
      <c r="N84" s="288"/>
      <c r="O84" s="288"/>
      <c r="P84" s="288"/>
      <c r="Q84" s="288"/>
      <c r="R84" s="288"/>
      <c r="S84" s="288"/>
      <c r="T84" s="288"/>
      <c r="U84" s="288"/>
      <c r="V84" s="288"/>
      <c r="W84" s="288"/>
      <c r="X84" s="288"/>
      <c r="Y84" s="288"/>
      <c r="Z84" s="288"/>
      <c r="AA84" s="288"/>
      <c r="AB84" s="288"/>
      <c r="AC84" s="288"/>
      <c r="AD84" s="288"/>
      <c r="AE84" s="288"/>
      <c r="AF84" s="288"/>
      <c r="AG84" s="288"/>
      <c r="AH84" s="288"/>
      <c r="AI84" s="289"/>
      <c r="AK84" s="425"/>
      <c r="AL84" s="425"/>
      <c r="AM84" s="425"/>
      <c r="AN84" s="425"/>
      <c r="AO84" s="425"/>
      <c r="AP84" s="425"/>
      <c r="AQ84" s="42"/>
      <c r="AR84" s="43"/>
      <c r="AS84" s="43"/>
      <c r="AT84" s="43"/>
      <c r="AU84" s="43"/>
      <c r="AV84" s="43"/>
      <c r="AW84" s="43"/>
      <c r="AX84" s="43"/>
      <c r="AY84" s="43"/>
      <c r="AZ84" s="43"/>
    </row>
    <row r="85" spans="1:61" ht="18" customHeight="1">
      <c r="A85" s="38"/>
      <c r="B85" s="465"/>
      <c r="C85" s="465"/>
      <c r="D85" s="465"/>
      <c r="E85" s="465"/>
      <c r="F85" s="288"/>
      <c r="G85" s="288"/>
      <c r="H85" s="288"/>
      <c r="I85" s="288"/>
      <c r="J85" s="288"/>
      <c r="K85" s="288"/>
      <c r="L85" s="288"/>
      <c r="M85" s="288"/>
      <c r="N85" s="288"/>
      <c r="O85" s="288"/>
      <c r="P85" s="288"/>
      <c r="Q85" s="288"/>
      <c r="R85" s="288"/>
      <c r="S85" s="288"/>
      <c r="T85" s="288"/>
      <c r="U85" s="288"/>
      <c r="V85" s="288"/>
      <c r="W85" s="288"/>
      <c r="X85" s="288"/>
      <c r="Y85" s="288"/>
      <c r="Z85" s="288"/>
      <c r="AA85" s="288"/>
      <c r="AB85" s="288"/>
      <c r="AC85" s="288"/>
      <c r="AD85" s="288"/>
      <c r="AE85" s="288"/>
      <c r="AF85" s="288"/>
      <c r="AG85" s="288"/>
      <c r="AH85" s="288"/>
      <c r="AI85" s="289"/>
      <c r="AK85" s="425"/>
      <c r="AL85" s="425"/>
      <c r="AM85" s="425"/>
      <c r="AN85" s="425"/>
      <c r="AO85" s="425"/>
      <c r="AP85" s="425"/>
      <c r="AQ85" s="42"/>
      <c r="AR85" s="43"/>
      <c r="AS85" s="43"/>
      <c r="AT85" s="43"/>
      <c r="AU85" s="43"/>
      <c r="AV85" s="43"/>
      <c r="AW85" s="43"/>
      <c r="AX85" s="43"/>
      <c r="AY85" s="43"/>
      <c r="AZ85" s="43"/>
    </row>
    <row r="86" spans="1:61" ht="18" customHeight="1" thickBot="1">
      <c r="A86" s="41"/>
      <c r="B86" s="540"/>
      <c r="C86" s="540"/>
      <c r="D86" s="540"/>
      <c r="E86" s="540"/>
      <c r="F86" s="541"/>
      <c r="G86" s="541"/>
      <c r="H86" s="541"/>
      <c r="I86" s="541"/>
      <c r="J86" s="541"/>
      <c r="K86" s="541"/>
      <c r="L86" s="541"/>
      <c r="M86" s="541"/>
      <c r="N86" s="541"/>
      <c r="O86" s="541"/>
      <c r="P86" s="541"/>
      <c r="Q86" s="541"/>
      <c r="R86" s="541"/>
      <c r="S86" s="541"/>
      <c r="T86" s="541"/>
      <c r="U86" s="541"/>
      <c r="V86" s="541"/>
      <c r="W86" s="541"/>
      <c r="X86" s="541"/>
      <c r="Y86" s="541"/>
      <c r="Z86" s="541"/>
      <c r="AA86" s="541"/>
      <c r="AB86" s="541"/>
      <c r="AC86" s="541"/>
      <c r="AD86" s="541"/>
      <c r="AE86" s="541"/>
      <c r="AF86" s="541"/>
      <c r="AG86" s="541"/>
      <c r="AH86" s="541"/>
      <c r="AI86" s="542"/>
      <c r="AK86" s="425"/>
      <c r="AL86" s="425"/>
      <c r="AM86" s="425"/>
      <c r="AN86" s="425"/>
      <c r="AO86" s="425"/>
      <c r="AP86" s="425"/>
      <c r="AQ86" s="42"/>
      <c r="AR86" s="43"/>
      <c r="AS86" s="43"/>
      <c r="AT86" s="43"/>
      <c r="AU86" s="43"/>
      <c r="AV86" s="43"/>
      <c r="AW86" s="43"/>
      <c r="AX86" s="43"/>
      <c r="AY86" s="43"/>
      <c r="AZ86" s="43"/>
    </row>
    <row r="87" spans="1:61" ht="14.1" customHeight="1">
      <c r="AK87" s="438"/>
      <c r="AL87" s="438"/>
      <c r="AM87" s="438"/>
      <c r="AN87" s="438"/>
      <c r="AO87" s="438"/>
      <c r="AP87" s="438"/>
      <c r="AQ87" s="119"/>
    </row>
    <row r="88" spans="1:61" ht="14.1" customHeight="1">
      <c r="AK88" s="437"/>
      <c r="AL88" s="437"/>
      <c r="AM88" s="437"/>
      <c r="AN88" s="437"/>
      <c r="AO88" s="437"/>
      <c r="AP88" s="437"/>
      <c r="AQ88" s="120"/>
    </row>
    <row r="89" spans="1:61" ht="14.1" customHeight="1">
      <c r="AK89" s="437"/>
      <c r="AL89" s="437"/>
      <c r="AM89" s="437"/>
      <c r="AN89" s="437"/>
      <c r="AO89" s="437"/>
      <c r="AP89" s="437"/>
      <c r="AQ89" s="120"/>
    </row>
    <row r="90" spans="1:61" ht="14.1" customHeight="1"/>
    <row r="91" spans="1:61" ht="14.1" customHeight="1"/>
    <row r="92" spans="1:61" ht="14.1" customHeight="1"/>
    <row r="93" spans="1:61" ht="14.1" customHeight="1"/>
    <row r="94" spans="1:61" ht="14.1" customHeight="1"/>
    <row r="95" spans="1:61" ht="14.1" customHeight="1"/>
    <row r="96" spans="1:61" ht="14.1" customHeight="1"/>
    <row r="97" ht="14.1" customHeight="1"/>
    <row r="98" ht="14.1" customHeight="1"/>
    <row r="99" ht="14.1" customHeight="1"/>
    <row r="100" ht="14.1" customHeight="1"/>
    <row r="101" ht="14.1" customHeight="1"/>
    <row r="102" ht="14.1" customHeight="1"/>
    <row r="103" ht="14.1" customHeight="1"/>
    <row r="104" ht="14.1" customHeight="1"/>
    <row r="105" ht="14.1" customHeight="1"/>
    <row r="106" ht="14.1" customHeight="1"/>
    <row r="107" ht="14.1" customHeight="1"/>
    <row r="108" ht="14.1" customHeight="1"/>
    <row r="109" ht="14.1" customHeight="1"/>
    <row r="110" ht="14.1" customHeight="1"/>
    <row r="111" ht="14.1" customHeight="1"/>
    <row r="112" ht="14.1" customHeight="1"/>
    <row r="113" ht="14.1" customHeight="1"/>
    <row r="114" ht="14.1" customHeight="1"/>
    <row r="115" ht="14.1" customHeight="1"/>
    <row r="116" ht="14.1" customHeight="1"/>
    <row r="117" ht="14.1" customHeight="1"/>
    <row r="118" ht="14.1" customHeight="1"/>
    <row r="119" ht="14.1" customHeight="1"/>
    <row r="120" ht="14.1" customHeight="1"/>
    <row r="121" ht="14.1" customHeight="1"/>
    <row r="122" ht="14.1" customHeight="1"/>
    <row r="123" ht="14.1" customHeight="1"/>
    <row r="124" ht="14.1" customHeight="1"/>
    <row r="125" ht="14.1" customHeight="1"/>
    <row r="126" ht="14.1" customHeight="1"/>
    <row r="127" ht="14.1" customHeight="1"/>
    <row r="128" ht="14.1" customHeight="1"/>
    <row r="129" ht="14.1" customHeight="1"/>
    <row r="130" ht="14.1" customHeight="1"/>
    <row r="131" ht="14.1" customHeight="1"/>
    <row r="132" ht="14.1" customHeight="1"/>
    <row r="133" ht="14.1" customHeight="1"/>
    <row r="134" ht="14.1" customHeight="1"/>
    <row r="135" ht="14.1" customHeight="1"/>
    <row r="136" ht="14.1" customHeight="1"/>
    <row r="137" ht="14.1" customHeight="1"/>
    <row r="138" ht="14.1" customHeight="1"/>
    <row r="139" ht="14.1" customHeight="1"/>
    <row r="140" ht="14.1" customHeight="1"/>
    <row r="141" ht="14.1" customHeight="1"/>
    <row r="142" ht="14.1" customHeight="1"/>
    <row r="143" ht="14.1" customHeight="1"/>
    <row r="144" ht="14.1" customHeight="1"/>
    <row r="145" ht="14.1" customHeight="1"/>
    <row r="146" ht="14.1" customHeight="1"/>
    <row r="147" ht="14.1" customHeight="1"/>
    <row r="148" ht="14.1" customHeight="1"/>
    <row r="149" ht="14.1" customHeight="1"/>
    <row r="150" ht="14.1" customHeight="1"/>
    <row r="151" ht="14.1" customHeight="1"/>
    <row r="152" ht="14.1" customHeight="1"/>
    <row r="153" ht="14.1" customHeight="1"/>
    <row r="154" ht="14.1" customHeight="1"/>
    <row r="155" ht="14.1" customHeight="1"/>
    <row r="156" ht="14.1" customHeight="1"/>
    <row r="157" ht="14.1" customHeight="1"/>
    <row r="158" ht="14.1" customHeight="1"/>
    <row r="159" ht="14.1" customHeight="1"/>
    <row r="160" ht="14.1" customHeight="1"/>
    <row r="161" ht="14.1" customHeight="1"/>
    <row r="162" ht="14.1" customHeight="1"/>
    <row r="163" ht="14.1" customHeight="1"/>
    <row r="164" ht="14.1" customHeight="1"/>
    <row r="165" ht="14.1" customHeight="1"/>
    <row r="166" ht="14.1" customHeight="1"/>
    <row r="167" ht="14.1" customHeight="1"/>
    <row r="168" ht="14.1" customHeight="1"/>
    <row r="169" ht="14.1" customHeight="1"/>
    <row r="170" ht="14.1" customHeight="1"/>
    <row r="171" ht="14.1" customHeight="1"/>
    <row r="172" ht="14.1" customHeight="1"/>
    <row r="173" ht="14.1" customHeight="1"/>
    <row r="174" ht="14.1" customHeight="1"/>
    <row r="175" ht="14.1" customHeight="1"/>
    <row r="176" ht="14.1" customHeight="1"/>
    <row r="177" ht="14.1" customHeight="1"/>
    <row r="178" ht="14.1" customHeight="1"/>
    <row r="179" ht="14.1" customHeight="1"/>
    <row r="180" ht="14.1" customHeight="1"/>
    <row r="181" ht="14.1" customHeight="1"/>
    <row r="182" ht="14.1" customHeight="1"/>
    <row r="183" ht="14.1" customHeight="1"/>
    <row r="184" ht="14.1" customHeight="1"/>
    <row r="185" ht="14.1" customHeight="1"/>
    <row r="186" ht="14.1" customHeight="1"/>
    <row r="187" ht="14.1" customHeight="1"/>
    <row r="188" ht="14.1" customHeight="1"/>
    <row r="189" ht="14.1" customHeight="1"/>
    <row r="190" ht="14.1" customHeight="1"/>
    <row r="191" ht="14.1" customHeight="1"/>
    <row r="192" ht="14.1" customHeight="1"/>
    <row r="193" ht="14.1" customHeight="1"/>
    <row r="194" ht="14.1" customHeight="1"/>
    <row r="195" ht="14.1" customHeight="1"/>
    <row r="196" ht="14.1" customHeight="1"/>
    <row r="197" ht="14.1" customHeight="1"/>
    <row r="198" ht="14.1" customHeight="1"/>
    <row r="199" ht="14.1" customHeight="1"/>
    <row r="200" ht="14.1" customHeight="1"/>
    <row r="201" ht="14.1" customHeight="1"/>
    <row r="202" ht="14.1" customHeight="1"/>
    <row r="203" ht="14.1" customHeight="1"/>
    <row r="204" ht="14.1" customHeight="1"/>
    <row r="205" ht="14.1" customHeight="1"/>
    <row r="206" ht="14.1" customHeight="1"/>
    <row r="207" ht="14.1" customHeight="1"/>
    <row r="208" ht="14.1" customHeight="1"/>
    <row r="209" ht="14.1" customHeight="1"/>
    <row r="210" ht="14.1" customHeight="1"/>
    <row r="211" ht="14.1" customHeight="1"/>
    <row r="212" ht="14.1" customHeight="1"/>
    <row r="213" ht="14.1" customHeight="1"/>
    <row r="214" ht="14.1" customHeight="1"/>
    <row r="215" ht="14.1" customHeight="1"/>
    <row r="216" ht="14.1" customHeight="1"/>
    <row r="217" ht="14.1" customHeight="1"/>
    <row r="218" ht="14.1" customHeight="1"/>
    <row r="219" ht="14.1" customHeight="1"/>
    <row r="220" ht="14.1" customHeight="1"/>
    <row r="221" ht="14.1" customHeight="1"/>
    <row r="222" ht="14.1" customHeight="1"/>
    <row r="223" ht="14.1" customHeight="1"/>
    <row r="224" ht="14.1" customHeight="1"/>
    <row r="225" ht="14.1" customHeight="1"/>
    <row r="226" ht="14.1" customHeight="1"/>
    <row r="227" ht="14.1" customHeight="1"/>
    <row r="228" ht="14.1" customHeight="1"/>
    <row r="229" ht="14.1" customHeight="1"/>
    <row r="230" ht="14.1" customHeight="1"/>
    <row r="231" ht="14.1" customHeight="1"/>
    <row r="232" ht="14.1" customHeight="1"/>
    <row r="233" ht="14.1" customHeight="1"/>
    <row r="234" ht="14.1" customHeight="1"/>
    <row r="235" ht="14.1" customHeight="1"/>
    <row r="236" ht="14.1" customHeight="1"/>
    <row r="237" ht="14.1" customHeight="1"/>
    <row r="238" ht="14.1" customHeight="1"/>
    <row r="239" ht="14.1" customHeight="1"/>
    <row r="240" ht="14.1" customHeight="1"/>
    <row r="241" ht="14.1" customHeight="1"/>
    <row r="242" ht="14.1" customHeight="1"/>
    <row r="243" ht="14.1" customHeight="1"/>
    <row r="244" ht="14.1" customHeight="1"/>
    <row r="245" ht="14.1" customHeight="1"/>
    <row r="246" ht="14.1" customHeight="1"/>
    <row r="247" ht="14.1" customHeight="1"/>
    <row r="248" ht="14.1" customHeight="1"/>
    <row r="249" ht="14.1" customHeight="1"/>
    <row r="250" ht="14.1" customHeight="1"/>
    <row r="251" ht="14.1" customHeight="1"/>
    <row r="252" ht="14.1" customHeight="1"/>
    <row r="253" ht="14.1" customHeight="1"/>
    <row r="254" ht="14.1" customHeight="1"/>
    <row r="255" ht="14.1" customHeight="1"/>
    <row r="256" ht="14.1" customHeight="1"/>
    <row r="257" ht="14.1" customHeight="1"/>
    <row r="258" ht="14.1" customHeight="1"/>
    <row r="259" ht="14.1" customHeight="1"/>
    <row r="260" ht="14.1" customHeight="1"/>
    <row r="261" ht="14.1" customHeight="1"/>
    <row r="262" ht="14.1" customHeight="1"/>
    <row r="263" ht="14.1" customHeight="1"/>
    <row r="264" ht="14.1" customHeight="1"/>
    <row r="265" ht="14.1" customHeight="1"/>
    <row r="266" ht="14.1" customHeight="1"/>
  </sheetData>
  <sheetProtection algorithmName="SHA-512" hashValue="0loLJCJhL4ad+e9W1BFBlntzNt2hf75qC+V2eugpQkoXMOcFlTwiL5DSpVRXAf1cyQ/kgBnOXO/4cSPzCUKn4A==" saltValue="4etb9yyOEqZ9UduJqdtb6g==" spinCount="100000" sheet="1" autoFilter="0"/>
  <mergeCells count="381">
    <mergeCell ref="A1:S3"/>
    <mergeCell ref="T1:Z3"/>
    <mergeCell ref="AD1:AI1"/>
    <mergeCell ref="AD2:AF4"/>
    <mergeCell ref="AG2:AI4"/>
    <mergeCell ref="A4:S5"/>
    <mergeCell ref="AK7:AP8"/>
    <mergeCell ref="AQ7:AQ8"/>
    <mergeCell ref="V8:X8"/>
    <mergeCell ref="A9:AI9"/>
    <mergeCell ref="AK9:AP9"/>
    <mergeCell ref="A10:H10"/>
    <mergeCell ref="I10:J10"/>
    <mergeCell ref="K10:L10"/>
    <mergeCell ref="M10:T10"/>
    <mergeCell ref="U10:V10"/>
    <mergeCell ref="O7:P8"/>
    <mergeCell ref="Q7:R8"/>
    <mergeCell ref="S7:T8"/>
    <mergeCell ref="V7:X7"/>
    <mergeCell ref="Y7:AA8"/>
    <mergeCell ref="AB7:AI8"/>
    <mergeCell ref="A7:E8"/>
    <mergeCell ref="F7:F8"/>
    <mergeCell ref="G7:I8"/>
    <mergeCell ref="J7:J8"/>
    <mergeCell ref="K7:M8"/>
    <mergeCell ref="N7:N8"/>
    <mergeCell ref="W10:X10"/>
    <mergeCell ref="Y10:AF10"/>
    <mergeCell ref="AG10:AH10"/>
    <mergeCell ref="AK10:AP10"/>
    <mergeCell ref="A11:H11"/>
    <mergeCell ref="I11:J11"/>
    <mergeCell ref="K11:L11"/>
    <mergeCell ref="M11:T11"/>
    <mergeCell ref="U11:V11"/>
    <mergeCell ref="W11:X11"/>
    <mergeCell ref="Y11:AF11"/>
    <mergeCell ref="AG11:AH11"/>
    <mergeCell ref="AK11:AP11"/>
    <mergeCell ref="A12:H12"/>
    <mergeCell ref="I12:J12"/>
    <mergeCell ref="K12:L12"/>
    <mergeCell ref="M12:T12"/>
    <mergeCell ref="U12:V12"/>
    <mergeCell ref="W12:X12"/>
    <mergeCell ref="Y12:AF12"/>
    <mergeCell ref="AG12:AH12"/>
    <mergeCell ref="AK12:AP12"/>
    <mergeCell ref="A13:H13"/>
    <mergeCell ref="I13:J13"/>
    <mergeCell ref="K13:L13"/>
    <mergeCell ref="M13:T13"/>
    <mergeCell ref="U13:V13"/>
    <mergeCell ref="W13:X13"/>
    <mergeCell ref="Y13:AF13"/>
    <mergeCell ref="AG13:AH13"/>
    <mergeCell ref="AK13:AP13"/>
    <mergeCell ref="A14:AI14"/>
    <mergeCell ref="AK14:AP14"/>
    <mergeCell ref="B15:I15"/>
    <mergeCell ref="J15:L15"/>
    <mergeCell ref="M15:N15"/>
    <mergeCell ref="O15:V15"/>
    <mergeCell ref="W15:Y15"/>
    <mergeCell ref="Z15:AA15"/>
    <mergeCell ref="AB15:AG15"/>
    <mergeCell ref="A18:E18"/>
    <mergeCell ref="F18:AI18"/>
    <mergeCell ref="AK18:AP18"/>
    <mergeCell ref="B19:E19"/>
    <mergeCell ref="F19:AI19"/>
    <mergeCell ref="AK19:AP19"/>
    <mergeCell ref="AH15:AI15"/>
    <mergeCell ref="AK15:AP15"/>
    <mergeCell ref="A16:AI16"/>
    <mergeCell ref="AK16:AP16"/>
    <mergeCell ref="A17:E17"/>
    <mergeCell ref="F17:AI17"/>
    <mergeCell ref="AK17:AP17"/>
    <mergeCell ref="B20:E20"/>
    <mergeCell ref="F20:AI20"/>
    <mergeCell ref="AK20:AP20"/>
    <mergeCell ref="AR20:AR23"/>
    <mergeCell ref="B21:E21"/>
    <mergeCell ref="F21:AI21"/>
    <mergeCell ref="AK21:AP21"/>
    <mergeCell ref="B22:E22"/>
    <mergeCell ref="F22:AI22"/>
    <mergeCell ref="AK22:AP22"/>
    <mergeCell ref="BA23:BB23"/>
    <mergeCell ref="B24:E24"/>
    <mergeCell ref="F24:AI24"/>
    <mergeCell ref="AK24:AP24"/>
    <mergeCell ref="AY24:AZ24"/>
    <mergeCell ref="BA24:BB24"/>
    <mergeCell ref="AS22:AT22"/>
    <mergeCell ref="AU22:AV22"/>
    <mergeCell ref="AY22:AZ22"/>
    <mergeCell ref="BA22:BB22"/>
    <mergeCell ref="B23:E23"/>
    <mergeCell ref="F23:AI23"/>
    <mergeCell ref="AK23:AP23"/>
    <mergeCell ref="AS23:AT23"/>
    <mergeCell ref="AU23:AV23"/>
    <mergeCell ref="AY23:AZ23"/>
    <mergeCell ref="B27:E27"/>
    <mergeCell ref="F27:AI27"/>
    <mergeCell ref="AK27:AP27"/>
    <mergeCell ref="AS27:AT27"/>
    <mergeCell ref="AU27:AW27"/>
    <mergeCell ref="AY27:BB27"/>
    <mergeCell ref="B25:E25"/>
    <mergeCell ref="F25:AI25"/>
    <mergeCell ref="AK25:AP25"/>
    <mergeCell ref="AY25:AZ25"/>
    <mergeCell ref="BA25:BB25"/>
    <mergeCell ref="B26:E26"/>
    <mergeCell ref="F26:AI26"/>
    <mergeCell ref="AK26:AP26"/>
    <mergeCell ref="AS26:AW26"/>
    <mergeCell ref="BA28:BB28"/>
    <mergeCell ref="B29:E29"/>
    <mergeCell ref="F29:AI29"/>
    <mergeCell ref="AK29:AP29"/>
    <mergeCell ref="AS29:AT29"/>
    <mergeCell ref="AU29:AW29"/>
    <mergeCell ref="AY29:AZ29"/>
    <mergeCell ref="BA29:BB29"/>
    <mergeCell ref="B28:E28"/>
    <mergeCell ref="F28:AI28"/>
    <mergeCell ref="AK28:AP28"/>
    <mergeCell ref="AS28:AT28"/>
    <mergeCell ref="AU28:AW28"/>
    <mergeCell ref="AY28:AZ28"/>
    <mergeCell ref="A32:AI32"/>
    <mergeCell ref="AK32:AP32"/>
    <mergeCell ref="AS32:AT32"/>
    <mergeCell ref="AU32:AW32"/>
    <mergeCell ref="AY32:AZ32"/>
    <mergeCell ref="BA32:BB32"/>
    <mergeCell ref="BA30:BB30"/>
    <mergeCell ref="B31:E31"/>
    <mergeCell ref="F31:AI31"/>
    <mergeCell ref="AK31:AP31"/>
    <mergeCell ref="AS31:AT31"/>
    <mergeCell ref="AU31:AW31"/>
    <mergeCell ref="AY31:AZ31"/>
    <mergeCell ref="BA31:BB31"/>
    <mergeCell ref="B30:E30"/>
    <mergeCell ref="F30:AI30"/>
    <mergeCell ref="AK30:AP30"/>
    <mergeCell ref="AS30:AT30"/>
    <mergeCell ref="AU30:AW30"/>
    <mergeCell ref="AY30:AZ30"/>
    <mergeCell ref="BA33:BB33"/>
    <mergeCell ref="B34:E34"/>
    <mergeCell ref="F34:AI34"/>
    <mergeCell ref="AK34:AP34"/>
    <mergeCell ref="AS34:AT34"/>
    <mergeCell ref="AU34:AW34"/>
    <mergeCell ref="AY34:AZ34"/>
    <mergeCell ref="BA34:BB34"/>
    <mergeCell ref="B33:E33"/>
    <mergeCell ref="F33:AI33"/>
    <mergeCell ref="AK33:AP33"/>
    <mergeCell ref="AS33:AT33"/>
    <mergeCell ref="AU33:AW33"/>
    <mergeCell ref="AY33:AZ33"/>
    <mergeCell ref="AY35:AZ35"/>
    <mergeCell ref="BA35:BB35"/>
    <mergeCell ref="A36:E36"/>
    <mergeCell ref="F36:K36"/>
    <mergeCell ref="L36:O36"/>
    <mergeCell ref="P36:R36"/>
    <mergeCell ref="T36:V36"/>
    <mergeCell ref="W36:AB36"/>
    <mergeCell ref="AC36:AI36"/>
    <mergeCell ref="B35:E35"/>
    <mergeCell ref="F35:V35"/>
    <mergeCell ref="W35:AB35"/>
    <mergeCell ref="AC35:AI35"/>
    <mergeCell ref="AK35:AP35"/>
    <mergeCell ref="AS35:AT35"/>
    <mergeCell ref="AK36:AP36"/>
    <mergeCell ref="AS36:AT36"/>
    <mergeCell ref="AU36:AW36"/>
    <mergeCell ref="AU35:AW35"/>
    <mergeCell ref="A39:AI39"/>
    <mergeCell ref="AK39:AP39"/>
    <mergeCell ref="AS39:AT39"/>
    <mergeCell ref="AV39:AW39"/>
    <mergeCell ref="A38:E38"/>
    <mergeCell ref="F38:K38"/>
    <mergeCell ref="L38:O38"/>
    <mergeCell ref="P38:V38"/>
    <mergeCell ref="W38:AB38"/>
    <mergeCell ref="AC38:AI38"/>
    <mergeCell ref="AD40:AI40"/>
    <mergeCell ref="A37:E37"/>
    <mergeCell ref="F37:AI37"/>
    <mergeCell ref="AK40:AP40"/>
    <mergeCell ref="AS40:AT40"/>
    <mergeCell ref="AV40:AW40"/>
    <mergeCell ref="A41:D41"/>
    <mergeCell ref="E41:G41"/>
    <mergeCell ref="I41:K41"/>
    <mergeCell ref="L41:R41"/>
    <mergeCell ref="S41:V41"/>
    <mergeCell ref="W41:Y41"/>
    <mergeCell ref="AA41:AC41"/>
    <mergeCell ref="AD41:AI41"/>
    <mergeCell ref="AK41:AP41"/>
    <mergeCell ref="A40:D40"/>
    <mergeCell ref="E40:K40"/>
    <mergeCell ref="L40:R40"/>
    <mergeCell ref="S40:V40"/>
    <mergeCell ref="W40:AC40"/>
    <mergeCell ref="AK37:AP37"/>
    <mergeCell ref="AS37:AT37"/>
    <mergeCell ref="AU37:AW37"/>
    <mergeCell ref="AK38:AP38"/>
    <mergeCell ref="A42:D42"/>
    <mergeCell ref="E42:G42"/>
    <mergeCell ref="I42:K42"/>
    <mergeCell ref="L42:R42"/>
    <mergeCell ref="S42:V42"/>
    <mergeCell ref="W42:Y42"/>
    <mergeCell ref="AA42:AC42"/>
    <mergeCell ref="AK42:AP42"/>
    <mergeCell ref="AS42:AW42"/>
    <mergeCell ref="A43:D43"/>
    <mergeCell ref="E43:G43"/>
    <mergeCell ref="I43:K43"/>
    <mergeCell ref="L43:R43"/>
    <mergeCell ref="S43:V43"/>
    <mergeCell ref="W43:Y43"/>
    <mergeCell ref="AA43:AC43"/>
    <mergeCell ref="A44:D44"/>
    <mergeCell ref="E44:G44"/>
    <mergeCell ref="I44:K44"/>
    <mergeCell ref="L44:R44"/>
    <mergeCell ref="S44:V44"/>
    <mergeCell ref="W44:Y44"/>
    <mergeCell ref="AA44:AC44"/>
    <mergeCell ref="AD44:AI44"/>
    <mergeCell ref="AD42:AI42"/>
    <mergeCell ref="AK44:AP44"/>
    <mergeCell ref="R45:U45"/>
    <mergeCell ref="W45:X45"/>
    <mergeCell ref="Z45:AA45"/>
    <mergeCell ref="AC45:AD45"/>
    <mergeCell ref="AE45:AF45"/>
    <mergeCell ref="AK45:AP45"/>
    <mergeCell ref="AD43:AI43"/>
    <mergeCell ref="AK43:AP43"/>
    <mergeCell ref="B49:E49"/>
    <mergeCell ref="F49:AI49"/>
    <mergeCell ref="AK49:AP49"/>
    <mergeCell ref="B50:E50"/>
    <mergeCell ref="F50:AI50"/>
    <mergeCell ref="AK50:AP50"/>
    <mergeCell ref="A46:AI46"/>
    <mergeCell ref="AK46:AP46"/>
    <mergeCell ref="B47:E47"/>
    <mergeCell ref="F47:AI47"/>
    <mergeCell ref="AK47:AP47"/>
    <mergeCell ref="B48:E48"/>
    <mergeCell ref="F48:AI48"/>
    <mergeCell ref="AK48:AP48"/>
    <mergeCell ref="B53:E53"/>
    <mergeCell ref="F53:AI53"/>
    <mergeCell ref="AK53:AP53"/>
    <mergeCell ref="B54:E54"/>
    <mergeCell ref="F54:AI54"/>
    <mergeCell ref="AK54:AP54"/>
    <mergeCell ref="B51:E51"/>
    <mergeCell ref="F51:AI51"/>
    <mergeCell ref="AK51:AP51"/>
    <mergeCell ref="B52:E52"/>
    <mergeCell ref="F52:AI52"/>
    <mergeCell ref="AK52:AP52"/>
    <mergeCell ref="B57:E57"/>
    <mergeCell ref="F57:AI57"/>
    <mergeCell ref="AK57:AP57"/>
    <mergeCell ref="B58:E58"/>
    <mergeCell ref="F58:AI58"/>
    <mergeCell ref="AK58:AP58"/>
    <mergeCell ref="B55:E55"/>
    <mergeCell ref="F55:AI55"/>
    <mergeCell ref="AK55:AP55"/>
    <mergeCell ref="B56:E56"/>
    <mergeCell ref="F56:AI56"/>
    <mergeCell ref="AK56:AP56"/>
    <mergeCell ref="B61:E61"/>
    <mergeCell ref="F61:AI61"/>
    <mergeCell ref="AK61:AP61"/>
    <mergeCell ref="B62:E62"/>
    <mergeCell ref="F62:AI62"/>
    <mergeCell ref="AK62:AP62"/>
    <mergeCell ref="B59:E59"/>
    <mergeCell ref="F59:AI59"/>
    <mergeCell ref="AK59:AP59"/>
    <mergeCell ref="B60:E60"/>
    <mergeCell ref="F60:AI60"/>
    <mergeCell ref="AK60:AP60"/>
    <mergeCell ref="B65:E65"/>
    <mergeCell ref="F65:AI65"/>
    <mergeCell ref="AK65:AP65"/>
    <mergeCell ref="B66:E66"/>
    <mergeCell ref="F66:AI66"/>
    <mergeCell ref="AK66:AP66"/>
    <mergeCell ref="B63:E63"/>
    <mergeCell ref="F63:AI63"/>
    <mergeCell ref="AK63:AP63"/>
    <mergeCell ref="B64:E64"/>
    <mergeCell ref="F64:AI64"/>
    <mergeCell ref="AK64:AP64"/>
    <mergeCell ref="B69:E69"/>
    <mergeCell ref="F69:AI69"/>
    <mergeCell ref="AK69:AP69"/>
    <mergeCell ref="B70:E70"/>
    <mergeCell ref="F70:AI70"/>
    <mergeCell ref="AK70:AP70"/>
    <mergeCell ref="B67:E67"/>
    <mergeCell ref="F67:AI67"/>
    <mergeCell ref="AK67:AP67"/>
    <mergeCell ref="B68:E68"/>
    <mergeCell ref="F68:AI68"/>
    <mergeCell ref="AK68:AP68"/>
    <mergeCell ref="B73:E73"/>
    <mergeCell ref="F73:AI73"/>
    <mergeCell ref="AK73:AP73"/>
    <mergeCell ref="B74:E74"/>
    <mergeCell ref="F74:AI74"/>
    <mergeCell ref="AK74:AP74"/>
    <mergeCell ref="B71:E71"/>
    <mergeCell ref="F71:AI71"/>
    <mergeCell ref="AK71:AP71"/>
    <mergeCell ref="B72:E72"/>
    <mergeCell ref="F72:AI72"/>
    <mergeCell ref="AK72:AP72"/>
    <mergeCell ref="B77:E77"/>
    <mergeCell ref="F77:AI77"/>
    <mergeCell ref="AK77:AP77"/>
    <mergeCell ref="B78:E78"/>
    <mergeCell ref="F78:AI78"/>
    <mergeCell ref="AK78:AP78"/>
    <mergeCell ref="B75:E75"/>
    <mergeCell ref="F75:AI75"/>
    <mergeCell ref="AK75:AP75"/>
    <mergeCell ref="B76:E76"/>
    <mergeCell ref="F76:AI76"/>
    <mergeCell ref="AK76:AP76"/>
    <mergeCell ref="A81:AI81"/>
    <mergeCell ref="AK81:AP81"/>
    <mergeCell ref="B82:E82"/>
    <mergeCell ref="F82:AI82"/>
    <mergeCell ref="AK82:AP82"/>
    <mergeCell ref="B83:E83"/>
    <mergeCell ref="F83:AI83"/>
    <mergeCell ref="AK83:AP83"/>
    <mergeCell ref="B79:E79"/>
    <mergeCell ref="F79:AI79"/>
    <mergeCell ref="AK79:AP79"/>
    <mergeCell ref="B80:E80"/>
    <mergeCell ref="F80:AI80"/>
    <mergeCell ref="AK80:AP80"/>
    <mergeCell ref="B86:E86"/>
    <mergeCell ref="F86:AI86"/>
    <mergeCell ref="AK86:AP86"/>
    <mergeCell ref="AK87:AP87"/>
    <mergeCell ref="AK88:AP88"/>
    <mergeCell ref="AK89:AP89"/>
    <mergeCell ref="B84:E84"/>
    <mergeCell ref="F84:AI84"/>
    <mergeCell ref="AK84:AP84"/>
    <mergeCell ref="B85:E85"/>
    <mergeCell ref="F85:AI85"/>
    <mergeCell ref="AK85:AP85"/>
  </mergeCells>
  <phoneticPr fontId="2"/>
  <conditionalFormatting sqref="AQ20:AQ28 AQ30:AQ31 AQ9 AQ11:AQ12 AQ14 AQ33:AQ34">
    <cfRule type="containsBlanks" dxfId="263" priority="12">
      <formula>LEN(TRIM(AQ9))=0</formula>
    </cfRule>
  </conditionalFormatting>
  <conditionalFormatting sqref="BC11:CF11">
    <cfRule type="containsText" dxfId="262" priority="8" operator="containsText" text="青">
      <formula>NOT(ISERROR(SEARCH("青",BC11)))</formula>
    </cfRule>
    <cfRule type="containsText" dxfId="261" priority="9" operator="containsText" text="緑">
      <formula>NOT(ISERROR(SEARCH("緑",BC11)))</formula>
    </cfRule>
    <cfRule type="containsText" dxfId="260" priority="10" operator="containsText" text="黄">
      <formula>NOT(ISERROR(SEARCH("黄",BC11)))</formula>
    </cfRule>
    <cfRule type="containsText" dxfId="259" priority="11" operator="containsText" text="赤">
      <formula>NOT(ISERROR(SEARCH("赤",BC11)))</formula>
    </cfRule>
  </conditionalFormatting>
  <conditionalFormatting sqref="V7:X8">
    <cfRule type="containsBlanks" dxfId="258" priority="7">
      <formula>LEN(TRIM(V7))=0</formula>
    </cfRule>
  </conditionalFormatting>
  <conditionalFormatting sqref="AB7:AI8">
    <cfRule type="containsBlanks" dxfId="257" priority="6">
      <formula>LEN(TRIM(AB7))=0</formula>
    </cfRule>
  </conditionalFormatting>
  <conditionalFormatting sqref="A7:E8 G7:I8 K7:M8 O7:P8">
    <cfRule type="containsBlanks" dxfId="256" priority="5">
      <formula>LEN(TRIM(A7))=0</formula>
    </cfRule>
  </conditionalFormatting>
  <conditionalFormatting sqref="W15:Y15 AH15:AI15 J15:L15">
    <cfRule type="containsBlanks" dxfId="255" priority="4">
      <formula>LEN(TRIM(J15))=0</formula>
    </cfRule>
  </conditionalFormatting>
  <conditionalFormatting sqref="L41:R44">
    <cfRule type="cellIs" dxfId="254" priority="1" operator="equal">
      <formula>0</formula>
    </cfRule>
  </conditionalFormatting>
  <conditionalFormatting sqref="P36:R36 T36:V36 L38:O38 AC38:AI38 AC36:AI36">
    <cfRule type="containsBlanks" dxfId="253" priority="3">
      <formula>LEN(TRIM(L36))=0</formula>
    </cfRule>
  </conditionalFormatting>
  <conditionalFormatting sqref="W41:Y44 AA41:AI44">
    <cfRule type="cellIs" dxfId="252" priority="2" operator="equal">
      <formula>0</formula>
    </cfRule>
  </conditionalFormatting>
  <printOptions horizontalCentered="1" verticalCentered="1"/>
  <pageMargins left="0.70866141732283472" right="0.59055118110236227" top="0.55118110236220474" bottom="0.55118110236220474" header="0.31496062992125984" footer="0.31496062992125984"/>
  <pageSetup paperSize="9" orientation="portrait" horizontalDpi="300" verticalDpi="300" r:id="rId1"/>
  <headerFooter scaleWithDoc="0" alignWithMargins="0">
    <oddFooter>&amp;C&amp;P&amp;Rヒトトヒト株式会社</oddFooter>
  </headerFooter>
  <rowBreaks count="1" manualBreakCount="1">
    <brk id="44" max="34" man="1"/>
  </rowBreaks>
  <drawing r:id="rId2"/>
  <extLst>
    <ext xmlns:x14="http://schemas.microsoft.com/office/spreadsheetml/2009/9/main" uri="{CCE6A557-97BC-4b89-ADB6-D9C93CAAB3DF}">
      <x14:dataValidations xmlns:xm="http://schemas.microsoft.com/office/excel/2006/main" count="6">
        <x14:dataValidation type="list" allowBlank="1" showInputMessage="1" showErrorMessage="1" xr:uid="{97BB6A89-7AAB-400C-BA54-397E0894434B}">
          <x14:formula1>
            <xm:f>初期値!$C$12:$C$27</xm:f>
          </x14:formula1>
          <xm:sqref>P36:R36 T36:V36</xm:sqref>
        </x14:dataValidation>
        <x14:dataValidation type="list" allowBlank="1" showInputMessage="1" showErrorMessage="1" xr:uid="{02AE0317-2708-4BBE-BB75-2EC47A9202AE}">
          <x14:formula1>
            <xm:f>初期値!$G$12:$G$24</xm:f>
          </x14:formula1>
          <xm:sqref>V7:X8</xm:sqref>
        </x14:dataValidation>
        <x14:dataValidation type="list" allowBlank="1" showInputMessage="1" showErrorMessage="1" xr:uid="{FD844A3B-097B-48EC-A7D6-84AEE14657BD}">
          <x14:formula1>
            <xm:f>初期値!$E$12:$E$13</xm:f>
          </x14:formula1>
          <xm:sqref>L38:O38 AC38:AI38 AC36:AI36</xm:sqref>
        </x14:dataValidation>
        <x14:dataValidation type="list" allowBlank="1" showInputMessage="1" showErrorMessage="1" xr:uid="{450ED23B-AD8C-440A-9F2D-56ACE21912FD}">
          <x14:formula1>
            <xm:f>初期値!$N$22:$N$23</xm:f>
          </x14:formula1>
          <xm:sqref>AW23</xm:sqref>
        </x14:dataValidation>
        <x14:dataValidation type="list" allowBlank="1" showInputMessage="1" showErrorMessage="1" xr:uid="{4A072956-5E01-465F-B591-DBFDCE0822B5}">
          <x14:formula1>
            <xm:f>初期値!$P$12:$P$27</xm:f>
          </x14:formula1>
          <xm:sqref>BA24:BB24 BA22:BB22 BA28:BB28 BA30:BB30 BA32:BB32 BA34:BB34</xm:sqref>
        </x14:dataValidation>
        <x14:dataValidation type="list" allowBlank="1" showInputMessage="1" showErrorMessage="1" xr:uid="{F871F1ED-522A-4205-A4AB-DA55E7C2F6B8}">
          <x14:formula1>
            <xm:f>初期値!$N$12:$N$19</xm:f>
          </x14:formula1>
          <xm:sqref>AU22:AV22</xm:sqref>
        </x14:dataValidation>
      </x14:dataValidations>
    </ext>
  </extLst>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7E618EB-BD15-40CF-A4FD-91E8AE4AB486}">
  <sheetPr codeName="Sheet18"/>
  <dimension ref="A1:CG266"/>
  <sheetViews>
    <sheetView topLeftCell="A24" zoomScaleNormal="100" zoomScaleSheetLayoutView="100" workbookViewId="0">
      <selection activeCell="AK42" sqref="AK42:AP42"/>
    </sheetView>
  </sheetViews>
  <sheetFormatPr defaultColWidth="8.875" defaultRowHeight="13.5"/>
  <cols>
    <col min="1" max="42" width="2.25" style="23" customWidth="1"/>
    <col min="43" max="43" width="6" style="23" bestFit="1" customWidth="1"/>
    <col min="44" max="44" width="4.5" style="23" bestFit="1" customWidth="1"/>
    <col min="45" max="45" width="6" style="23" bestFit="1" customWidth="1"/>
    <col min="46" max="46" width="4.5" style="23" bestFit="1" customWidth="1"/>
    <col min="47" max="47" width="9" style="23" bestFit="1" customWidth="1"/>
    <col min="48" max="48" width="8.5" style="23" bestFit="1" customWidth="1"/>
    <col min="49" max="49" width="7.5" style="23" bestFit="1" customWidth="1"/>
    <col min="50" max="50" width="6.5" style="23" bestFit="1" customWidth="1"/>
    <col min="51" max="51" width="7.5" style="23" bestFit="1" customWidth="1"/>
    <col min="52" max="52" width="2.125" style="23" customWidth="1"/>
    <col min="53" max="54" width="7.375" style="23" customWidth="1"/>
    <col min="55" max="63" width="3.625" style="23" bestFit="1" customWidth="1"/>
    <col min="64" max="84" width="4" style="23" bestFit="1" customWidth="1"/>
    <col min="85" max="16384" width="8.875" style="23"/>
  </cols>
  <sheetData>
    <row r="1" spans="1:85" ht="14.1" customHeight="1">
      <c r="A1" s="510" t="s">
        <v>551</v>
      </c>
      <c r="B1" s="510"/>
      <c r="C1" s="510"/>
      <c r="D1" s="510"/>
      <c r="E1" s="510"/>
      <c r="F1" s="510"/>
      <c r="G1" s="510"/>
      <c r="H1" s="510"/>
      <c r="I1" s="510"/>
      <c r="J1" s="510"/>
      <c r="K1" s="510"/>
      <c r="L1" s="510"/>
      <c r="M1" s="510"/>
      <c r="N1" s="510"/>
      <c r="O1" s="510"/>
      <c r="P1" s="510"/>
      <c r="Q1" s="510"/>
      <c r="R1" s="510"/>
      <c r="S1" s="510"/>
      <c r="T1" s="388"/>
      <c r="U1" s="388"/>
      <c r="V1" s="388"/>
      <c r="W1" s="388"/>
      <c r="X1" s="388"/>
      <c r="Y1" s="388"/>
      <c r="Z1" s="388"/>
      <c r="AA1" s="24"/>
      <c r="AB1" s="32"/>
      <c r="AD1" s="252" t="s">
        <v>167</v>
      </c>
      <c r="AE1" s="252"/>
      <c r="AF1" s="252"/>
      <c r="AG1" s="252"/>
      <c r="AH1" s="252"/>
      <c r="AI1" s="252"/>
      <c r="AM1" s="123">
        <v>11</v>
      </c>
      <c r="BB1"/>
    </row>
    <row r="2" spans="1:85" ht="14.1" customHeight="1">
      <c r="A2" s="510"/>
      <c r="B2" s="510"/>
      <c r="C2" s="510"/>
      <c r="D2" s="510"/>
      <c r="E2" s="510"/>
      <c r="F2" s="510"/>
      <c r="G2" s="510"/>
      <c r="H2" s="510"/>
      <c r="I2" s="510"/>
      <c r="J2" s="510"/>
      <c r="K2" s="510"/>
      <c r="L2" s="510"/>
      <c r="M2" s="510"/>
      <c r="N2" s="510"/>
      <c r="O2" s="510"/>
      <c r="P2" s="510"/>
      <c r="Q2" s="510"/>
      <c r="R2" s="510"/>
      <c r="S2" s="510"/>
      <c r="T2" s="388"/>
      <c r="U2" s="388"/>
      <c r="V2" s="388"/>
      <c r="W2" s="388"/>
      <c r="X2" s="388"/>
      <c r="Y2" s="388"/>
      <c r="Z2" s="388"/>
      <c r="AA2" s="25"/>
      <c r="AB2" s="31"/>
      <c r="AD2" s="253"/>
      <c r="AE2" s="253"/>
      <c r="AF2" s="253"/>
      <c r="AG2" s="253"/>
      <c r="AH2" s="253"/>
      <c r="AI2" s="253"/>
      <c r="BA2"/>
    </row>
    <row r="3" spans="1:85" ht="14.1" customHeight="1">
      <c r="A3" s="510"/>
      <c r="B3" s="510"/>
      <c r="C3" s="510"/>
      <c r="D3" s="510"/>
      <c r="E3" s="510"/>
      <c r="F3" s="510"/>
      <c r="G3" s="510"/>
      <c r="H3" s="510"/>
      <c r="I3" s="510"/>
      <c r="J3" s="510"/>
      <c r="K3" s="510"/>
      <c r="L3" s="510"/>
      <c r="M3" s="510"/>
      <c r="N3" s="510"/>
      <c r="O3" s="510"/>
      <c r="P3" s="510"/>
      <c r="Q3" s="510"/>
      <c r="R3" s="510"/>
      <c r="S3" s="510"/>
      <c r="T3" s="388"/>
      <c r="U3" s="388"/>
      <c r="V3" s="388"/>
      <c r="W3" s="388"/>
      <c r="X3" s="388"/>
      <c r="Y3" s="388"/>
      <c r="Z3" s="388"/>
      <c r="AA3" s="25"/>
      <c r="AB3" s="31"/>
      <c r="AD3" s="253"/>
      <c r="AE3" s="253"/>
      <c r="AF3" s="253"/>
      <c r="AG3" s="253"/>
      <c r="AH3" s="253"/>
      <c r="AI3" s="253"/>
      <c r="BA3"/>
    </row>
    <row r="4" spans="1:85" ht="14.1" customHeight="1">
      <c r="A4" s="395" t="s">
        <v>552</v>
      </c>
      <c r="B4" s="395"/>
      <c r="C4" s="395"/>
      <c r="D4" s="395"/>
      <c r="E4" s="395"/>
      <c r="F4" s="395"/>
      <c r="G4" s="395"/>
      <c r="H4" s="395"/>
      <c r="I4" s="395"/>
      <c r="J4" s="395"/>
      <c r="K4" s="395"/>
      <c r="L4" s="395"/>
      <c r="M4" s="395"/>
      <c r="N4" s="395"/>
      <c r="O4" s="395"/>
      <c r="P4" s="395"/>
      <c r="Q4" s="395"/>
      <c r="R4" s="395"/>
      <c r="S4" s="395"/>
      <c r="T4" s="155"/>
      <c r="U4" s="155"/>
      <c r="V4" s="155"/>
      <c r="W4" s="155"/>
      <c r="X4" s="155"/>
      <c r="Y4" s="155"/>
      <c r="Z4" s="155"/>
      <c r="AA4" s="26"/>
      <c r="AB4" s="31"/>
      <c r="AD4" s="253"/>
      <c r="AE4" s="253"/>
      <c r="AF4" s="253"/>
      <c r="AG4" s="253"/>
      <c r="AH4" s="253"/>
      <c r="AI4" s="253"/>
      <c r="BA4"/>
    </row>
    <row r="5" spans="1:85" ht="14.1" customHeight="1">
      <c r="A5" s="395"/>
      <c r="B5" s="395"/>
      <c r="C5" s="395"/>
      <c r="D5" s="395"/>
      <c r="E5" s="395"/>
      <c r="F5" s="395"/>
      <c r="G5" s="395"/>
      <c r="H5" s="395"/>
      <c r="I5" s="395"/>
      <c r="J5" s="395"/>
      <c r="K5" s="395"/>
      <c r="L5" s="395"/>
      <c r="M5" s="395"/>
      <c r="N5" s="395"/>
      <c r="O5" s="395"/>
      <c r="P5" s="395"/>
      <c r="Q5" s="395"/>
      <c r="R5" s="395"/>
      <c r="S5" s="395"/>
      <c r="T5" s="155"/>
      <c r="U5" s="155"/>
      <c r="V5" s="155"/>
      <c r="W5" s="155"/>
      <c r="X5" s="155"/>
      <c r="Y5" s="155"/>
      <c r="Z5" s="155"/>
      <c r="AA5" s="26"/>
      <c r="AB5" s="31"/>
      <c r="AC5" s="31"/>
      <c r="AD5" s="31"/>
      <c r="AE5" s="31"/>
      <c r="AF5" s="31"/>
      <c r="AG5" s="31"/>
      <c r="AH5" s="31"/>
      <c r="AI5" s="31"/>
      <c r="BA5"/>
    </row>
    <row r="6" spans="1:85" ht="14.1" customHeight="1" thickBot="1">
      <c r="A6" s="27"/>
      <c r="B6" s="27"/>
      <c r="C6" s="27"/>
      <c r="D6" s="27"/>
      <c r="E6" s="27"/>
      <c r="F6" s="27"/>
      <c r="G6" s="27"/>
      <c r="H6" s="27"/>
      <c r="I6" s="27"/>
      <c r="BA6"/>
    </row>
    <row r="7" spans="1:85" ht="12" customHeight="1">
      <c r="A7" s="255">
        <f>DATE(初期値!A2,初期値!A3,AM1)</f>
        <v>46184</v>
      </c>
      <c r="B7" s="256"/>
      <c r="C7" s="256"/>
      <c r="D7" s="256"/>
      <c r="E7" s="256"/>
      <c r="F7" s="259" t="s">
        <v>169</v>
      </c>
      <c r="G7" s="236">
        <f>$A$7</f>
        <v>46184</v>
      </c>
      <c r="H7" s="236"/>
      <c r="I7" s="236"/>
      <c r="J7" s="239" t="s">
        <v>170</v>
      </c>
      <c r="K7" s="261">
        <f>$A$7</f>
        <v>46184</v>
      </c>
      <c r="L7" s="261"/>
      <c r="M7" s="261"/>
      <c r="N7" s="239" t="s">
        <v>3</v>
      </c>
      <c r="O7" s="520">
        <f>$A$7</f>
        <v>46184</v>
      </c>
      <c r="P7" s="520"/>
      <c r="Q7" s="239" t="s">
        <v>292</v>
      </c>
      <c r="R7" s="240"/>
      <c r="S7" s="522" t="s">
        <v>553</v>
      </c>
      <c r="T7" s="244"/>
      <c r="U7" s="29" t="s">
        <v>554</v>
      </c>
      <c r="V7" s="518" t="s">
        <v>37</v>
      </c>
      <c r="W7" s="518"/>
      <c r="X7" s="518"/>
      <c r="Y7" s="511" t="s">
        <v>555</v>
      </c>
      <c r="Z7" s="512"/>
      <c r="AA7" s="513"/>
      <c r="AB7" s="244" t="str">
        <f>L43</f>
        <v>片山薫</v>
      </c>
      <c r="AC7" s="244"/>
      <c r="AD7" s="244"/>
      <c r="AE7" s="244"/>
      <c r="AF7" s="244"/>
      <c r="AG7" s="244"/>
      <c r="AH7" s="244"/>
      <c r="AI7" s="245"/>
      <c r="AK7" s="425" t="s">
        <v>556</v>
      </c>
      <c r="AL7" s="425"/>
      <c r="AM7" s="425"/>
      <c r="AN7" s="425"/>
      <c r="AO7" s="425"/>
      <c r="AP7" s="425"/>
      <c r="AQ7" s="439" t="s">
        <v>557</v>
      </c>
      <c r="AR7" s="43"/>
      <c r="AS7" s="43"/>
      <c r="AT7" s="43"/>
      <c r="AU7" s="43"/>
      <c r="AV7" s="43"/>
      <c r="AW7" s="43"/>
      <c r="AX7" s="43"/>
      <c r="AY7" s="43"/>
      <c r="AZ7" s="43"/>
      <c r="BA7"/>
    </row>
    <row r="8" spans="1:85" ht="12" customHeight="1" thickBot="1">
      <c r="A8" s="257"/>
      <c r="B8" s="258"/>
      <c r="C8" s="258"/>
      <c r="D8" s="258"/>
      <c r="E8" s="258"/>
      <c r="F8" s="260"/>
      <c r="G8" s="237"/>
      <c r="H8" s="237"/>
      <c r="I8" s="237"/>
      <c r="J8" s="242"/>
      <c r="K8" s="262"/>
      <c r="L8" s="262"/>
      <c r="M8" s="262"/>
      <c r="N8" s="242"/>
      <c r="O8" s="521"/>
      <c r="P8" s="521"/>
      <c r="Q8" s="242"/>
      <c r="R8" s="243"/>
      <c r="S8" s="523"/>
      <c r="T8" s="246"/>
      <c r="U8" s="33" t="s">
        <v>558</v>
      </c>
      <c r="V8" s="519" t="s">
        <v>37</v>
      </c>
      <c r="W8" s="519"/>
      <c r="X8" s="519"/>
      <c r="Y8" s="514"/>
      <c r="Z8" s="515"/>
      <c r="AA8" s="516"/>
      <c r="AB8" s="246"/>
      <c r="AC8" s="246"/>
      <c r="AD8" s="246"/>
      <c r="AE8" s="246"/>
      <c r="AF8" s="246"/>
      <c r="AG8" s="246"/>
      <c r="AH8" s="246"/>
      <c r="AI8" s="247"/>
      <c r="AK8" s="425"/>
      <c r="AL8" s="425"/>
      <c r="AM8" s="425"/>
      <c r="AN8" s="425"/>
      <c r="AO8" s="425"/>
      <c r="AP8" s="425"/>
      <c r="AQ8" s="439"/>
      <c r="AR8" s="43"/>
      <c r="AS8" s="43"/>
      <c r="AT8" s="43"/>
      <c r="AU8" s="43"/>
      <c r="AV8" s="43"/>
      <c r="AW8" s="43"/>
      <c r="AX8" s="43"/>
      <c r="AY8" s="43"/>
      <c r="AZ8" s="43"/>
      <c r="BA8"/>
    </row>
    <row r="9" spans="1:85" ht="18" customHeight="1">
      <c r="A9" s="507" t="s">
        <v>559</v>
      </c>
      <c r="B9" s="508"/>
      <c r="C9" s="508"/>
      <c r="D9" s="508"/>
      <c r="E9" s="508"/>
      <c r="F9" s="508"/>
      <c r="G9" s="508"/>
      <c r="H9" s="508"/>
      <c r="I9" s="508"/>
      <c r="J9" s="508"/>
      <c r="K9" s="508"/>
      <c r="L9" s="508"/>
      <c r="M9" s="508"/>
      <c r="N9" s="508"/>
      <c r="O9" s="508"/>
      <c r="P9" s="508"/>
      <c r="Q9" s="508"/>
      <c r="R9" s="508"/>
      <c r="S9" s="508"/>
      <c r="T9" s="508"/>
      <c r="U9" s="508"/>
      <c r="V9" s="508"/>
      <c r="W9" s="508"/>
      <c r="X9" s="508"/>
      <c r="Y9" s="508"/>
      <c r="Z9" s="508"/>
      <c r="AA9" s="508"/>
      <c r="AB9" s="508"/>
      <c r="AC9" s="508"/>
      <c r="AD9" s="508"/>
      <c r="AE9" s="508"/>
      <c r="AF9" s="508"/>
      <c r="AG9" s="508"/>
      <c r="AH9" s="508"/>
      <c r="AI9" s="509"/>
      <c r="AK9" s="440" t="s">
        <v>560</v>
      </c>
      <c r="AL9" s="440"/>
      <c r="AM9" s="440"/>
      <c r="AN9" s="440"/>
      <c r="AO9" s="440"/>
      <c r="AP9" s="440"/>
      <c r="AQ9" s="42">
        <v>76</v>
      </c>
      <c r="AR9" s="43"/>
      <c r="AS9" s="44" t="s">
        <v>561</v>
      </c>
      <c r="AT9" s="44" t="s">
        <v>562</v>
      </c>
      <c r="AU9" s="44" t="s">
        <v>563</v>
      </c>
      <c r="AV9" s="44" t="s">
        <v>564</v>
      </c>
      <c r="AW9" s="45" t="s">
        <v>565</v>
      </c>
      <c r="AX9" s="45" t="s">
        <v>566</v>
      </c>
      <c r="AY9" s="44" t="s">
        <v>567</v>
      </c>
      <c r="AZ9" s="43"/>
      <c r="BB9" s="49" t="s">
        <v>568</v>
      </c>
      <c r="BC9" s="43"/>
      <c r="BD9" s="43"/>
      <c r="BE9" s="43"/>
      <c r="BF9" s="43"/>
      <c r="BG9" s="43"/>
      <c r="BH9" s="43"/>
      <c r="BI9" s="43"/>
      <c r="BJ9" s="43"/>
      <c r="BK9" s="43"/>
      <c r="BL9" s="43"/>
      <c r="BM9" s="43"/>
      <c r="BN9" s="43"/>
      <c r="BO9" s="43"/>
      <c r="BP9" s="43"/>
      <c r="BQ9" s="43"/>
      <c r="BR9" s="43"/>
      <c r="BS9" s="43"/>
      <c r="BT9" s="43"/>
      <c r="BU9" s="43"/>
      <c r="BV9" s="43"/>
      <c r="BW9" s="43"/>
      <c r="BX9" s="43"/>
      <c r="BY9" s="43"/>
      <c r="BZ9" s="43"/>
      <c r="CA9" s="43"/>
      <c r="CB9" s="43"/>
      <c r="CC9" s="43"/>
      <c r="CD9" s="43"/>
      <c r="CE9" s="43"/>
      <c r="CF9" s="43"/>
      <c r="CG9" s="43"/>
    </row>
    <row r="10" spans="1:85" ht="18" customHeight="1">
      <c r="A10" s="265" t="s">
        <v>569</v>
      </c>
      <c r="B10" s="266"/>
      <c r="C10" s="266"/>
      <c r="D10" s="266"/>
      <c r="E10" s="266"/>
      <c r="F10" s="266"/>
      <c r="G10" s="266"/>
      <c r="H10" s="266"/>
      <c r="I10" s="264">
        <f>AQ14</f>
        <v>1</v>
      </c>
      <c r="J10" s="264"/>
      <c r="K10" s="267" t="s">
        <v>176</v>
      </c>
      <c r="L10" s="268"/>
      <c r="M10" s="269" t="s">
        <v>570</v>
      </c>
      <c r="N10" s="266"/>
      <c r="O10" s="266"/>
      <c r="P10" s="266"/>
      <c r="Q10" s="266"/>
      <c r="R10" s="266"/>
      <c r="S10" s="266"/>
      <c r="T10" s="266"/>
      <c r="U10" s="264">
        <f>AQ37</f>
        <v>0</v>
      </c>
      <c r="V10" s="264"/>
      <c r="W10" s="267" t="s">
        <v>176</v>
      </c>
      <c r="X10" s="268"/>
      <c r="Y10" s="269" t="s">
        <v>571</v>
      </c>
      <c r="Z10" s="266"/>
      <c r="AA10" s="266"/>
      <c r="AB10" s="266"/>
      <c r="AC10" s="266"/>
      <c r="AD10" s="266"/>
      <c r="AE10" s="266"/>
      <c r="AF10" s="266"/>
      <c r="AG10" s="264">
        <f>AQ26+AQ25</f>
        <v>0</v>
      </c>
      <c r="AH10" s="264"/>
      <c r="AI10" s="28" t="s">
        <v>176</v>
      </c>
      <c r="AK10" s="440" t="s">
        <v>572</v>
      </c>
      <c r="AL10" s="440"/>
      <c r="AM10" s="440"/>
      <c r="AN10" s="440"/>
      <c r="AO10" s="440"/>
      <c r="AP10" s="440"/>
      <c r="AQ10" s="42"/>
      <c r="AR10" s="43"/>
      <c r="AS10" s="46">
        <v>1</v>
      </c>
      <c r="AT10" s="46"/>
      <c r="AU10" s="46" t="s">
        <v>20</v>
      </c>
      <c r="AV10" s="47" t="s">
        <v>573</v>
      </c>
      <c r="AW10" s="47" t="s">
        <v>574</v>
      </c>
      <c r="AX10" s="47">
        <v>0.33333333333333331</v>
      </c>
      <c r="AY10" s="47">
        <v>0.83333333333333337</v>
      </c>
      <c r="AZ10" s="43"/>
      <c r="BB10" s="49" t="s">
        <v>95</v>
      </c>
      <c r="BC10" s="120">
        <v>1</v>
      </c>
      <c r="BD10" s="120">
        <v>2</v>
      </c>
      <c r="BE10" s="120">
        <v>3</v>
      </c>
      <c r="BF10" s="120">
        <v>4</v>
      </c>
      <c r="BG10" s="120">
        <v>5</v>
      </c>
      <c r="BH10" s="120">
        <v>6</v>
      </c>
      <c r="BI10" s="120">
        <v>7</v>
      </c>
      <c r="BJ10" s="120">
        <v>8</v>
      </c>
      <c r="BK10" s="120">
        <v>9</v>
      </c>
      <c r="BL10" s="120">
        <v>10</v>
      </c>
      <c r="BM10" s="120">
        <v>11</v>
      </c>
      <c r="BN10" s="120">
        <v>12</v>
      </c>
      <c r="BO10" s="120">
        <v>13</v>
      </c>
      <c r="BP10" s="120">
        <v>14</v>
      </c>
      <c r="BQ10" s="120">
        <v>15</v>
      </c>
      <c r="BR10" s="120">
        <v>16</v>
      </c>
      <c r="BS10" s="120">
        <v>17</v>
      </c>
      <c r="BT10" s="120">
        <v>18</v>
      </c>
      <c r="BU10" s="120">
        <v>19</v>
      </c>
      <c r="BV10" s="120">
        <v>20</v>
      </c>
      <c r="BW10" s="120">
        <v>21</v>
      </c>
      <c r="BX10" s="120">
        <v>22</v>
      </c>
      <c r="BY10" s="120">
        <v>23</v>
      </c>
      <c r="BZ10" s="120">
        <v>24</v>
      </c>
      <c r="CA10" s="120">
        <v>25</v>
      </c>
      <c r="CB10" s="120">
        <v>26</v>
      </c>
      <c r="CC10" s="120">
        <v>27</v>
      </c>
      <c r="CD10" s="120">
        <v>28</v>
      </c>
      <c r="CE10" s="120">
        <v>29</v>
      </c>
      <c r="CF10" s="120">
        <v>30</v>
      </c>
      <c r="CG10" s="43"/>
    </row>
    <row r="11" spans="1:85" ht="18" customHeight="1">
      <c r="A11" s="265" t="s">
        <v>575</v>
      </c>
      <c r="B11" s="266"/>
      <c r="C11" s="266"/>
      <c r="D11" s="266"/>
      <c r="E11" s="266"/>
      <c r="F11" s="266"/>
      <c r="G11" s="266"/>
      <c r="H11" s="266"/>
      <c r="I11" s="264">
        <f>AQ27</f>
        <v>0</v>
      </c>
      <c r="J11" s="264"/>
      <c r="K11" s="267" t="s">
        <v>176</v>
      </c>
      <c r="L11" s="268"/>
      <c r="M11" s="269" t="s">
        <v>576</v>
      </c>
      <c r="N11" s="266"/>
      <c r="O11" s="266"/>
      <c r="P11" s="266"/>
      <c r="Q11" s="266"/>
      <c r="R11" s="266"/>
      <c r="S11" s="266"/>
      <c r="T11" s="266"/>
      <c r="U11" s="264">
        <f>AQ36</f>
        <v>0</v>
      </c>
      <c r="V11" s="264"/>
      <c r="W11" s="267" t="s">
        <v>176</v>
      </c>
      <c r="X11" s="268"/>
      <c r="Y11" s="269" t="s">
        <v>577</v>
      </c>
      <c r="Z11" s="266"/>
      <c r="AA11" s="266"/>
      <c r="AB11" s="266"/>
      <c r="AC11" s="266"/>
      <c r="AD11" s="266"/>
      <c r="AE11" s="266"/>
      <c r="AF11" s="266"/>
      <c r="AG11" s="264">
        <f>AQ34</f>
        <v>0</v>
      </c>
      <c r="AH11" s="264"/>
      <c r="AI11" s="28" t="s">
        <v>176</v>
      </c>
      <c r="AK11" s="441" t="s">
        <v>578</v>
      </c>
      <c r="AL11" s="442"/>
      <c r="AM11" s="442"/>
      <c r="AN11" s="442"/>
      <c r="AO11" s="442"/>
      <c r="AP11" s="443"/>
      <c r="AQ11" s="42">
        <v>27</v>
      </c>
      <c r="AR11" s="43"/>
      <c r="AS11" s="46">
        <v>2</v>
      </c>
      <c r="AT11" s="46"/>
      <c r="AU11" s="46"/>
      <c r="AV11" s="47" t="s">
        <v>579</v>
      </c>
      <c r="AW11" s="47" t="s">
        <v>580</v>
      </c>
      <c r="AX11" s="47">
        <v>0.33333333333333331</v>
      </c>
      <c r="AY11" s="47">
        <v>0.58333333333333337</v>
      </c>
      <c r="AZ11" s="43"/>
      <c r="BB11" s="121" t="s">
        <v>581</v>
      </c>
      <c r="BC11" s="138" t="s">
        <v>582</v>
      </c>
      <c r="BD11" s="138" t="s">
        <v>583</v>
      </c>
      <c r="BE11" s="138" t="s">
        <v>584</v>
      </c>
      <c r="BF11" s="138" t="s">
        <v>585</v>
      </c>
      <c r="BG11" s="139" t="s">
        <v>584</v>
      </c>
      <c r="BH11" s="138" t="s">
        <v>582</v>
      </c>
      <c r="BI11" s="138" t="s">
        <v>585</v>
      </c>
      <c r="BJ11" s="138" t="s">
        <v>583</v>
      </c>
      <c r="BK11" s="138" t="s">
        <v>584</v>
      </c>
      <c r="BL11" s="138" t="s">
        <v>583</v>
      </c>
      <c r="BM11" s="138" t="s">
        <v>585</v>
      </c>
      <c r="BN11" s="138" t="s">
        <v>582</v>
      </c>
      <c r="BO11" s="138" t="s">
        <v>584</v>
      </c>
      <c r="BP11" s="138" t="s">
        <v>585</v>
      </c>
      <c r="BQ11" s="138" t="s">
        <v>583</v>
      </c>
      <c r="BR11" s="138" t="s">
        <v>585</v>
      </c>
      <c r="BS11" s="138" t="s">
        <v>584</v>
      </c>
      <c r="BT11" s="138" t="s">
        <v>582</v>
      </c>
      <c r="BU11" s="138" t="s">
        <v>583</v>
      </c>
      <c r="BV11" s="138" t="s">
        <v>585</v>
      </c>
      <c r="BW11" s="138" t="s">
        <v>582</v>
      </c>
      <c r="BX11" s="138" t="s">
        <v>584</v>
      </c>
      <c r="BY11" s="138" t="s">
        <v>585</v>
      </c>
      <c r="BZ11" s="138" t="s">
        <v>583</v>
      </c>
      <c r="CA11" s="138" t="s">
        <v>582</v>
      </c>
      <c r="CB11" s="138" t="s">
        <v>585</v>
      </c>
      <c r="CC11" s="138" t="s">
        <v>584</v>
      </c>
      <c r="CD11" s="138" t="s">
        <v>582</v>
      </c>
      <c r="CE11" s="138" t="s">
        <v>585</v>
      </c>
      <c r="CF11" s="138" t="s">
        <v>583</v>
      </c>
      <c r="CG11" s="43"/>
    </row>
    <row r="12" spans="1:85" ht="18" customHeight="1">
      <c r="A12" s="265" t="s">
        <v>586</v>
      </c>
      <c r="B12" s="266"/>
      <c r="C12" s="266"/>
      <c r="D12" s="266"/>
      <c r="E12" s="266"/>
      <c r="F12" s="266"/>
      <c r="G12" s="266"/>
      <c r="H12" s="266"/>
      <c r="I12" s="264">
        <f>AQ33</f>
        <v>0</v>
      </c>
      <c r="J12" s="264"/>
      <c r="K12" s="267" t="s">
        <v>176</v>
      </c>
      <c r="L12" s="268"/>
      <c r="M12" s="269" t="s">
        <v>587</v>
      </c>
      <c r="N12" s="266"/>
      <c r="O12" s="266"/>
      <c r="P12" s="266"/>
      <c r="Q12" s="266"/>
      <c r="R12" s="266"/>
      <c r="S12" s="266"/>
      <c r="T12" s="266"/>
      <c r="U12" s="264">
        <f>AQ24</f>
        <v>0</v>
      </c>
      <c r="V12" s="264"/>
      <c r="W12" s="267" t="s">
        <v>176</v>
      </c>
      <c r="X12" s="268"/>
      <c r="Y12" s="269" t="s">
        <v>588</v>
      </c>
      <c r="Z12" s="266"/>
      <c r="AA12" s="266"/>
      <c r="AB12" s="266"/>
      <c r="AC12" s="266"/>
      <c r="AD12" s="266"/>
      <c r="AE12" s="266"/>
      <c r="AF12" s="266"/>
      <c r="AG12" s="264">
        <f>AQ20+AQ21+AQ22+AQ23</f>
        <v>0</v>
      </c>
      <c r="AH12" s="264"/>
      <c r="AI12" s="28" t="s">
        <v>176</v>
      </c>
      <c r="AK12" s="441" t="s">
        <v>589</v>
      </c>
      <c r="AL12" s="442"/>
      <c r="AM12" s="442"/>
      <c r="AN12" s="442"/>
      <c r="AO12" s="442"/>
      <c r="AP12" s="443"/>
      <c r="AQ12" s="42">
        <v>17</v>
      </c>
      <c r="AR12" s="43"/>
      <c r="AS12" s="46">
        <v>3</v>
      </c>
      <c r="AT12" s="46"/>
      <c r="AU12" s="46"/>
      <c r="AV12" s="47" t="s">
        <v>590</v>
      </c>
      <c r="AW12" s="47" t="s">
        <v>574</v>
      </c>
      <c r="AX12" s="47">
        <v>0.58333333333333337</v>
      </c>
      <c r="AY12" s="47">
        <v>0.83333333333333337</v>
      </c>
      <c r="AZ12" s="43"/>
      <c r="BB12" s="49"/>
      <c r="BC12" s="43"/>
      <c r="BD12" s="43"/>
      <c r="BE12" s="43"/>
      <c r="BF12" s="43"/>
      <c r="BG12" s="43"/>
      <c r="BH12" s="43"/>
      <c r="BI12" s="43"/>
      <c r="BJ12" s="43"/>
      <c r="BK12" s="43"/>
      <c r="BL12" s="43"/>
      <c r="BM12" s="43"/>
      <c r="BN12" s="43"/>
      <c r="BO12" s="43"/>
      <c r="BP12" s="43"/>
      <c r="BQ12" s="43"/>
      <c r="BR12" s="43"/>
      <c r="BS12" s="43"/>
      <c r="BT12" s="43"/>
      <c r="BU12" s="43"/>
      <c r="BV12" s="43"/>
      <c r="BW12" s="43"/>
      <c r="BX12" s="43"/>
      <c r="BY12" s="43"/>
      <c r="BZ12" s="43"/>
      <c r="CA12" s="43"/>
      <c r="CB12" s="43"/>
      <c r="CC12" s="43"/>
      <c r="CD12" s="43"/>
      <c r="CE12" s="43"/>
      <c r="CF12" s="43"/>
      <c r="CG12" s="43"/>
    </row>
    <row r="13" spans="1:85" ht="18" customHeight="1" thickBot="1">
      <c r="A13" s="517" t="s">
        <v>591</v>
      </c>
      <c r="B13" s="277"/>
      <c r="C13" s="277"/>
      <c r="D13" s="277"/>
      <c r="E13" s="277"/>
      <c r="F13" s="277"/>
      <c r="G13" s="277"/>
      <c r="H13" s="277"/>
      <c r="I13" s="272">
        <f>AQ30+AQ31</f>
        <v>0</v>
      </c>
      <c r="J13" s="272"/>
      <c r="K13" s="273" t="s">
        <v>176</v>
      </c>
      <c r="L13" s="274"/>
      <c r="M13" s="276" t="s">
        <v>592</v>
      </c>
      <c r="N13" s="277"/>
      <c r="O13" s="277"/>
      <c r="P13" s="277"/>
      <c r="Q13" s="277"/>
      <c r="R13" s="277"/>
      <c r="S13" s="277"/>
      <c r="T13" s="277"/>
      <c r="U13" s="272">
        <f>AQ28</f>
        <v>0</v>
      </c>
      <c r="V13" s="272"/>
      <c r="W13" s="273" t="s">
        <v>176</v>
      </c>
      <c r="X13" s="274"/>
      <c r="Y13" s="276" t="s">
        <v>593</v>
      </c>
      <c r="Z13" s="277"/>
      <c r="AA13" s="277"/>
      <c r="AB13" s="277"/>
      <c r="AC13" s="277"/>
      <c r="AD13" s="277"/>
      <c r="AE13" s="277"/>
      <c r="AF13" s="277"/>
      <c r="AG13" s="272">
        <f>AQ13</f>
        <v>0</v>
      </c>
      <c r="AH13" s="272"/>
      <c r="AI13" s="34" t="s">
        <v>176</v>
      </c>
      <c r="AK13" s="425" t="s">
        <v>594</v>
      </c>
      <c r="AL13" s="425"/>
      <c r="AM13" s="425"/>
      <c r="AN13" s="425"/>
      <c r="AO13" s="425"/>
      <c r="AP13" s="425"/>
      <c r="AQ13" s="42"/>
      <c r="AR13" s="43"/>
      <c r="AS13" s="46">
        <v>4</v>
      </c>
      <c r="AT13" s="46"/>
      <c r="AU13" s="46" t="s">
        <v>602</v>
      </c>
      <c r="AV13" s="47" t="s">
        <v>595</v>
      </c>
      <c r="AW13" s="47" t="s">
        <v>596</v>
      </c>
      <c r="AX13" s="47">
        <v>0.33333333333333331</v>
      </c>
      <c r="AY13" s="47">
        <v>0.83333333333333337</v>
      </c>
      <c r="AZ13" s="43"/>
      <c r="BB13" s="121" t="s">
        <v>597</v>
      </c>
      <c r="BC13" s="140" t="s">
        <v>20</v>
      </c>
      <c r="BD13" s="140" t="s">
        <v>119</v>
      </c>
      <c r="BE13" s="140" t="s">
        <v>20</v>
      </c>
      <c r="BF13" s="140" t="s">
        <v>20</v>
      </c>
      <c r="BG13" s="140" t="s">
        <v>20</v>
      </c>
      <c r="BH13" s="140" t="s">
        <v>20</v>
      </c>
      <c r="BI13" s="140" t="s">
        <v>80</v>
      </c>
      <c r="BJ13" s="140" t="s">
        <v>20</v>
      </c>
      <c r="BK13" s="140" t="s">
        <v>20</v>
      </c>
      <c r="BL13" s="140" t="s">
        <v>20</v>
      </c>
      <c r="BM13" s="140" t="s">
        <v>20</v>
      </c>
      <c r="BN13" s="140" t="s">
        <v>20</v>
      </c>
      <c r="BO13" s="140" t="s">
        <v>119</v>
      </c>
      <c r="BP13" s="140" t="s">
        <v>119</v>
      </c>
      <c r="BQ13" s="140" t="s">
        <v>20</v>
      </c>
      <c r="BR13" s="140" t="s">
        <v>119</v>
      </c>
      <c r="BS13" s="140" t="s">
        <v>20</v>
      </c>
      <c r="BT13" s="140" t="s">
        <v>20</v>
      </c>
      <c r="BU13" s="140" t="s">
        <v>20</v>
      </c>
      <c r="BV13" s="140" t="s">
        <v>119</v>
      </c>
      <c r="BW13" s="140" t="s">
        <v>119</v>
      </c>
      <c r="BX13" s="140" t="s">
        <v>20</v>
      </c>
      <c r="BY13" s="140" t="s">
        <v>119</v>
      </c>
      <c r="BZ13" s="140" t="s">
        <v>20</v>
      </c>
      <c r="CA13" s="140" t="s">
        <v>119</v>
      </c>
      <c r="CB13" s="140" t="s">
        <v>20</v>
      </c>
      <c r="CC13" s="140" t="s">
        <v>20</v>
      </c>
      <c r="CD13" s="140" t="s">
        <v>119</v>
      </c>
      <c r="CE13" s="140" t="s">
        <v>20</v>
      </c>
      <c r="CF13" s="140" t="s">
        <v>119</v>
      </c>
      <c r="CG13" s="43"/>
    </row>
    <row r="14" spans="1:85" ht="18" customHeight="1" thickBot="1">
      <c r="A14" s="452" t="s">
        <v>598</v>
      </c>
      <c r="B14" s="453"/>
      <c r="C14" s="453"/>
      <c r="D14" s="453"/>
      <c r="E14" s="453"/>
      <c r="F14" s="453"/>
      <c r="G14" s="453"/>
      <c r="H14" s="453"/>
      <c r="I14" s="453"/>
      <c r="J14" s="453"/>
      <c r="K14" s="453"/>
      <c r="L14" s="453"/>
      <c r="M14" s="453"/>
      <c r="N14" s="453"/>
      <c r="O14" s="453"/>
      <c r="P14" s="453"/>
      <c r="Q14" s="453"/>
      <c r="R14" s="453"/>
      <c r="S14" s="453"/>
      <c r="T14" s="453"/>
      <c r="U14" s="453"/>
      <c r="V14" s="453"/>
      <c r="W14" s="453"/>
      <c r="X14" s="453"/>
      <c r="Y14" s="453"/>
      <c r="Z14" s="453"/>
      <c r="AA14" s="453"/>
      <c r="AB14" s="453"/>
      <c r="AC14" s="453"/>
      <c r="AD14" s="453"/>
      <c r="AE14" s="453"/>
      <c r="AF14" s="453"/>
      <c r="AG14" s="453"/>
      <c r="AH14" s="453"/>
      <c r="AI14" s="454"/>
      <c r="AK14" s="440" t="s">
        <v>599</v>
      </c>
      <c r="AL14" s="440"/>
      <c r="AM14" s="440"/>
      <c r="AN14" s="440"/>
      <c r="AO14" s="440"/>
      <c r="AP14" s="440"/>
      <c r="AQ14" s="42">
        <v>1</v>
      </c>
      <c r="AR14" s="43"/>
      <c r="AS14" s="46">
        <v>5</v>
      </c>
      <c r="AT14" s="46"/>
      <c r="AU14" s="46" t="s">
        <v>119</v>
      </c>
      <c r="AV14" s="47" t="s">
        <v>600</v>
      </c>
      <c r="AW14" s="47" t="s">
        <v>596</v>
      </c>
      <c r="AX14" s="47">
        <v>0.33333333333333331</v>
      </c>
      <c r="AY14" s="47">
        <v>0.83333333333333337</v>
      </c>
      <c r="AZ14" s="43"/>
      <c r="BB14" s="121" t="s">
        <v>601</v>
      </c>
      <c r="BC14" s="162" t="s">
        <v>28</v>
      </c>
      <c r="BD14" s="162" t="s">
        <v>602</v>
      </c>
      <c r="BE14" s="162" t="s">
        <v>602</v>
      </c>
      <c r="BF14" s="162" t="s">
        <v>28</v>
      </c>
      <c r="BG14" s="162" t="s">
        <v>602</v>
      </c>
      <c r="BH14" s="162" t="s">
        <v>602</v>
      </c>
      <c r="BI14" s="162" t="s">
        <v>28</v>
      </c>
      <c r="BJ14" s="162" t="s">
        <v>28</v>
      </c>
      <c r="BK14" s="162" t="s">
        <v>602</v>
      </c>
      <c r="BL14" s="162" t="s">
        <v>28</v>
      </c>
      <c r="BM14" s="162" t="s">
        <v>602</v>
      </c>
      <c r="BN14" s="162" t="s">
        <v>28</v>
      </c>
      <c r="BO14" s="162" t="s">
        <v>28</v>
      </c>
      <c r="BP14" s="162" t="s">
        <v>76</v>
      </c>
      <c r="BQ14" s="162" t="s">
        <v>28</v>
      </c>
      <c r="BR14" s="162" t="s">
        <v>602</v>
      </c>
      <c r="BS14" s="162" t="s">
        <v>28</v>
      </c>
      <c r="BT14" s="162" t="s">
        <v>602</v>
      </c>
      <c r="BU14" s="162" t="s">
        <v>28</v>
      </c>
      <c r="BV14" s="162" t="s">
        <v>602</v>
      </c>
      <c r="BW14" s="162" t="s">
        <v>28</v>
      </c>
      <c r="BX14" s="162" t="s">
        <v>28</v>
      </c>
      <c r="BY14" s="162" t="s">
        <v>602</v>
      </c>
      <c r="BZ14" s="162" t="s">
        <v>28</v>
      </c>
      <c r="CA14" s="162" t="s">
        <v>602</v>
      </c>
      <c r="CB14" s="162" t="s">
        <v>28</v>
      </c>
      <c r="CC14" s="162" t="s">
        <v>28</v>
      </c>
      <c r="CD14" s="162" t="s">
        <v>76</v>
      </c>
      <c r="CE14" s="162" t="s">
        <v>28</v>
      </c>
      <c r="CF14" s="162" t="s">
        <v>602</v>
      </c>
      <c r="CG14" s="43"/>
    </row>
    <row r="15" spans="1:85" ht="18" customHeight="1" thickBot="1">
      <c r="A15" s="30" t="s">
        <v>189</v>
      </c>
      <c r="B15" s="264" t="s">
        <v>603</v>
      </c>
      <c r="C15" s="264"/>
      <c r="D15" s="264"/>
      <c r="E15" s="264"/>
      <c r="F15" s="264"/>
      <c r="G15" s="264"/>
      <c r="H15" s="264"/>
      <c r="I15" s="264"/>
      <c r="J15" s="278">
        <f>AQ9+AQ10</f>
        <v>76</v>
      </c>
      <c r="K15" s="278"/>
      <c r="L15" s="278"/>
      <c r="M15" s="264" t="s">
        <v>176</v>
      </c>
      <c r="N15" s="264"/>
      <c r="O15" s="264" t="s">
        <v>604</v>
      </c>
      <c r="P15" s="264"/>
      <c r="Q15" s="264"/>
      <c r="R15" s="264"/>
      <c r="S15" s="264"/>
      <c r="T15" s="264"/>
      <c r="U15" s="264"/>
      <c r="V15" s="264"/>
      <c r="W15" s="278">
        <f>AQ11+AQ12</f>
        <v>44</v>
      </c>
      <c r="X15" s="278"/>
      <c r="Y15" s="278"/>
      <c r="Z15" s="264" t="s">
        <v>176</v>
      </c>
      <c r="AA15" s="264"/>
      <c r="AB15" s="503" t="s">
        <v>605</v>
      </c>
      <c r="AC15" s="503"/>
      <c r="AD15" s="503"/>
      <c r="AE15" s="503"/>
      <c r="AF15" s="503"/>
      <c r="AG15" s="503"/>
      <c r="AH15" s="281" t="s">
        <v>585</v>
      </c>
      <c r="AI15" s="282"/>
      <c r="AK15" s="425" t="s">
        <v>606</v>
      </c>
      <c r="AL15" s="425"/>
      <c r="AM15" s="425"/>
      <c r="AN15" s="425"/>
      <c r="AO15" s="425"/>
      <c r="AP15" s="425"/>
      <c r="AQ15" s="42"/>
      <c r="AR15" s="43"/>
      <c r="AS15" s="46">
        <v>6</v>
      </c>
      <c r="AT15" s="46"/>
      <c r="AU15" s="46"/>
      <c r="AV15" s="47" t="s">
        <v>607</v>
      </c>
      <c r="AW15" s="47" t="s">
        <v>596</v>
      </c>
      <c r="AX15" s="47">
        <v>0.33333333333333331</v>
      </c>
      <c r="AY15" s="47">
        <v>0.83333333333333337</v>
      </c>
      <c r="AZ15" s="43"/>
      <c r="BB15" s="121" t="s">
        <v>31</v>
      </c>
      <c r="BC15" s="163" t="s">
        <v>119</v>
      </c>
      <c r="BD15" s="164"/>
      <c r="BE15" s="165" t="s">
        <v>28</v>
      </c>
      <c r="BF15" s="165" t="s">
        <v>119</v>
      </c>
      <c r="BG15" s="164"/>
      <c r="BH15" s="164"/>
      <c r="BI15" s="164"/>
      <c r="BJ15" s="164"/>
      <c r="BK15" s="165" t="s">
        <v>119</v>
      </c>
      <c r="BL15" s="165" t="s">
        <v>602</v>
      </c>
      <c r="BM15" s="165" t="s">
        <v>119</v>
      </c>
      <c r="BN15" s="165" t="s">
        <v>602</v>
      </c>
      <c r="BO15" s="164"/>
      <c r="BP15" s="164"/>
      <c r="BQ15" s="165" t="s">
        <v>608</v>
      </c>
      <c r="BR15" s="165" t="s">
        <v>20</v>
      </c>
      <c r="BS15" s="165" t="s">
        <v>602</v>
      </c>
      <c r="BT15" s="165" t="s">
        <v>119</v>
      </c>
      <c r="BU15" s="165" t="s">
        <v>602</v>
      </c>
      <c r="BV15" s="164"/>
      <c r="BW15" s="164"/>
      <c r="BX15" s="165" t="s">
        <v>119</v>
      </c>
      <c r="BY15" s="165" t="s">
        <v>20</v>
      </c>
      <c r="BZ15" s="165" t="s">
        <v>602</v>
      </c>
      <c r="CA15" s="165" t="s">
        <v>20</v>
      </c>
      <c r="CB15" s="165" t="s">
        <v>602</v>
      </c>
      <c r="CC15" s="165" t="s">
        <v>602</v>
      </c>
      <c r="CD15" s="164"/>
      <c r="CE15" s="165" t="s">
        <v>119</v>
      </c>
      <c r="CF15" s="165" t="s">
        <v>20</v>
      </c>
      <c r="CG15" s="43"/>
    </row>
    <row r="16" spans="1:85" ht="18" customHeight="1">
      <c r="A16" s="504" t="s">
        <v>609</v>
      </c>
      <c r="B16" s="505"/>
      <c r="C16" s="505"/>
      <c r="D16" s="505"/>
      <c r="E16" s="505"/>
      <c r="F16" s="505"/>
      <c r="G16" s="505"/>
      <c r="H16" s="505"/>
      <c r="I16" s="505"/>
      <c r="J16" s="505"/>
      <c r="K16" s="505"/>
      <c r="L16" s="505"/>
      <c r="M16" s="505"/>
      <c r="N16" s="505"/>
      <c r="O16" s="505"/>
      <c r="P16" s="505"/>
      <c r="Q16" s="505"/>
      <c r="R16" s="505"/>
      <c r="S16" s="505"/>
      <c r="T16" s="505"/>
      <c r="U16" s="505"/>
      <c r="V16" s="505"/>
      <c r="W16" s="505"/>
      <c r="X16" s="505"/>
      <c r="Y16" s="505"/>
      <c r="Z16" s="505"/>
      <c r="AA16" s="505"/>
      <c r="AB16" s="505"/>
      <c r="AC16" s="505"/>
      <c r="AD16" s="505"/>
      <c r="AE16" s="505"/>
      <c r="AF16" s="505"/>
      <c r="AG16" s="505"/>
      <c r="AH16" s="505"/>
      <c r="AI16" s="506"/>
      <c r="AK16" s="425" t="s">
        <v>610</v>
      </c>
      <c r="AL16" s="425"/>
      <c r="AM16" s="425"/>
      <c r="AN16" s="425"/>
      <c r="AO16" s="425"/>
      <c r="AP16" s="425"/>
      <c r="AQ16" s="42"/>
      <c r="AR16" s="43"/>
      <c r="AS16" s="46">
        <v>7</v>
      </c>
      <c r="AT16" s="46"/>
      <c r="AU16" s="46" t="s">
        <v>67</v>
      </c>
      <c r="AV16" s="47" t="s">
        <v>611</v>
      </c>
      <c r="AW16" s="47" t="s">
        <v>612</v>
      </c>
      <c r="AX16" s="47">
        <v>0.83333333333333337</v>
      </c>
      <c r="AY16" s="47" t="s">
        <v>613</v>
      </c>
      <c r="AZ16" s="43"/>
      <c r="BB16" s="121" t="s">
        <v>614</v>
      </c>
      <c r="BC16" s="142" t="s">
        <v>20</v>
      </c>
      <c r="BD16" s="140" t="s">
        <v>67</v>
      </c>
      <c r="BE16" s="142" t="s">
        <v>42</v>
      </c>
      <c r="BF16" s="142" t="s">
        <v>20</v>
      </c>
      <c r="BG16" s="142" t="s">
        <v>42</v>
      </c>
      <c r="BH16" s="142" t="s">
        <v>61</v>
      </c>
      <c r="BI16" s="142" t="s">
        <v>67</v>
      </c>
      <c r="BJ16" s="142" t="s">
        <v>67</v>
      </c>
      <c r="BK16" s="142" t="s">
        <v>42</v>
      </c>
      <c r="BL16" s="142" t="s">
        <v>42</v>
      </c>
      <c r="BM16" s="142" t="s">
        <v>67</v>
      </c>
      <c r="BN16" s="142" t="s">
        <v>67</v>
      </c>
      <c r="BO16" s="142" t="s">
        <v>42</v>
      </c>
      <c r="BP16" s="142" t="s">
        <v>67</v>
      </c>
      <c r="BQ16" s="142" t="s">
        <v>20</v>
      </c>
      <c r="BR16" s="142" t="s">
        <v>71</v>
      </c>
      <c r="BS16" s="142" t="s">
        <v>67</v>
      </c>
      <c r="BT16" s="142" t="s">
        <v>67</v>
      </c>
      <c r="BU16" s="142" t="s">
        <v>61</v>
      </c>
      <c r="BV16" s="142" t="s">
        <v>42</v>
      </c>
      <c r="BW16" s="142" t="s">
        <v>49</v>
      </c>
      <c r="BX16" s="142" t="s">
        <v>20</v>
      </c>
      <c r="BY16" s="142" t="s">
        <v>71</v>
      </c>
      <c r="BZ16" s="142" t="s">
        <v>42</v>
      </c>
      <c r="CA16" s="142" t="s">
        <v>20</v>
      </c>
      <c r="CB16" s="142" t="s">
        <v>61</v>
      </c>
      <c r="CC16" s="142" t="s">
        <v>42</v>
      </c>
      <c r="CD16" s="142" t="s">
        <v>49</v>
      </c>
      <c r="CE16" s="142" t="s">
        <v>20</v>
      </c>
      <c r="CF16" s="143" t="s">
        <v>71</v>
      </c>
      <c r="CG16" s="43"/>
    </row>
    <row r="17" spans="1:85" ht="18" customHeight="1">
      <c r="A17" s="396" t="s">
        <v>615</v>
      </c>
      <c r="B17" s="397"/>
      <c r="C17" s="397"/>
      <c r="D17" s="397"/>
      <c r="E17" s="397"/>
      <c r="F17" s="398" t="s">
        <v>616</v>
      </c>
      <c r="G17" s="398"/>
      <c r="H17" s="398"/>
      <c r="I17" s="398"/>
      <c r="J17" s="398"/>
      <c r="K17" s="398"/>
      <c r="L17" s="398"/>
      <c r="M17" s="398"/>
      <c r="N17" s="398"/>
      <c r="O17" s="398"/>
      <c r="P17" s="398"/>
      <c r="Q17" s="398"/>
      <c r="R17" s="398"/>
      <c r="S17" s="398"/>
      <c r="T17" s="398"/>
      <c r="U17" s="398"/>
      <c r="V17" s="398"/>
      <c r="W17" s="398"/>
      <c r="X17" s="398"/>
      <c r="Y17" s="398"/>
      <c r="Z17" s="398"/>
      <c r="AA17" s="398"/>
      <c r="AB17" s="398"/>
      <c r="AC17" s="398"/>
      <c r="AD17" s="398"/>
      <c r="AE17" s="398"/>
      <c r="AF17" s="398"/>
      <c r="AG17" s="398"/>
      <c r="AH17" s="398"/>
      <c r="AI17" s="399"/>
      <c r="AK17" s="425" t="s">
        <v>617</v>
      </c>
      <c r="AL17" s="425"/>
      <c r="AM17" s="425"/>
      <c r="AN17" s="425"/>
      <c r="AO17" s="425"/>
      <c r="AP17" s="425"/>
      <c r="AQ17" s="42"/>
      <c r="AR17" s="43"/>
      <c r="AS17" s="46">
        <v>8</v>
      </c>
      <c r="AT17" s="46"/>
      <c r="AU17" s="46" t="s">
        <v>49</v>
      </c>
      <c r="AV17" s="47" t="s">
        <v>618</v>
      </c>
      <c r="AW17" s="47" t="s">
        <v>612</v>
      </c>
      <c r="AX17" s="47">
        <v>0.83333333333333337</v>
      </c>
      <c r="AY17" s="47" t="s">
        <v>613</v>
      </c>
      <c r="AZ17" s="43"/>
      <c r="BB17" s="121" t="s">
        <v>619</v>
      </c>
      <c r="BC17" s="141" t="s">
        <v>67</v>
      </c>
      <c r="BD17" s="140" t="s">
        <v>42</v>
      </c>
      <c r="BE17" s="141" t="s">
        <v>71</v>
      </c>
      <c r="BF17" s="140" t="s">
        <v>67</v>
      </c>
      <c r="BG17" s="140" t="s">
        <v>61</v>
      </c>
      <c r="BH17" s="140" t="s">
        <v>42</v>
      </c>
      <c r="BI17" s="140" t="s">
        <v>49</v>
      </c>
      <c r="BJ17" s="140" t="s">
        <v>61</v>
      </c>
      <c r="BK17" s="140" t="s">
        <v>71</v>
      </c>
      <c r="BL17" s="140" t="s">
        <v>67</v>
      </c>
      <c r="BM17" s="140" t="s">
        <v>49</v>
      </c>
      <c r="BN17" s="140" t="s">
        <v>49</v>
      </c>
      <c r="BO17" s="140" t="s">
        <v>61</v>
      </c>
      <c r="BP17" s="140" t="s">
        <v>49</v>
      </c>
      <c r="BQ17" s="140" t="s">
        <v>67</v>
      </c>
      <c r="BR17" s="140" t="s">
        <v>42</v>
      </c>
      <c r="BS17" s="140" t="s">
        <v>42</v>
      </c>
      <c r="BT17" s="140" t="s">
        <v>49</v>
      </c>
      <c r="BU17" s="140" t="s">
        <v>42</v>
      </c>
      <c r="BV17" s="140" t="s">
        <v>61</v>
      </c>
      <c r="BW17" s="140" t="s">
        <v>71</v>
      </c>
      <c r="BX17" s="140" t="s">
        <v>67</v>
      </c>
      <c r="BY17" s="140" t="s">
        <v>42</v>
      </c>
      <c r="BZ17" s="140" t="s">
        <v>67</v>
      </c>
      <c r="CA17" s="140" t="s">
        <v>67</v>
      </c>
      <c r="CB17" s="140" t="s">
        <v>49</v>
      </c>
      <c r="CC17" s="140" t="s">
        <v>61</v>
      </c>
      <c r="CD17" s="140" t="s">
        <v>71</v>
      </c>
      <c r="CE17" s="140" t="s">
        <v>67</v>
      </c>
      <c r="CF17" s="140" t="s">
        <v>42</v>
      </c>
      <c r="CG17" s="43"/>
    </row>
    <row r="18" spans="1:85" ht="18" customHeight="1">
      <c r="A18" s="501" t="s">
        <v>620</v>
      </c>
      <c r="B18" s="502"/>
      <c r="C18" s="502"/>
      <c r="D18" s="502"/>
      <c r="E18" s="502"/>
      <c r="F18" s="400" t="s">
        <v>616</v>
      </c>
      <c r="G18" s="400"/>
      <c r="H18" s="400"/>
      <c r="I18" s="400"/>
      <c r="J18" s="400"/>
      <c r="K18" s="400"/>
      <c r="L18" s="400"/>
      <c r="M18" s="400"/>
      <c r="N18" s="400"/>
      <c r="O18" s="400"/>
      <c r="P18" s="400"/>
      <c r="Q18" s="400"/>
      <c r="R18" s="400"/>
      <c r="S18" s="400"/>
      <c r="T18" s="400"/>
      <c r="U18" s="400"/>
      <c r="V18" s="400"/>
      <c r="W18" s="400"/>
      <c r="X18" s="400"/>
      <c r="Y18" s="400"/>
      <c r="Z18" s="400"/>
      <c r="AA18" s="400"/>
      <c r="AB18" s="400"/>
      <c r="AC18" s="400"/>
      <c r="AD18" s="400"/>
      <c r="AE18" s="400"/>
      <c r="AF18" s="400"/>
      <c r="AG18" s="400"/>
      <c r="AH18" s="400"/>
      <c r="AI18" s="401"/>
      <c r="AK18" s="425" t="s">
        <v>621</v>
      </c>
      <c r="AL18" s="425"/>
      <c r="AM18" s="425"/>
      <c r="AN18" s="425"/>
      <c r="AO18" s="425"/>
      <c r="AP18" s="425"/>
      <c r="AQ18" s="42"/>
      <c r="AR18" s="43"/>
      <c r="AS18" s="46">
        <v>9</v>
      </c>
      <c r="AT18" s="46"/>
      <c r="AU18" s="46"/>
      <c r="AV18" s="47" t="s">
        <v>622</v>
      </c>
      <c r="AW18" s="47" t="s">
        <v>612</v>
      </c>
      <c r="AX18" s="47">
        <v>0.83333333333333337</v>
      </c>
      <c r="AY18" s="47" t="s">
        <v>613</v>
      </c>
      <c r="AZ18" s="43"/>
    </row>
    <row r="19" spans="1:85" ht="18" customHeight="1" thickBot="1">
      <c r="A19" s="35" t="s">
        <v>189</v>
      </c>
      <c r="B19" s="405">
        <v>0.34027777777777779</v>
      </c>
      <c r="C19" s="405"/>
      <c r="D19" s="405"/>
      <c r="E19" s="405"/>
      <c r="F19" s="402" t="s">
        <v>811</v>
      </c>
      <c r="G19" s="402"/>
      <c r="H19" s="402"/>
      <c r="I19" s="402"/>
      <c r="J19" s="402"/>
      <c r="K19" s="402"/>
      <c r="L19" s="402"/>
      <c r="M19" s="402"/>
      <c r="N19" s="402"/>
      <c r="O19" s="402"/>
      <c r="P19" s="402"/>
      <c r="Q19" s="402"/>
      <c r="R19" s="402"/>
      <c r="S19" s="402"/>
      <c r="T19" s="402"/>
      <c r="U19" s="402"/>
      <c r="V19" s="402"/>
      <c r="W19" s="402"/>
      <c r="X19" s="402"/>
      <c r="Y19" s="402"/>
      <c r="Z19" s="402"/>
      <c r="AA19" s="402"/>
      <c r="AB19" s="402"/>
      <c r="AC19" s="402"/>
      <c r="AD19" s="402"/>
      <c r="AE19" s="402"/>
      <c r="AF19" s="402"/>
      <c r="AG19" s="402"/>
      <c r="AH19" s="402"/>
      <c r="AI19" s="403"/>
      <c r="AK19" s="524" t="s">
        <v>623</v>
      </c>
      <c r="AL19" s="524"/>
      <c r="AM19" s="524"/>
      <c r="AN19" s="524"/>
      <c r="AO19" s="524"/>
      <c r="AP19" s="524"/>
      <c r="AQ19" s="58"/>
      <c r="AR19" s="43"/>
      <c r="AS19" s="46">
        <v>10</v>
      </c>
      <c r="AT19" s="46"/>
      <c r="AU19" s="46"/>
      <c r="AV19" s="47" t="s">
        <v>111</v>
      </c>
      <c r="AW19" s="47" t="s">
        <v>612</v>
      </c>
      <c r="AX19" s="47">
        <v>0.83333333333333337</v>
      </c>
      <c r="AY19" s="47" t="s">
        <v>613</v>
      </c>
      <c r="AZ19" s="43"/>
    </row>
    <row r="20" spans="1:85" ht="18" customHeight="1">
      <c r="A20" s="36" t="s">
        <v>189</v>
      </c>
      <c r="B20" s="404">
        <v>0.54166666666666663</v>
      </c>
      <c r="C20" s="404"/>
      <c r="D20" s="404"/>
      <c r="E20" s="404"/>
      <c r="F20" s="288" t="s">
        <v>816</v>
      </c>
      <c r="G20" s="288"/>
      <c r="H20" s="288"/>
      <c r="I20" s="288"/>
      <c r="J20" s="288"/>
      <c r="K20" s="288"/>
      <c r="L20" s="288"/>
      <c r="M20" s="288"/>
      <c r="N20" s="288"/>
      <c r="O20" s="288"/>
      <c r="P20" s="288"/>
      <c r="Q20" s="288"/>
      <c r="R20" s="288"/>
      <c r="S20" s="288"/>
      <c r="T20" s="288"/>
      <c r="U20" s="288"/>
      <c r="V20" s="288"/>
      <c r="W20" s="288"/>
      <c r="X20" s="288"/>
      <c r="Y20" s="288"/>
      <c r="Z20" s="288"/>
      <c r="AA20" s="288"/>
      <c r="AB20" s="288"/>
      <c r="AC20" s="288"/>
      <c r="AD20" s="288"/>
      <c r="AE20" s="288"/>
      <c r="AF20" s="288"/>
      <c r="AG20" s="288"/>
      <c r="AH20" s="288"/>
      <c r="AI20" s="289"/>
      <c r="AK20" s="447" t="s">
        <v>624</v>
      </c>
      <c r="AL20" s="448"/>
      <c r="AM20" s="448"/>
      <c r="AN20" s="448"/>
      <c r="AO20" s="448"/>
      <c r="AP20" s="448"/>
      <c r="AQ20" s="62"/>
      <c r="AR20" s="426" t="s">
        <v>625</v>
      </c>
      <c r="AS20" s="146">
        <v>11</v>
      </c>
      <c r="AT20" s="46"/>
      <c r="AU20" s="46"/>
      <c r="AV20" s="47" t="s">
        <v>111</v>
      </c>
      <c r="AW20" s="47" t="s">
        <v>612</v>
      </c>
      <c r="AX20" s="47">
        <v>0.83333333333333337</v>
      </c>
      <c r="AY20" s="47" t="s">
        <v>613</v>
      </c>
      <c r="AZ20" s="43"/>
    </row>
    <row r="21" spans="1:85" ht="18" customHeight="1" thickBot="1">
      <c r="A21" s="36" t="s">
        <v>189</v>
      </c>
      <c r="B21" s="404">
        <v>0.56944444444444442</v>
      </c>
      <c r="C21" s="404"/>
      <c r="D21" s="404"/>
      <c r="E21" s="404"/>
      <c r="F21" s="288" t="s">
        <v>817</v>
      </c>
      <c r="G21" s="288"/>
      <c r="H21" s="288"/>
      <c r="I21" s="288"/>
      <c r="J21" s="288"/>
      <c r="K21" s="288"/>
      <c r="L21" s="288"/>
      <c r="M21" s="288"/>
      <c r="N21" s="288"/>
      <c r="O21" s="288"/>
      <c r="P21" s="288"/>
      <c r="Q21" s="288"/>
      <c r="R21" s="288"/>
      <c r="S21" s="288"/>
      <c r="T21" s="288"/>
      <c r="U21" s="288"/>
      <c r="V21" s="288"/>
      <c r="W21" s="288"/>
      <c r="X21" s="288"/>
      <c r="Y21" s="288"/>
      <c r="Z21" s="288"/>
      <c r="AA21" s="288"/>
      <c r="AB21" s="288"/>
      <c r="AC21" s="288"/>
      <c r="AD21" s="288"/>
      <c r="AE21" s="288"/>
      <c r="AF21" s="288"/>
      <c r="AG21" s="288"/>
      <c r="AH21" s="288"/>
      <c r="AI21" s="289"/>
      <c r="AK21" s="429" t="s">
        <v>626</v>
      </c>
      <c r="AL21" s="430"/>
      <c r="AM21" s="430"/>
      <c r="AN21" s="430"/>
      <c r="AO21" s="430"/>
      <c r="AP21" s="430"/>
      <c r="AQ21" s="63"/>
      <c r="AR21" s="427"/>
      <c r="AW21" s="43"/>
      <c r="AX21" s="43"/>
      <c r="AY21" s="43"/>
      <c r="AZ21" s="43"/>
    </row>
    <row r="22" spans="1:85" ht="18" customHeight="1">
      <c r="A22" s="36" t="s">
        <v>189</v>
      </c>
      <c r="B22" s="404">
        <v>0.89930555555555558</v>
      </c>
      <c r="C22" s="404"/>
      <c r="D22" s="404"/>
      <c r="E22" s="404"/>
      <c r="F22" s="288" t="s">
        <v>818</v>
      </c>
      <c r="G22" s="288"/>
      <c r="H22" s="288"/>
      <c r="I22" s="288"/>
      <c r="J22" s="288"/>
      <c r="K22" s="288"/>
      <c r="L22" s="288"/>
      <c r="M22" s="288"/>
      <c r="N22" s="288"/>
      <c r="O22" s="288"/>
      <c r="P22" s="288"/>
      <c r="Q22" s="288"/>
      <c r="R22" s="288"/>
      <c r="S22" s="288"/>
      <c r="T22" s="288"/>
      <c r="U22" s="288"/>
      <c r="V22" s="288"/>
      <c r="W22" s="288"/>
      <c r="X22" s="288"/>
      <c r="Y22" s="288"/>
      <c r="Z22" s="288"/>
      <c r="AA22" s="288"/>
      <c r="AB22" s="288"/>
      <c r="AC22" s="288"/>
      <c r="AD22" s="288"/>
      <c r="AE22" s="288"/>
      <c r="AF22" s="288"/>
      <c r="AG22" s="288"/>
      <c r="AH22" s="288"/>
      <c r="AI22" s="289"/>
      <c r="AK22" s="429" t="s">
        <v>627</v>
      </c>
      <c r="AL22" s="430"/>
      <c r="AM22" s="430"/>
      <c r="AN22" s="430"/>
      <c r="AO22" s="430"/>
      <c r="AP22" s="430"/>
      <c r="AQ22" s="63"/>
      <c r="AR22" s="427"/>
      <c r="AS22" s="433" t="s">
        <v>628</v>
      </c>
      <c r="AT22" s="434"/>
      <c r="AU22" s="435"/>
      <c r="AV22" s="435"/>
      <c r="AW22" s="60" t="s">
        <v>74</v>
      </c>
      <c r="AY22" s="413" t="s">
        <v>629</v>
      </c>
      <c r="AZ22" s="413"/>
      <c r="BA22" s="412"/>
      <c r="BB22" s="412"/>
    </row>
    <row r="23" spans="1:85" ht="18" customHeight="1" thickBot="1">
      <c r="A23" s="36" t="s">
        <v>189</v>
      </c>
      <c r="B23" s="404">
        <v>5.5555555555555558E-3</v>
      </c>
      <c r="C23" s="404"/>
      <c r="D23" s="404"/>
      <c r="E23" s="404"/>
      <c r="F23" s="288" t="s">
        <v>819</v>
      </c>
      <c r="G23" s="288"/>
      <c r="H23" s="288"/>
      <c r="I23" s="288"/>
      <c r="J23" s="288"/>
      <c r="K23" s="288"/>
      <c r="L23" s="288"/>
      <c r="M23" s="288"/>
      <c r="N23" s="288"/>
      <c r="O23" s="288"/>
      <c r="P23" s="288"/>
      <c r="Q23" s="288"/>
      <c r="R23" s="288"/>
      <c r="S23" s="288"/>
      <c r="T23" s="288"/>
      <c r="U23" s="288"/>
      <c r="V23" s="288"/>
      <c r="W23" s="288"/>
      <c r="X23" s="288"/>
      <c r="Y23" s="288"/>
      <c r="Z23" s="288"/>
      <c r="AA23" s="288"/>
      <c r="AB23" s="288"/>
      <c r="AC23" s="288"/>
      <c r="AD23" s="288"/>
      <c r="AE23" s="288"/>
      <c r="AF23" s="288"/>
      <c r="AG23" s="288"/>
      <c r="AH23" s="288"/>
      <c r="AI23" s="289"/>
      <c r="AK23" s="431" t="s">
        <v>630</v>
      </c>
      <c r="AL23" s="432"/>
      <c r="AM23" s="432"/>
      <c r="AN23" s="432"/>
      <c r="AO23" s="432"/>
      <c r="AP23" s="432"/>
      <c r="AQ23" s="64"/>
      <c r="AR23" s="428"/>
      <c r="AS23" s="536" t="s">
        <v>631</v>
      </c>
      <c r="AT23" s="246"/>
      <c r="AU23" s="537"/>
      <c r="AV23" s="537"/>
      <c r="AW23" s="56" t="s">
        <v>632</v>
      </c>
      <c r="AY23" s="413" t="s">
        <v>633</v>
      </c>
      <c r="AZ23" s="413"/>
      <c r="BA23" s="412"/>
      <c r="BB23" s="412"/>
    </row>
    <row r="24" spans="1:85" ht="18" customHeight="1" thickBot="1">
      <c r="A24" s="36" t="s">
        <v>189</v>
      </c>
      <c r="B24" s="404">
        <v>7.9861111111111105E-2</v>
      </c>
      <c r="C24" s="404"/>
      <c r="D24" s="404"/>
      <c r="E24" s="404"/>
      <c r="F24" s="288" t="s">
        <v>820</v>
      </c>
      <c r="G24" s="288"/>
      <c r="H24" s="288"/>
      <c r="I24" s="288"/>
      <c r="J24" s="288"/>
      <c r="K24" s="288"/>
      <c r="L24" s="288"/>
      <c r="M24" s="288"/>
      <c r="N24" s="288"/>
      <c r="O24" s="288"/>
      <c r="P24" s="288"/>
      <c r="Q24" s="288"/>
      <c r="R24" s="288"/>
      <c r="S24" s="288"/>
      <c r="T24" s="288"/>
      <c r="U24" s="288"/>
      <c r="V24" s="288"/>
      <c r="W24" s="288"/>
      <c r="X24" s="288"/>
      <c r="Y24" s="288"/>
      <c r="Z24" s="288"/>
      <c r="AA24" s="288"/>
      <c r="AB24" s="288"/>
      <c r="AC24" s="288"/>
      <c r="AD24" s="288"/>
      <c r="AE24" s="288"/>
      <c r="AF24" s="288"/>
      <c r="AG24" s="288"/>
      <c r="AH24" s="288"/>
      <c r="AI24" s="289"/>
      <c r="AK24" s="527" t="s">
        <v>634</v>
      </c>
      <c r="AL24" s="528"/>
      <c r="AM24" s="528"/>
      <c r="AN24" s="528"/>
      <c r="AO24" s="528"/>
      <c r="AP24" s="528"/>
      <c r="AQ24" s="65"/>
      <c r="AR24" s="43"/>
      <c r="AY24" s="413" t="s">
        <v>635</v>
      </c>
      <c r="AZ24" s="413"/>
      <c r="BA24" s="412"/>
      <c r="BB24" s="412"/>
    </row>
    <row r="25" spans="1:85" ht="18" customHeight="1">
      <c r="A25" s="36" t="s">
        <v>189</v>
      </c>
      <c r="B25" s="404">
        <v>0.29166666666666669</v>
      </c>
      <c r="C25" s="404"/>
      <c r="D25" s="404"/>
      <c r="E25" s="404"/>
      <c r="F25" s="288" t="s">
        <v>689</v>
      </c>
      <c r="G25" s="288"/>
      <c r="H25" s="288"/>
      <c r="I25" s="288"/>
      <c r="J25" s="288"/>
      <c r="K25" s="288"/>
      <c r="L25" s="288"/>
      <c r="M25" s="288"/>
      <c r="N25" s="288"/>
      <c r="O25" s="288"/>
      <c r="P25" s="288"/>
      <c r="Q25" s="288"/>
      <c r="R25" s="288"/>
      <c r="S25" s="288"/>
      <c r="T25" s="288"/>
      <c r="U25" s="288"/>
      <c r="V25" s="288"/>
      <c r="W25" s="288"/>
      <c r="X25" s="288"/>
      <c r="Y25" s="288"/>
      <c r="Z25" s="288"/>
      <c r="AA25" s="288"/>
      <c r="AB25" s="288"/>
      <c r="AC25" s="288"/>
      <c r="AD25" s="288"/>
      <c r="AE25" s="288"/>
      <c r="AF25" s="288"/>
      <c r="AG25" s="288"/>
      <c r="AH25" s="288"/>
      <c r="AI25" s="289"/>
      <c r="AK25" s="529" t="s">
        <v>636</v>
      </c>
      <c r="AL25" s="529"/>
      <c r="AM25" s="529"/>
      <c r="AN25" s="529"/>
      <c r="AO25" s="529"/>
      <c r="AP25" s="529"/>
      <c r="AQ25" s="66"/>
      <c r="AR25" s="43"/>
      <c r="AY25" s="413" t="s">
        <v>637</v>
      </c>
      <c r="AZ25" s="413"/>
      <c r="BA25" s="412"/>
      <c r="BB25" s="412"/>
    </row>
    <row r="26" spans="1:85" ht="18" customHeight="1">
      <c r="A26" s="36"/>
      <c r="B26" s="404"/>
      <c r="C26" s="404"/>
      <c r="D26" s="404"/>
      <c r="E26" s="404"/>
      <c r="F26" s="288"/>
      <c r="G26" s="288"/>
      <c r="H26" s="288"/>
      <c r="I26" s="288"/>
      <c r="J26" s="288"/>
      <c r="K26" s="288"/>
      <c r="L26" s="288"/>
      <c r="M26" s="288"/>
      <c r="N26" s="288"/>
      <c r="O26" s="288"/>
      <c r="P26" s="288"/>
      <c r="Q26" s="288"/>
      <c r="R26" s="288"/>
      <c r="S26" s="288"/>
      <c r="T26" s="288"/>
      <c r="U26" s="288"/>
      <c r="V26" s="288"/>
      <c r="W26" s="288"/>
      <c r="X26" s="288"/>
      <c r="Y26" s="288"/>
      <c r="Z26" s="288"/>
      <c r="AA26" s="288"/>
      <c r="AB26" s="288"/>
      <c r="AC26" s="288"/>
      <c r="AD26" s="288"/>
      <c r="AE26" s="288"/>
      <c r="AF26" s="288"/>
      <c r="AG26" s="288"/>
      <c r="AH26" s="288"/>
      <c r="AI26" s="289"/>
      <c r="AK26" s="436" t="s">
        <v>638</v>
      </c>
      <c r="AL26" s="436"/>
      <c r="AM26" s="436"/>
      <c r="AN26" s="436"/>
      <c r="AO26" s="436"/>
      <c r="AP26" s="436"/>
      <c r="AQ26" s="67"/>
      <c r="AR26" s="43"/>
      <c r="AS26" s="548" t="s">
        <v>639</v>
      </c>
      <c r="AT26" s="549"/>
      <c r="AU26" s="549"/>
      <c r="AV26" s="549"/>
      <c r="AW26" s="550"/>
      <c r="AY26" s="147"/>
      <c r="AZ26" s="147"/>
      <c r="BA26" s="147"/>
      <c r="BB26" s="147"/>
    </row>
    <row r="27" spans="1:85" ht="18" customHeight="1">
      <c r="A27" s="36"/>
      <c r="B27" s="404"/>
      <c r="C27" s="404"/>
      <c r="D27" s="404"/>
      <c r="E27" s="404"/>
      <c r="F27" s="288"/>
      <c r="G27" s="288"/>
      <c r="H27" s="288"/>
      <c r="I27" s="288"/>
      <c r="J27" s="288"/>
      <c r="K27" s="288"/>
      <c r="L27" s="288"/>
      <c r="M27" s="288"/>
      <c r="N27" s="288"/>
      <c r="O27" s="288"/>
      <c r="P27" s="288"/>
      <c r="Q27" s="288"/>
      <c r="R27" s="288"/>
      <c r="S27" s="288"/>
      <c r="T27" s="288"/>
      <c r="U27" s="288"/>
      <c r="V27" s="288"/>
      <c r="W27" s="288"/>
      <c r="X27" s="288"/>
      <c r="Y27" s="288"/>
      <c r="Z27" s="288"/>
      <c r="AA27" s="288"/>
      <c r="AB27" s="288"/>
      <c r="AC27" s="288"/>
      <c r="AD27" s="288"/>
      <c r="AE27" s="288"/>
      <c r="AF27" s="288"/>
      <c r="AG27" s="288"/>
      <c r="AH27" s="288"/>
      <c r="AI27" s="289"/>
      <c r="AK27" s="436" t="s">
        <v>640</v>
      </c>
      <c r="AL27" s="436"/>
      <c r="AM27" s="436"/>
      <c r="AN27" s="436"/>
      <c r="AO27" s="436"/>
      <c r="AP27" s="436"/>
      <c r="AQ27" s="67"/>
      <c r="AR27" s="43"/>
      <c r="AS27" s="458" t="s">
        <v>641</v>
      </c>
      <c r="AT27" s="460"/>
      <c r="AU27" s="458" t="s">
        <v>642</v>
      </c>
      <c r="AV27" s="459"/>
      <c r="AW27" s="460"/>
      <c r="AY27" s="411" t="s">
        <v>643</v>
      </c>
      <c r="AZ27" s="411"/>
      <c r="BA27" s="411"/>
      <c r="BB27" s="411"/>
    </row>
    <row r="28" spans="1:85" ht="18" customHeight="1" thickBot="1">
      <c r="A28" s="36"/>
      <c r="B28" s="404"/>
      <c r="C28" s="404"/>
      <c r="D28" s="404"/>
      <c r="E28" s="404"/>
      <c r="F28" s="288"/>
      <c r="G28" s="288"/>
      <c r="H28" s="288"/>
      <c r="I28" s="288"/>
      <c r="J28" s="288"/>
      <c r="K28" s="288"/>
      <c r="L28" s="288"/>
      <c r="M28" s="288"/>
      <c r="N28" s="288"/>
      <c r="O28" s="288"/>
      <c r="P28" s="288"/>
      <c r="Q28" s="288"/>
      <c r="R28" s="288"/>
      <c r="S28" s="288"/>
      <c r="T28" s="288"/>
      <c r="U28" s="288"/>
      <c r="V28" s="288"/>
      <c r="W28" s="288"/>
      <c r="X28" s="288"/>
      <c r="Y28" s="288"/>
      <c r="Z28" s="288"/>
      <c r="AA28" s="288"/>
      <c r="AB28" s="288"/>
      <c r="AC28" s="288"/>
      <c r="AD28" s="288"/>
      <c r="AE28" s="288"/>
      <c r="AF28" s="288"/>
      <c r="AG28" s="288"/>
      <c r="AH28" s="288"/>
      <c r="AI28" s="289"/>
      <c r="AK28" s="436" t="s">
        <v>644</v>
      </c>
      <c r="AL28" s="436"/>
      <c r="AM28" s="436"/>
      <c r="AN28" s="436"/>
      <c r="AO28" s="436"/>
      <c r="AP28" s="436"/>
      <c r="AQ28" s="67"/>
      <c r="AR28" s="43"/>
      <c r="AS28" s="538" t="s">
        <v>645</v>
      </c>
      <c r="AT28" s="539"/>
      <c r="AU28" s="533" t="s">
        <v>646</v>
      </c>
      <c r="AV28" s="534"/>
      <c r="AW28" s="535"/>
      <c r="AY28" s="413" t="s">
        <v>647</v>
      </c>
      <c r="AZ28" s="413"/>
      <c r="BA28" s="412"/>
      <c r="BB28" s="412"/>
    </row>
    <row r="29" spans="1:85" ht="18" customHeight="1" thickBot="1">
      <c r="A29" s="36"/>
      <c r="B29" s="404"/>
      <c r="C29" s="404"/>
      <c r="D29" s="404"/>
      <c r="E29" s="404"/>
      <c r="F29" s="288"/>
      <c r="G29" s="288"/>
      <c r="H29" s="288"/>
      <c r="I29" s="288"/>
      <c r="J29" s="288"/>
      <c r="K29" s="288"/>
      <c r="L29" s="288"/>
      <c r="M29" s="288"/>
      <c r="N29" s="288"/>
      <c r="O29" s="288"/>
      <c r="P29" s="288"/>
      <c r="Q29" s="288"/>
      <c r="R29" s="288"/>
      <c r="S29" s="288"/>
      <c r="T29" s="288"/>
      <c r="U29" s="288"/>
      <c r="V29" s="288"/>
      <c r="W29" s="288"/>
      <c r="X29" s="288"/>
      <c r="Y29" s="288"/>
      <c r="Z29" s="288"/>
      <c r="AA29" s="288"/>
      <c r="AB29" s="288"/>
      <c r="AC29" s="288"/>
      <c r="AD29" s="288"/>
      <c r="AE29" s="288"/>
      <c r="AF29" s="288"/>
      <c r="AG29" s="288"/>
      <c r="AH29" s="288"/>
      <c r="AI29" s="289"/>
      <c r="AK29" s="524"/>
      <c r="AL29" s="524"/>
      <c r="AM29" s="524"/>
      <c r="AN29" s="524"/>
      <c r="AO29" s="524"/>
      <c r="AP29" s="524"/>
      <c r="AQ29" s="58"/>
      <c r="AR29" s="43"/>
      <c r="AS29" s="551">
        <v>1.2729166666666667</v>
      </c>
      <c r="AT29" s="552"/>
      <c r="AU29" s="434" t="s">
        <v>646</v>
      </c>
      <c r="AV29" s="434"/>
      <c r="AW29" s="553"/>
      <c r="AY29" s="413" t="s">
        <v>633</v>
      </c>
      <c r="AZ29" s="413"/>
      <c r="BA29" s="412"/>
      <c r="BB29" s="412"/>
    </row>
    <row r="30" spans="1:85" ht="18" customHeight="1">
      <c r="A30" s="36"/>
      <c r="B30" s="404"/>
      <c r="C30" s="404"/>
      <c r="D30" s="404"/>
      <c r="E30" s="404"/>
      <c r="F30" s="288"/>
      <c r="G30" s="288"/>
      <c r="H30" s="288"/>
      <c r="I30" s="288"/>
      <c r="J30" s="288"/>
      <c r="K30" s="288"/>
      <c r="L30" s="288"/>
      <c r="M30" s="288"/>
      <c r="N30" s="288"/>
      <c r="O30" s="288"/>
      <c r="P30" s="288"/>
      <c r="Q30" s="288"/>
      <c r="R30" s="288"/>
      <c r="S30" s="288"/>
      <c r="T30" s="288"/>
      <c r="U30" s="288"/>
      <c r="V30" s="288"/>
      <c r="W30" s="288"/>
      <c r="X30" s="288"/>
      <c r="Y30" s="288"/>
      <c r="Z30" s="288"/>
      <c r="AA30" s="288"/>
      <c r="AB30" s="288"/>
      <c r="AC30" s="288"/>
      <c r="AD30" s="288"/>
      <c r="AE30" s="288"/>
      <c r="AF30" s="288"/>
      <c r="AG30" s="288"/>
      <c r="AH30" s="288"/>
      <c r="AI30" s="289"/>
      <c r="AK30" s="449" t="s">
        <v>648</v>
      </c>
      <c r="AL30" s="450"/>
      <c r="AM30" s="450"/>
      <c r="AN30" s="450"/>
      <c r="AO30" s="450"/>
      <c r="AP30" s="450"/>
      <c r="AQ30" s="62"/>
      <c r="AR30" s="43"/>
      <c r="AS30" s="554"/>
      <c r="AT30" s="532"/>
      <c r="AU30" s="439"/>
      <c r="AV30" s="439"/>
      <c r="AW30" s="555"/>
      <c r="AY30" s="413" t="s">
        <v>649</v>
      </c>
      <c r="AZ30" s="413"/>
      <c r="BA30" s="412"/>
      <c r="BB30" s="412"/>
    </row>
    <row r="31" spans="1:85" ht="18" customHeight="1" thickBot="1">
      <c r="A31" s="37"/>
      <c r="B31" s="466"/>
      <c r="C31" s="466"/>
      <c r="D31" s="466"/>
      <c r="E31" s="466"/>
      <c r="F31" s="467"/>
      <c r="G31" s="467"/>
      <c r="H31" s="467"/>
      <c r="I31" s="467"/>
      <c r="J31" s="467"/>
      <c r="K31" s="467"/>
      <c r="L31" s="467"/>
      <c r="M31" s="467"/>
      <c r="N31" s="467"/>
      <c r="O31" s="467"/>
      <c r="P31" s="467"/>
      <c r="Q31" s="467"/>
      <c r="R31" s="467"/>
      <c r="S31" s="467"/>
      <c r="T31" s="467"/>
      <c r="U31" s="467"/>
      <c r="V31" s="467"/>
      <c r="W31" s="467"/>
      <c r="X31" s="467"/>
      <c r="Y31" s="467"/>
      <c r="Z31" s="467"/>
      <c r="AA31" s="467"/>
      <c r="AB31" s="467"/>
      <c r="AC31" s="467"/>
      <c r="AD31" s="467"/>
      <c r="AE31" s="467"/>
      <c r="AF31" s="467"/>
      <c r="AG31" s="467"/>
      <c r="AH31" s="467"/>
      <c r="AI31" s="468"/>
      <c r="AK31" s="451" t="s">
        <v>650</v>
      </c>
      <c r="AL31" s="416"/>
      <c r="AM31" s="416"/>
      <c r="AN31" s="416"/>
      <c r="AO31" s="416"/>
      <c r="AP31" s="416"/>
      <c r="AQ31" s="64"/>
      <c r="AR31" s="48"/>
      <c r="AS31" s="556"/>
      <c r="AT31" s="557"/>
      <c r="AU31" s="424"/>
      <c r="AV31" s="424"/>
      <c r="AW31" s="491"/>
      <c r="AY31" s="413" t="s">
        <v>637</v>
      </c>
      <c r="AZ31" s="413"/>
      <c r="BA31" s="412"/>
      <c r="BB31" s="412"/>
    </row>
    <row r="32" spans="1:85" ht="18" customHeight="1" thickBot="1">
      <c r="A32" s="406" t="s">
        <v>651</v>
      </c>
      <c r="B32" s="407"/>
      <c r="C32" s="407"/>
      <c r="D32" s="407"/>
      <c r="E32" s="407"/>
      <c r="F32" s="407"/>
      <c r="G32" s="407"/>
      <c r="H32" s="407"/>
      <c r="I32" s="407"/>
      <c r="J32" s="407"/>
      <c r="K32" s="407"/>
      <c r="L32" s="407"/>
      <c r="M32" s="407"/>
      <c r="N32" s="407"/>
      <c r="O32" s="407"/>
      <c r="P32" s="407"/>
      <c r="Q32" s="407"/>
      <c r="R32" s="407"/>
      <c r="S32" s="407"/>
      <c r="T32" s="407"/>
      <c r="U32" s="407"/>
      <c r="V32" s="407"/>
      <c r="W32" s="407"/>
      <c r="X32" s="407"/>
      <c r="Y32" s="407"/>
      <c r="Z32" s="407"/>
      <c r="AA32" s="407"/>
      <c r="AB32" s="407"/>
      <c r="AC32" s="407"/>
      <c r="AD32" s="407"/>
      <c r="AE32" s="407"/>
      <c r="AF32" s="407"/>
      <c r="AG32" s="407"/>
      <c r="AH32" s="407"/>
      <c r="AI32" s="408"/>
      <c r="AK32" s="531"/>
      <c r="AL32" s="531"/>
      <c r="AM32" s="531"/>
      <c r="AN32" s="531"/>
      <c r="AO32" s="531"/>
      <c r="AP32" s="531"/>
      <c r="AQ32" s="61"/>
      <c r="AR32" s="48"/>
      <c r="AS32" s="558"/>
      <c r="AT32" s="558"/>
      <c r="AU32" s="559"/>
      <c r="AV32" s="559"/>
      <c r="AW32" s="559"/>
      <c r="AY32" s="413" t="s">
        <v>652</v>
      </c>
      <c r="AZ32" s="413"/>
      <c r="BA32" s="412"/>
      <c r="BB32" s="412"/>
    </row>
    <row r="33" spans="1:80" ht="18" customHeight="1">
      <c r="A33" s="39"/>
      <c r="B33" s="546" t="s">
        <v>653</v>
      </c>
      <c r="C33" s="546"/>
      <c r="D33" s="546"/>
      <c r="E33" s="546"/>
      <c r="F33" s="417" t="str" cm="1">
        <f t="array" ref="F33">_xlfn.TEXTJOIN("/",TRUE,IF(AS29:AS31&lt;&gt;"",TEXT(AS29:AS31,"h:mm")&amp;" "&amp;AU29:AU31,""))</f>
        <v>6:33 45階屋外ストレージ1</v>
      </c>
      <c r="G33" s="418"/>
      <c r="H33" s="418"/>
      <c r="I33" s="418"/>
      <c r="J33" s="418"/>
      <c r="K33" s="418"/>
      <c r="L33" s="418"/>
      <c r="M33" s="418"/>
      <c r="N33" s="418"/>
      <c r="O33" s="418"/>
      <c r="P33" s="418"/>
      <c r="Q33" s="418"/>
      <c r="R33" s="418"/>
      <c r="S33" s="418"/>
      <c r="T33" s="418"/>
      <c r="U33" s="418"/>
      <c r="V33" s="418"/>
      <c r="W33" s="418"/>
      <c r="X33" s="418"/>
      <c r="Y33" s="418"/>
      <c r="Z33" s="418"/>
      <c r="AA33" s="418"/>
      <c r="AB33" s="418"/>
      <c r="AC33" s="418"/>
      <c r="AD33" s="418"/>
      <c r="AE33" s="418"/>
      <c r="AF33" s="418"/>
      <c r="AG33" s="418"/>
      <c r="AH33" s="418"/>
      <c r="AI33" s="419"/>
      <c r="AK33" s="449" t="s">
        <v>654</v>
      </c>
      <c r="AL33" s="450"/>
      <c r="AM33" s="450"/>
      <c r="AN33" s="450"/>
      <c r="AO33" s="450"/>
      <c r="AP33" s="450"/>
      <c r="AQ33" s="60"/>
      <c r="AR33" s="48"/>
      <c r="AS33" s="532"/>
      <c r="AT33" s="532"/>
      <c r="AU33" s="439"/>
      <c r="AV33" s="439"/>
      <c r="AW33" s="439"/>
      <c r="AY33" s="413" t="s">
        <v>655</v>
      </c>
      <c r="AZ33" s="413"/>
      <c r="BA33" s="412"/>
      <c r="BB33" s="412"/>
    </row>
    <row r="34" spans="1:80" ht="18" customHeight="1" thickBot="1">
      <c r="A34" s="39"/>
      <c r="B34" s="546" t="s">
        <v>656</v>
      </c>
      <c r="C34" s="546"/>
      <c r="D34" s="546"/>
      <c r="E34" s="546"/>
      <c r="F34" s="420" t="s">
        <v>79</v>
      </c>
      <c r="G34" s="420"/>
      <c r="H34" s="420"/>
      <c r="I34" s="420"/>
      <c r="J34" s="420"/>
      <c r="K34" s="420"/>
      <c r="L34" s="420"/>
      <c r="M34" s="420"/>
      <c r="N34" s="420"/>
      <c r="O34" s="420"/>
      <c r="P34" s="420"/>
      <c r="Q34" s="420"/>
      <c r="R34" s="420"/>
      <c r="S34" s="420"/>
      <c r="T34" s="420"/>
      <c r="U34" s="420"/>
      <c r="V34" s="420"/>
      <c r="W34" s="420"/>
      <c r="X34" s="420"/>
      <c r="Y34" s="420"/>
      <c r="Z34" s="420"/>
      <c r="AA34" s="420"/>
      <c r="AB34" s="420"/>
      <c r="AC34" s="421"/>
      <c r="AD34" s="421"/>
      <c r="AE34" s="421"/>
      <c r="AF34" s="421"/>
      <c r="AG34" s="421"/>
      <c r="AH34" s="421"/>
      <c r="AI34" s="422"/>
      <c r="AK34" s="451" t="s">
        <v>657</v>
      </c>
      <c r="AL34" s="416"/>
      <c r="AM34" s="416"/>
      <c r="AN34" s="416"/>
      <c r="AO34" s="416"/>
      <c r="AP34" s="416"/>
      <c r="AQ34" s="56"/>
      <c r="AR34" s="48"/>
      <c r="AS34" s="532"/>
      <c r="AT34" s="532"/>
      <c r="AU34" s="439"/>
      <c r="AV34" s="439"/>
      <c r="AW34" s="439"/>
      <c r="AY34" s="413" t="s">
        <v>658</v>
      </c>
      <c r="AZ34" s="413"/>
      <c r="BA34" s="412"/>
      <c r="BB34" s="412"/>
    </row>
    <row r="35" spans="1:80" ht="18" customHeight="1" thickBot="1">
      <c r="A35" s="57"/>
      <c r="B35" s="547" t="s">
        <v>659</v>
      </c>
      <c r="C35" s="547"/>
      <c r="D35" s="547"/>
      <c r="E35" s="547"/>
      <c r="F35" s="389" t="s">
        <v>660</v>
      </c>
      <c r="G35" s="389"/>
      <c r="H35" s="389"/>
      <c r="I35" s="389"/>
      <c r="J35" s="389"/>
      <c r="K35" s="389"/>
      <c r="L35" s="389"/>
      <c r="M35" s="389"/>
      <c r="N35" s="389"/>
      <c r="O35" s="389"/>
      <c r="P35" s="389"/>
      <c r="Q35" s="389"/>
      <c r="R35" s="389"/>
      <c r="S35" s="389"/>
      <c r="T35" s="389"/>
      <c r="U35" s="389"/>
      <c r="V35" s="389"/>
      <c r="W35" s="390" t="s">
        <v>661</v>
      </c>
      <c r="X35" s="391"/>
      <c r="Y35" s="391"/>
      <c r="Z35" s="391"/>
      <c r="AA35" s="391"/>
      <c r="AB35" s="391"/>
      <c r="AC35" s="392" t="s">
        <v>662</v>
      </c>
      <c r="AD35" s="393"/>
      <c r="AE35" s="393"/>
      <c r="AF35" s="393"/>
      <c r="AG35" s="393"/>
      <c r="AH35" s="393"/>
      <c r="AI35" s="394"/>
      <c r="AK35" s="531"/>
      <c r="AL35" s="531"/>
      <c r="AM35" s="531"/>
      <c r="AN35" s="531"/>
      <c r="AO35" s="531"/>
      <c r="AP35" s="531"/>
      <c r="AQ35" s="61"/>
      <c r="AR35" s="48"/>
      <c r="AS35" s="532"/>
      <c r="AT35" s="532"/>
      <c r="AU35" s="439"/>
      <c r="AV35" s="439"/>
      <c r="AW35" s="439"/>
      <c r="AY35" s="413" t="s">
        <v>663</v>
      </c>
      <c r="AZ35" s="413"/>
      <c r="BA35" s="412"/>
      <c r="BB35" s="412"/>
    </row>
    <row r="36" spans="1:80" ht="18" customHeight="1" thickBot="1">
      <c r="A36" s="492" t="s">
        <v>664</v>
      </c>
      <c r="B36" s="493"/>
      <c r="C36" s="493"/>
      <c r="D36" s="493"/>
      <c r="E36" s="493"/>
      <c r="F36" s="498">
        <v>4.1666666666666664E-2</v>
      </c>
      <c r="G36" s="439"/>
      <c r="H36" s="439"/>
      <c r="I36" s="439"/>
      <c r="J36" s="439"/>
      <c r="K36" s="439"/>
      <c r="L36" s="499" t="s">
        <v>665</v>
      </c>
      <c r="M36" s="489"/>
      <c r="N36" s="489"/>
      <c r="O36" s="500"/>
      <c r="P36" s="410" t="s">
        <v>50</v>
      </c>
      <c r="Q36" s="410"/>
      <c r="R36" s="410"/>
      <c r="S36" s="55" t="s">
        <v>666</v>
      </c>
      <c r="T36" s="410" t="s">
        <v>72</v>
      </c>
      <c r="U36" s="410"/>
      <c r="V36" s="530"/>
      <c r="W36" s="489" t="s">
        <v>667</v>
      </c>
      <c r="X36" s="489"/>
      <c r="Y36" s="489"/>
      <c r="Z36" s="489"/>
      <c r="AA36" s="489"/>
      <c r="AB36" s="489"/>
      <c r="AC36" s="490" t="s">
        <v>722</v>
      </c>
      <c r="AD36" s="487"/>
      <c r="AE36" s="487"/>
      <c r="AF36" s="487"/>
      <c r="AG36" s="487"/>
      <c r="AH36" s="487"/>
      <c r="AI36" s="488"/>
      <c r="AK36" s="525" t="s">
        <v>668</v>
      </c>
      <c r="AL36" s="526"/>
      <c r="AM36" s="526"/>
      <c r="AN36" s="526"/>
      <c r="AO36" s="526"/>
      <c r="AP36" s="526"/>
      <c r="AQ36" s="117"/>
      <c r="AR36" s="48"/>
      <c r="AS36" s="532"/>
      <c r="AT36" s="532"/>
      <c r="AU36" s="439"/>
      <c r="AV36" s="439"/>
      <c r="AW36" s="439"/>
      <c r="BH36" s="50"/>
      <c r="BI36" s="51"/>
    </row>
    <row r="37" spans="1:80" ht="18" customHeight="1" thickBot="1">
      <c r="A37" s="494" t="s">
        <v>669</v>
      </c>
      <c r="B37" s="495"/>
      <c r="C37" s="495"/>
      <c r="D37" s="495"/>
      <c r="E37" s="495"/>
      <c r="F37" s="487"/>
      <c r="G37" s="487"/>
      <c r="H37" s="487"/>
      <c r="I37" s="487"/>
      <c r="J37" s="487"/>
      <c r="K37" s="487"/>
      <c r="L37" s="487"/>
      <c r="M37" s="487"/>
      <c r="N37" s="487"/>
      <c r="O37" s="487"/>
      <c r="P37" s="487"/>
      <c r="Q37" s="487"/>
      <c r="R37" s="487"/>
      <c r="S37" s="487"/>
      <c r="T37" s="487"/>
      <c r="U37" s="487"/>
      <c r="V37" s="487"/>
      <c r="W37" s="487"/>
      <c r="X37" s="487"/>
      <c r="Y37" s="487"/>
      <c r="Z37" s="487"/>
      <c r="AA37" s="487"/>
      <c r="AB37" s="487"/>
      <c r="AC37" s="487"/>
      <c r="AD37" s="487"/>
      <c r="AE37" s="487"/>
      <c r="AF37" s="487"/>
      <c r="AG37" s="487"/>
      <c r="AH37" s="487"/>
      <c r="AI37" s="488"/>
      <c r="AK37" s="544" t="s">
        <v>240</v>
      </c>
      <c r="AL37" s="545"/>
      <c r="AM37" s="545"/>
      <c r="AN37" s="545"/>
      <c r="AO37" s="545"/>
      <c r="AP37" s="545"/>
      <c r="AQ37" s="122"/>
      <c r="AR37" s="48"/>
      <c r="AS37" s="532"/>
      <c r="AT37" s="532"/>
      <c r="AU37" s="439"/>
      <c r="AV37" s="439"/>
      <c r="AW37" s="439"/>
      <c r="BH37" s="50"/>
      <c r="BI37" s="51"/>
    </row>
    <row r="38" spans="1:80" ht="18" customHeight="1" thickBot="1">
      <c r="A38" s="496" t="s">
        <v>670</v>
      </c>
      <c r="B38" s="497"/>
      <c r="C38" s="497"/>
      <c r="D38" s="497"/>
      <c r="E38" s="497"/>
      <c r="F38" s="416" t="s">
        <v>667</v>
      </c>
      <c r="G38" s="416"/>
      <c r="H38" s="416"/>
      <c r="I38" s="416"/>
      <c r="J38" s="416"/>
      <c r="K38" s="416"/>
      <c r="L38" s="424" t="s">
        <v>722</v>
      </c>
      <c r="M38" s="424"/>
      <c r="N38" s="424"/>
      <c r="O38" s="424"/>
      <c r="P38" s="416" t="s">
        <v>671</v>
      </c>
      <c r="Q38" s="416"/>
      <c r="R38" s="416"/>
      <c r="S38" s="416"/>
      <c r="T38" s="416"/>
      <c r="U38" s="416"/>
      <c r="V38" s="416"/>
      <c r="W38" s="416" t="s">
        <v>667</v>
      </c>
      <c r="X38" s="416"/>
      <c r="Y38" s="416"/>
      <c r="Z38" s="416"/>
      <c r="AA38" s="416"/>
      <c r="AB38" s="416"/>
      <c r="AC38" s="424" t="s">
        <v>722</v>
      </c>
      <c r="AD38" s="424"/>
      <c r="AE38" s="424"/>
      <c r="AF38" s="424"/>
      <c r="AG38" s="424"/>
      <c r="AH38" s="424"/>
      <c r="AI38" s="491"/>
      <c r="AK38" s="543"/>
      <c r="AL38" s="543"/>
      <c r="AM38" s="543"/>
      <c r="AN38" s="543"/>
      <c r="AO38" s="543"/>
      <c r="AP38" s="543"/>
      <c r="AQ38" s="59"/>
      <c r="AR38" s="48"/>
      <c r="BC38" s="50"/>
      <c r="BD38" s="51"/>
    </row>
    <row r="39" spans="1:80" ht="18" customHeight="1">
      <c r="A39" s="452" t="s">
        <v>672</v>
      </c>
      <c r="B39" s="453"/>
      <c r="C39" s="453"/>
      <c r="D39" s="453"/>
      <c r="E39" s="453"/>
      <c r="F39" s="453"/>
      <c r="G39" s="453"/>
      <c r="H39" s="453"/>
      <c r="I39" s="453"/>
      <c r="J39" s="453"/>
      <c r="K39" s="453"/>
      <c r="L39" s="453"/>
      <c r="M39" s="453"/>
      <c r="N39" s="453"/>
      <c r="O39" s="453"/>
      <c r="P39" s="453"/>
      <c r="Q39" s="453"/>
      <c r="R39" s="453"/>
      <c r="S39" s="453"/>
      <c r="T39" s="453"/>
      <c r="U39" s="453"/>
      <c r="V39" s="453"/>
      <c r="W39" s="453"/>
      <c r="X39" s="453"/>
      <c r="Y39" s="453"/>
      <c r="Z39" s="453"/>
      <c r="AA39" s="453"/>
      <c r="AB39" s="453"/>
      <c r="AC39" s="453"/>
      <c r="AD39" s="453"/>
      <c r="AE39" s="453"/>
      <c r="AF39" s="453"/>
      <c r="AG39" s="453"/>
      <c r="AH39" s="453"/>
      <c r="AI39" s="454"/>
      <c r="AK39" s="444" t="s">
        <v>673</v>
      </c>
      <c r="AL39" s="444"/>
      <c r="AM39" s="444"/>
      <c r="AN39" s="444"/>
      <c r="AO39" s="444"/>
      <c r="AP39" s="444"/>
      <c r="AQ39" s="42"/>
      <c r="AR39" s="48"/>
      <c r="AS39" s="423" t="s">
        <v>526</v>
      </c>
      <c r="AT39" s="423"/>
      <c r="AU39" s="148">
        <v>32</v>
      </c>
      <c r="AV39" s="423" t="s">
        <v>528</v>
      </c>
      <c r="AW39" s="423"/>
      <c r="BC39" s="50"/>
      <c r="BD39" s="51"/>
    </row>
    <row r="40" spans="1:80" ht="18" customHeight="1">
      <c r="A40" s="464" t="s">
        <v>674</v>
      </c>
      <c r="B40" s="459"/>
      <c r="C40" s="459"/>
      <c r="D40" s="459"/>
      <c r="E40" s="470" t="s">
        <v>675</v>
      </c>
      <c r="F40" s="471"/>
      <c r="G40" s="471"/>
      <c r="H40" s="471"/>
      <c r="I40" s="471"/>
      <c r="J40" s="471"/>
      <c r="K40" s="472"/>
      <c r="L40" s="458" t="s">
        <v>676</v>
      </c>
      <c r="M40" s="459"/>
      <c r="N40" s="459"/>
      <c r="O40" s="459"/>
      <c r="P40" s="459"/>
      <c r="Q40" s="459"/>
      <c r="R40" s="460"/>
      <c r="S40" s="458" t="s">
        <v>677</v>
      </c>
      <c r="T40" s="459"/>
      <c r="U40" s="459"/>
      <c r="V40" s="459"/>
      <c r="W40" s="470" t="s">
        <v>675</v>
      </c>
      <c r="X40" s="471"/>
      <c r="Y40" s="471"/>
      <c r="Z40" s="471"/>
      <c r="AA40" s="471"/>
      <c r="AB40" s="471"/>
      <c r="AC40" s="472"/>
      <c r="AD40" s="458" t="s">
        <v>678</v>
      </c>
      <c r="AE40" s="459"/>
      <c r="AF40" s="459"/>
      <c r="AG40" s="459"/>
      <c r="AH40" s="459"/>
      <c r="AI40" s="463"/>
      <c r="AK40" s="444" t="s">
        <v>679</v>
      </c>
      <c r="AL40" s="444"/>
      <c r="AM40" s="444"/>
      <c r="AN40" s="444"/>
      <c r="AO40" s="444"/>
      <c r="AP40" s="444"/>
      <c r="AQ40" s="42"/>
      <c r="AR40" s="48"/>
      <c r="AS40" s="423" t="s">
        <v>527</v>
      </c>
      <c r="AT40" s="423"/>
      <c r="AU40" s="148">
        <v>24</v>
      </c>
      <c r="AV40" s="560">
        <v>0.60199999999999998</v>
      </c>
      <c r="AW40" s="560"/>
      <c r="BC40" s="50"/>
      <c r="BD40" s="51"/>
    </row>
    <row r="41" spans="1:80" ht="18" customHeight="1">
      <c r="A41" s="464" t="s">
        <v>16</v>
      </c>
      <c r="B41" s="459"/>
      <c r="C41" s="459"/>
      <c r="D41" s="459"/>
      <c r="E41" s="469">
        <f>AX10</f>
        <v>0.33333333333333331</v>
      </c>
      <c r="F41" s="456"/>
      <c r="G41" s="456"/>
      <c r="H41" s="144" t="s">
        <v>680</v>
      </c>
      <c r="I41" s="456">
        <f>AY10</f>
        <v>0.83333333333333337</v>
      </c>
      <c r="J41" s="456"/>
      <c r="K41" s="457"/>
      <c r="L41" s="458" t="str">
        <f>AU10</f>
        <v>三角龍彦</v>
      </c>
      <c r="M41" s="459"/>
      <c r="N41" s="459"/>
      <c r="O41" s="459"/>
      <c r="P41" s="459"/>
      <c r="Q41" s="459"/>
      <c r="R41" s="460"/>
      <c r="S41" s="409" t="s">
        <v>31</v>
      </c>
      <c r="T41" s="410"/>
      <c r="U41" s="410"/>
      <c r="V41" s="410"/>
      <c r="W41" s="414">
        <v>0.39583333333333331</v>
      </c>
      <c r="X41" s="415"/>
      <c r="Y41" s="415"/>
      <c r="Z41" s="40" t="s">
        <v>680</v>
      </c>
      <c r="AA41" s="415">
        <v>0.77083333333333337</v>
      </c>
      <c r="AB41" s="415"/>
      <c r="AC41" s="461"/>
      <c r="AD41" s="409" t="str">
        <f>AU14</f>
        <v>藤井隆幸</v>
      </c>
      <c r="AE41" s="410"/>
      <c r="AF41" s="410"/>
      <c r="AG41" s="410"/>
      <c r="AH41" s="410"/>
      <c r="AI41" s="462"/>
      <c r="AK41" s="444" t="s">
        <v>681</v>
      </c>
      <c r="AL41" s="444"/>
      <c r="AM41" s="444"/>
      <c r="AN41" s="444"/>
      <c r="AO41" s="444"/>
      <c r="AP41" s="444"/>
      <c r="AQ41" s="42"/>
      <c r="AR41" s="48"/>
      <c r="BC41" s="50"/>
      <c r="BD41" s="51"/>
    </row>
    <row r="42" spans="1:80" ht="18" customHeight="1">
      <c r="A42" s="464" t="s">
        <v>24</v>
      </c>
      <c r="B42" s="459"/>
      <c r="C42" s="459"/>
      <c r="D42" s="459"/>
      <c r="E42" s="469">
        <f>AX13</f>
        <v>0.33333333333333331</v>
      </c>
      <c r="F42" s="456"/>
      <c r="G42" s="456"/>
      <c r="H42" s="144" t="s">
        <v>680</v>
      </c>
      <c r="I42" s="456">
        <f>AY12</f>
        <v>0.83333333333333337</v>
      </c>
      <c r="J42" s="456"/>
      <c r="K42" s="457"/>
      <c r="L42" s="458" t="str">
        <f>AU13</f>
        <v>木村重明</v>
      </c>
      <c r="M42" s="459"/>
      <c r="N42" s="459"/>
      <c r="O42" s="459"/>
      <c r="P42" s="459"/>
      <c r="Q42" s="459"/>
      <c r="R42" s="460"/>
      <c r="S42" s="409"/>
      <c r="T42" s="410"/>
      <c r="U42" s="410"/>
      <c r="V42" s="410"/>
      <c r="W42" s="414"/>
      <c r="X42" s="415"/>
      <c r="Y42" s="415"/>
      <c r="Z42" s="136"/>
      <c r="AA42" s="415"/>
      <c r="AB42" s="415"/>
      <c r="AC42" s="461"/>
      <c r="AD42" s="409">
        <f>AU15</f>
        <v>0</v>
      </c>
      <c r="AE42" s="410"/>
      <c r="AF42" s="410"/>
      <c r="AG42" s="410"/>
      <c r="AH42" s="410"/>
      <c r="AI42" s="462"/>
      <c r="AK42" s="445" t="s">
        <v>682</v>
      </c>
      <c r="AL42" s="445"/>
      <c r="AM42" s="445"/>
      <c r="AN42" s="445"/>
      <c r="AO42" s="445"/>
      <c r="AP42" s="445"/>
      <c r="AQ42" s="42"/>
      <c r="AR42" s="48"/>
      <c r="AS42" s="561" t="s">
        <v>683</v>
      </c>
      <c r="AT42" s="561"/>
      <c r="AU42" s="561"/>
      <c r="AV42" s="561"/>
      <c r="AW42" s="561"/>
      <c r="BC42" s="50"/>
      <c r="BD42" s="51"/>
    </row>
    <row r="43" spans="1:80" ht="18" customHeight="1">
      <c r="A43" s="464" t="s">
        <v>38</v>
      </c>
      <c r="B43" s="459"/>
      <c r="C43" s="459"/>
      <c r="D43" s="459"/>
      <c r="E43" s="469">
        <f>AX16</f>
        <v>0.83333333333333337</v>
      </c>
      <c r="F43" s="456"/>
      <c r="G43" s="456"/>
      <c r="H43" s="144" t="s">
        <v>680</v>
      </c>
      <c r="I43" s="456" t="str">
        <f>AY16</f>
        <v>翌8:00</v>
      </c>
      <c r="J43" s="456"/>
      <c r="K43" s="457"/>
      <c r="L43" s="458" t="str">
        <f>AU16</f>
        <v>片山薫</v>
      </c>
      <c r="M43" s="459"/>
      <c r="N43" s="459"/>
      <c r="O43" s="459"/>
      <c r="P43" s="459"/>
      <c r="Q43" s="459"/>
      <c r="R43" s="460"/>
      <c r="S43" s="409"/>
      <c r="T43" s="410"/>
      <c r="U43" s="410"/>
      <c r="V43" s="410"/>
      <c r="W43" s="414"/>
      <c r="X43" s="415"/>
      <c r="Y43" s="415"/>
      <c r="Z43" s="136"/>
      <c r="AA43" s="415"/>
      <c r="AB43" s="415"/>
      <c r="AC43" s="461"/>
      <c r="AD43" s="486">
        <f>AU18</f>
        <v>0</v>
      </c>
      <c r="AE43" s="410"/>
      <c r="AF43" s="410"/>
      <c r="AG43" s="410"/>
      <c r="AH43" s="410"/>
      <c r="AI43" s="462"/>
      <c r="AK43" s="444" t="s">
        <v>684</v>
      </c>
      <c r="AL43" s="444"/>
      <c r="AM43" s="444"/>
      <c r="AN43" s="444"/>
      <c r="AO43" s="444"/>
      <c r="AP43" s="444"/>
      <c r="AQ43" s="42"/>
      <c r="AR43" s="43"/>
      <c r="AW43"/>
      <c r="AX43"/>
      <c r="AY43"/>
      <c r="AZ43"/>
      <c r="BA43"/>
      <c r="BB43"/>
      <c r="BC43" s="50"/>
      <c r="BD43" s="51"/>
      <c r="BE43"/>
      <c r="BF43"/>
      <c r="BG43"/>
      <c r="BH43"/>
      <c r="BI43"/>
      <c r="BJ43"/>
      <c r="BK43"/>
      <c r="BL43"/>
      <c r="BM43"/>
      <c r="BN43"/>
      <c r="BO43"/>
      <c r="BP43"/>
      <c r="BQ43"/>
      <c r="BR43"/>
      <c r="BS43"/>
      <c r="BT43"/>
      <c r="BU43"/>
      <c r="BV43"/>
      <c r="BW43"/>
      <c r="BX43"/>
      <c r="BY43"/>
      <c r="BZ43"/>
      <c r="CA43"/>
      <c r="CB43"/>
    </row>
    <row r="44" spans="1:80" ht="18" customHeight="1" thickBot="1">
      <c r="A44" s="473" t="s">
        <v>45</v>
      </c>
      <c r="B44" s="474"/>
      <c r="C44" s="474"/>
      <c r="D44" s="474"/>
      <c r="E44" s="475">
        <f>AX17</f>
        <v>0.83333333333333337</v>
      </c>
      <c r="F44" s="476"/>
      <c r="G44" s="476"/>
      <c r="H44" s="145" t="s">
        <v>680</v>
      </c>
      <c r="I44" s="476" t="str">
        <f>AY17</f>
        <v>翌8:00</v>
      </c>
      <c r="J44" s="476"/>
      <c r="K44" s="477"/>
      <c r="L44" s="478" t="str">
        <f>AU17</f>
        <v>末廣信行</v>
      </c>
      <c r="M44" s="478"/>
      <c r="N44" s="478"/>
      <c r="O44" s="478"/>
      <c r="P44" s="478"/>
      <c r="Q44" s="478"/>
      <c r="R44" s="478"/>
      <c r="S44" s="479"/>
      <c r="T44" s="480"/>
      <c r="U44" s="480"/>
      <c r="V44" s="480"/>
      <c r="W44" s="481"/>
      <c r="X44" s="482"/>
      <c r="Y44" s="482"/>
      <c r="Z44" s="137"/>
      <c r="AA44" s="482"/>
      <c r="AB44" s="482"/>
      <c r="AC44" s="483"/>
      <c r="AD44" s="484">
        <f>AU19</f>
        <v>0</v>
      </c>
      <c r="AE44" s="480"/>
      <c r="AF44" s="480"/>
      <c r="AG44" s="480"/>
      <c r="AH44" s="480"/>
      <c r="AI44" s="485"/>
      <c r="AK44" s="446" t="s">
        <v>685</v>
      </c>
      <c r="AL44" s="446"/>
      <c r="AM44" s="446"/>
      <c r="AN44" s="446"/>
      <c r="AO44" s="446"/>
      <c r="AP44" s="446"/>
      <c r="AQ44" s="42"/>
      <c r="AR44" s="43"/>
      <c r="BC44" s="50"/>
      <c r="BD44" s="51"/>
    </row>
    <row r="45" spans="1:80" ht="18" customHeight="1" thickBot="1">
      <c r="A45" s="27"/>
      <c r="B45" s="27"/>
      <c r="C45" s="27"/>
      <c r="D45" s="27"/>
      <c r="E45" s="27"/>
      <c r="F45" s="27"/>
      <c r="G45" s="27"/>
      <c r="H45" s="27"/>
      <c r="I45" s="27"/>
      <c r="R45" s="307">
        <f>A7</f>
        <v>46184</v>
      </c>
      <c r="S45" s="308"/>
      <c r="T45" s="308"/>
      <c r="U45" s="308"/>
      <c r="V45" s="23" t="s">
        <v>169</v>
      </c>
      <c r="W45" s="309">
        <f>G7</f>
        <v>46184</v>
      </c>
      <c r="X45" s="308"/>
      <c r="Y45" s="23" t="s">
        <v>170</v>
      </c>
      <c r="Z45" s="310">
        <f>K7</f>
        <v>46184</v>
      </c>
      <c r="AA45" s="308"/>
      <c r="AB45" s="23" t="s">
        <v>3</v>
      </c>
      <c r="AC45" s="455">
        <f>O7</f>
        <v>46184</v>
      </c>
      <c r="AD45" s="308"/>
      <c r="AE45" s="308" t="s">
        <v>292</v>
      </c>
      <c r="AF45" s="308"/>
      <c r="AK45" s="425" t="s">
        <v>686</v>
      </c>
      <c r="AL45" s="425"/>
      <c r="AM45" s="425"/>
      <c r="AN45" s="425"/>
      <c r="AO45" s="425"/>
      <c r="AP45" s="425"/>
      <c r="AQ45" s="42"/>
      <c r="AR45" s="43"/>
      <c r="BC45" s="50"/>
      <c r="BD45" s="51"/>
    </row>
    <row r="46" spans="1:80" customFormat="1" ht="18" customHeight="1">
      <c r="A46" s="452" t="s">
        <v>598</v>
      </c>
      <c r="B46" s="453"/>
      <c r="C46" s="453"/>
      <c r="D46" s="453"/>
      <c r="E46" s="453"/>
      <c r="F46" s="453"/>
      <c r="G46" s="453"/>
      <c r="H46" s="453"/>
      <c r="I46" s="453"/>
      <c r="J46" s="453"/>
      <c r="K46" s="453"/>
      <c r="L46" s="453"/>
      <c r="M46" s="453"/>
      <c r="N46" s="453"/>
      <c r="O46" s="453"/>
      <c r="P46" s="453"/>
      <c r="Q46" s="453"/>
      <c r="R46" s="453"/>
      <c r="S46" s="453"/>
      <c r="T46" s="453"/>
      <c r="U46" s="453"/>
      <c r="V46" s="453"/>
      <c r="W46" s="453"/>
      <c r="X46" s="453"/>
      <c r="Y46" s="453"/>
      <c r="Z46" s="453"/>
      <c r="AA46" s="453"/>
      <c r="AB46" s="453"/>
      <c r="AC46" s="453"/>
      <c r="AD46" s="453"/>
      <c r="AE46" s="453"/>
      <c r="AF46" s="453"/>
      <c r="AG46" s="453"/>
      <c r="AH46" s="453"/>
      <c r="AI46" s="454"/>
      <c r="AK46" s="425" t="s">
        <v>687</v>
      </c>
      <c r="AL46" s="425"/>
      <c r="AM46" s="425"/>
      <c r="AN46" s="425"/>
      <c r="AO46" s="425"/>
      <c r="AP46" s="425"/>
      <c r="AQ46" s="42"/>
      <c r="AR46" s="43"/>
      <c r="AW46" s="23"/>
      <c r="AX46" s="23"/>
      <c r="AY46" s="23"/>
      <c r="AZ46" s="23"/>
      <c r="BA46" s="23"/>
      <c r="BB46" s="23"/>
      <c r="BC46" s="50"/>
      <c r="BD46" s="51"/>
      <c r="BE46" s="23"/>
      <c r="BF46" s="23"/>
      <c r="BG46" s="23"/>
      <c r="BH46" s="23"/>
      <c r="BI46" s="23"/>
      <c r="BJ46" s="23"/>
      <c r="BK46" s="23"/>
      <c r="BL46" s="23"/>
      <c r="BM46" s="23"/>
      <c r="BN46" s="23"/>
      <c r="BO46" s="23"/>
      <c r="BP46" s="23"/>
      <c r="BQ46" s="23"/>
      <c r="BR46" s="23"/>
      <c r="BS46" s="23"/>
      <c r="BT46" s="23"/>
      <c r="BU46" s="23"/>
      <c r="BV46" s="23"/>
      <c r="BW46" s="23"/>
      <c r="BX46" s="23"/>
      <c r="BY46" s="23"/>
      <c r="BZ46" s="23"/>
      <c r="CA46" s="23"/>
      <c r="CB46" s="23"/>
    </row>
    <row r="47" spans="1:80" ht="18" customHeight="1">
      <c r="A47" s="36"/>
      <c r="B47" s="404"/>
      <c r="C47" s="404"/>
      <c r="D47" s="404"/>
      <c r="E47" s="404"/>
      <c r="F47" s="288"/>
      <c r="G47" s="288"/>
      <c r="H47" s="288"/>
      <c r="I47" s="288"/>
      <c r="J47" s="288"/>
      <c r="K47" s="288"/>
      <c r="L47" s="288"/>
      <c r="M47" s="288"/>
      <c r="N47" s="288"/>
      <c r="O47" s="288"/>
      <c r="P47" s="288"/>
      <c r="Q47" s="288"/>
      <c r="R47" s="288"/>
      <c r="S47" s="288"/>
      <c r="T47" s="288"/>
      <c r="U47" s="288"/>
      <c r="V47" s="288"/>
      <c r="W47" s="288"/>
      <c r="X47" s="288"/>
      <c r="Y47" s="288"/>
      <c r="Z47" s="288"/>
      <c r="AA47" s="288"/>
      <c r="AB47" s="288"/>
      <c r="AC47" s="288"/>
      <c r="AD47" s="288"/>
      <c r="AE47" s="288"/>
      <c r="AF47" s="288"/>
      <c r="AG47" s="288"/>
      <c r="AH47" s="288"/>
      <c r="AI47" s="289"/>
      <c r="AK47" s="425" t="s">
        <v>688</v>
      </c>
      <c r="AL47" s="425"/>
      <c r="AM47" s="425"/>
      <c r="AN47" s="425"/>
      <c r="AO47" s="425"/>
      <c r="AP47" s="425"/>
      <c r="AQ47" s="42"/>
      <c r="AR47" s="43"/>
      <c r="AS47" s="120" t="s">
        <v>189</v>
      </c>
      <c r="AT47" s="43" t="s">
        <v>689</v>
      </c>
      <c r="AU47" s="43"/>
      <c r="BC47" s="50"/>
      <c r="BD47" s="51"/>
    </row>
    <row r="48" spans="1:80" ht="18" customHeight="1">
      <c r="A48" s="36"/>
      <c r="B48" s="404"/>
      <c r="C48" s="404"/>
      <c r="D48" s="404"/>
      <c r="E48" s="404"/>
      <c r="F48" s="288"/>
      <c r="G48" s="288"/>
      <c r="H48" s="288"/>
      <c r="I48" s="288"/>
      <c r="J48" s="288"/>
      <c r="K48" s="288"/>
      <c r="L48" s="288"/>
      <c r="M48" s="288"/>
      <c r="N48" s="288"/>
      <c r="O48" s="288"/>
      <c r="P48" s="288"/>
      <c r="Q48" s="288"/>
      <c r="R48" s="288"/>
      <c r="S48" s="288"/>
      <c r="T48" s="288"/>
      <c r="U48" s="288"/>
      <c r="V48" s="288"/>
      <c r="W48" s="288"/>
      <c r="X48" s="288"/>
      <c r="Y48" s="288"/>
      <c r="Z48" s="288"/>
      <c r="AA48" s="288"/>
      <c r="AB48" s="288"/>
      <c r="AC48" s="288"/>
      <c r="AD48" s="288"/>
      <c r="AE48" s="288"/>
      <c r="AF48" s="288"/>
      <c r="AG48" s="288"/>
      <c r="AH48" s="288"/>
      <c r="AI48" s="289"/>
      <c r="AK48" s="425" t="s">
        <v>690</v>
      </c>
      <c r="AL48" s="425"/>
      <c r="AM48" s="425"/>
      <c r="AN48" s="425"/>
      <c r="AO48" s="425"/>
      <c r="AP48" s="425"/>
      <c r="AQ48" s="42"/>
      <c r="AR48" s="43"/>
      <c r="AS48" s="43"/>
      <c r="AT48" s="43"/>
      <c r="AU48" s="43"/>
      <c r="BC48" s="50"/>
      <c r="BD48" s="51"/>
    </row>
    <row r="49" spans="1:61" ht="18" customHeight="1">
      <c r="A49" s="36"/>
      <c r="B49" s="404"/>
      <c r="C49" s="404"/>
      <c r="D49" s="404"/>
      <c r="E49" s="404"/>
      <c r="F49" s="288"/>
      <c r="G49" s="288"/>
      <c r="H49" s="288"/>
      <c r="I49" s="288"/>
      <c r="J49" s="288"/>
      <c r="K49" s="288"/>
      <c r="L49" s="288"/>
      <c r="M49" s="288"/>
      <c r="N49" s="288"/>
      <c r="O49" s="288"/>
      <c r="P49" s="288"/>
      <c r="Q49" s="288"/>
      <c r="R49" s="288"/>
      <c r="S49" s="288"/>
      <c r="T49" s="288"/>
      <c r="U49" s="288"/>
      <c r="V49" s="288"/>
      <c r="W49" s="288"/>
      <c r="X49" s="288"/>
      <c r="Y49" s="288"/>
      <c r="Z49" s="288"/>
      <c r="AA49" s="288"/>
      <c r="AB49" s="288"/>
      <c r="AC49" s="288"/>
      <c r="AD49" s="288"/>
      <c r="AE49" s="288"/>
      <c r="AF49" s="288"/>
      <c r="AG49" s="288"/>
      <c r="AH49" s="288"/>
      <c r="AI49" s="289"/>
      <c r="AK49" s="425" t="s">
        <v>691</v>
      </c>
      <c r="AL49" s="425"/>
      <c r="AM49" s="425"/>
      <c r="AN49" s="425"/>
      <c r="AO49" s="425"/>
      <c r="AP49" s="425"/>
      <c r="AQ49" s="42"/>
      <c r="AR49" s="43"/>
      <c r="AS49" s="43"/>
      <c r="AT49" s="43"/>
      <c r="AU49" s="43"/>
      <c r="BC49" s="50"/>
      <c r="BD49" s="51"/>
    </row>
    <row r="50" spans="1:61" ht="18" customHeight="1">
      <c r="A50" s="36"/>
      <c r="B50" s="404"/>
      <c r="C50" s="404"/>
      <c r="D50" s="404"/>
      <c r="E50" s="404"/>
      <c r="F50" s="288"/>
      <c r="G50" s="288"/>
      <c r="H50" s="288"/>
      <c r="I50" s="288"/>
      <c r="J50" s="288"/>
      <c r="K50" s="288"/>
      <c r="L50" s="288"/>
      <c r="M50" s="288"/>
      <c r="N50" s="288"/>
      <c r="O50" s="288"/>
      <c r="P50" s="288"/>
      <c r="Q50" s="288"/>
      <c r="R50" s="288"/>
      <c r="S50" s="288"/>
      <c r="T50" s="288"/>
      <c r="U50" s="288"/>
      <c r="V50" s="288"/>
      <c r="W50" s="288"/>
      <c r="X50" s="288"/>
      <c r="Y50" s="288"/>
      <c r="Z50" s="288"/>
      <c r="AA50" s="288"/>
      <c r="AB50" s="288"/>
      <c r="AC50" s="288"/>
      <c r="AD50" s="288"/>
      <c r="AE50" s="288"/>
      <c r="AF50" s="288"/>
      <c r="AG50" s="288"/>
      <c r="AH50" s="288"/>
      <c r="AI50" s="289"/>
      <c r="AK50" s="425" t="s">
        <v>692</v>
      </c>
      <c r="AL50" s="425"/>
      <c r="AM50" s="425"/>
      <c r="AN50" s="425"/>
      <c r="AO50" s="425"/>
      <c r="AP50" s="425"/>
      <c r="AQ50" s="42"/>
      <c r="AR50" s="43"/>
      <c r="AS50" s="43"/>
      <c r="AT50" s="43"/>
      <c r="AU50" s="43"/>
      <c r="BC50" s="50"/>
      <c r="BD50" s="51"/>
    </row>
    <row r="51" spans="1:61" ht="18" customHeight="1">
      <c r="A51" s="36"/>
      <c r="B51" s="404"/>
      <c r="C51" s="404"/>
      <c r="D51" s="404"/>
      <c r="E51" s="404"/>
      <c r="F51" s="288"/>
      <c r="G51" s="288"/>
      <c r="H51" s="288"/>
      <c r="I51" s="288"/>
      <c r="J51" s="288"/>
      <c r="K51" s="288"/>
      <c r="L51" s="288"/>
      <c r="M51" s="288"/>
      <c r="N51" s="288"/>
      <c r="O51" s="288"/>
      <c r="P51" s="288"/>
      <c r="Q51" s="288"/>
      <c r="R51" s="288"/>
      <c r="S51" s="288"/>
      <c r="T51" s="288"/>
      <c r="U51" s="288"/>
      <c r="V51" s="288"/>
      <c r="W51" s="288"/>
      <c r="X51" s="288"/>
      <c r="Y51" s="288"/>
      <c r="Z51" s="288"/>
      <c r="AA51" s="288"/>
      <c r="AB51" s="288"/>
      <c r="AC51" s="288"/>
      <c r="AD51" s="288"/>
      <c r="AE51" s="288"/>
      <c r="AF51" s="288"/>
      <c r="AG51" s="288"/>
      <c r="AH51" s="288"/>
      <c r="AI51" s="289"/>
      <c r="AK51" s="425" t="s">
        <v>693</v>
      </c>
      <c r="AL51" s="425"/>
      <c r="AM51" s="425"/>
      <c r="AN51" s="425"/>
      <c r="AO51" s="425"/>
      <c r="AP51" s="425"/>
      <c r="AQ51" s="42"/>
      <c r="AR51" s="43"/>
      <c r="AS51" s="43"/>
      <c r="AT51" s="43"/>
      <c r="AU51" s="43"/>
      <c r="BC51" s="50"/>
      <c r="BD51" s="51"/>
    </row>
    <row r="52" spans="1:61" ht="18" customHeight="1">
      <c r="A52" s="36"/>
      <c r="B52" s="404"/>
      <c r="C52" s="404"/>
      <c r="D52" s="404"/>
      <c r="E52" s="404"/>
      <c r="F52" s="288"/>
      <c r="G52" s="288"/>
      <c r="H52" s="288"/>
      <c r="I52" s="288"/>
      <c r="J52" s="288"/>
      <c r="K52" s="288"/>
      <c r="L52" s="288"/>
      <c r="M52" s="288"/>
      <c r="N52" s="288"/>
      <c r="O52" s="288"/>
      <c r="P52" s="288"/>
      <c r="Q52" s="288"/>
      <c r="R52" s="288"/>
      <c r="S52" s="288"/>
      <c r="T52" s="288"/>
      <c r="U52" s="288"/>
      <c r="V52" s="288"/>
      <c r="W52" s="288"/>
      <c r="X52" s="288"/>
      <c r="Y52" s="288"/>
      <c r="Z52" s="288"/>
      <c r="AA52" s="288"/>
      <c r="AB52" s="288"/>
      <c r="AC52" s="288"/>
      <c r="AD52" s="288"/>
      <c r="AE52" s="288"/>
      <c r="AF52" s="288"/>
      <c r="AG52" s="288"/>
      <c r="AH52" s="288"/>
      <c r="AI52" s="289"/>
      <c r="AK52" s="425" t="s">
        <v>694</v>
      </c>
      <c r="AL52" s="425"/>
      <c r="AM52" s="425"/>
      <c r="AN52" s="425"/>
      <c r="AO52" s="425"/>
      <c r="AP52" s="425"/>
      <c r="AQ52" s="42"/>
      <c r="AR52" s="43"/>
      <c r="AS52" s="43"/>
      <c r="AV52" s="43"/>
      <c r="AW52" s="43"/>
      <c r="AX52" s="43"/>
      <c r="AY52" s="43"/>
      <c r="AZ52" s="43"/>
      <c r="BA52" s="43"/>
      <c r="BH52" s="52"/>
      <c r="BI52" s="51"/>
    </row>
    <row r="53" spans="1:61" ht="18" customHeight="1">
      <c r="A53" s="36"/>
      <c r="B53" s="404"/>
      <c r="C53" s="404"/>
      <c r="D53" s="404"/>
      <c r="E53" s="404"/>
      <c r="F53" s="288"/>
      <c r="G53" s="288"/>
      <c r="H53" s="288"/>
      <c r="I53" s="288"/>
      <c r="J53" s="288"/>
      <c r="K53" s="288"/>
      <c r="L53" s="288"/>
      <c r="M53" s="288"/>
      <c r="N53" s="288"/>
      <c r="O53" s="288"/>
      <c r="P53" s="288"/>
      <c r="Q53" s="288"/>
      <c r="R53" s="288"/>
      <c r="S53" s="288"/>
      <c r="T53" s="288"/>
      <c r="U53" s="288"/>
      <c r="V53" s="288"/>
      <c r="W53" s="288"/>
      <c r="X53" s="288"/>
      <c r="Y53" s="288"/>
      <c r="Z53" s="288"/>
      <c r="AA53" s="288"/>
      <c r="AB53" s="288"/>
      <c r="AC53" s="288"/>
      <c r="AD53" s="288"/>
      <c r="AE53" s="288"/>
      <c r="AF53" s="288"/>
      <c r="AG53" s="288"/>
      <c r="AH53" s="288"/>
      <c r="AI53" s="289"/>
      <c r="AK53" s="425" t="s">
        <v>695</v>
      </c>
      <c r="AL53" s="425"/>
      <c r="AM53" s="425"/>
      <c r="AN53" s="425"/>
      <c r="AO53" s="425"/>
      <c r="AP53" s="425"/>
      <c r="AQ53" s="42"/>
      <c r="AR53" s="43"/>
      <c r="AS53" s="43"/>
      <c r="AT53" s="43"/>
      <c r="AU53" s="43"/>
      <c r="AV53" s="43"/>
      <c r="AW53" s="43"/>
      <c r="AX53" s="43"/>
      <c r="AY53" s="43"/>
      <c r="AZ53" s="43"/>
      <c r="BH53" s="50"/>
      <c r="BI53" s="51"/>
    </row>
    <row r="54" spans="1:61" ht="18" customHeight="1">
      <c r="A54" s="36"/>
      <c r="B54" s="404"/>
      <c r="C54" s="404"/>
      <c r="D54" s="404"/>
      <c r="E54" s="404"/>
      <c r="F54" s="288"/>
      <c r="G54" s="288"/>
      <c r="H54" s="288"/>
      <c r="I54" s="288"/>
      <c r="J54" s="288"/>
      <c r="K54" s="288"/>
      <c r="L54" s="288"/>
      <c r="M54" s="288"/>
      <c r="N54" s="288"/>
      <c r="O54" s="288"/>
      <c r="P54" s="288"/>
      <c r="Q54" s="288"/>
      <c r="R54" s="288"/>
      <c r="S54" s="288"/>
      <c r="T54" s="288"/>
      <c r="U54" s="288"/>
      <c r="V54" s="288"/>
      <c r="W54" s="288"/>
      <c r="X54" s="288"/>
      <c r="Y54" s="288"/>
      <c r="Z54" s="288"/>
      <c r="AA54" s="288"/>
      <c r="AB54" s="288"/>
      <c r="AC54" s="288"/>
      <c r="AD54" s="288"/>
      <c r="AE54" s="288"/>
      <c r="AF54" s="288"/>
      <c r="AG54" s="288"/>
      <c r="AH54" s="288"/>
      <c r="AI54" s="289"/>
      <c r="AK54" s="425" t="s">
        <v>696</v>
      </c>
      <c r="AL54" s="425"/>
      <c r="AM54" s="425"/>
      <c r="AN54" s="425"/>
      <c r="AO54" s="425"/>
      <c r="AP54" s="425"/>
      <c r="AQ54" s="42"/>
      <c r="AR54" s="43"/>
      <c r="AS54" s="43"/>
      <c r="AT54" s="43"/>
      <c r="AU54" s="43"/>
      <c r="AV54" s="43"/>
      <c r="AW54" s="43"/>
      <c r="AX54" s="43"/>
      <c r="AY54" s="43"/>
      <c r="AZ54" s="43"/>
      <c r="BH54" s="50"/>
      <c r="BI54" s="51"/>
    </row>
    <row r="55" spans="1:61" ht="18" customHeight="1">
      <c r="A55" s="36"/>
      <c r="B55" s="404"/>
      <c r="C55" s="404"/>
      <c r="D55" s="404"/>
      <c r="E55" s="404"/>
      <c r="F55" s="288"/>
      <c r="G55" s="288"/>
      <c r="H55" s="288"/>
      <c r="I55" s="288"/>
      <c r="J55" s="288"/>
      <c r="K55" s="288"/>
      <c r="L55" s="288"/>
      <c r="M55" s="288"/>
      <c r="N55" s="288"/>
      <c r="O55" s="288"/>
      <c r="P55" s="288"/>
      <c r="Q55" s="288"/>
      <c r="R55" s="288"/>
      <c r="S55" s="288"/>
      <c r="T55" s="288"/>
      <c r="U55" s="288"/>
      <c r="V55" s="288"/>
      <c r="W55" s="288"/>
      <c r="X55" s="288"/>
      <c r="Y55" s="288"/>
      <c r="Z55" s="288"/>
      <c r="AA55" s="288"/>
      <c r="AB55" s="288"/>
      <c r="AC55" s="288"/>
      <c r="AD55" s="288"/>
      <c r="AE55" s="288"/>
      <c r="AF55" s="288"/>
      <c r="AG55" s="288"/>
      <c r="AH55" s="288"/>
      <c r="AI55" s="289"/>
      <c r="AK55" s="425" t="s">
        <v>697</v>
      </c>
      <c r="AL55" s="425"/>
      <c r="AM55" s="425"/>
      <c r="AN55" s="425"/>
      <c r="AO55" s="425"/>
      <c r="AP55" s="425"/>
      <c r="AQ55" s="42"/>
      <c r="AR55" s="43"/>
      <c r="AS55" s="43"/>
      <c r="AT55" s="43"/>
      <c r="AU55" s="43"/>
      <c r="AV55" s="43"/>
      <c r="AW55" s="43"/>
      <c r="AX55" s="43"/>
      <c r="AY55" s="43"/>
      <c r="AZ55" s="43"/>
      <c r="BH55" s="50"/>
      <c r="BI55" s="51"/>
    </row>
    <row r="56" spans="1:61" ht="18" customHeight="1">
      <c r="A56" s="36"/>
      <c r="B56" s="404"/>
      <c r="C56" s="404"/>
      <c r="D56" s="404"/>
      <c r="E56" s="404"/>
      <c r="F56" s="288"/>
      <c r="G56" s="288"/>
      <c r="H56" s="288"/>
      <c r="I56" s="288"/>
      <c r="J56" s="288"/>
      <c r="K56" s="288"/>
      <c r="L56" s="288"/>
      <c r="M56" s="288"/>
      <c r="N56" s="288"/>
      <c r="O56" s="288"/>
      <c r="P56" s="288"/>
      <c r="Q56" s="288"/>
      <c r="R56" s="288"/>
      <c r="S56" s="288"/>
      <c r="T56" s="288"/>
      <c r="U56" s="288"/>
      <c r="V56" s="288"/>
      <c r="W56" s="288"/>
      <c r="X56" s="288"/>
      <c r="Y56" s="288"/>
      <c r="Z56" s="288"/>
      <c r="AA56" s="288"/>
      <c r="AB56" s="288"/>
      <c r="AC56" s="288"/>
      <c r="AD56" s="288"/>
      <c r="AE56" s="288"/>
      <c r="AF56" s="288"/>
      <c r="AG56" s="288"/>
      <c r="AH56" s="288"/>
      <c r="AI56" s="289"/>
      <c r="AK56" s="425" t="s">
        <v>698</v>
      </c>
      <c r="AL56" s="425"/>
      <c r="AM56" s="425"/>
      <c r="AN56" s="425"/>
      <c r="AO56" s="425"/>
      <c r="AP56" s="425"/>
      <c r="AQ56" s="42"/>
      <c r="AR56" s="43"/>
      <c r="AS56" s="43"/>
      <c r="AT56" s="43"/>
      <c r="AU56" s="43"/>
      <c r="AV56" s="43"/>
      <c r="AW56" s="43"/>
      <c r="AX56" s="43"/>
      <c r="AY56" s="43"/>
      <c r="AZ56" s="43"/>
      <c r="BH56" s="52"/>
      <c r="BI56" s="51"/>
    </row>
    <row r="57" spans="1:61" ht="18" customHeight="1">
      <c r="A57" s="36"/>
      <c r="B57" s="404"/>
      <c r="C57" s="404"/>
      <c r="D57" s="404"/>
      <c r="E57" s="404"/>
      <c r="F57" s="288"/>
      <c r="G57" s="288"/>
      <c r="H57" s="288"/>
      <c r="I57" s="288"/>
      <c r="J57" s="288"/>
      <c r="K57" s="288"/>
      <c r="L57" s="288"/>
      <c r="M57" s="288"/>
      <c r="N57" s="288"/>
      <c r="O57" s="288"/>
      <c r="P57" s="288"/>
      <c r="Q57" s="288"/>
      <c r="R57" s="288"/>
      <c r="S57" s="288"/>
      <c r="T57" s="288"/>
      <c r="U57" s="288"/>
      <c r="V57" s="288"/>
      <c r="W57" s="288"/>
      <c r="X57" s="288"/>
      <c r="Y57" s="288"/>
      <c r="Z57" s="288"/>
      <c r="AA57" s="288"/>
      <c r="AB57" s="288"/>
      <c r="AC57" s="288"/>
      <c r="AD57" s="288"/>
      <c r="AE57" s="288"/>
      <c r="AF57" s="288"/>
      <c r="AG57" s="288"/>
      <c r="AH57" s="288"/>
      <c r="AI57" s="289"/>
      <c r="AK57" s="425" t="s">
        <v>699</v>
      </c>
      <c r="AL57" s="425"/>
      <c r="AM57" s="425"/>
      <c r="AN57" s="425"/>
      <c r="AO57" s="425"/>
      <c r="AP57" s="425"/>
      <c r="AQ57" s="42"/>
      <c r="AR57" s="43"/>
      <c r="AS57" s="43"/>
      <c r="AT57" s="43"/>
      <c r="AU57" s="43"/>
      <c r="AV57" s="43"/>
      <c r="AW57" s="43"/>
      <c r="AX57" s="43"/>
      <c r="AY57" s="43"/>
      <c r="AZ57" s="43"/>
      <c r="BH57" s="50"/>
      <c r="BI57" s="51"/>
    </row>
    <row r="58" spans="1:61" ht="18" customHeight="1">
      <c r="A58" s="36"/>
      <c r="B58" s="404"/>
      <c r="C58" s="404"/>
      <c r="D58" s="404"/>
      <c r="E58" s="404"/>
      <c r="F58" s="288"/>
      <c r="G58" s="288"/>
      <c r="H58" s="288"/>
      <c r="I58" s="288"/>
      <c r="J58" s="288"/>
      <c r="K58" s="288"/>
      <c r="L58" s="288"/>
      <c r="M58" s="288"/>
      <c r="N58" s="288"/>
      <c r="O58" s="288"/>
      <c r="P58" s="288"/>
      <c r="Q58" s="288"/>
      <c r="R58" s="288"/>
      <c r="S58" s="288"/>
      <c r="T58" s="288"/>
      <c r="U58" s="288"/>
      <c r="V58" s="288"/>
      <c r="W58" s="288"/>
      <c r="X58" s="288"/>
      <c r="Y58" s="288"/>
      <c r="Z58" s="288"/>
      <c r="AA58" s="288"/>
      <c r="AB58" s="288"/>
      <c r="AC58" s="288"/>
      <c r="AD58" s="288"/>
      <c r="AE58" s="288"/>
      <c r="AF58" s="288"/>
      <c r="AG58" s="288"/>
      <c r="AH58" s="288"/>
      <c r="AI58" s="289"/>
      <c r="AK58" s="425" t="s">
        <v>700</v>
      </c>
      <c r="AL58" s="425"/>
      <c r="AM58" s="425"/>
      <c r="AN58" s="425"/>
      <c r="AO58" s="425"/>
      <c r="AP58" s="425"/>
      <c r="AQ58" s="42"/>
      <c r="AR58" s="43"/>
      <c r="AS58" s="43"/>
      <c r="AT58" s="43"/>
      <c r="AU58" s="43"/>
      <c r="AV58" s="43"/>
      <c r="AW58" s="43"/>
      <c r="AX58" s="43"/>
      <c r="AY58" s="43"/>
      <c r="AZ58" s="43"/>
      <c r="BH58" s="50"/>
      <c r="BI58" s="51"/>
    </row>
    <row r="59" spans="1:61" ht="18" customHeight="1">
      <c r="A59" s="36"/>
      <c r="B59" s="404"/>
      <c r="C59" s="404"/>
      <c r="D59" s="404"/>
      <c r="E59" s="404"/>
      <c r="F59" s="288"/>
      <c r="G59" s="288"/>
      <c r="H59" s="288"/>
      <c r="I59" s="288"/>
      <c r="J59" s="288"/>
      <c r="K59" s="288"/>
      <c r="L59" s="288"/>
      <c r="M59" s="288"/>
      <c r="N59" s="288"/>
      <c r="O59" s="288"/>
      <c r="P59" s="288"/>
      <c r="Q59" s="288"/>
      <c r="R59" s="288"/>
      <c r="S59" s="288"/>
      <c r="T59" s="288"/>
      <c r="U59" s="288"/>
      <c r="V59" s="288"/>
      <c r="W59" s="288"/>
      <c r="X59" s="288"/>
      <c r="Y59" s="288"/>
      <c r="Z59" s="288"/>
      <c r="AA59" s="288"/>
      <c r="AB59" s="288"/>
      <c r="AC59" s="288"/>
      <c r="AD59" s="288"/>
      <c r="AE59" s="288"/>
      <c r="AF59" s="288"/>
      <c r="AG59" s="288"/>
      <c r="AH59" s="288"/>
      <c r="AI59" s="289"/>
      <c r="AK59" s="425" t="s">
        <v>701</v>
      </c>
      <c r="AL59" s="425"/>
      <c r="AM59" s="425"/>
      <c r="AN59" s="425"/>
      <c r="AO59" s="425"/>
      <c r="AP59" s="425"/>
      <c r="AQ59" s="42"/>
      <c r="AR59" s="43"/>
      <c r="AS59" s="43"/>
      <c r="AT59" s="43"/>
      <c r="AU59" s="43"/>
      <c r="AV59" s="43"/>
      <c r="AW59" s="43"/>
      <c r="AX59" s="43"/>
      <c r="AY59" s="43"/>
      <c r="AZ59" s="43"/>
      <c r="BH59" s="50"/>
      <c r="BI59" s="51"/>
    </row>
    <row r="60" spans="1:61" ht="18" customHeight="1">
      <c r="A60" s="36"/>
      <c r="B60" s="404"/>
      <c r="C60" s="404"/>
      <c r="D60" s="404"/>
      <c r="E60" s="404"/>
      <c r="F60" s="288"/>
      <c r="G60" s="288"/>
      <c r="H60" s="288"/>
      <c r="I60" s="288"/>
      <c r="J60" s="288"/>
      <c r="K60" s="288"/>
      <c r="L60" s="288"/>
      <c r="M60" s="288"/>
      <c r="N60" s="288"/>
      <c r="O60" s="288"/>
      <c r="P60" s="288"/>
      <c r="Q60" s="288"/>
      <c r="R60" s="288"/>
      <c r="S60" s="288"/>
      <c r="T60" s="288"/>
      <c r="U60" s="288"/>
      <c r="V60" s="288"/>
      <c r="W60" s="288"/>
      <c r="X60" s="288"/>
      <c r="Y60" s="288"/>
      <c r="Z60" s="288"/>
      <c r="AA60" s="288"/>
      <c r="AB60" s="288"/>
      <c r="AC60" s="288"/>
      <c r="AD60" s="288"/>
      <c r="AE60" s="288"/>
      <c r="AF60" s="288"/>
      <c r="AG60" s="288"/>
      <c r="AH60" s="288"/>
      <c r="AI60" s="289"/>
      <c r="AK60" s="425" t="s">
        <v>702</v>
      </c>
      <c r="AL60" s="425"/>
      <c r="AM60" s="425"/>
      <c r="AN60" s="425"/>
      <c r="AO60" s="425"/>
      <c r="AP60" s="425"/>
      <c r="AQ60" s="42"/>
      <c r="AR60" s="43"/>
      <c r="AS60" s="43"/>
      <c r="AT60" s="43"/>
      <c r="AU60" s="43"/>
      <c r="AV60" s="43"/>
      <c r="AW60" s="43"/>
      <c r="AX60" s="43"/>
      <c r="AY60" s="43"/>
      <c r="AZ60" s="43"/>
      <c r="BH60" s="52"/>
      <c r="BI60" s="51"/>
    </row>
    <row r="61" spans="1:61" ht="18" customHeight="1">
      <c r="A61" s="36"/>
      <c r="B61" s="404"/>
      <c r="C61" s="404"/>
      <c r="D61" s="404"/>
      <c r="E61" s="404"/>
      <c r="F61" s="288"/>
      <c r="G61" s="288"/>
      <c r="H61" s="288"/>
      <c r="I61" s="288"/>
      <c r="J61" s="288"/>
      <c r="K61" s="288"/>
      <c r="L61" s="288"/>
      <c r="M61" s="288"/>
      <c r="N61" s="288"/>
      <c r="O61" s="288"/>
      <c r="P61" s="288"/>
      <c r="Q61" s="288"/>
      <c r="R61" s="288"/>
      <c r="S61" s="288"/>
      <c r="T61" s="288"/>
      <c r="U61" s="288"/>
      <c r="V61" s="288"/>
      <c r="W61" s="288"/>
      <c r="X61" s="288"/>
      <c r="Y61" s="288"/>
      <c r="Z61" s="288"/>
      <c r="AA61" s="288"/>
      <c r="AB61" s="288"/>
      <c r="AC61" s="288"/>
      <c r="AD61" s="288"/>
      <c r="AE61" s="288"/>
      <c r="AF61" s="288"/>
      <c r="AG61" s="288"/>
      <c r="AH61" s="288"/>
      <c r="AI61" s="289"/>
      <c r="AK61" s="425" t="s">
        <v>703</v>
      </c>
      <c r="AL61" s="425"/>
      <c r="AM61" s="425"/>
      <c r="AN61" s="425"/>
      <c r="AO61" s="425"/>
      <c r="AP61" s="425"/>
      <c r="AQ61" s="42"/>
      <c r="AR61" s="43"/>
      <c r="AS61" s="43"/>
      <c r="AT61" s="43"/>
      <c r="AU61" s="43"/>
      <c r="AV61" s="43"/>
      <c r="AW61" s="43"/>
      <c r="AX61" s="43"/>
      <c r="AY61" s="43"/>
      <c r="AZ61" s="43"/>
      <c r="BH61" s="50"/>
      <c r="BI61" s="51"/>
    </row>
    <row r="62" spans="1:61" ht="18" customHeight="1">
      <c r="A62" s="36"/>
      <c r="B62" s="404"/>
      <c r="C62" s="404"/>
      <c r="D62" s="404"/>
      <c r="E62" s="404"/>
      <c r="F62" s="288"/>
      <c r="G62" s="288"/>
      <c r="H62" s="288"/>
      <c r="I62" s="288"/>
      <c r="J62" s="288"/>
      <c r="K62" s="288"/>
      <c r="L62" s="288"/>
      <c r="M62" s="288"/>
      <c r="N62" s="288"/>
      <c r="O62" s="288"/>
      <c r="P62" s="288"/>
      <c r="Q62" s="288"/>
      <c r="R62" s="288"/>
      <c r="S62" s="288"/>
      <c r="T62" s="288"/>
      <c r="U62" s="288"/>
      <c r="V62" s="288"/>
      <c r="W62" s="288"/>
      <c r="X62" s="288"/>
      <c r="Y62" s="288"/>
      <c r="Z62" s="288"/>
      <c r="AA62" s="288"/>
      <c r="AB62" s="288"/>
      <c r="AC62" s="288"/>
      <c r="AD62" s="288"/>
      <c r="AE62" s="288"/>
      <c r="AF62" s="288"/>
      <c r="AG62" s="288"/>
      <c r="AH62" s="288"/>
      <c r="AI62" s="289"/>
      <c r="AK62" s="425"/>
      <c r="AL62" s="425"/>
      <c r="AM62" s="425"/>
      <c r="AN62" s="425"/>
      <c r="AO62" s="425"/>
      <c r="AP62" s="425"/>
      <c r="AQ62" s="42"/>
      <c r="AR62" s="43"/>
      <c r="AS62" s="43"/>
      <c r="AT62" s="43"/>
      <c r="AU62" s="43"/>
      <c r="AV62" s="43"/>
      <c r="AW62" s="43"/>
      <c r="AX62" s="43"/>
      <c r="AY62" s="43"/>
      <c r="AZ62" s="43"/>
      <c r="BH62" s="50"/>
      <c r="BI62" s="51"/>
    </row>
    <row r="63" spans="1:61" ht="18" customHeight="1">
      <c r="A63" s="36"/>
      <c r="B63" s="404"/>
      <c r="C63" s="404"/>
      <c r="D63" s="404"/>
      <c r="E63" s="404"/>
      <c r="F63" s="288"/>
      <c r="G63" s="288"/>
      <c r="H63" s="288"/>
      <c r="I63" s="288"/>
      <c r="J63" s="288"/>
      <c r="K63" s="288"/>
      <c r="L63" s="288"/>
      <c r="M63" s="288"/>
      <c r="N63" s="288"/>
      <c r="O63" s="288"/>
      <c r="P63" s="288"/>
      <c r="Q63" s="288"/>
      <c r="R63" s="288"/>
      <c r="S63" s="288"/>
      <c r="T63" s="288"/>
      <c r="U63" s="288"/>
      <c r="V63" s="288"/>
      <c r="W63" s="288"/>
      <c r="X63" s="288"/>
      <c r="Y63" s="288"/>
      <c r="Z63" s="288"/>
      <c r="AA63" s="288"/>
      <c r="AB63" s="288"/>
      <c r="AC63" s="288"/>
      <c r="AD63" s="288"/>
      <c r="AE63" s="288"/>
      <c r="AF63" s="288"/>
      <c r="AG63" s="288"/>
      <c r="AH63" s="288"/>
      <c r="AI63" s="289"/>
      <c r="AK63" s="425"/>
      <c r="AL63" s="425"/>
      <c r="AM63" s="425"/>
      <c r="AN63" s="425"/>
      <c r="AO63" s="425"/>
      <c r="AP63" s="425"/>
      <c r="AQ63" s="42"/>
      <c r="AR63" s="43"/>
      <c r="AS63" s="43"/>
      <c r="AT63" s="43"/>
      <c r="AU63" s="43"/>
      <c r="AV63" s="43"/>
      <c r="AW63" s="43"/>
      <c r="AX63" s="43"/>
      <c r="AY63" s="43"/>
      <c r="AZ63" s="43"/>
      <c r="BH63" s="52"/>
      <c r="BI63" s="51"/>
    </row>
    <row r="64" spans="1:61" ht="18" customHeight="1">
      <c r="A64" s="36"/>
      <c r="B64" s="404"/>
      <c r="C64" s="404"/>
      <c r="D64" s="404"/>
      <c r="E64" s="404"/>
      <c r="F64" s="288"/>
      <c r="G64" s="288"/>
      <c r="H64" s="288"/>
      <c r="I64" s="288"/>
      <c r="J64" s="288"/>
      <c r="K64" s="288"/>
      <c r="L64" s="288"/>
      <c r="M64" s="288"/>
      <c r="N64" s="288"/>
      <c r="O64" s="288"/>
      <c r="P64" s="288"/>
      <c r="Q64" s="288"/>
      <c r="R64" s="288"/>
      <c r="S64" s="288"/>
      <c r="T64" s="288"/>
      <c r="U64" s="288"/>
      <c r="V64" s="288"/>
      <c r="W64" s="288"/>
      <c r="X64" s="288"/>
      <c r="Y64" s="288"/>
      <c r="Z64" s="288"/>
      <c r="AA64" s="288"/>
      <c r="AB64" s="288"/>
      <c r="AC64" s="288"/>
      <c r="AD64" s="288"/>
      <c r="AE64" s="288"/>
      <c r="AF64" s="288"/>
      <c r="AG64" s="288"/>
      <c r="AH64" s="288"/>
      <c r="AI64" s="289"/>
      <c r="AK64" s="425"/>
      <c r="AL64" s="425"/>
      <c r="AM64" s="425"/>
      <c r="AN64" s="425"/>
      <c r="AO64" s="425"/>
      <c r="AP64" s="425"/>
      <c r="AQ64" s="42"/>
      <c r="AR64" s="43"/>
      <c r="AS64" s="43"/>
      <c r="AT64" s="43"/>
      <c r="AU64" s="43"/>
      <c r="AV64" s="43"/>
      <c r="AW64" s="43"/>
      <c r="AX64" s="43"/>
      <c r="AY64" s="43"/>
      <c r="AZ64" s="43"/>
      <c r="BH64" s="52"/>
      <c r="BI64" s="51"/>
    </row>
    <row r="65" spans="1:61" ht="18" customHeight="1">
      <c r="A65" s="36"/>
      <c r="B65" s="404"/>
      <c r="C65" s="404"/>
      <c r="D65" s="404"/>
      <c r="E65" s="404"/>
      <c r="F65" s="288"/>
      <c r="G65" s="288"/>
      <c r="H65" s="288"/>
      <c r="I65" s="288"/>
      <c r="J65" s="288"/>
      <c r="K65" s="288"/>
      <c r="L65" s="288"/>
      <c r="M65" s="288"/>
      <c r="N65" s="288"/>
      <c r="O65" s="288"/>
      <c r="P65" s="288"/>
      <c r="Q65" s="288"/>
      <c r="R65" s="288"/>
      <c r="S65" s="288"/>
      <c r="T65" s="288"/>
      <c r="U65" s="288"/>
      <c r="V65" s="288"/>
      <c r="W65" s="288"/>
      <c r="X65" s="288"/>
      <c r="Y65" s="288"/>
      <c r="Z65" s="288"/>
      <c r="AA65" s="288"/>
      <c r="AB65" s="288"/>
      <c r="AC65" s="288"/>
      <c r="AD65" s="288"/>
      <c r="AE65" s="288"/>
      <c r="AF65" s="288"/>
      <c r="AG65" s="288"/>
      <c r="AH65" s="288"/>
      <c r="AI65" s="289"/>
      <c r="AK65" s="425"/>
      <c r="AL65" s="425"/>
      <c r="AM65" s="425"/>
      <c r="AN65" s="425"/>
      <c r="AO65" s="425"/>
      <c r="AP65" s="425"/>
      <c r="AQ65" s="42"/>
      <c r="AR65" s="43"/>
      <c r="AS65" s="43"/>
      <c r="AT65" s="43"/>
      <c r="AU65" s="43"/>
      <c r="AV65" s="43"/>
      <c r="AW65" s="43"/>
      <c r="AX65" s="43"/>
      <c r="AY65" s="43"/>
      <c r="AZ65" s="43"/>
      <c r="BH65" s="50"/>
      <c r="BI65" s="51"/>
    </row>
    <row r="66" spans="1:61" ht="18" customHeight="1">
      <c r="A66" s="36"/>
      <c r="B66" s="404"/>
      <c r="C66" s="404"/>
      <c r="D66" s="404"/>
      <c r="E66" s="404"/>
      <c r="F66" s="288"/>
      <c r="G66" s="288"/>
      <c r="H66" s="288"/>
      <c r="I66" s="288"/>
      <c r="J66" s="288"/>
      <c r="K66" s="288"/>
      <c r="L66" s="288"/>
      <c r="M66" s="288"/>
      <c r="N66" s="288"/>
      <c r="O66" s="288"/>
      <c r="P66" s="288"/>
      <c r="Q66" s="288"/>
      <c r="R66" s="288"/>
      <c r="S66" s="288"/>
      <c r="T66" s="288"/>
      <c r="U66" s="288"/>
      <c r="V66" s="288"/>
      <c r="W66" s="288"/>
      <c r="X66" s="288"/>
      <c r="Y66" s="288"/>
      <c r="Z66" s="288"/>
      <c r="AA66" s="288"/>
      <c r="AB66" s="288"/>
      <c r="AC66" s="288"/>
      <c r="AD66" s="288"/>
      <c r="AE66" s="288"/>
      <c r="AF66" s="288"/>
      <c r="AG66" s="288"/>
      <c r="AH66" s="288"/>
      <c r="AI66" s="289"/>
      <c r="AK66" s="425"/>
      <c r="AL66" s="425"/>
      <c r="AM66" s="425"/>
      <c r="AN66" s="425"/>
      <c r="AO66" s="425"/>
      <c r="AP66" s="425"/>
      <c r="AQ66" s="42"/>
      <c r="AR66" s="43"/>
      <c r="AS66" s="43"/>
      <c r="AT66" s="43"/>
      <c r="AU66" s="43"/>
      <c r="AV66" s="43"/>
      <c r="AW66" s="43"/>
      <c r="AX66" s="43"/>
      <c r="AY66" s="43"/>
      <c r="AZ66" s="43"/>
      <c r="BH66" s="50"/>
      <c r="BI66" s="51"/>
    </row>
    <row r="67" spans="1:61" ht="18" customHeight="1">
      <c r="A67" s="36"/>
      <c r="B67" s="404"/>
      <c r="C67" s="404"/>
      <c r="D67" s="404"/>
      <c r="E67" s="404"/>
      <c r="F67" s="288"/>
      <c r="G67" s="288"/>
      <c r="H67" s="288"/>
      <c r="I67" s="288"/>
      <c r="J67" s="288"/>
      <c r="K67" s="288"/>
      <c r="L67" s="288"/>
      <c r="M67" s="288"/>
      <c r="N67" s="288"/>
      <c r="O67" s="288"/>
      <c r="P67" s="288"/>
      <c r="Q67" s="288"/>
      <c r="R67" s="288"/>
      <c r="S67" s="288"/>
      <c r="T67" s="288"/>
      <c r="U67" s="288"/>
      <c r="V67" s="288"/>
      <c r="W67" s="288"/>
      <c r="X67" s="288"/>
      <c r="Y67" s="288"/>
      <c r="Z67" s="288"/>
      <c r="AA67" s="288"/>
      <c r="AB67" s="288"/>
      <c r="AC67" s="288"/>
      <c r="AD67" s="288"/>
      <c r="AE67" s="288"/>
      <c r="AF67" s="288"/>
      <c r="AG67" s="288"/>
      <c r="AH67" s="288"/>
      <c r="AI67" s="289"/>
      <c r="AK67" s="425"/>
      <c r="AL67" s="425"/>
      <c r="AM67" s="425"/>
      <c r="AN67" s="425"/>
      <c r="AO67" s="425"/>
      <c r="AP67" s="425"/>
      <c r="AQ67" s="67"/>
      <c r="AR67" s="43"/>
      <c r="AS67" s="43"/>
      <c r="AT67" s="43"/>
      <c r="AU67" s="43"/>
      <c r="AV67" s="43"/>
      <c r="AW67" s="43"/>
      <c r="AX67" s="43"/>
      <c r="AY67" s="43"/>
      <c r="AZ67" s="43"/>
      <c r="BH67" s="50"/>
      <c r="BI67" s="51"/>
    </row>
    <row r="68" spans="1:61" ht="18" customHeight="1">
      <c r="A68" s="36"/>
      <c r="B68" s="404"/>
      <c r="C68" s="404"/>
      <c r="D68" s="404"/>
      <c r="E68" s="404"/>
      <c r="F68" s="288"/>
      <c r="G68" s="288"/>
      <c r="H68" s="288"/>
      <c r="I68" s="288"/>
      <c r="J68" s="288"/>
      <c r="K68" s="288"/>
      <c r="L68" s="288"/>
      <c r="M68" s="288"/>
      <c r="N68" s="288"/>
      <c r="O68" s="288"/>
      <c r="P68" s="288"/>
      <c r="Q68" s="288"/>
      <c r="R68" s="288"/>
      <c r="S68" s="288"/>
      <c r="T68" s="288"/>
      <c r="U68" s="288"/>
      <c r="V68" s="288"/>
      <c r="W68" s="288"/>
      <c r="X68" s="288"/>
      <c r="Y68" s="288"/>
      <c r="Z68" s="288"/>
      <c r="AA68" s="288"/>
      <c r="AB68" s="288"/>
      <c r="AC68" s="288"/>
      <c r="AD68" s="288"/>
      <c r="AE68" s="288"/>
      <c r="AF68" s="288"/>
      <c r="AG68" s="288"/>
      <c r="AH68" s="288"/>
      <c r="AI68" s="289"/>
      <c r="AK68" s="425"/>
      <c r="AL68" s="425"/>
      <c r="AM68" s="425"/>
      <c r="AN68" s="425"/>
      <c r="AO68" s="425"/>
      <c r="AP68" s="425"/>
      <c r="AQ68" s="67"/>
      <c r="AR68" s="43"/>
      <c r="AS68" s="43"/>
      <c r="AT68" s="43"/>
      <c r="AU68" s="43"/>
      <c r="AV68" s="43"/>
      <c r="AW68" s="43"/>
      <c r="AX68" s="43"/>
      <c r="AY68" s="43"/>
      <c r="AZ68" s="43"/>
      <c r="BH68" s="50"/>
      <c r="BI68" s="51"/>
    </row>
    <row r="69" spans="1:61" ht="18" customHeight="1">
      <c r="A69" s="36"/>
      <c r="B69" s="404"/>
      <c r="C69" s="404"/>
      <c r="D69" s="404"/>
      <c r="E69" s="404"/>
      <c r="F69" s="288"/>
      <c r="G69" s="288"/>
      <c r="H69" s="288"/>
      <c r="I69" s="288"/>
      <c r="J69" s="288"/>
      <c r="K69" s="288"/>
      <c r="L69" s="288"/>
      <c r="M69" s="288"/>
      <c r="N69" s="288"/>
      <c r="O69" s="288"/>
      <c r="P69" s="288"/>
      <c r="Q69" s="288"/>
      <c r="R69" s="288"/>
      <c r="S69" s="288"/>
      <c r="T69" s="288"/>
      <c r="U69" s="288"/>
      <c r="V69" s="288"/>
      <c r="W69" s="288"/>
      <c r="X69" s="288"/>
      <c r="Y69" s="288"/>
      <c r="Z69" s="288"/>
      <c r="AA69" s="288"/>
      <c r="AB69" s="288"/>
      <c r="AC69" s="288"/>
      <c r="AD69" s="288"/>
      <c r="AE69" s="288"/>
      <c r="AF69" s="288"/>
      <c r="AG69" s="288"/>
      <c r="AH69" s="288"/>
      <c r="AI69" s="289"/>
      <c r="AK69" s="425"/>
      <c r="AL69" s="425"/>
      <c r="AM69" s="425"/>
      <c r="AN69" s="425"/>
      <c r="AO69" s="425"/>
      <c r="AP69" s="425"/>
      <c r="AQ69" s="42"/>
      <c r="AR69" s="43"/>
      <c r="AS69" s="43"/>
      <c r="AT69" s="43"/>
      <c r="AU69" s="43"/>
      <c r="AV69" s="43"/>
      <c r="AW69" s="43"/>
      <c r="AX69" s="43"/>
      <c r="AY69" s="43"/>
      <c r="AZ69" s="43"/>
      <c r="BH69" s="50"/>
      <c r="BI69" s="51"/>
    </row>
    <row r="70" spans="1:61" ht="18" customHeight="1">
      <c r="A70" s="36"/>
      <c r="B70" s="404"/>
      <c r="C70" s="404"/>
      <c r="D70" s="404"/>
      <c r="E70" s="404"/>
      <c r="F70" s="288"/>
      <c r="G70" s="288"/>
      <c r="H70" s="288"/>
      <c r="I70" s="288"/>
      <c r="J70" s="288"/>
      <c r="K70" s="288"/>
      <c r="L70" s="288"/>
      <c r="M70" s="288"/>
      <c r="N70" s="288"/>
      <c r="O70" s="288"/>
      <c r="P70" s="288"/>
      <c r="Q70" s="288"/>
      <c r="R70" s="288"/>
      <c r="S70" s="288"/>
      <c r="T70" s="288"/>
      <c r="U70" s="288"/>
      <c r="V70" s="288"/>
      <c r="W70" s="288"/>
      <c r="X70" s="288"/>
      <c r="Y70" s="288"/>
      <c r="Z70" s="288"/>
      <c r="AA70" s="288"/>
      <c r="AB70" s="288"/>
      <c r="AC70" s="288"/>
      <c r="AD70" s="288"/>
      <c r="AE70" s="288"/>
      <c r="AF70" s="288"/>
      <c r="AG70" s="288"/>
      <c r="AH70" s="288"/>
      <c r="AI70" s="289"/>
      <c r="AK70" s="425"/>
      <c r="AL70" s="425"/>
      <c r="AM70" s="425"/>
      <c r="AN70" s="425"/>
      <c r="AO70" s="425"/>
      <c r="AP70" s="425"/>
      <c r="AQ70" s="42"/>
      <c r="AR70" s="43"/>
      <c r="AS70" s="43"/>
      <c r="AT70" s="43"/>
      <c r="AU70" s="43"/>
      <c r="AV70" s="43"/>
      <c r="AW70" s="43"/>
      <c r="AX70" s="43"/>
      <c r="AY70" s="43"/>
      <c r="AZ70" s="43"/>
      <c r="BH70" s="50"/>
      <c r="BI70" s="51"/>
    </row>
    <row r="71" spans="1:61" ht="18" customHeight="1">
      <c r="A71" s="36"/>
      <c r="B71" s="404"/>
      <c r="C71" s="404"/>
      <c r="D71" s="404"/>
      <c r="E71" s="404"/>
      <c r="F71" s="288"/>
      <c r="G71" s="288"/>
      <c r="H71" s="288"/>
      <c r="I71" s="288"/>
      <c r="J71" s="288"/>
      <c r="K71" s="288"/>
      <c r="L71" s="288"/>
      <c r="M71" s="288"/>
      <c r="N71" s="288"/>
      <c r="O71" s="288"/>
      <c r="P71" s="288"/>
      <c r="Q71" s="288"/>
      <c r="R71" s="288"/>
      <c r="S71" s="288"/>
      <c r="T71" s="288"/>
      <c r="U71" s="288"/>
      <c r="V71" s="288"/>
      <c r="W71" s="288"/>
      <c r="X71" s="288"/>
      <c r="Y71" s="288"/>
      <c r="Z71" s="288"/>
      <c r="AA71" s="288"/>
      <c r="AB71" s="288"/>
      <c r="AC71" s="288"/>
      <c r="AD71" s="288"/>
      <c r="AE71" s="288"/>
      <c r="AF71" s="288"/>
      <c r="AG71" s="288"/>
      <c r="AH71" s="288"/>
      <c r="AI71" s="289"/>
      <c r="AK71" s="425"/>
      <c r="AL71" s="425"/>
      <c r="AM71" s="425"/>
      <c r="AN71" s="425"/>
      <c r="AO71" s="425"/>
      <c r="AP71" s="425"/>
      <c r="AQ71" s="42"/>
      <c r="AR71" s="43"/>
      <c r="AS71" s="43"/>
      <c r="AT71" s="43"/>
      <c r="AU71" s="43"/>
      <c r="AV71" s="43"/>
      <c r="AW71" s="43"/>
      <c r="AX71" s="43"/>
      <c r="AY71" s="43"/>
      <c r="AZ71" s="43"/>
      <c r="BH71" s="52"/>
      <c r="BI71" s="51"/>
    </row>
    <row r="72" spans="1:61" ht="18" customHeight="1">
      <c r="A72" s="36"/>
      <c r="B72" s="404"/>
      <c r="C72" s="404"/>
      <c r="D72" s="404"/>
      <c r="E72" s="404"/>
      <c r="F72" s="288"/>
      <c r="G72" s="288"/>
      <c r="H72" s="288"/>
      <c r="I72" s="288"/>
      <c r="J72" s="288"/>
      <c r="K72" s="288"/>
      <c r="L72" s="288"/>
      <c r="M72" s="288"/>
      <c r="N72" s="288"/>
      <c r="O72" s="288"/>
      <c r="P72" s="288"/>
      <c r="Q72" s="288"/>
      <c r="R72" s="288"/>
      <c r="S72" s="288"/>
      <c r="T72" s="288"/>
      <c r="U72" s="288"/>
      <c r="V72" s="288"/>
      <c r="W72" s="288"/>
      <c r="X72" s="288"/>
      <c r="Y72" s="288"/>
      <c r="Z72" s="288"/>
      <c r="AA72" s="288"/>
      <c r="AB72" s="288"/>
      <c r="AC72" s="288"/>
      <c r="AD72" s="288"/>
      <c r="AE72" s="288"/>
      <c r="AF72" s="288"/>
      <c r="AG72" s="288"/>
      <c r="AH72" s="288"/>
      <c r="AI72" s="289"/>
      <c r="AK72" s="425"/>
      <c r="AL72" s="425"/>
      <c r="AM72" s="425"/>
      <c r="AN72" s="425"/>
      <c r="AO72" s="425"/>
      <c r="AP72" s="425"/>
      <c r="AQ72" s="42"/>
      <c r="AR72" s="43"/>
      <c r="AS72" s="43"/>
      <c r="AT72" s="43"/>
      <c r="AU72" s="43"/>
      <c r="AV72" s="43"/>
      <c r="AW72" s="43"/>
      <c r="AX72" s="43"/>
      <c r="AY72" s="43"/>
      <c r="AZ72" s="43"/>
      <c r="BH72" s="53"/>
      <c r="BI72" s="51"/>
    </row>
    <row r="73" spans="1:61" ht="18" customHeight="1">
      <c r="A73" s="36"/>
      <c r="B73" s="404"/>
      <c r="C73" s="404"/>
      <c r="D73" s="404"/>
      <c r="E73" s="404"/>
      <c r="F73" s="288"/>
      <c r="G73" s="288"/>
      <c r="H73" s="288"/>
      <c r="I73" s="288"/>
      <c r="J73" s="288"/>
      <c r="K73" s="288"/>
      <c r="L73" s="288"/>
      <c r="M73" s="288"/>
      <c r="N73" s="288"/>
      <c r="O73" s="288"/>
      <c r="P73" s="288"/>
      <c r="Q73" s="288"/>
      <c r="R73" s="288"/>
      <c r="S73" s="288"/>
      <c r="T73" s="288"/>
      <c r="U73" s="288"/>
      <c r="V73" s="288"/>
      <c r="W73" s="288"/>
      <c r="X73" s="288"/>
      <c r="Y73" s="288"/>
      <c r="Z73" s="288"/>
      <c r="AA73" s="288"/>
      <c r="AB73" s="288"/>
      <c r="AC73" s="288"/>
      <c r="AD73" s="288"/>
      <c r="AE73" s="288"/>
      <c r="AF73" s="288"/>
      <c r="AG73" s="288"/>
      <c r="AH73" s="288"/>
      <c r="AI73" s="289"/>
      <c r="AK73" s="425"/>
      <c r="AL73" s="425"/>
      <c r="AM73" s="425"/>
      <c r="AN73" s="425"/>
      <c r="AO73" s="425"/>
      <c r="AP73" s="425"/>
      <c r="AQ73" s="42"/>
      <c r="AR73" s="43"/>
      <c r="AS73" s="43"/>
      <c r="AT73" s="43"/>
      <c r="AU73" s="43"/>
      <c r="AV73" s="43"/>
      <c r="AW73" s="43"/>
      <c r="AX73" s="43"/>
      <c r="AY73" s="43"/>
      <c r="AZ73" s="43"/>
      <c r="BH73" s="54"/>
      <c r="BI73" s="51"/>
    </row>
    <row r="74" spans="1:61" ht="18" customHeight="1">
      <c r="A74" s="36"/>
      <c r="B74" s="404"/>
      <c r="C74" s="404"/>
      <c r="D74" s="404"/>
      <c r="E74" s="404"/>
      <c r="F74" s="288"/>
      <c r="G74" s="288"/>
      <c r="H74" s="288"/>
      <c r="I74" s="288"/>
      <c r="J74" s="288"/>
      <c r="K74" s="288"/>
      <c r="L74" s="288"/>
      <c r="M74" s="288"/>
      <c r="N74" s="288"/>
      <c r="O74" s="288"/>
      <c r="P74" s="288"/>
      <c r="Q74" s="288"/>
      <c r="R74" s="288"/>
      <c r="S74" s="288"/>
      <c r="T74" s="288"/>
      <c r="U74" s="288"/>
      <c r="V74" s="288"/>
      <c r="W74" s="288"/>
      <c r="X74" s="288"/>
      <c r="Y74" s="288"/>
      <c r="Z74" s="288"/>
      <c r="AA74" s="288"/>
      <c r="AB74" s="288"/>
      <c r="AC74" s="288"/>
      <c r="AD74" s="288"/>
      <c r="AE74" s="288"/>
      <c r="AF74" s="288"/>
      <c r="AG74" s="288"/>
      <c r="AH74" s="288"/>
      <c r="AI74" s="289"/>
      <c r="AK74" s="425"/>
      <c r="AL74" s="425"/>
      <c r="AM74" s="425"/>
      <c r="AN74" s="425"/>
      <c r="AO74" s="425"/>
      <c r="AP74" s="425"/>
      <c r="AQ74" s="42"/>
      <c r="AR74" s="43"/>
      <c r="AS74" s="43"/>
      <c r="AT74" s="43"/>
      <c r="AU74" s="43"/>
      <c r="AV74" s="43"/>
      <c r="AW74" s="43"/>
      <c r="AX74" s="43"/>
      <c r="AY74" s="43"/>
      <c r="AZ74" s="43"/>
      <c r="BH74" s="54"/>
      <c r="BI74" s="51"/>
    </row>
    <row r="75" spans="1:61" ht="18" customHeight="1">
      <c r="A75" s="36"/>
      <c r="B75" s="404"/>
      <c r="C75" s="404"/>
      <c r="D75" s="404"/>
      <c r="E75" s="404"/>
      <c r="F75" s="288"/>
      <c r="G75" s="288"/>
      <c r="H75" s="288"/>
      <c r="I75" s="288"/>
      <c r="J75" s="288"/>
      <c r="K75" s="288"/>
      <c r="L75" s="288"/>
      <c r="M75" s="288"/>
      <c r="N75" s="288"/>
      <c r="O75" s="288"/>
      <c r="P75" s="288"/>
      <c r="Q75" s="288"/>
      <c r="R75" s="288"/>
      <c r="S75" s="288"/>
      <c r="T75" s="288"/>
      <c r="U75" s="288"/>
      <c r="V75" s="288"/>
      <c r="W75" s="288"/>
      <c r="X75" s="288"/>
      <c r="Y75" s="288"/>
      <c r="Z75" s="288"/>
      <c r="AA75" s="288"/>
      <c r="AB75" s="288"/>
      <c r="AC75" s="288"/>
      <c r="AD75" s="288"/>
      <c r="AE75" s="288"/>
      <c r="AF75" s="288"/>
      <c r="AG75" s="288"/>
      <c r="AH75" s="288"/>
      <c r="AI75" s="289"/>
      <c r="AK75" s="425"/>
      <c r="AL75" s="425"/>
      <c r="AM75" s="425"/>
      <c r="AN75" s="425"/>
      <c r="AO75" s="425"/>
      <c r="AP75" s="425"/>
      <c r="AQ75" s="42"/>
      <c r="AR75" s="43"/>
      <c r="AS75" s="43"/>
      <c r="AT75" s="43"/>
      <c r="AU75" s="43"/>
      <c r="AV75" s="43"/>
      <c r="AW75" s="43"/>
      <c r="AX75" s="43"/>
      <c r="AY75" s="43"/>
      <c r="AZ75" s="43"/>
      <c r="BH75" s="53"/>
      <c r="BI75" s="51"/>
    </row>
    <row r="76" spans="1:61" ht="18" customHeight="1">
      <c r="A76" s="36"/>
      <c r="B76" s="404"/>
      <c r="C76" s="404"/>
      <c r="D76" s="404"/>
      <c r="E76" s="404"/>
      <c r="F76" s="288"/>
      <c r="G76" s="288"/>
      <c r="H76" s="288"/>
      <c r="I76" s="288"/>
      <c r="J76" s="288"/>
      <c r="K76" s="288"/>
      <c r="L76" s="288"/>
      <c r="M76" s="288"/>
      <c r="N76" s="288"/>
      <c r="O76" s="288"/>
      <c r="P76" s="288"/>
      <c r="Q76" s="288"/>
      <c r="R76" s="288"/>
      <c r="S76" s="288"/>
      <c r="T76" s="288"/>
      <c r="U76" s="288"/>
      <c r="V76" s="288"/>
      <c r="W76" s="288"/>
      <c r="X76" s="288"/>
      <c r="Y76" s="288"/>
      <c r="Z76" s="288"/>
      <c r="AA76" s="288"/>
      <c r="AB76" s="288"/>
      <c r="AC76" s="288"/>
      <c r="AD76" s="288"/>
      <c r="AE76" s="288"/>
      <c r="AF76" s="288"/>
      <c r="AG76" s="288"/>
      <c r="AH76" s="288"/>
      <c r="AI76" s="289"/>
      <c r="AK76" s="425"/>
      <c r="AL76" s="425"/>
      <c r="AM76" s="425"/>
      <c r="AN76" s="425"/>
      <c r="AO76" s="425"/>
      <c r="AP76" s="425"/>
      <c r="AQ76" s="42"/>
      <c r="AR76" s="43"/>
      <c r="AS76" s="43"/>
      <c r="AT76" s="43"/>
      <c r="AU76" s="43"/>
      <c r="AV76" s="43"/>
      <c r="AW76" s="43"/>
      <c r="AX76" s="43"/>
      <c r="AY76" s="43"/>
      <c r="AZ76" s="43"/>
      <c r="BH76" s="53"/>
      <c r="BI76" s="51"/>
    </row>
    <row r="77" spans="1:61" ht="18" customHeight="1">
      <c r="A77" s="36"/>
      <c r="B77" s="404"/>
      <c r="C77" s="404"/>
      <c r="D77" s="404"/>
      <c r="E77" s="404"/>
      <c r="F77" s="288"/>
      <c r="G77" s="288"/>
      <c r="H77" s="288"/>
      <c r="I77" s="288"/>
      <c r="J77" s="288"/>
      <c r="K77" s="288"/>
      <c r="L77" s="288"/>
      <c r="M77" s="288"/>
      <c r="N77" s="288"/>
      <c r="O77" s="288"/>
      <c r="P77" s="288"/>
      <c r="Q77" s="288"/>
      <c r="R77" s="288"/>
      <c r="S77" s="288"/>
      <c r="T77" s="288"/>
      <c r="U77" s="288"/>
      <c r="V77" s="288"/>
      <c r="W77" s="288"/>
      <c r="X77" s="288"/>
      <c r="Y77" s="288"/>
      <c r="Z77" s="288"/>
      <c r="AA77" s="288"/>
      <c r="AB77" s="288"/>
      <c r="AC77" s="288"/>
      <c r="AD77" s="288"/>
      <c r="AE77" s="288"/>
      <c r="AF77" s="288"/>
      <c r="AG77" s="288"/>
      <c r="AH77" s="288"/>
      <c r="AI77" s="289"/>
      <c r="AK77" s="425"/>
      <c r="AL77" s="425"/>
      <c r="AM77" s="425"/>
      <c r="AN77" s="425"/>
      <c r="AO77" s="425"/>
      <c r="AP77" s="425"/>
      <c r="AQ77" s="42"/>
      <c r="AR77" s="43"/>
      <c r="AS77" s="43"/>
      <c r="AT77" s="43"/>
      <c r="AU77" s="43"/>
      <c r="AV77" s="43"/>
      <c r="AW77" s="43"/>
      <c r="AX77" s="43"/>
      <c r="AY77" s="43"/>
      <c r="AZ77" s="43"/>
      <c r="BH77" s="54"/>
      <c r="BI77" s="51"/>
    </row>
    <row r="78" spans="1:61" ht="18" customHeight="1">
      <c r="A78" s="36"/>
      <c r="B78" s="404"/>
      <c r="C78" s="404"/>
      <c r="D78" s="404"/>
      <c r="E78" s="404"/>
      <c r="F78" s="288"/>
      <c r="G78" s="288"/>
      <c r="H78" s="288"/>
      <c r="I78" s="288"/>
      <c r="J78" s="288"/>
      <c r="K78" s="288"/>
      <c r="L78" s="288"/>
      <c r="M78" s="288"/>
      <c r="N78" s="288"/>
      <c r="O78" s="288"/>
      <c r="P78" s="288"/>
      <c r="Q78" s="288"/>
      <c r="R78" s="288"/>
      <c r="S78" s="288"/>
      <c r="T78" s="288"/>
      <c r="U78" s="288"/>
      <c r="V78" s="288"/>
      <c r="W78" s="288"/>
      <c r="X78" s="288"/>
      <c r="Y78" s="288"/>
      <c r="Z78" s="288"/>
      <c r="AA78" s="288"/>
      <c r="AB78" s="288"/>
      <c r="AC78" s="288"/>
      <c r="AD78" s="288"/>
      <c r="AE78" s="288"/>
      <c r="AF78" s="288"/>
      <c r="AG78" s="288"/>
      <c r="AH78" s="288"/>
      <c r="AI78" s="289"/>
      <c r="AK78" s="425"/>
      <c r="AL78" s="425"/>
      <c r="AM78" s="425"/>
      <c r="AN78" s="425"/>
      <c r="AO78" s="425"/>
      <c r="AP78" s="425"/>
      <c r="AQ78" s="42"/>
      <c r="AR78" s="43"/>
      <c r="AS78" s="43"/>
      <c r="AT78" s="43"/>
      <c r="AU78" s="43"/>
      <c r="AV78" s="43"/>
      <c r="AW78" s="43"/>
      <c r="AX78" s="43"/>
      <c r="AY78" s="43"/>
      <c r="AZ78" s="43"/>
      <c r="BH78" s="54"/>
      <c r="BI78" s="51"/>
    </row>
    <row r="79" spans="1:61" ht="18" customHeight="1">
      <c r="A79" s="36"/>
      <c r="B79" s="404"/>
      <c r="C79" s="404"/>
      <c r="D79" s="404"/>
      <c r="E79" s="404"/>
      <c r="F79" s="288"/>
      <c r="G79" s="288"/>
      <c r="H79" s="288"/>
      <c r="I79" s="288"/>
      <c r="J79" s="288"/>
      <c r="K79" s="288"/>
      <c r="L79" s="288"/>
      <c r="M79" s="288"/>
      <c r="N79" s="288"/>
      <c r="O79" s="288"/>
      <c r="P79" s="288"/>
      <c r="Q79" s="288"/>
      <c r="R79" s="288"/>
      <c r="S79" s="288"/>
      <c r="T79" s="288"/>
      <c r="U79" s="288"/>
      <c r="V79" s="288"/>
      <c r="W79" s="288"/>
      <c r="X79" s="288"/>
      <c r="Y79" s="288"/>
      <c r="Z79" s="288"/>
      <c r="AA79" s="288"/>
      <c r="AB79" s="288"/>
      <c r="AC79" s="288"/>
      <c r="AD79" s="288"/>
      <c r="AE79" s="288"/>
      <c r="AF79" s="288"/>
      <c r="AG79" s="288"/>
      <c r="AH79" s="288"/>
      <c r="AI79" s="289"/>
      <c r="AK79" s="425"/>
      <c r="AL79" s="425"/>
      <c r="AM79" s="425"/>
      <c r="AN79" s="425"/>
      <c r="AO79" s="425"/>
      <c r="AP79" s="425"/>
      <c r="AQ79" s="42"/>
      <c r="AR79" s="43"/>
      <c r="AS79" s="43"/>
      <c r="AT79" s="43"/>
      <c r="AU79" s="43"/>
      <c r="AV79" s="43"/>
      <c r="AW79" s="43"/>
      <c r="AX79" s="43"/>
      <c r="AY79" s="43"/>
      <c r="AZ79" s="43"/>
      <c r="BH79" s="54"/>
      <c r="BI79" s="51"/>
    </row>
    <row r="80" spans="1:61" ht="18" customHeight="1">
      <c r="A80" s="37"/>
      <c r="B80" s="466"/>
      <c r="C80" s="466"/>
      <c r="D80" s="466"/>
      <c r="E80" s="466"/>
      <c r="F80" s="467"/>
      <c r="G80" s="467"/>
      <c r="H80" s="467"/>
      <c r="I80" s="467"/>
      <c r="J80" s="467"/>
      <c r="K80" s="467"/>
      <c r="L80" s="467"/>
      <c r="M80" s="467"/>
      <c r="N80" s="467"/>
      <c r="O80" s="467"/>
      <c r="P80" s="467"/>
      <c r="Q80" s="467"/>
      <c r="R80" s="467"/>
      <c r="S80" s="467"/>
      <c r="T80" s="467"/>
      <c r="U80" s="467"/>
      <c r="V80" s="467"/>
      <c r="W80" s="467"/>
      <c r="X80" s="467"/>
      <c r="Y80" s="467"/>
      <c r="Z80" s="467"/>
      <c r="AA80" s="467"/>
      <c r="AB80" s="467"/>
      <c r="AC80" s="467"/>
      <c r="AD80" s="467"/>
      <c r="AE80" s="467"/>
      <c r="AF80" s="467"/>
      <c r="AG80" s="467"/>
      <c r="AH80" s="467"/>
      <c r="AI80" s="468"/>
      <c r="AK80" s="425"/>
      <c r="AL80" s="425"/>
      <c r="AM80" s="425"/>
      <c r="AN80" s="425"/>
      <c r="AO80" s="425"/>
      <c r="AP80" s="425"/>
      <c r="AQ80" s="42"/>
      <c r="AR80" s="43"/>
      <c r="AS80" s="43"/>
      <c r="AT80" s="43"/>
      <c r="AU80" s="43"/>
      <c r="AV80" s="43"/>
      <c r="AW80" s="43"/>
      <c r="AX80" s="43"/>
      <c r="AY80" s="43"/>
      <c r="AZ80" s="43"/>
      <c r="BH80" s="54"/>
      <c r="BI80" s="51"/>
    </row>
    <row r="81" spans="1:61" ht="18" customHeight="1">
      <c r="A81" s="406" t="s">
        <v>704</v>
      </c>
      <c r="B81" s="407"/>
      <c r="C81" s="407"/>
      <c r="D81" s="407"/>
      <c r="E81" s="407"/>
      <c r="F81" s="407"/>
      <c r="G81" s="407"/>
      <c r="H81" s="407"/>
      <c r="I81" s="407"/>
      <c r="J81" s="407"/>
      <c r="K81" s="407"/>
      <c r="L81" s="407"/>
      <c r="M81" s="407"/>
      <c r="N81" s="407"/>
      <c r="O81" s="407"/>
      <c r="P81" s="407"/>
      <c r="Q81" s="407"/>
      <c r="R81" s="407"/>
      <c r="S81" s="407"/>
      <c r="T81" s="407"/>
      <c r="U81" s="407"/>
      <c r="V81" s="407"/>
      <c r="W81" s="407"/>
      <c r="X81" s="407"/>
      <c r="Y81" s="407"/>
      <c r="Z81" s="407"/>
      <c r="AA81" s="407"/>
      <c r="AB81" s="407"/>
      <c r="AC81" s="407"/>
      <c r="AD81" s="407"/>
      <c r="AE81" s="407"/>
      <c r="AF81" s="407"/>
      <c r="AG81" s="407"/>
      <c r="AH81" s="407"/>
      <c r="AI81" s="408"/>
      <c r="AK81" s="425"/>
      <c r="AL81" s="425"/>
      <c r="AM81" s="425"/>
      <c r="AN81" s="425"/>
      <c r="AO81" s="425"/>
      <c r="AP81" s="425"/>
      <c r="AQ81" s="42"/>
      <c r="AR81" s="43"/>
      <c r="AS81" s="43"/>
      <c r="AT81" s="43"/>
      <c r="AU81" s="43"/>
      <c r="AV81" s="43"/>
      <c r="AW81" s="43"/>
      <c r="AX81" s="43"/>
      <c r="AY81" s="43"/>
      <c r="AZ81" s="43"/>
      <c r="BH81" s="53"/>
      <c r="BI81" s="51"/>
    </row>
    <row r="82" spans="1:61" ht="18" customHeight="1">
      <c r="A82" s="38"/>
      <c r="B82" s="465"/>
      <c r="C82" s="465"/>
      <c r="D82" s="465"/>
      <c r="E82" s="465"/>
      <c r="F82" s="288"/>
      <c r="G82" s="288"/>
      <c r="H82" s="288"/>
      <c r="I82" s="288"/>
      <c r="J82" s="288"/>
      <c r="K82" s="288"/>
      <c r="L82" s="288"/>
      <c r="M82" s="288"/>
      <c r="N82" s="288"/>
      <c r="O82" s="288"/>
      <c r="P82" s="288"/>
      <c r="Q82" s="288"/>
      <c r="R82" s="288"/>
      <c r="S82" s="288"/>
      <c r="T82" s="288"/>
      <c r="U82" s="288"/>
      <c r="V82" s="288"/>
      <c r="W82" s="288"/>
      <c r="X82" s="288"/>
      <c r="Y82" s="288"/>
      <c r="Z82" s="288"/>
      <c r="AA82" s="288"/>
      <c r="AB82" s="288"/>
      <c r="AC82" s="288"/>
      <c r="AD82" s="288"/>
      <c r="AE82" s="288"/>
      <c r="AF82" s="288"/>
      <c r="AG82" s="288"/>
      <c r="AH82" s="288"/>
      <c r="AI82" s="289"/>
      <c r="AK82" s="425"/>
      <c r="AL82" s="425"/>
      <c r="AM82" s="425"/>
      <c r="AN82" s="425"/>
      <c r="AO82" s="425"/>
      <c r="AP82" s="425"/>
      <c r="AQ82" s="42"/>
      <c r="AR82" s="43"/>
      <c r="AS82" s="43"/>
      <c r="AT82" s="43"/>
      <c r="AU82" s="43"/>
      <c r="AV82" s="43"/>
      <c r="AW82" s="43"/>
      <c r="AX82" s="43"/>
      <c r="AY82" s="43"/>
      <c r="AZ82" s="43"/>
      <c r="BH82" s="53"/>
      <c r="BI82" s="51"/>
    </row>
    <row r="83" spans="1:61" ht="18" customHeight="1">
      <c r="A83" s="38"/>
      <c r="B83" s="465"/>
      <c r="C83" s="465"/>
      <c r="D83" s="465"/>
      <c r="E83" s="465"/>
      <c r="F83" s="288"/>
      <c r="G83" s="288"/>
      <c r="H83" s="288"/>
      <c r="I83" s="288"/>
      <c r="J83" s="288"/>
      <c r="K83" s="288"/>
      <c r="L83" s="288"/>
      <c r="M83" s="288"/>
      <c r="N83" s="288"/>
      <c r="O83" s="288"/>
      <c r="P83" s="288"/>
      <c r="Q83" s="288"/>
      <c r="R83" s="288"/>
      <c r="S83" s="288"/>
      <c r="T83" s="288"/>
      <c r="U83" s="288"/>
      <c r="V83" s="288"/>
      <c r="W83" s="288"/>
      <c r="X83" s="288"/>
      <c r="Y83" s="288"/>
      <c r="Z83" s="288"/>
      <c r="AA83" s="288"/>
      <c r="AB83" s="288"/>
      <c r="AC83" s="288"/>
      <c r="AD83" s="288"/>
      <c r="AE83" s="288"/>
      <c r="AF83" s="288"/>
      <c r="AG83" s="288"/>
      <c r="AH83" s="288"/>
      <c r="AI83" s="289"/>
      <c r="AK83" s="425"/>
      <c r="AL83" s="425"/>
      <c r="AM83" s="425"/>
      <c r="AN83" s="425"/>
      <c r="AO83" s="425"/>
      <c r="AP83" s="425"/>
      <c r="AQ83" s="42"/>
      <c r="AR83" s="43"/>
      <c r="AS83" s="43"/>
      <c r="AT83" s="43"/>
      <c r="AU83" s="43"/>
      <c r="AV83" s="43"/>
      <c r="AW83" s="43"/>
      <c r="AX83" s="43"/>
      <c r="AY83" s="43"/>
      <c r="AZ83" s="43"/>
      <c r="BH83" s="53"/>
      <c r="BI83" s="51"/>
    </row>
    <row r="84" spans="1:61" ht="18" customHeight="1">
      <c r="A84" s="38"/>
      <c r="B84" s="465"/>
      <c r="C84" s="465"/>
      <c r="D84" s="465"/>
      <c r="E84" s="465"/>
      <c r="F84" s="288"/>
      <c r="G84" s="288"/>
      <c r="H84" s="288"/>
      <c r="I84" s="288"/>
      <c r="J84" s="288"/>
      <c r="K84" s="288"/>
      <c r="L84" s="288"/>
      <c r="M84" s="288"/>
      <c r="N84" s="288"/>
      <c r="O84" s="288"/>
      <c r="P84" s="288"/>
      <c r="Q84" s="288"/>
      <c r="R84" s="288"/>
      <c r="S84" s="288"/>
      <c r="T84" s="288"/>
      <c r="U84" s="288"/>
      <c r="V84" s="288"/>
      <c r="W84" s="288"/>
      <c r="X84" s="288"/>
      <c r="Y84" s="288"/>
      <c r="Z84" s="288"/>
      <c r="AA84" s="288"/>
      <c r="AB84" s="288"/>
      <c r="AC84" s="288"/>
      <c r="AD84" s="288"/>
      <c r="AE84" s="288"/>
      <c r="AF84" s="288"/>
      <c r="AG84" s="288"/>
      <c r="AH84" s="288"/>
      <c r="AI84" s="289"/>
      <c r="AK84" s="425"/>
      <c r="AL84" s="425"/>
      <c r="AM84" s="425"/>
      <c r="AN84" s="425"/>
      <c r="AO84" s="425"/>
      <c r="AP84" s="425"/>
      <c r="AQ84" s="42"/>
      <c r="AR84" s="43"/>
      <c r="AS84" s="43"/>
      <c r="AT84" s="43"/>
      <c r="AU84" s="43"/>
      <c r="AV84" s="43"/>
      <c r="AW84" s="43"/>
      <c r="AX84" s="43"/>
      <c r="AY84" s="43"/>
      <c r="AZ84" s="43"/>
    </row>
    <row r="85" spans="1:61" ht="18" customHeight="1">
      <c r="A85" s="38"/>
      <c r="B85" s="465"/>
      <c r="C85" s="465"/>
      <c r="D85" s="465"/>
      <c r="E85" s="465"/>
      <c r="F85" s="288"/>
      <c r="G85" s="288"/>
      <c r="H85" s="288"/>
      <c r="I85" s="288"/>
      <c r="J85" s="288"/>
      <c r="K85" s="288"/>
      <c r="L85" s="288"/>
      <c r="M85" s="288"/>
      <c r="N85" s="288"/>
      <c r="O85" s="288"/>
      <c r="P85" s="288"/>
      <c r="Q85" s="288"/>
      <c r="R85" s="288"/>
      <c r="S85" s="288"/>
      <c r="T85" s="288"/>
      <c r="U85" s="288"/>
      <c r="V85" s="288"/>
      <c r="W85" s="288"/>
      <c r="X85" s="288"/>
      <c r="Y85" s="288"/>
      <c r="Z85" s="288"/>
      <c r="AA85" s="288"/>
      <c r="AB85" s="288"/>
      <c r="AC85" s="288"/>
      <c r="AD85" s="288"/>
      <c r="AE85" s="288"/>
      <c r="AF85" s="288"/>
      <c r="AG85" s="288"/>
      <c r="AH85" s="288"/>
      <c r="AI85" s="289"/>
      <c r="AK85" s="425"/>
      <c r="AL85" s="425"/>
      <c r="AM85" s="425"/>
      <c r="AN85" s="425"/>
      <c r="AO85" s="425"/>
      <c r="AP85" s="425"/>
      <c r="AQ85" s="42"/>
      <c r="AR85" s="43"/>
      <c r="AS85" s="43"/>
      <c r="AT85" s="43"/>
      <c r="AU85" s="43"/>
      <c r="AV85" s="43"/>
      <c r="AW85" s="43"/>
      <c r="AX85" s="43"/>
      <c r="AY85" s="43"/>
      <c r="AZ85" s="43"/>
    </row>
    <row r="86" spans="1:61" ht="18" customHeight="1" thickBot="1">
      <c r="A86" s="41"/>
      <c r="B86" s="540"/>
      <c r="C86" s="540"/>
      <c r="D86" s="540"/>
      <c r="E86" s="540"/>
      <c r="F86" s="541"/>
      <c r="G86" s="541"/>
      <c r="H86" s="541"/>
      <c r="I86" s="541"/>
      <c r="J86" s="541"/>
      <c r="K86" s="541"/>
      <c r="L86" s="541"/>
      <c r="M86" s="541"/>
      <c r="N86" s="541"/>
      <c r="O86" s="541"/>
      <c r="P86" s="541"/>
      <c r="Q86" s="541"/>
      <c r="R86" s="541"/>
      <c r="S86" s="541"/>
      <c r="T86" s="541"/>
      <c r="U86" s="541"/>
      <c r="V86" s="541"/>
      <c r="W86" s="541"/>
      <c r="X86" s="541"/>
      <c r="Y86" s="541"/>
      <c r="Z86" s="541"/>
      <c r="AA86" s="541"/>
      <c r="AB86" s="541"/>
      <c r="AC86" s="541"/>
      <c r="AD86" s="541"/>
      <c r="AE86" s="541"/>
      <c r="AF86" s="541"/>
      <c r="AG86" s="541"/>
      <c r="AH86" s="541"/>
      <c r="AI86" s="542"/>
      <c r="AK86" s="425"/>
      <c r="AL86" s="425"/>
      <c r="AM86" s="425"/>
      <c r="AN86" s="425"/>
      <c r="AO86" s="425"/>
      <c r="AP86" s="425"/>
      <c r="AQ86" s="42"/>
      <c r="AR86" s="43"/>
      <c r="AS86" s="43"/>
      <c r="AT86" s="43"/>
      <c r="AU86" s="43"/>
      <c r="AV86" s="43"/>
      <c r="AW86" s="43"/>
      <c r="AX86" s="43"/>
      <c r="AY86" s="43"/>
      <c r="AZ86" s="43"/>
    </row>
    <row r="87" spans="1:61" ht="14.1" customHeight="1">
      <c r="AK87" s="438"/>
      <c r="AL87" s="438"/>
      <c r="AM87" s="438"/>
      <c r="AN87" s="438"/>
      <c r="AO87" s="438"/>
      <c r="AP87" s="438"/>
      <c r="AQ87" s="119"/>
    </row>
    <row r="88" spans="1:61" ht="14.1" customHeight="1">
      <c r="AK88" s="437"/>
      <c r="AL88" s="437"/>
      <c r="AM88" s="437"/>
      <c r="AN88" s="437"/>
      <c r="AO88" s="437"/>
      <c r="AP88" s="437"/>
      <c r="AQ88" s="120"/>
    </row>
    <row r="89" spans="1:61" ht="14.1" customHeight="1">
      <c r="AK89" s="437"/>
      <c r="AL89" s="437"/>
      <c r="AM89" s="437"/>
      <c r="AN89" s="437"/>
      <c r="AO89" s="437"/>
      <c r="AP89" s="437"/>
      <c r="AQ89" s="120"/>
    </row>
    <row r="90" spans="1:61" ht="14.1" customHeight="1"/>
    <row r="91" spans="1:61" ht="14.1" customHeight="1"/>
    <row r="92" spans="1:61" ht="14.1" customHeight="1"/>
    <row r="93" spans="1:61" ht="14.1" customHeight="1"/>
    <row r="94" spans="1:61" ht="14.1" customHeight="1"/>
    <row r="95" spans="1:61" ht="14.1" customHeight="1"/>
    <row r="96" spans="1:61" ht="14.1" customHeight="1"/>
    <row r="97" ht="14.1" customHeight="1"/>
    <row r="98" ht="14.1" customHeight="1"/>
    <row r="99" ht="14.1" customHeight="1"/>
    <row r="100" ht="14.1" customHeight="1"/>
    <row r="101" ht="14.1" customHeight="1"/>
    <row r="102" ht="14.1" customHeight="1"/>
    <row r="103" ht="14.1" customHeight="1"/>
    <row r="104" ht="14.1" customHeight="1"/>
    <row r="105" ht="14.1" customHeight="1"/>
    <row r="106" ht="14.1" customHeight="1"/>
    <row r="107" ht="14.1" customHeight="1"/>
    <row r="108" ht="14.1" customHeight="1"/>
    <row r="109" ht="14.1" customHeight="1"/>
    <row r="110" ht="14.1" customHeight="1"/>
    <row r="111" ht="14.1" customHeight="1"/>
    <row r="112" ht="14.1" customHeight="1"/>
    <row r="113" ht="14.1" customHeight="1"/>
    <row r="114" ht="14.1" customHeight="1"/>
    <row r="115" ht="14.1" customHeight="1"/>
    <row r="116" ht="14.1" customHeight="1"/>
    <row r="117" ht="14.1" customHeight="1"/>
    <row r="118" ht="14.1" customHeight="1"/>
    <row r="119" ht="14.1" customHeight="1"/>
    <row r="120" ht="14.1" customHeight="1"/>
    <row r="121" ht="14.1" customHeight="1"/>
    <row r="122" ht="14.1" customHeight="1"/>
    <row r="123" ht="14.1" customHeight="1"/>
    <row r="124" ht="14.1" customHeight="1"/>
    <row r="125" ht="14.1" customHeight="1"/>
    <row r="126" ht="14.1" customHeight="1"/>
    <row r="127" ht="14.1" customHeight="1"/>
    <row r="128" ht="14.1" customHeight="1"/>
    <row r="129" ht="14.1" customHeight="1"/>
    <row r="130" ht="14.1" customHeight="1"/>
    <row r="131" ht="14.1" customHeight="1"/>
    <row r="132" ht="14.1" customHeight="1"/>
    <row r="133" ht="14.1" customHeight="1"/>
    <row r="134" ht="14.1" customHeight="1"/>
    <row r="135" ht="14.1" customHeight="1"/>
    <row r="136" ht="14.1" customHeight="1"/>
    <row r="137" ht="14.1" customHeight="1"/>
    <row r="138" ht="14.1" customHeight="1"/>
    <row r="139" ht="14.1" customHeight="1"/>
    <row r="140" ht="14.1" customHeight="1"/>
    <row r="141" ht="14.1" customHeight="1"/>
    <row r="142" ht="14.1" customHeight="1"/>
    <row r="143" ht="14.1" customHeight="1"/>
    <row r="144" ht="14.1" customHeight="1"/>
    <row r="145" ht="14.1" customHeight="1"/>
    <row r="146" ht="14.1" customHeight="1"/>
    <row r="147" ht="14.1" customHeight="1"/>
    <row r="148" ht="14.1" customHeight="1"/>
    <row r="149" ht="14.1" customHeight="1"/>
    <row r="150" ht="14.1" customHeight="1"/>
    <row r="151" ht="14.1" customHeight="1"/>
    <row r="152" ht="14.1" customHeight="1"/>
    <row r="153" ht="14.1" customHeight="1"/>
    <row r="154" ht="14.1" customHeight="1"/>
    <row r="155" ht="14.1" customHeight="1"/>
    <row r="156" ht="14.1" customHeight="1"/>
    <row r="157" ht="14.1" customHeight="1"/>
    <row r="158" ht="14.1" customHeight="1"/>
    <row r="159" ht="14.1" customHeight="1"/>
    <row r="160" ht="14.1" customHeight="1"/>
    <row r="161" ht="14.1" customHeight="1"/>
    <row r="162" ht="14.1" customHeight="1"/>
    <row r="163" ht="14.1" customHeight="1"/>
    <row r="164" ht="14.1" customHeight="1"/>
    <row r="165" ht="14.1" customHeight="1"/>
    <row r="166" ht="14.1" customHeight="1"/>
    <row r="167" ht="14.1" customHeight="1"/>
    <row r="168" ht="14.1" customHeight="1"/>
    <row r="169" ht="14.1" customHeight="1"/>
    <row r="170" ht="14.1" customHeight="1"/>
    <row r="171" ht="14.1" customHeight="1"/>
    <row r="172" ht="14.1" customHeight="1"/>
    <row r="173" ht="14.1" customHeight="1"/>
    <row r="174" ht="14.1" customHeight="1"/>
    <row r="175" ht="14.1" customHeight="1"/>
    <row r="176" ht="14.1" customHeight="1"/>
    <row r="177" ht="14.1" customHeight="1"/>
    <row r="178" ht="14.1" customHeight="1"/>
    <row r="179" ht="14.1" customHeight="1"/>
    <row r="180" ht="14.1" customHeight="1"/>
    <row r="181" ht="14.1" customHeight="1"/>
    <row r="182" ht="14.1" customHeight="1"/>
    <row r="183" ht="14.1" customHeight="1"/>
    <row r="184" ht="14.1" customHeight="1"/>
    <row r="185" ht="14.1" customHeight="1"/>
    <row r="186" ht="14.1" customHeight="1"/>
    <row r="187" ht="14.1" customHeight="1"/>
    <row r="188" ht="14.1" customHeight="1"/>
    <row r="189" ht="14.1" customHeight="1"/>
    <row r="190" ht="14.1" customHeight="1"/>
    <row r="191" ht="14.1" customHeight="1"/>
    <row r="192" ht="14.1" customHeight="1"/>
    <row r="193" ht="14.1" customHeight="1"/>
    <row r="194" ht="14.1" customHeight="1"/>
    <row r="195" ht="14.1" customHeight="1"/>
    <row r="196" ht="14.1" customHeight="1"/>
    <row r="197" ht="14.1" customHeight="1"/>
    <row r="198" ht="14.1" customHeight="1"/>
    <row r="199" ht="14.1" customHeight="1"/>
    <row r="200" ht="14.1" customHeight="1"/>
    <row r="201" ht="14.1" customHeight="1"/>
    <row r="202" ht="14.1" customHeight="1"/>
    <row r="203" ht="14.1" customHeight="1"/>
    <row r="204" ht="14.1" customHeight="1"/>
    <row r="205" ht="14.1" customHeight="1"/>
    <row r="206" ht="14.1" customHeight="1"/>
    <row r="207" ht="14.1" customHeight="1"/>
    <row r="208" ht="14.1" customHeight="1"/>
    <row r="209" ht="14.1" customHeight="1"/>
    <row r="210" ht="14.1" customHeight="1"/>
    <row r="211" ht="14.1" customHeight="1"/>
    <row r="212" ht="14.1" customHeight="1"/>
    <row r="213" ht="14.1" customHeight="1"/>
    <row r="214" ht="14.1" customHeight="1"/>
    <row r="215" ht="14.1" customHeight="1"/>
    <row r="216" ht="14.1" customHeight="1"/>
    <row r="217" ht="14.1" customHeight="1"/>
    <row r="218" ht="14.1" customHeight="1"/>
    <row r="219" ht="14.1" customHeight="1"/>
    <row r="220" ht="14.1" customHeight="1"/>
    <row r="221" ht="14.1" customHeight="1"/>
    <row r="222" ht="14.1" customHeight="1"/>
    <row r="223" ht="14.1" customHeight="1"/>
    <row r="224" ht="14.1" customHeight="1"/>
    <row r="225" ht="14.1" customHeight="1"/>
    <row r="226" ht="14.1" customHeight="1"/>
    <row r="227" ht="14.1" customHeight="1"/>
    <row r="228" ht="14.1" customHeight="1"/>
    <row r="229" ht="14.1" customHeight="1"/>
    <row r="230" ht="14.1" customHeight="1"/>
    <row r="231" ht="14.1" customHeight="1"/>
    <row r="232" ht="14.1" customHeight="1"/>
    <row r="233" ht="14.1" customHeight="1"/>
    <row r="234" ht="14.1" customHeight="1"/>
    <row r="235" ht="14.1" customHeight="1"/>
    <row r="236" ht="14.1" customHeight="1"/>
    <row r="237" ht="14.1" customHeight="1"/>
    <row r="238" ht="14.1" customHeight="1"/>
    <row r="239" ht="14.1" customHeight="1"/>
    <row r="240" ht="14.1" customHeight="1"/>
    <row r="241" ht="14.1" customHeight="1"/>
    <row r="242" ht="14.1" customHeight="1"/>
    <row r="243" ht="14.1" customHeight="1"/>
    <row r="244" ht="14.1" customHeight="1"/>
    <row r="245" ht="14.1" customHeight="1"/>
    <row r="246" ht="14.1" customHeight="1"/>
    <row r="247" ht="14.1" customHeight="1"/>
    <row r="248" ht="14.1" customHeight="1"/>
    <row r="249" ht="14.1" customHeight="1"/>
    <row r="250" ht="14.1" customHeight="1"/>
    <row r="251" ht="14.1" customHeight="1"/>
    <row r="252" ht="14.1" customHeight="1"/>
    <row r="253" ht="14.1" customHeight="1"/>
    <row r="254" ht="14.1" customHeight="1"/>
    <row r="255" ht="14.1" customHeight="1"/>
    <row r="256" ht="14.1" customHeight="1"/>
    <row r="257" ht="14.1" customHeight="1"/>
    <row r="258" ht="14.1" customHeight="1"/>
    <row r="259" ht="14.1" customHeight="1"/>
    <row r="260" ht="14.1" customHeight="1"/>
    <row r="261" ht="14.1" customHeight="1"/>
    <row r="262" ht="14.1" customHeight="1"/>
    <row r="263" ht="14.1" customHeight="1"/>
    <row r="264" ht="14.1" customHeight="1"/>
    <row r="265" ht="14.1" customHeight="1"/>
    <row r="266" ht="14.1" customHeight="1"/>
  </sheetData>
  <sheetProtection algorithmName="SHA-512" hashValue="0loLJCJhL4ad+e9W1BFBlntzNt2hf75qC+V2eugpQkoXMOcFlTwiL5DSpVRXAf1cyQ/kgBnOXO/4cSPzCUKn4A==" saltValue="4etb9yyOEqZ9UduJqdtb6g==" spinCount="100000" sheet="1" autoFilter="0"/>
  <mergeCells count="381">
    <mergeCell ref="A1:S3"/>
    <mergeCell ref="T1:Z3"/>
    <mergeCell ref="AD1:AI1"/>
    <mergeCell ref="AD2:AF4"/>
    <mergeCell ref="AG2:AI4"/>
    <mergeCell ref="A4:S5"/>
    <mergeCell ref="AK7:AP8"/>
    <mergeCell ref="AQ7:AQ8"/>
    <mergeCell ref="V8:X8"/>
    <mergeCell ref="A9:AI9"/>
    <mergeCell ref="AK9:AP9"/>
    <mergeCell ref="A10:H10"/>
    <mergeCell ref="I10:J10"/>
    <mergeCell ref="K10:L10"/>
    <mergeCell ref="M10:T10"/>
    <mergeCell ref="U10:V10"/>
    <mergeCell ref="O7:P8"/>
    <mergeCell ref="Q7:R8"/>
    <mergeCell ref="S7:T8"/>
    <mergeCell ref="V7:X7"/>
    <mergeCell ref="Y7:AA8"/>
    <mergeCell ref="AB7:AI8"/>
    <mergeCell ref="A7:E8"/>
    <mergeCell ref="F7:F8"/>
    <mergeCell ref="G7:I8"/>
    <mergeCell ref="J7:J8"/>
    <mergeCell ref="K7:M8"/>
    <mergeCell ref="N7:N8"/>
    <mergeCell ref="W10:X10"/>
    <mergeCell ref="Y10:AF10"/>
    <mergeCell ref="AG10:AH10"/>
    <mergeCell ref="AK10:AP10"/>
    <mergeCell ref="A11:H11"/>
    <mergeCell ref="I11:J11"/>
    <mergeCell ref="K11:L11"/>
    <mergeCell ref="M11:T11"/>
    <mergeCell ref="U11:V11"/>
    <mergeCell ref="W11:X11"/>
    <mergeCell ref="Y11:AF11"/>
    <mergeCell ref="AG11:AH11"/>
    <mergeCell ref="AK11:AP11"/>
    <mergeCell ref="A12:H12"/>
    <mergeCell ref="I12:J12"/>
    <mergeCell ref="K12:L12"/>
    <mergeCell ref="M12:T12"/>
    <mergeCell ref="U12:V12"/>
    <mergeCell ref="W12:X12"/>
    <mergeCell ref="Y12:AF12"/>
    <mergeCell ref="AG12:AH12"/>
    <mergeCell ref="AK12:AP12"/>
    <mergeCell ref="A13:H13"/>
    <mergeCell ref="I13:J13"/>
    <mergeCell ref="K13:L13"/>
    <mergeCell ref="M13:T13"/>
    <mergeCell ref="U13:V13"/>
    <mergeCell ref="W13:X13"/>
    <mergeCell ref="Y13:AF13"/>
    <mergeCell ref="AG13:AH13"/>
    <mergeCell ref="AK13:AP13"/>
    <mergeCell ref="A14:AI14"/>
    <mergeCell ref="AK14:AP14"/>
    <mergeCell ref="B15:I15"/>
    <mergeCell ref="J15:L15"/>
    <mergeCell ref="M15:N15"/>
    <mergeCell ref="O15:V15"/>
    <mergeCell ref="W15:Y15"/>
    <mergeCell ref="Z15:AA15"/>
    <mergeCell ref="AB15:AG15"/>
    <mergeCell ref="A18:E18"/>
    <mergeCell ref="F18:AI18"/>
    <mergeCell ref="AK18:AP18"/>
    <mergeCell ref="B19:E19"/>
    <mergeCell ref="F19:AI19"/>
    <mergeCell ref="AK19:AP19"/>
    <mergeCell ref="AH15:AI15"/>
    <mergeCell ref="AK15:AP15"/>
    <mergeCell ref="A16:AI16"/>
    <mergeCell ref="AK16:AP16"/>
    <mergeCell ref="A17:E17"/>
    <mergeCell ref="F17:AI17"/>
    <mergeCell ref="AK17:AP17"/>
    <mergeCell ref="B20:E20"/>
    <mergeCell ref="F20:AI20"/>
    <mergeCell ref="AK20:AP20"/>
    <mergeCell ref="AR20:AR23"/>
    <mergeCell ref="B21:E21"/>
    <mergeCell ref="F21:AI21"/>
    <mergeCell ref="AK21:AP21"/>
    <mergeCell ref="B22:E22"/>
    <mergeCell ref="F22:AI22"/>
    <mergeCell ref="AK22:AP22"/>
    <mergeCell ref="BA23:BB23"/>
    <mergeCell ref="B24:E24"/>
    <mergeCell ref="F24:AI24"/>
    <mergeCell ref="AK24:AP24"/>
    <mergeCell ref="AY24:AZ24"/>
    <mergeCell ref="BA24:BB24"/>
    <mergeCell ref="AS22:AT22"/>
    <mergeCell ref="AU22:AV22"/>
    <mergeCell ref="AY22:AZ22"/>
    <mergeCell ref="BA22:BB22"/>
    <mergeCell ref="B23:E23"/>
    <mergeCell ref="F23:AI23"/>
    <mergeCell ref="AK23:AP23"/>
    <mergeCell ref="AS23:AT23"/>
    <mergeCell ref="AU23:AV23"/>
    <mergeCell ref="AY23:AZ23"/>
    <mergeCell ref="B27:E27"/>
    <mergeCell ref="F27:AI27"/>
    <mergeCell ref="AK27:AP27"/>
    <mergeCell ref="AS27:AT27"/>
    <mergeCell ref="AU27:AW27"/>
    <mergeCell ref="AY27:BB27"/>
    <mergeCell ref="B25:E25"/>
    <mergeCell ref="F25:AI25"/>
    <mergeCell ref="AK25:AP25"/>
    <mergeCell ref="AY25:AZ25"/>
    <mergeCell ref="BA25:BB25"/>
    <mergeCell ref="B26:E26"/>
    <mergeCell ref="F26:AI26"/>
    <mergeCell ref="AK26:AP26"/>
    <mergeCell ref="AS26:AW26"/>
    <mergeCell ref="BA28:BB28"/>
    <mergeCell ref="B29:E29"/>
    <mergeCell ref="F29:AI29"/>
    <mergeCell ref="AK29:AP29"/>
    <mergeCell ref="AS29:AT29"/>
    <mergeCell ref="AU29:AW29"/>
    <mergeCell ref="AY29:AZ29"/>
    <mergeCell ref="BA29:BB29"/>
    <mergeCell ref="B28:E28"/>
    <mergeCell ref="F28:AI28"/>
    <mergeCell ref="AK28:AP28"/>
    <mergeCell ref="AS28:AT28"/>
    <mergeCell ref="AU28:AW28"/>
    <mergeCell ref="AY28:AZ28"/>
    <mergeCell ref="A32:AI32"/>
    <mergeCell ref="AK32:AP32"/>
    <mergeCell ref="AS32:AT32"/>
    <mergeCell ref="AU32:AW32"/>
    <mergeCell ref="AY32:AZ32"/>
    <mergeCell ref="BA32:BB32"/>
    <mergeCell ref="BA30:BB30"/>
    <mergeCell ref="B31:E31"/>
    <mergeCell ref="F31:AI31"/>
    <mergeCell ref="AK31:AP31"/>
    <mergeCell ref="AS31:AT31"/>
    <mergeCell ref="AU31:AW31"/>
    <mergeCell ref="AY31:AZ31"/>
    <mergeCell ref="BA31:BB31"/>
    <mergeCell ref="B30:E30"/>
    <mergeCell ref="F30:AI30"/>
    <mergeCell ref="AK30:AP30"/>
    <mergeCell ref="AS30:AT30"/>
    <mergeCell ref="AU30:AW30"/>
    <mergeCell ref="AY30:AZ30"/>
    <mergeCell ref="BA33:BB33"/>
    <mergeCell ref="B34:E34"/>
    <mergeCell ref="F34:AI34"/>
    <mergeCell ref="AK34:AP34"/>
    <mergeCell ref="AS34:AT34"/>
    <mergeCell ref="AU34:AW34"/>
    <mergeCell ref="AY34:AZ34"/>
    <mergeCell ref="BA34:BB34"/>
    <mergeCell ref="B33:E33"/>
    <mergeCell ref="F33:AI33"/>
    <mergeCell ref="AK33:AP33"/>
    <mergeCell ref="AS33:AT33"/>
    <mergeCell ref="AU33:AW33"/>
    <mergeCell ref="AY33:AZ33"/>
    <mergeCell ref="AY35:AZ35"/>
    <mergeCell ref="BA35:BB35"/>
    <mergeCell ref="A36:E36"/>
    <mergeCell ref="F36:K36"/>
    <mergeCell ref="L36:O36"/>
    <mergeCell ref="P36:R36"/>
    <mergeCell ref="T36:V36"/>
    <mergeCell ref="W36:AB36"/>
    <mergeCell ref="AC36:AI36"/>
    <mergeCell ref="B35:E35"/>
    <mergeCell ref="F35:V35"/>
    <mergeCell ref="W35:AB35"/>
    <mergeCell ref="AC35:AI35"/>
    <mergeCell ref="AK35:AP35"/>
    <mergeCell ref="AS35:AT35"/>
    <mergeCell ref="AK36:AP36"/>
    <mergeCell ref="AS36:AT36"/>
    <mergeCell ref="AU36:AW36"/>
    <mergeCell ref="AU35:AW35"/>
    <mergeCell ref="A39:AI39"/>
    <mergeCell ref="AK39:AP39"/>
    <mergeCell ref="AS39:AT39"/>
    <mergeCell ref="AV39:AW39"/>
    <mergeCell ref="A38:E38"/>
    <mergeCell ref="F38:K38"/>
    <mergeCell ref="L38:O38"/>
    <mergeCell ref="P38:V38"/>
    <mergeCell ref="W38:AB38"/>
    <mergeCell ref="AC38:AI38"/>
    <mergeCell ref="AD40:AI40"/>
    <mergeCell ref="A37:E37"/>
    <mergeCell ref="F37:AI37"/>
    <mergeCell ref="AK40:AP40"/>
    <mergeCell ref="AS40:AT40"/>
    <mergeCell ref="AV40:AW40"/>
    <mergeCell ref="A41:D41"/>
    <mergeCell ref="E41:G41"/>
    <mergeCell ref="I41:K41"/>
    <mergeCell ref="L41:R41"/>
    <mergeCell ref="S41:V41"/>
    <mergeCell ref="W41:Y41"/>
    <mergeCell ref="AA41:AC41"/>
    <mergeCell ref="AD41:AI41"/>
    <mergeCell ref="AK41:AP41"/>
    <mergeCell ref="A40:D40"/>
    <mergeCell ref="E40:K40"/>
    <mergeCell ref="L40:R40"/>
    <mergeCell ref="S40:V40"/>
    <mergeCell ref="W40:AC40"/>
    <mergeCell ref="AK37:AP37"/>
    <mergeCell ref="AS37:AT37"/>
    <mergeCell ref="AU37:AW37"/>
    <mergeCell ref="AK38:AP38"/>
    <mergeCell ref="A42:D42"/>
    <mergeCell ref="E42:G42"/>
    <mergeCell ref="I42:K42"/>
    <mergeCell ref="L42:R42"/>
    <mergeCell ref="S42:V42"/>
    <mergeCell ref="W42:Y42"/>
    <mergeCell ref="AA42:AC42"/>
    <mergeCell ref="AK42:AP42"/>
    <mergeCell ref="AS42:AW42"/>
    <mergeCell ref="A43:D43"/>
    <mergeCell ref="E43:G43"/>
    <mergeCell ref="I43:K43"/>
    <mergeCell ref="L43:R43"/>
    <mergeCell ref="S43:V43"/>
    <mergeCell ref="W43:Y43"/>
    <mergeCell ref="AA43:AC43"/>
    <mergeCell ref="A44:D44"/>
    <mergeCell ref="E44:G44"/>
    <mergeCell ref="I44:K44"/>
    <mergeCell ref="L44:R44"/>
    <mergeCell ref="S44:V44"/>
    <mergeCell ref="W44:Y44"/>
    <mergeCell ref="AA44:AC44"/>
    <mergeCell ref="AD44:AI44"/>
    <mergeCell ref="AD42:AI42"/>
    <mergeCell ref="AK44:AP44"/>
    <mergeCell ref="R45:U45"/>
    <mergeCell ref="W45:X45"/>
    <mergeCell ref="Z45:AA45"/>
    <mergeCell ref="AC45:AD45"/>
    <mergeCell ref="AE45:AF45"/>
    <mergeCell ref="AK45:AP45"/>
    <mergeCell ref="AD43:AI43"/>
    <mergeCell ref="AK43:AP43"/>
    <mergeCell ref="B49:E49"/>
    <mergeCell ref="F49:AI49"/>
    <mergeCell ref="AK49:AP49"/>
    <mergeCell ref="B50:E50"/>
    <mergeCell ref="F50:AI50"/>
    <mergeCell ref="AK50:AP50"/>
    <mergeCell ref="A46:AI46"/>
    <mergeCell ref="AK46:AP46"/>
    <mergeCell ref="B47:E47"/>
    <mergeCell ref="F47:AI47"/>
    <mergeCell ref="AK47:AP47"/>
    <mergeCell ref="B48:E48"/>
    <mergeCell ref="F48:AI48"/>
    <mergeCell ref="AK48:AP48"/>
    <mergeCell ref="B53:E53"/>
    <mergeCell ref="F53:AI53"/>
    <mergeCell ref="AK53:AP53"/>
    <mergeCell ref="B54:E54"/>
    <mergeCell ref="F54:AI54"/>
    <mergeCell ref="AK54:AP54"/>
    <mergeCell ref="B51:E51"/>
    <mergeCell ref="F51:AI51"/>
    <mergeCell ref="AK51:AP51"/>
    <mergeCell ref="B52:E52"/>
    <mergeCell ref="F52:AI52"/>
    <mergeCell ref="AK52:AP52"/>
    <mergeCell ref="B57:E57"/>
    <mergeCell ref="F57:AI57"/>
    <mergeCell ref="AK57:AP57"/>
    <mergeCell ref="B58:E58"/>
    <mergeCell ref="F58:AI58"/>
    <mergeCell ref="AK58:AP58"/>
    <mergeCell ref="B55:E55"/>
    <mergeCell ref="F55:AI55"/>
    <mergeCell ref="AK55:AP55"/>
    <mergeCell ref="B56:E56"/>
    <mergeCell ref="F56:AI56"/>
    <mergeCell ref="AK56:AP56"/>
    <mergeCell ref="B61:E61"/>
    <mergeCell ref="F61:AI61"/>
    <mergeCell ref="AK61:AP61"/>
    <mergeCell ref="B62:E62"/>
    <mergeCell ref="F62:AI62"/>
    <mergeCell ref="AK62:AP62"/>
    <mergeCell ref="B59:E59"/>
    <mergeCell ref="F59:AI59"/>
    <mergeCell ref="AK59:AP59"/>
    <mergeCell ref="B60:E60"/>
    <mergeCell ref="F60:AI60"/>
    <mergeCell ref="AK60:AP60"/>
    <mergeCell ref="B65:E65"/>
    <mergeCell ref="F65:AI65"/>
    <mergeCell ref="AK65:AP65"/>
    <mergeCell ref="B66:E66"/>
    <mergeCell ref="F66:AI66"/>
    <mergeCell ref="AK66:AP66"/>
    <mergeCell ref="B63:E63"/>
    <mergeCell ref="F63:AI63"/>
    <mergeCell ref="AK63:AP63"/>
    <mergeCell ref="B64:E64"/>
    <mergeCell ref="F64:AI64"/>
    <mergeCell ref="AK64:AP64"/>
    <mergeCell ref="B69:E69"/>
    <mergeCell ref="F69:AI69"/>
    <mergeCell ref="AK69:AP69"/>
    <mergeCell ref="B70:E70"/>
    <mergeCell ref="F70:AI70"/>
    <mergeCell ref="AK70:AP70"/>
    <mergeCell ref="B67:E67"/>
    <mergeCell ref="F67:AI67"/>
    <mergeCell ref="AK67:AP67"/>
    <mergeCell ref="B68:E68"/>
    <mergeCell ref="F68:AI68"/>
    <mergeCell ref="AK68:AP68"/>
    <mergeCell ref="B73:E73"/>
    <mergeCell ref="F73:AI73"/>
    <mergeCell ref="AK73:AP73"/>
    <mergeCell ref="B74:E74"/>
    <mergeCell ref="F74:AI74"/>
    <mergeCell ref="AK74:AP74"/>
    <mergeCell ref="B71:E71"/>
    <mergeCell ref="F71:AI71"/>
    <mergeCell ref="AK71:AP71"/>
    <mergeCell ref="B72:E72"/>
    <mergeCell ref="F72:AI72"/>
    <mergeCell ref="AK72:AP72"/>
    <mergeCell ref="B77:E77"/>
    <mergeCell ref="F77:AI77"/>
    <mergeCell ref="AK77:AP77"/>
    <mergeCell ref="B78:E78"/>
    <mergeCell ref="F78:AI78"/>
    <mergeCell ref="AK78:AP78"/>
    <mergeCell ref="B75:E75"/>
    <mergeCell ref="F75:AI75"/>
    <mergeCell ref="AK75:AP75"/>
    <mergeCell ref="B76:E76"/>
    <mergeCell ref="F76:AI76"/>
    <mergeCell ref="AK76:AP76"/>
    <mergeCell ref="A81:AI81"/>
    <mergeCell ref="AK81:AP81"/>
    <mergeCell ref="B82:E82"/>
    <mergeCell ref="F82:AI82"/>
    <mergeCell ref="AK82:AP82"/>
    <mergeCell ref="B83:E83"/>
    <mergeCell ref="F83:AI83"/>
    <mergeCell ref="AK83:AP83"/>
    <mergeCell ref="B79:E79"/>
    <mergeCell ref="F79:AI79"/>
    <mergeCell ref="AK79:AP79"/>
    <mergeCell ref="B80:E80"/>
    <mergeCell ref="F80:AI80"/>
    <mergeCell ref="AK80:AP80"/>
    <mergeCell ref="B86:E86"/>
    <mergeCell ref="F86:AI86"/>
    <mergeCell ref="AK86:AP86"/>
    <mergeCell ref="AK87:AP87"/>
    <mergeCell ref="AK88:AP88"/>
    <mergeCell ref="AK89:AP89"/>
    <mergeCell ref="B84:E84"/>
    <mergeCell ref="F84:AI84"/>
    <mergeCell ref="AK84:AP84"/>
    <mergeCell ref="B85:E85"/>
    <mergeCell ref="F85:AI85"/>
    <mergeCell ref="AK85:AP85"/>
  </mergeCells>
  <phoneticPr fontId="2"/>
  <conditionalFormatting sqref="AQ20:AQ28 AQ30:AQ31 AQ9 AQ11:AQ12 AQ14 AQ33:AQ34">
    <cfRule type="containsBlanks" dxfId="251" priority="12">
      <formula>LEN(TRIM(AQ9))=0</formula>
    </cfRule>
  </conditionalFormatting>
  <conditionalFormatting sqref="BC11:CF11">
    <cfRule type="containsText" dxfId="250" priority="8" operator="containsText" text="青">
      <formula>NOT(ISERROR(SEARCH("青",BC11)))</formula>
    </cfRule>
    <cfRule type="containsText" dxfId="249" priority="9" operator="containsText" text="緑">
      <formula>NOT(ISERROR(SEARCH("緑",BC11)))</formula>
    </cfRule>
    <cfRule type="containsText" dxfId="248" priority="10" operator="containsText" text="黄">
      <formula>NOT(ISERROR(SEARCH("黄",BC11)))</formula>
    </cfRule>
    <cfRule type="containsText" dxfId="247" priority="11" operator="containsText" text="赤">
      <formula>NOT(ISERROR(SEARCH("赤",BC11)))</formula>
    </cfRule>
  </conditionalFormatting>
  <conditionalFormatting sqref="V7:X8">
    <cfRule type="containsBlanks" dxfId="246" priority="7">
      <formula>LEN(TRIM(V7))=0</formula>
    </cfRule>
  </conditionalFormatting>
  <conditionalFormatting sqref="AB7:AI8">
    <cfRule type="containsBlanks" dxfId="245" priority="6">
      <formula>LEN(TRIM(AB7))=0</formula>
    </cfRule>
  </conditionalFormatting>
  <conditionalFormatting sqref="A7:E8 G7:I8 K7:M8 O7:P8">
    <cfRule type="containsBlanks" dxfId="244" priority="5">
      <formula>LEN(TRIM(A7))=0</formula>
    </cfRule>
  </conditionalFormatting>
  <conditionalFormatting sqref="W15:Y15 AH15:AI15 J15:L15">
    <cfRule type="containsBlanks" dxfId="243" priority="4">
      <formula>LEN(TRIM(J15))=0</formula>
    </cfRule>
  </conditionalFormatting>
  <conditionalFormatting sqref="L41:R44">
    <cfRule type="cellIs" dxfId="242" priority="1" operator="equal">
      <formula>0</formula>
    </cfRule>
  </conditionalFormatting>
  <conditionalFormatting sqref="P36:R36 T36:V36 L38:O38 AC38:AI38 AC36:AI36">
    <cfRule type="containsBlanks" dxfId="241" priority="3">
      <formula>LEN(TRIM(L36))=0</formula>
    </cfRule>
  </conditionalFormatting>
  <conditionalFormatting sqref="W41:Y44 AA41:AI44">
    <cfRule type="cellIs" dxfId="240" priority="2" operator="equal">
      <formula>0</formula>
    </cfRule>
  </conditionalFormatting>
  <printOptions horizontalCentered="1" verticalCentered="1"/>
  <pageMargins left="0.70866141732283472" right="0.59055118110236227" top="0.55118110236220474" bottom="0.55118110236220474" header="0.31496062992125984" footer="0.31496062992125984"/>
  <pageSetup paperSize="9" orientation="portrait" horizontalDpi="300" verticalDpi="300" r:id="rId1"/>
  <headerFooter scaleWithDoc="0" alignWithMargins="0">
    <oddFooter>&amp;C&amp;P&amp;Rヒトトヒト株式会社</oddFooter>
  </headerFooter>
  <rowBreaks count="1" manualBreakCount="1">
    <brk id="44" max="34" man="1"/>
  </rowBreaks>
  <drawing r:id="rId2"/>
  <extLst>
    <ext xmlns:x14="http://schemas.microsoft.com/office/spreadsheetml/2009/9/main" uri="{CCE6A557-97BC-4b89-ADB6-D9C93CAAB3DF}">
      <x14:dataValidations xmlns:xm="http://schemas.microsoft.com/office/excel/2006/main" disablePrompts="1" count="6">
        <x14:dataValidation type="list" allowBlank="1" showInputMessage="1" showErrorMessage="1" xr:uid="{BB2781A1-3115-44FE-BED0-4BEB46C77142}">
          <x14:formula1>
            <xm:f>初期値!$C$12:$C$27</xm:f>
          </x14:formula1>
          <xm:sqref>P36:R36 T36:V36</xm:sqref>
        </x14:dataValidation>
        <x14:dataValidation type="list" allowBlank="1" showInputMessage="1" showErrorMessage="1" xr:uid="{5B321386-4D69-4BDE-B7AE-EAC2828F4AE5}">
          <x14:formula1>
            <xm:f>初期値!$G$12:$G$24</xm:f>
          </x14:formula1>
          <xm:sqref>V7:X8</xm:sqref>
        </x14:dataValidation>
        <x14:dataValidation type="list" allowBlank="1" showInputMessage="1" showErrorMessage="1" xr:uid="{E865FC85-6C39-4C94-ADD5-75F9A26E2A9F}">
          <x14:formula1>
            <xm:f>初期値!$E$12:$E$13</xm:f>
          </x14:formula1>
          <xm:sqref>L38:O38 AC38:AI38 AC36:AI36</xm:sqref>
        </x14:dataValidation>
        <x14:dataValidation type="list" allowBlank="1" showInputMessage="1" showErrorMessage="1" xr:uid="{90D92D17-90C2-4B29-82F9-D3220A37ED5E}">
          <x14:formula1>
            <xm:f>初期値!$N$22:$N$23</xm:f>
          </x14:formula1>
          <xm:sqref>AW23</xm:sqref>
        </x14:dataValidation>
        <x14:dataValidation type="list" allowBlank="1" showInputMessage="1" showErrorMessage="1" xr:uid="{C5C1A69F-F041-4767-8EF5-8946A0730DA0}">
          <x14:formula1>
            <xm:f>初期値!$P$12:$P$27</xm:f>
          </x14:formula1>
          <xm:sqref>BA24:BB24 BA22:BB22 BA28:BB28 BA30:BB30 BA32:BB32 BA34:BB34</xm:sqref>
        </x14:dataValidation>
        <x14:dataValidation type="list" allowBlank="1" showInputMessage="1" showErrorMessage="1" xr:uid="{9492CC8C-A0E9-429C-BCF1-6B85BEE3E93C}">
          <x14:formula1>
            <xm:f>初期値!$N$12:$N$19</xm:f>
          </x14:formula1>
          <xm:sqref>AU22:AV22</xm:sqref>
        </x14:dataValidation>
      </x14:dataValidations>
    </ext>
  </extLst>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5D15E1F-2289-4E6D-B934-E4F878DE60A9}">
  <sheetPr codeName="Sheet19"/>
  <dimension ref="A1:CG266"/>
  <sheetViews>
    <sheetView topLeftCell="A13" zoomScaleNormal="100" zoomScaleSheetLayoutView="100" workbookViewId="0">
      <selection activeCell="AK42" sqref="AK42:AP42"/>
    </sheetView>
  </sheetViews>
  <sheetFormatPr defaultColWidth="8.875" defaultRowHeight="13.5"/>
  <cols>
    <col min="1" max="42" width="2.25" style="23" customWidth="1"/>
    <col min="43" max="43" width="6" style="23" bestFit="1" customWidth="1"/>
    <col min="44" max="44" width="4.5" style="23" bestFit="1" customWidth="1"/>
    <col min="45" max="45" width="6" style="23" bestFit="1" customWidth="1"/>
    <col min="46" max="46" width="4.5" style="23" bestFit="1" customWidth="1"/>
    <col min="47" max="47" width="9" style="23" bestFit="1" customWidth="1"/>
    <col min="48" max="48" width="8.5" style="23" bestFit="1" customWidth="1"/>
    <col min="49" max="49" width="7.5" style="23" bestFit="1" customWidth="1"/>
    <col min="50" max="50" width="6.5" style="23" bestFit="1" customWidth="1"/>
    <col min="51" max="51" width="7.5" style="23" bestFit="1" customWidth="1"/>
    <col min="52" max="52" width="2.125" style="23" customWidth="1"/>
    <col min="53" max="54" width="7.375" style="23" customWidth="1"/>
    <col min="55" max="63" width="3.625" style="23" bestFit="1" customWidth="1"/>
    <col min="64" max="84" width="4" style="23" bestFit="1" customWidth="1"/>
    <col min="85" max="16384" width="8.875" style="23"/>
  </cols>
  <sheetData>
    <row r="1" spans="1:85" ht="14.1" customHeight="1">
      <c r="A1" s="510" t="s">
        <v>551</v>
      </c>
      <c r="B1" s="510"/>
      <c r="C1" s="510"/>
      <c r="D1" s="510"/>
      <c r="E1" s="510"/>
      <c r="F1" s="510"/>
      <c r="G1" s="510"/>
      <c r="H1" s="510"/>
      <c r="I1" s="510"/>
      <c r="J1" s="510"/>
      <c r="K1" s="510"/>
      <c r="L1" s="510"/>
      <c r="M1" s="510"/>
      <c r="N1" s="510"/>
      <c r="O1" s="510"/>
      <c r="P1" s="510"/>
      <c r="Q1" s="510"/>
      <c r="R1" s="510"/>
      <c r="S1" s="510"/>
      <c r="T1" s="388"/>
      <c r="U1" s="388"/>
      <c r="V1" s="388"/>
      <c r="W1" s="388"/>
      <c r="X1" s="388"/>
      <c r="Y1" s="388"/>
      <c r="Z1" s="388"/>
      <c r="AA1" s="24"/>
      <c r="AB1" s="32"/>
      <c r="AD1" s="252" t="s">
        <v>167</v>
      </c>
      <c r="AE1" s="252"/>
      <c r="AF1" s="252"/>
      <c r="AG1" s="252"/>
      <c r="AH1" s="252"/>
      <c r="AI1" s="252"/>
      <c r="AM1" s="123">
        <v>12</v>
      </c>
      <c r="BB1"/>
    </row>
    <row r="2" spans="1:85" ht="14.1" customHeight="1">
      <c r="A2" s="510"/>
      <c r="B2" s="510"/>
      <c r="C2" s="510"/>
      <c r="D2" s="510"/>
      <c r="E2" s="510"/>
      <c r="F2" s="510"/>
      <c r="G2" s="510"/>
      <c r="H2" s="510"/>
      <c r="I2" s="510"/>
      <c r="J2" s="510"/>
      <c r="K2" s="510"/>
      <c r="L2" s="510"/>
      <c r="M2" s="510"/>
      <c r="N2" s="510"/>
      <c r="O2" s="510"/>
      <c r="P2" s="510"/>
      <c r="Q2" s="510"/>
      <c r="R2" s="510"/>
      <c r="S2" s="510"/>
      <c r="T2" s="388"/>
      <c r="U2" s="388"/>
      <c r="V2" s="388"/>
      <c r="W2" s="388"/>
      <c r="X2" s="388"/>
      <c r="Y2" s="388"/>
      <c r="Z2" s="388"/>
      <c r="AA2" s="25"/>
      <c r="AB2" s="31"/>
      <c r="AD2" s="253"/>
      <c r="AE2" s="253"/>
      <c r="AF2" s="253"/>
      <c r="AG2" s="253"/>
      <c r="AH2" s="253"/>
      <c r="AI2" s="253"/>
      <c r="BA2"/>
    </row>
    <row r="3" spans="1:85" ht="14.1" customHeight="1">
      <c r="A3" s="510"/>
      <c r="B3" s="510"/>
      <c r="C3" s="510"/>
      <c r="D3" s="510"/>
      <c r="E3" s="510"/>
      <c r="F3" s="510"/>
      <c r="G3" s="510"/>
      <c r="H3" s="510"/>
      <c r="I3" s="510"/>
      <c r="J3" s="510"/>
      <c r="K3" s="510"/>
      <c r="L3" s="510"/>
      <c r="M3" s="510"/>
      <c r="N3" s="510"/>
      <c r="O3" s="510"/>
      <c r="P3" s="510"/>
      <c r="Q3" s="510"/>
      <c r="R3" s="510"/>
      <c r="S3" s="510"/>
      <c r="T3" s="388"/>
      <c r="U3" s="388"/>
      <c r="V3" s="388"/>
      <c r="W3" s="388"/>
      <c r="X3" s="388"/>
      <c r="Y3" s="388"/>
      <c r="Z3" s="388"/>
      <c r="AA3" s="25"/>
      <c r="AB3" s="31"/>
      <c r="AD3" s="253"/>
      <c r="AE3" s="253"/>
      <c r="AF3" s="253"/>
      <c r="AG3" s="253"/>
      <c r="AH3" s="253"/>
      <c r="AI3" s="253"/>
      <c r="BA3"/>
    </row>
    <row r="4" spans="1:85" ht="14.1" customHeight="1">
      <c r="A4" s="395" t="s">
        <v>552</v>
      </c>
      <c r="B4" s="395"/>
      <c r="C4" s="395"/>
      <c r="D4" s="395"/>
      <c r="E4" s="395"/>
      <c r="F4" s="395"/>
      <c r="G4" s="395"/>
      <c r="H4" s="395"/>
      <c r="I4" s="395"/>
      <c r="J4" s="395"/>
      <c r="K4" s="395"/>
      <c r="L4" s="395"/>
      <c r="M4" s="395"/>
      <c r="N4" s="395"/>
      <c r="O4" s="395"/>
      <c r="P4" s="395"/>
      <c r="Q4" s="395"/>
      <c r="R4" s="395"/>
      <c r="S4" s="395"/>
      <c r="T4" s="155"/>
      <c r="U4" s="155"/>
      <c r="V4" s="155"/>
      <c r="W4" s="155"/>
      <c r="X4" s="155"/>
      <c r="Y4" s="155"/>
      <c r="Z4" s="155"/>
      <c r="AA4" s="26"/>
      <c r="AB4" s="31"/>
      <c r="AD4" s="253"/>
      <c r="AE4" s="253"/>
      <c r="AF4" s="253"/>
      <c r="AG4" s="253"/>
      <c r="AH4" s="253"/>
      <c r="AI4" s="253"/>
      <c r="BA4"/>
    </row>
    <row r="5" spans="1:85" ht="14.1" customHeight="1">
      <c r="A5" s="395"/>
      <c r="B5" s="395"/>
      <c r="C5" s="395"/>
      <c r="D5" s="395"/>
      <c r="E5" s="395"/>
      <c r="F5" s="395"/>
      <c r="G5" s="395"/>
      <c r="H5" s="395"/>
      <c r="I5" s="395"/>
      <c r="J5" s="395"/>
      <c r="K5" s="395"/>
      <c r="L5" s="395"/>
      <c r="M5" s="395"/>
      <c r="N5" s="395"/>
      <c r="O5" s="395"/>
      <c r="P5" s="395"/>
      <c r="Q5" s="395"/>
      <c r="R5" s="395"/>
      <c r="S5" s="395"/>
      <c r="T5" s="155"/>
      <c r="U5" s="155"/>
      <c r="V5" s="155"/>
      <c r="W5" s="155"/>
      <c r="X5" s="155"/>
      <c r="Y5" s="155"/>
      <c r="Z5" s="155"/>
      <c r="AA5" s="26"/>
      <c r="AB5" s="31"/>
      <c r="AC5" s="31"/>
      <c r="AD5" s="31"/>
      <c r="AE5" s="31"/>
      <c r="AF5" s="31"/>
      <c r="AG5" s="31"/>
      <c r="AH5" s="31"/>
      <c r="AI5" s="31"/>
      <c r="BA5"/>
    </row>
    <row r="6" spans="1:85" ht="14.1" customHeight="1" thickBot="1">
      <c r="A6" s="27"/>
      <c r="B6" s="27"/>
      <c r="C6" s="27"/>
      <c r="D6" s="27"/>
      <c r="E6" s="27"/>
      <c r="F6" s="27"/>
      <c r="G6" s="27"/>
      <c r="H6" s="27"/>
      <c r="I6" s="27"/>
      <c r="BA6"/>
    </row>
    <row r="7" spans="1:85" ht="12" customHeight="1">
      <c r="A7" s="255">
        <f>DATE(初期値!A2,初期値!A3,AM1)</f>
        <v>46185</v>
      </c>
      <c r="B7" s="256"/>
      <c r="C7" s="256"/>
      <c r="D7" s="256"/>
      <c r="E7" s="256"/>
      <c r="F7" s="259" t="s">
        <v>169</v>
      </c>
      <c r="G7" s="236">
        <f>$A$7</f>
        <v>46185</v>
      </c>
      <c r="H7" s="236"/>
      <c r="I7" s="236"/>
      <c r="J7" s="239" t="s">
        <v>170</v>
      </c>
      <c r="K7" s="261">
        <f>$A$7</f>
        <v>46185</v>
      </c>
      <c r="L7" s="261"/>
      <c r="M7" s="261"/>
      <c r="N7" s="239" t="s">
        <v>3</v>
      </c>
      <c r="O7" s="520">
        <f>$A$7</f>
        <v>46185</v>
      </c>
      <c r="P7" s="520"/>
      <c r="Q7" s="239" t="s">
        <v>292</v>
      </c>
      <c r="R7" s="240"/>
      <c r="S7" s="522" t="s">
        <v>553</v>
      </c>
      <c r="T7" s="244"/>
      <c r="U7" s="29" t="s">
        <v>554</v>
      </c>
      <c r="V7" s="518" t="s">
        <v>63</v>
      </c>
      <c r="W7" s="518"/>
      <c r="X7" s="518"/>
      <c r="Y7" s="511" t="s">
        <v>555</v>
      </c>
      <c r="Z7" s="512"/>
      <c r="AA7" s="513"/>
      <c r="AB7" s="244" t="str">
        <f>L43</f>
        <v>片山薫</v>
      </c>
      <c r="AC7" s="244"/>
      <c r="AD7" s="244"/>
      <c r="AE7" s="244"/>
      <c r="AF7" s="244"/>
      <c r="AG7" s="244"/>
      <c r="AH7" s="244"/>
      <c r="AI7" s="245"/>
      <c r="AK7" s="425" t="s">
        <v>556</v>
      </c>
      <c r="AL7" s="425"/>
      <c r="AM7" s="425"/>
      <c r="AN7" s="425"/>
      <c r="AO7" s="425"/>
      <c r="AP7" s="425"/>
      <c r="AQ7" s="439" t="s">
        <v>557</v>
      </c>
      <c r="AR7" s="43"/>
      <c r="AS7" s="43"/>
      <c r="AT7" s="43"/>
      <c r="AU7" s="43"/>
      <c r="AV7" s="43"/>
      <c r="AW7" s="43"/>
      <c r="AX7" s="43"/>
      <c r="AY7" s="43"/>
      <c r="AZ7" s="43"/>
      <c r="BA7"/>
    </row>
    <row r="8" spans="1:85" ht="12" customHeight="1" thickBot="1">
      <c r="A8" s="257"/>
      <c r="B8" s="258"/>
      <c r="C8" s="258"/>
      <c r="D8" s="258"/>
      <c r="E8" s="258"/>
      <c r="F8" s="260"/>
      <c r="G8" s="237"/>
      <c r="H8" s="237"/>
      <c r="I8" s="237"/>
      <c r="J8" s="242"/>
      <c r="K8" s="262"/>
      <c r="L8" s="262"/>
      <c r="M8" s="262"/>
      <c r="N8" s="242"/>
      <c r="O8" s="521"/>
      <c r="P8" s="521"/>
      <c r="Q8" s="242"/>
      <c r="R8" s="243"/>
      <c r="S8" s="523"/>
      <c r="T8" s="246"/>
      <c r="U8" s="33" t="s">
        <v>558</v>
      </c>
      <c r="V8" s="519" t="s">
        <v>37</v>
      </c>
      <c r="W8" s="519"/>
      <c r="X8" s="519"/>
      <c r="Y8" s="514"/>
      <c r="Z8" s="515"/>
      <c r="AA8" s="516"/>
      <c r="AB8" s="246"/>
      <c r="AC8" s="246"/>
      <c r="AD8" s="246"/>
      <c r="AE8" s="246"/>
      <c r="AF8" s="246"/>
      <c r="AG8" s="246"/>
      <c r="AH8" s="246"/>
      <c r="AI8" s="247"/>
      <c r="AK8" s="425"/>
      <c r="AL8" s="425"/>
      <c r="AM8" s="425"/>
      <c r="AN8" s="425"/>
      <c r="AO8" s="425"/>
      <c r="AP8" s="425"/>
      <c r="AQ8" s="439"/>
      <c r="AR8" s="43"/>
      <c r="AS8" s="43"/>
      <c r="AT8" s="43"/>
      <c r="AU8" s="43"/>
      <c r="AV8" s="43"/>
      <c r="AW8" s="43"/>
      <c r="AX8" s="43"/>
      <c r="AY8" s="43"/>
      <c r="AZ8" s="43"/>
      <c r="BA8"/>
    </row>
    <row r="9" spans="1:85" ht="18" customHeight="1">
      <c r="A9" s="507" t="s">
        <v>559</v>
      </c>
      <c r="B9" s="508"/>
      <c r="C9" s="508"/>
      <c r="D9" s="508"/>
      <c r="E9" s="508"/>
      <c r="F9" s="508"/>
      <c r="G9" s="508"/>
      <c r="H9" s="508"/>
      <c r="I9" s="508"/>
      <c r="J9" s="508"/>
      <c r="K9" s="508"/>
      <c r="L9" s="508"/>
      <c r="M9" s="508"/>
      <c r="N9" s="508"/>
      <c r="O9" s="508"/>
      <c r="P9" s="508"/>
      <c r="Q9" s="508"/>
      <c r="R9" s="508"/>
      <c r="S9" s="508"/>
      <c r="T9" s="508"/>
      <c r="U9" s="508"/>
      <c r="V9" s="508"/>
      <c r="W9" s="508"/>
      <c r="X9" s="508"/>
      <c r="Y9" s="508"/>
      <c r="Z9" s="508"/>
      <c r="AA9" s="508"/>
      <c r="AB9" s="508"/>
      <c r="AC9" s="508"/>
      <c r="AD9" s="508"/>
      <c r="AE9" s="508"/>
      <c r="AF9" s="508"/>
      <c r="AG9" s="508"/>
      <c r="AH9" s="508"/>
      <c r="AI9" s="509"/>
      <c r="AK9" s="440" t="s">
        <v>560</v>
      </c>
      <c r="AL9" s="440"/>
      <c r="AM9" s="440"/>
      <c r="AN9" s="440"/>
      <c r="AO9" s="440"/>
      <c r="AP9" s="440"/>
      <c r="AQ9" s="42">
        <v>59</v>
      </c>
      <c r="AR9" s="43"/>
      <c r="AS9" s="44" t="s">
        <v>561</v>
      </c>
      <c r="AT9" s="44" t="s">
        <v>562</v>
      </c>
      <c r="AU9" s="44" t="s">
        <v>563</v>
      </c>
      <c r="AV9" s="44" t="s">
        <v>564</v>
      </c>
      <c r="AW9" s="45" t="s">
        <v>565</v>
      </c>
      <c r="AX9" s="45" t="s">
        <v>566</v>
      </c>
      <c r="AY9" s="44" t="s">
        <v>567</v>
      </c>
      <c r="AZ9" s="43"/>
      <c r="BB9" s="49" t="s">
        <v>568</v>
      </c>
      <c r="BC9" s="43"/>
      <c r="BD9" s="43"/>
      <c r="BE9" s="43"/>
      <c r="BF9" s="43"/>
      <c r="BG9" s="43"/>
      <c r="BH9" s="43"/>
      <c r="BI9" s="43"/>
      <c r="BJ9" s="43"/>
      <c r="BK9" s="43"/>
      <c r="BL9" s="43"/>
      <c r="BM9" s="43"/>
      <c r="BN9" s="43"/>
      <c r="BO9" s="43"/>
      <c r="BP9" s="43"/>
      <c r="BQ9" s="43"/>
      <c r="BR9" s="43"/>
      <c r="BS9" s="43"/>
      <c r="BT9" s="43"/>
      <c r="BU9" s="43"/>
      <c r="BV9" s="43"/>
      <c r="BW9" s="43"/>
      <c r="BX9" s="43"/>
      <c r="BY9" s="43"/>
      <c r="BZ9" s="43"/>
      <c r="CA9" s="43"/>
      <c r="CB9" s="43"/>
      <c r="CC9" s="43"/>
      <c r="CD9" s="43"/>
      <c r="CE9" s="43"/>
      <c r="CF9" s="43"/>
      <c r="CG9" s="43"/>
    </row>
    <row r="10" spans="1:85" ht="18" customHeight="1">
      <c r="A10" s="265" t="s">
        <v>569</v>
      </c>
      <c r="B10" s="266"/>
      <c r="C10" s="266"/>
      <c r="D10" s="266"/>
      <c r="E10" s="266"/>
      <c r="F10" s="266"/>
      <c r="G10" s="266"/>
      <c r="H10" s="266"/>
      <c r="I10" s="264">
        <f>AQ14</f>
        <v>0</v>
      </c>
      <c r="J10" s="264"/>
      <c r="K10" s="267" t="s">
        <v>176</v>
      </c>
      <c r="L10" s="268"/>
      <c r="M10" s="269" t="s">
        <v>570</v>
      </c>
      <c r="N10" s="266"/>
      <c r="O10" s="266"/>
      <c r="P10" s="266"/>
      <c r="Q10" s="266"/>
      <c r="R10" s="266"/>
      <c r="S10" s="266"/>
      <c r="T10" s="266"/>
      <c r="U10" s="264">
        <f>AQ37</f>
        <v>0</v>
      </c>
      <c r="V10" s="264"/>
      <c r="W10" s="267" t="s">
        <v>176</v>
      </c>
      <c r="X10" s="268"/>
      <c r="Y10" s="269" t="s">
        <v>571</v>
      </c>
      <c r="Z10" s="266"/>
      <c r="AA10" s="266"/>
      <c r="AB10" s="266"/>
      <c r="AC10" s="266"/>
      <c r="AD10" s="266"/>
      <c r="AE10" s="266"/>
      <c r="AF10" s="266"/>
      <c r="AG10" s="264">
        <f>AQ26+AQ25</f>
        <v>0</v>
      </c>
      <c r="AH10" s="264"/>
      <c r="AI10" s="28" t="s">
        <v>176</v>
      </c>
      <c r="AK10" s="440" t="s">
        <v>572</v>
      </c>
      <c r="AL10" s="440"/>
      <c r="AM10" s="440"/>
      <c r="AN10" s="440"/>
      <c r="AO10" s="440"/>
      <c r="AP10" s="440"/>
      <c r="AQ10" s="42"/>
      <c r="AR10" s="43"/>
      <c r="AS10" s="46">
        <v>1</v>
      </c>
      <c r="AT10" s="46"/>
      <c r="AU10" s="46" t="s">
        <v>119</v>
      </c>
      <c r="AV10" s="47" t="s">
        <v>573</v>
      </c>
      <c r="AW10" s="47" t="s">
        <v>574</v>
      </c>
      <c r="AX10" s="47">
        <v>0.33333333333333331</v>
      </c>
      <c r="AY10" s="47">
        <v>0.83333333333333337</v>
      </c>
      <c r="AZ10" s="43"/>
      <c r="BB10" s="49" t="s">
        <v>95</v>
      </c>
      <c r="BC10" s="120">
        <v>1</v>
      </c>
      <c r="BD10" s="120">
        <v>2</v>
      </c>
      <c r="BE10" s="120">
        <v>3</v>
      </c>
      <c r="BF10" s="120">
        <v>4</v>
      </c>
      <c r="BG10" s="120">
        <v>5</v>
      </c>
      <c r="BH10" s="120">
        <v>6</v>
      </c>
      <c r="BI10" s="120">
        <v>7</v>
      </c>
      <c r="BJ10" s="120">
        <v>8</v>
      </c>
      <c r="BK10" s="120">
        <v>9</v>
      </c>
      <c r="BL10" s="120">
        <v>10</v>
      </c>
      <c r="BM10" s="120">
        <v>11</v>
      </c>
      <c r="BN10" s="120">
        <v>12</v>
      </c>
      <c r="BO10" s="120">
        <v>13</v>
      </c>
      <c r="BP10" s="120">
        <v>14</v>
      </c>
      <c r="BQ10" s="120">
        <v>15</v>
      </c>
      <c r="BR10" s="120">
        <v>16</v>
      </c>
      <c r="BS10" s="120">
        <v>17</v>
      </c>
      <c r="BT10" s="120">
        <v>18</v>
      </c>
      <c r="BU10" s="120">
        <v>19</v>
      </c>
      <c r="BV10" s="120">
        <v>20</v>
      </c>
      <c r="BW10" s="120">
        <v>21</v>
      </c>
      <c r="BX10" s="120">
        <v>22</v>
      </c>
      <c r="BY10" s="120">
        <v>23</v>
      </c>
      <c r="BZ10" s="120">
        <v>24</v>
      </c>
      <c r="CA10" s="120">
        <v>25</v>
      </c>
      <c r="CB10" s="120">
        <v>26</v>
      </c>
      <c r="CC10" s="120">
        <v>27</v>
      </c>
      <c r="CD10" s="120">
        <v>28</v>
      </c>
      <c r="CE10" s="120">
        <v>29</v>
      </c>
      <c r="CF10" s="120">
        <v>30</v>
      </c>
      <c r="CG10" s="43"/>
    </row>
    <row r="11" spans="1:85" ht="18" customHeight="1">
      <c r="A11" s="265" t="s">
        <v>575</v>
      </c>
      <c r="B11" s="266"/>
      <c r="C11" s="266"/>
      <c r="D11" s="266"/>
      <c r="E11" s="266"/>
      <c r="F11" s="266"/>
      <c r="G11" s="266"/>
      <c r="H11" s="266"/>
      <c r="I11" s="264">
        <f>AQ27</f>
        <v>0</v>
      </c>
      <c r="J11" s="264"/>
      <c r="K11" s="267" t="s">
        <v>176</v>
      </c>
      <c r="L11" s="268"/>
      <c r="M11" s="269" t="s">
        <v>576</v>
      </c>
      <c r="N11" s="266"/>
      <c r="O11" s="266"/>
      <c r="P11" s="266"/>
      <c r="Q11" s="266"/>
      <c r="R11" s="266"/>
      <c r="S11" s="266"/>
      <c r="T11" s="266"/>
      <c r="U11" s="264">
        <f>AQ36</f>
        <v>0</v>
      </c>
      <c r="V11" s="264"/>
      <c r="W11" s="267" t="s">
        <v>176</v>
      </c>
      <c r="X11" s="268"/>
      <c r="Y11" s="269" t="s">
        <v>577</v>
      </c>
      <c r="Z11" s="266"/>
      <c r="AA11" s="266"/>
      <c r="AB11" s="266"/>
      <c r="AC11" s="266"/>
      <c r="AD11" s="266"/>
      <c r="AE11" s="266"/>
      <c r="AF11" s="266"/>
      <c r="AG11" s="264">
        <f>AQ34</f>
        <v>0</v>
      </c>
      <c r="AH11" s="264"/>
      <c r="AI11" s="28" t="s">
        <v>176</v>
      </c>
      <c r="AK11" s="441" t="s">
        <v>578</v>
      </c>
      <c r="AL11" s="442"/>
      <c r="AM11" s="442"/>
      <c r="AN11" s="442"/>
      <c r="AO11" s="442"/>
      <c r="AP11" s="443"/>
      <c r="AQ11" s="42">
        <v>29</v>
      </c>
      <c r="AR11" s="43"/>
      <c r="AS11" s="46">
        <v>2</v>
      </c>
      <c r="AT11" s="46"/>
      <c r="AU11" s="46"/>
      <c r="AV11" s="47" t="s">
        <v>579</v>
      </c>
      <c r="AW11" s="47" t="s">
        <v>580</v>
      </c>
      <c r="AX11" s="47">
        <v>0.33333333333333331</v>
      </c>
      <c r="AY11" s="47">
        <v>0.58333333333333337</v>
      </c>
      <c r="AZ11" s="43"/>
      <c r="BB11" s="121" t="s">
        <v>581</v>
      </c>
      <c r="BC11" s="138" t="s">
        <v>582</v>
      </c>
      <c r="BD11" s="138" t="s">
        <v>583</v>
      </c>
      <c r="BE11" s="138" t="s">
        <v>584</v>
      </c>
      <c r="BF11" s="138" t="s">
        <v>585</v>
      </c>
      <c r="BG11" s="139" t="s">
        <v>584</v>
      </c>
      <c r="BH11" s="138" t="s">
        <v>582</v>
      </c>
      <c r="BI11" s="138" t="s">
        <v>585</v>
      </c>
      <c r="BJ11" s="138" t="s">
        <v>583</v>
      </c>
      <c r="BK11" s="138" t="s">
        <v>584</v>
      </c>
      <c r="BL11" s="138" t="s">
        <v>583</v>
      </c>
      <c r="BM11" s="138" t="s">
        <v>585</v>
      </c>
      <c r="BN11" s="138" t="s">
        <v>582</v>
      </c>
      <c r="BO11" s="138" t="s">
        <v>584</v>
      </c>
      <c r="BP11" s="138" t="s">
        <v>585</v>
      </c>
      <c r="BQ11" s="138" t="s">
        <v>583</v>
      </c>
      <c r="BR11" s="138" t="s">
        <v>585</v>
      </c>
      <c r="BS11" s="138" t="s">
        <v>584</v>
      </c>
      <c r="BT11" s="138" t="s">
        <v>582</v>
      </c>
      <c r="BU11" s="138" t="s">
        <v>583</v>
      </c>
      <c r="BV11" s="138" t="s">
        <v>585</v>
      </c>
      <c r="BW11" s="138" t="s">
        <v>582</v>
      </c>
      <c r="BX11" s="138" t="s">
        <v>584</v>
      </c>
      <c r="BY11" s="138" t="s">
        <v>585</v>
      </c>
      <c r="BZ11" s="138" t="s">
        <v>583</v>
      </c>
      <c r="CA11" s="138" t="s">
        <v>582</v>
      </c>
      <c r="CB11" s="138" t="s">
        <v>585</v>
      </c>
      <c r="CC11" s="138" t="s">
        <v>584</v>
      </c>
      <c r="CD11" s="138" t="s">
        <v>582</v>
      </c>
      <c r="CE11" s="138" t="s">
        <v>585</v>
      </c>
      <c r="CF11" s="138" t="s">
        <v>583</v>
      </c>
      <c r="CG11" s="43"/>
    </row>
    <row r="12" spans="1:85" ht="18" customHeight="1">
      <c r="A12" s="265" t="s">
        <v>586</v>
      </c>
      <c r="B12" s="266"/>
      <c r="C12" s="266"/>
      <c r="D12" s="266"/>
      <c r="E12" s="266"/>
      <c r="F12" s="266"/>
      <c r="G12" s="266"/>
      <c r="H12" s="266"/>
      <c r="I12" s="264">
        <f>AQ33</f>
        <v>0</v>
      </c>
      <c r="J12" s="264"/>
      <c r="K12" s="267" t="s">
        <v>176</v>
      </c>
      <c r="L12" s="268"/>
      <c r="M12" s="269" t="s">
        <v>587</v>
      </c>
      <c r="N12" s="266"/>
      <c r="O12" s="266"/>
      <c r="P12" s="266"/>
      <c r="Q12" s="266"/>
      <c r="R12" s="266"/>
      <c r="S12" s="266"/>
      <c r="T12" s="266"/>
      <c r="U12" s="264">
        <f>AQ24</f>
        <v>0</v>
      </c>
      <c r="V12" s="264"/>
      <c r="W12" s="267" t="s">
        <v>176</v>
      </c>
      <c r="X12" s="268"/>
      <c r="Y12" s="269" t="s">
        <v>588</v>
      </c>
      <c r="Z12" s="266"/>
      <c r="AA12" s="266"/>
      <c r="AB12" s="266"/>
      <c r="AC12" s="266"/>
      <c r="AD12" s="266"/>
      <c r="AE12" s="266"/>
      <c r="AF12" s="266"/>
      <c r="AG12" s="264">
        <f>AQ20+AQ21+AQ22+AQ23</f>
        <v>1</v>
      </c>
      <c r="AH12" s="264"/>
      <c r="AI12" s="28" t="s">
        <v>176</v>
      </c>
      <c r="AK12" s="441" t="s">
        <v>589</v>
      </c>
      <c r="AL12" s="442"/>
      <c r="AM12" s="442"/>
      <c r="AN12" s="442"/>
      <c r="AO12" s="442"/>
      <c r="AP12" s="443"/>
      <c r="AQ12" s="42">
        <v>59</v>
      </c>
      <c r="AR12" s="43"/>
      <c r="AS12" s="46">
        <v>3</v>
      </c>
      <c r="AT12" s="46"/>
      <c r="AU12" s="46"/>
      <c r="AV12" s="47" t="s">
        <v>590</v>
      </c>
      <c r="AW12" s="47" t="s">
        <v>574</v>
      </c>
      <c r="AX12" s="47">
        <v>0.58333333333333337</v>
      </c>
      <c r="AY12" s="47">
        <v>0.83333333333333337</v>
      </c>
      <c r="AZ12" s="43"/>
      <c r="BB12" s="49"/>
      <c r="BC12" s="43"/>
      <c r="BD12" s="43"/>
      <c r="BE12" s="43"/>
      <c r="BF12" s="43"/>
      <c r="BG12" s="43"/>
      <c r="BH12" s="43"/>
      <c r="BI12" s="43"/>
      <c r="BJ12" s="43"/>
      <c r="BK12" s="43"/>
      <c r="BL12" s="43"/>
      <c r="BM12" s="43"/>
      <c r="BN12" s="43"/>
      <c r="BO12" s="43"/>
      <c r="BP12" s="43"/>
      <c r="BQ12" s="43"/>
      <c r="BR12" s="43"/>
      <c r="BS12" s="43"/>
      <c r="BT12" s="43"/>
      <c r="BU12" s="43"/>
      <c r="BV12" s="43"/>
      <c r="BW12" s="43"/>
      <c r="BX12" s="43"/>
      <c r="BY12" s="43"/>
      <c r="BZ12" s="43"/>
      <c r="CA12" s="43"/>
      <c r="CB12" s="43"/>
      <c r="CC12" s="43"/>
      <c r="CD12" s="43"/>
      <c r="CE12" s="43"/>
      <c r="CF12" s="43"/>
      <c r="CG12" s="43"/>
    </row>
    <row r="13" spans="1:85" ht="18" customHeight="1" thickBot="1">
      <c r="A13" s="517" t="s">
        <v>591</v>
      </c>
      <c r="B13" s="277"/>
      <c r="C13" s="277"/>
      <c r="D13" s="277"/>
      <c r="E13" s="277"/>
      <c r="F13" s="277"/>
      <c r="G13" s="277"/>
      <c r="H13" s="277"/>
      <c r="I13" s="272">
        <f>AQ30+AQ31</f>
        <v>0</v>
      </c>
      <c r="J13" s="272"/>
      <c r="K13" s="273" t="s">
        <v>176</v>
      </c>
      <c r="L13" s="274"/>
      <c r="M13" s="276" t="s">
        <v>592</v>
      </c>
      <c r="N13" s="277"/>
      <c r="O13" s="277"/>
      <c r="P13" s="277"/>
      <c r="Q13" s="277"/>
      <c r="R13" s="277"/>
      <c r="S13" s="277"/>
      <c r="T13" s="277"/>
      <c r="U13" s="272">
        <f>AQ28</f>
        <v>0</v>
      </c>
      <c r="V13" s="272"/>
      <c r="W13" s="273" t="s">
        <v>176</v>
      </c>
      <c r="X13" s="274"/>
      <c r="Y13" s="276" t="s">
        <v>593</v>
      </c>
      <c r="Z13" s="277"/>
      <c r="AA13" s="277"/>
      <c r="AB13" s="277"/>
      <c r="AC13" s="277"/>
      <c r="AD13" s="277"/>
      <c r="AE13" s="277"/>
      <c r="AF13" s="277"/>
      <c r="AG13" s="272">
        <f>AQ13</f>
        <v>0</v>
      </c>
      <c r="AH13" s="272"/>
      <c r="AI13" s="34" t="s">
        <v>176</v>
      </c>
      <c r="AK13" s="425" t="s">
        <v>594</v>
      </c>
      <c r="AL13" s="425"/>
      <c r="AM13" s="425"/>
      <c r="AN13" s="425"/>
      <c r="AO13" s="425"/>
      <c r="AP13" s="425"/>
      <c r="AQ13" s="42"/>
      <c r="AR13" s="43"/>
      <c r="AS13" s="46">
        <v>4</v>
      </c>
      <c r="AT13" s="46"/>
      <c r="AU13" s="46" t="s">
        <v>28</v>
      </c>
      <c r="AV13" s="47" t="s">
        <v>595</v>
      </c>
      <c r="AW13" s="47" t="s">
        <v>596</v>
      </c>
      <c r="AX13" s="47">
        <v>0.33333333333333331</v>
      </c>
      <c r="AY13" s="47">
        <v>0.83333333333333337</v>
      </c>
      <c r="AZ13" s="43"/>
      <c r="BB13" s="121" t="s">
        <v>597</v>
      </c>
      <c r="BC13" s="140" t="s">
        <v>20</v>
      </c>
      <c r="BD13" s="140" t="s">
        <v>119</v>
      </c>
      <c r="BE13" s="140" t="s">
        <v>20</v>
      </c>
      <c r="BF13" s="140" t="s">
        <v>20</v>
      </c>
      <c r="BG13" s="140" t="s">
        <v>20</v>
      </c>
      <c r="BH13" s="140" t="s">
        <v>20</v>
      </c>
      <c r="BI13" s="140" t="s">
        <v>80</v>
      </c>
      <c r="BJ13" s="140" t="s">
        <v>20</v>
      </c>
      <c r="BK13" s="140" t="s">
        <v>20</v>
      </c>
      <c r="BL13" s="140" t="s">
        <v>20</v>
      </c>
      <c r="BM13" s="140" t="s">
        <v>20</v>
      </c>
      <c r="BN13" s="140" t="s">
        <v>20</v>
      </c>
      <c r="BO13" s="140" t="s">
        <v>119</v>
      </c>
      <c r="BP13" s="140" t="s">
        <v>119</v>
      </c>
      <c r="BQ13" s="140" t="s">
        <v>20</v>
      </c>
      <c r="BR13" s="140" t="s">
        <v>119</v>
      </c>
      <c r="BS13" s="140" t="s">
        <v>20</v>
      </c>
      <c r="BT13" s="140" t="s">
        <v>20</v>
      </c>
      <c r="BU13" s="140" t="s">
        <v>20</v>
      </c>
      <c r="BV13" s="140" t="s">
        <v>119</v>
      </c>
      <c r="BW13" s="140" t="s">
        <v>119</v>
      </c>
      <c r="BX13" s="140" t="s">
        <v>20</v>
      </c>
      <c r="BY13" s="140" t="s">
        <v>119</v>
      </c>
      <c r="BZ13" s="140" t="s">
        <v>20</v>
      </c>
      <c r="CA13" s="140" t="s">
        <v>119</v>
      </c>
      <c r="CB13" s="140" t="s">
        <v>20</v>
      </c>
      <c r="CC13" s="140" t="s">
        <v>20</v>
      </c>
      <c r="CD13" s="140" t="s">
        <v>119</v>
      </c>
      <c r="CE13" s="140" t="s">
        <v>20</v>
      </c>
      <c r="CF13" s="140" t="s">
        <v>119</v>
      </c>
      <c r="CG13" s="43"/>
    </row>
    <row r="14" spans="1:85" ht="18" customHeight="1" thickBot="1">
      <c r="A14" s="452" t="s">
        <v>598</v>
      </c>
      <c r="B14" s="453"/>
      <c r="C14" s="453"/>
      <c r="D14" s="453"/>
      <c r="E14" s="453"/>
      <c r="F14" s="453"/>
      <c r="G14" s="453"/>
      <c r="H14" s="453"/>
      <c r="I14" s="453"/>
      <c r="J14" s="453"/>
      <c r="K14" s="453"/>
      <c r="L14" s="453"/>
      <c r="M14" s="453"/>
      <c r="N14" s="453"/>
      <c r="O14" s="453"/>
      <c r="P14" s="453"/>
      <c r="Q14" s="453"/>
      <c r="R14" s="453"/>
      <c r="S14" s="453"/>
      <c r="T14" s="453"/>
      <c r="U14" s="453"/>
      <c r="V14" s="453"/>
      <c r="W14" s="453"/>
      <c r="X14" s="453"/>
      <c r="Y14" s="453"/>
      <c r="Z14" s="453"/>
      <c r="AA14" s="453"/>
      <c r="AB14" s="453"/>
      <c r="AC14" s="453"/>
      <c r="AD14" s="453"/>
      <c r="AE14" s="453"/>
      <c r="AF14" s="453"/>
      <c r="AG14" s="453"/>
      <c r="AH14" s="453"/>
      <c r="AI14" s="454"/>
      <c r="AK14" s="440" t="s">
        <v>599</v>
      </c>
      <c r="AL14" s="440"/>
      <c r="AM14" s="440"/>
      <c r="AN14" s="440"/>
      <c r="AO14" s="440"/>
      <c r="AP14" s="440"/>
      <c r="AQ14" s="42"/>
      <c r="AR14" s="43"/>
      <c r="AS14" s="46">
        <v>5</v>
      </c>
      <c r="AT14" s="46"/>
      <c r="AU14" s="46"/>
      <c r="AV14" s="47" t="s">
        <v>600</v>
      </c>
      <c r="AW14" s="47" t="s">
        <v>596</v>
      </c>
      <c r="AX14" s="47">
        <v>0.33333333333333331</v>
      </c>
      <c r="AY14" s="47">
        <v>0.83333333333333337</v>
      </c>
      <c r="AZ14" s="43"/>
      <c r="BB14" s="121" t="s">
        <v>601</v>
      </c>
      <c r="BC14" s="162" t="s">
        <v>28</v>
      </c>
      <c r="BD14" s="162" t="s">
        <v>602</v>
      </c>
      <c r="BE14" s="162" t="s">
        <v>602</v>
      </c>
      <c r="BF14" s="162" t="s">
        <v>28</v>
      </c>
      <c r="BG14" s="162" t="s">
        <v>602</v>
      </c>
      <c r="BH14" s="162" t="s">
        <v>602</v>
      </c>
      <c r="BI14" s="162" t="s">
        <v>28</v>
      </c>
      <c r="BJ14" s="162" t="s">
        <v>28</v>
      </c>
      <c r="BK14" s="162" t="s">
        <v>602</v>
      </c>
      <c r="BL14" s="162" t="s">
        <v>28</v>
      </c>
      <c r="BM14" s="162" t="s">
        <v>602</v>
      </c>
      <c r="BN14" s="162" t="s">
        <v>28</v>
      </c>
      <c r="BO14" s="162" t="s">
        <v>28</v>
      </c>
      <c r="BP14" s="162" t="s">
        <v>76</v>
      </c>
      <c r="BQ14" s="162" t="s">
        <v>28</v>
      </c>
      <c r="BR14" s="162" t="s">
        <v>602</v>
      </c>
      <c r="BS14" s="162" t="s">
        <v>28</v>
      </c>
      <c r="BT14" s="162" t="s">
        <v>602</v>
      </c>
      <c r="BU14" s="162" t="s">
        <v>28</v>
      </c>
      <c r="BV14" s="162" t="s">
        <v>602</v>
      </c>
      <c r="BW14" s="162" t="s">
        <v>28</v>
      </c>
      <c r="BX14" s="162" t="s">
        <v>28</v>
      </c>
      <c r="BY14" s="162" t="s">
        <v>602</v>
      </c>
      <c r="BZ14" s="162" t="s">
        <v>28</v>
      </c>
      <c r="CA14" s="162" t="s">
        <v>602</v>
      </c>
      <c r="CB14" s="162" t="s">
        <v>28</v>
      </c>
      <c r="CC14" s="162" t="s">
        <v>28</v>
      </c>
      <c r="CD14" s="162" t="s">
        <v>76</v>
      </c>
      <c r="CE14" s="162" t="s">
        <v>28</v>
      </c>
      <c r="CF14" s="162" t="s">
        <v>602</v>
      </c>
      <c r="CG14" s="43"/>
    </row>
    <row r="15" spans="1:85" ht="18" customHeight="1" thickBot="1">
      <c r="A15" s="30" t="s">
        <v>189</v>
      </c>
      <c r="B15" s="264" t="s">
        <v>603</v>
      </c>
      <c r="C15" s="264"/>
      <c r="D15" s="264"/>
      <c r="E15" s="264"/>
      <c r="F15" s="264"/>
      <c r="G15" s="264"/>
      <c r="H15" s="264"/>
      <c r="I15" s="264"/>
      <c r="J15" s="278">
        <f>AQ9+AQ10</f>
        <v>59</v>
      </c>
      <c r="K15" s="278"/>
      <c r="L15" s="278"/>
      <c r="M15" s="264" t="s">
        <v>176</v>
      </c>
      <c r="N15" s="264"/>
      <c r="O15" s="264" t="s">
        <v>604</v>
      </c>
      <c r="P15" s="264"/>
      <c r="Q15" s="264"/>
      <c r="R15" s="264"/>
      <c r="S15" s="264"/>
      <c r="T15" s="264"/>
      <c r="U15" s="264"/>
      <c r="V15" s="264"/>
      <c r="W15" s="278">
        <f>AQ11+AQ12</f>
        <v>88</v>
      </c>
      <c r="X15" s="278"/>
      <c r="Y15" s="278"/>
      <c r="Z15" s="264" t="s">
        <v>176</v>
      </c>
      <c r="AA15" s="264"/>
      <c r="AB15" s="503" t="s">
        <v>605</v>
      </c>
      <c r="AC15" s="503"/>
      <c r="AD15" s="503"/>
      <c r="AE15" s="503"/>
      <c r="AF15" s="503"/>
      <c r="AG15" s="503"/>
      <c r="AH15" s="281" t="s">
        <v>582</v>
      </c>
      <c r="AI15" s="282"/>
      <c r="AK15" s="425" t="s">
        <v>606</v>
      </c>
      <c r="AL15" s="425"/>
      <c r="AM15" s="425"/>
      <c r="AN15" s="425"/>
      <c r="AO15" s="425"/>
      <c r="AP15" s="425"/>
      <c r="AQ15" s="42"/>
      <c r="AR15" s="43"/>
      <c r="AS15" s="46">
        <v>6</v>
      </c>
      <c r="AT15" s="46"/>
      <c r="AU15" s="46"/>
      <c r="AV15" s="47" t="s">
        <v>607</v>
      </c>
      <c r="AW15" s="47" t="s">
        <v>596</v>
      </c>
      <c r="AX15" s="47">
        <v>0.33333333333333331</v>
      </c>
      <c r="AY15" s="47">
        <v>0.83333333333333337</v>
      </c>
      <c r="AZ15" s="43"/>
      <c r="BB15" s="121" t="s">
        <v>31</v>
      </c>
      <c r="BC15" s="163" t="s">
        <v>119</v>
      </c>
      <c r="BD15" s="164"/>
      <c r="BE15" s="165" t="s">
        <v>28</v>
      </c>
      <c r="BF15" s="165" t="s">
        <v>119</v>
      </c>
      <c r="BG15" s="164"/>
      <c r="BH15" s="164"/>
      <c r="BI15" s="164"/>
      <c r="BJ15" s="164"/>
      <c r="BK15" s="165" t="s">
        <v>119</v>
      </c>
      <c r="BL15" s="165" t="s">
        <v>602</v>
      </c>
      <c r="BM15" s="165" t="s">
        <v>119</v>
      </c>
      <c r="BN15" s="165" t="s">
        <v>602</v>
      </c>
      <c r="BO15" s="164"/>
      <c r="BP15" s="164"/>
      <c r="BQ15" s="165" t="s">
        <v>608</v>
      </c>
      <c r="BR15" s="165" t="s">
        <v>20</v>
      </c>
      <c r="BS15" s="165" t="s">
        <v>602</v>
      </c>
      <c r="BT15" s="165" t="s">
        <v>119</v>
      </c>
      <c r="BU15" s="165" t="s">
        <v>602</v>
      </c>
      <c r="BV15" s="164"/>
      <c r="BW15" s="164"/>
      <c r="BX15" s="165" t="s">
        <v>119</v>
      </c>
      <c r="BY15" s="165" t="s">
        <v>20</v>
      </c>
      <c r="BZ15" s="165" t="s">
        <v>602</v>
      </c>
      <c r="CA15" s="165" t="s">
        <v>20</v>
      </c>
      <c r="CB15" s="165" t="s">
        <v>602</v>
      </c>
      <c r="CC15" s="165" t="s">
        <v>602</v>
      </c>
      <c r="CD15" s="164"/>
      <c r="CE15" s="165" t="s">
        <v>119</v>
      </c>
      <c r="CF15" s="165" t="s">
        <v>20</v>
      </c>
      <c r="CG15" s="43"/>
    </row>
    <row r="16" spans="1:85" ht="18" customHeight="1">
      <c r="A16" s="504" t="s">
        <v>609</v>
      </c>
      <c r="B16" s="505"/>
      <c r="C16" s="505"/>
      <c r="D16" s="505"/>
      <c r="E16" s="505"/>
      <c r="F16" s="505"/>
      <c r="G16" s="505"/>
      <c r="H16" s="505"/>
      <c r="I16" s="505"/>
      <c r="J16" s="505"/>
      <c r="K16" s="505"/>
      <c r="L16" s="505"/>
      <c r="M16" s="505"/>
      <c r="N16" s="505"/>
      <c r="O16" s="505"/>
      <c r="P16" s="505"/>
      <c r="Q16" s="505"/>
      <c r="R16" s="505"/>
      <c r="S16" s="505"/>
      <c r="T16" s="505"/>
      <c r="U16" s="505"/>
      <c r="V16" s="505"/>
      <c r="W16" s="505"/>
      <c r="X16" s="505"/>
      <c r="Y16" s="505"/>
      <c r="Z16" s="505"/>
      <c r="AA16" s="505"/>
      <c r="AB16" s="505"/>
      <c r="AC16" s="505"/>
      <c r="AD16" s="505"/>
      <c r="AE16" s="505"/>
      <c r="AF16" s="505"/>
      <c r="AG16" s="505"/>
      <c r="AH16" s="505"/>
      <c r="AI16" s="506"/>
      <c r="AK16" s="425" t="s">
        <v>610</v>
      </c>
      <c r="AL16" s="425"/>
      <c r="AM16" s="425"/>
      <c r="AN16" s="425"/>
      <c r="AO16" s="425"/>
      <c r="AP16" s="425"/>
      <c r="AQ16" s="42"/>
      <c r="AR16" s="43"/>
      <c r="AS16" s="46">
        <v>7</v>
      </c>
      <c r="AT16" s="46"/>
      <c r="AU16" s="46" t="s">
        <v>67</v>
      </c>
      <c r="AV16" s="47" t="s">
        <v>611</v>
      </c>
      <c r="AW16" s="47" t="s">
        <v>612</v>
      </c>
      <c r="AX16" s="47">
        <v>0.83333333333333337</v>
      </c>
      <c r="AY16" s="47" t="s">
        <v>613</v>
      </c>
      <c r="AZ16" s="43"/>
      <c r="BB16" s="121" t="s">
        <v>614</v>
      </c>
      <c r="BC16" s="142" t="s">
        <v>20</v>
      </c>
      <c r="BD16" s="140" t="s">
        <v>67</v>
      </c>
      <c r="BE16" s="142" t="s">
        <v>42</v>
      </c>
      <c r="BF16" s="142" t="s">
        <v>20</v>
      </c>
      <c r="BG16" s="142" t="s">
        <v>42</v>
      </c>
      <c r="BH16" s="142" t="s">
        <v>61</v>
      </c>
      <c r="BI16" s="142" t="s">
        <v>67</v>
      </c>
      <c r="BJ16" s="142" t="s">
        <v>67</v>
      </c>
      <c r="BK16" s="142" t="s">
        <v>42</v>
      </c>
      <c r="BL16" s="142" t="s">
        <v>42</v>
      </c>
      <c r="BM16" s="142" t="s">
        <v>67</v>
      </c>
      <c r="BN16" s="142" t="s">
        <v>67</v>
      </c>
      <c r="BO16" s="142" t="s">
        <v>42</v>
      </c>
      <c r="BP16" s="142" t="s">
        <v>67</v>
      </c>
      <c r="BQ16" s="142" t="s">
        <v>20</v>
      </c>
      <c r="BR16" s="142" t="s">
        <v>71</v>
      </c>
      <c r="BS16" s="142" t="s">
        <v>67</v>
      </c>
      <c r="BT16" s="142" t="s">
        <v>67</v>
      </c>
      <c r="BU16" s="142" t="s">
        <v>61</v>
      </c>
      <c r="BV16" s="142" t="s">
        <v>42</v>
      </c>
      <c r="BW16" s="142" t="s">
        <v>49</v>
      </c>
      <c r="BX16" s="142" t="s">
        <v>20</v>
      </c>
      <c r="BY16" s="142" t="s">
        <v>71</v>
      </c>
      <c r="BZ16" s="142" t="s">
        <v>42</v>
      </c>
      <c r="CA16" s="142" t="s">
        <v>20</v>
      </c>
      <c r="CB16" s="142" t="s">
        <v>61</v>
      </c>
      <c r="CC16" s="142" t="s">
        <v>42</v>
      </c>
      <c r="CD16" s="142" t="s">
        <v>49</v>
      </c>
      <c r="CE16" s="142" t="s">
        <v>20</v>
      </c>
      <c r="CF16" s="143" t="s">
        <v>71</v>
      </c>
      <c r="CG16" s="43"/>
    </row>
    <row r="17" spans="1:85" ht="18" customHeight="1">
      <c r="A17" s="396" t="s">
        <v>615</v>
      </c>
      <c r="B17" s="397"/>
      <c r="C17" s="397"/>
      <c r="D17" s="397"/>
      <c r="E17" s="397"/>
      <c r="F17" s="398" t="s">
        <v>616</v>
      </c>
      <c r="G17" s="398"/>
      <c r="H17" s="398"/>
      <c r="I17" s="398"/>
      <c r="J17" s="398"/>
      <c r="K17" s="398"/>
      <c r="L17" s="398"/>
      <c r="M17" s="398"/>
      <c r="N17" s="398"/>
      <c r="O17" s="398"/>
      <c r="P17" s="398"/>
      <c r="Q17" s="398"/>
      <c r="R17" s="398"/>
      <c r="S17" s="398"/>
      <c r="T17" s="398"/>
      <c r="U17" s="398"/>
      <c r="V17" s="398"/>
      <c r="W17" s="398"/>
      <c r="X17" s="398"/>
      <c r="Y17" s="398"/>
      <c r="Z17" s="398"/>
      <c r="AA17" s="398"/>
      <c r="AB17" s="398"/>
      <c r="AC17" s="398"/>
      <c r="AD17" s="398"/>
      <c r="AE17" s="398"/>
      <c r="AF17" s="398"/>
      <c r="AG17" s="398"/>
      <c r="AH17" s="398"/>
      <c r="AI17" s="399"/>
      <c r="AK17" s="425" t="s">
        <v>617</v>
      </c>
      <c r="AL17" s="425"/>
      <c r="AM17" s="425"/>
      <c r="AN17" s="425"/>
      <c r="AO17" s="425"/>
      <c r="AP17" s="425"/>
      <c r="AQ17" s="42"/>
      <c r="AR17" s="43"/>
      <c r="AS17" s="46">
        <v>8</v>
      </c>
      <c r="AT17" s="46"/>
      <c r="AU17" s="46" t="s">
        <v>49</v>
      </c>
      <c r="AV17" s="47" t="s">
        <v>618</v>
      </c>
      <c r="AW17" s="47" t="s">
        <v>612</v>
      </c>
      <c r="AX17" s="47">
        <v>0.83333333333333337</v>
      </c>
      <c r="AY17" s="47" t="s">
        <v>613</v>
      </c>
      <c r="AZ17" s="43"/>
      <c r="BB17" s="121" t="s">
        <v>619</v>
      </c>
      <c r="BC17" s="141" t="s">
        <v>67</v>
      </c>
      <c r="BD17" s="140" t="s">
        <v>42</v>
      </c>
      <c r="BE17" s="141" t="s">
        <v>71</v>
      </c>
      <c r="BF17" s="140" t="s">
        <v>67</v>
      </c>
      <c r="BG17" s="140" t="s">
        <v>61</v>
      </c>
      <c r="BH17" s="140" t="s">
        <v>42</v>
      </c>
      <c r="BI17" s="140" t="s">
        <v>49</v>
      </c>
      <c r="BJ17" s="140" t="s">
        <v>61</v>
      </c>
      <c r="BK17" s="140" t="s">
        <v>71</v>
      </c>
      <c r="BL17" s="140" t="s">
        <v>67</v>
      </c>
      <c r="BM17" s="140" t="s">
        <v>49</v>
      </c>
      <c r="BN17" s="140" t="s">
        <v>49</v>
      </c>
      <c r="BO17" s="140" t="s">
        <v>61</v>
      </c>
      <c r="BP17" s="140" t="s">
        <v>49</v>
      </c>
      <c r="BQ17" s="140" t="s">
        <v>67</v>
      </c>
      <c r="BR17" s="140" t="s">
        <v>42</v>
      </c>
      <c r="BS17" s="140" t="s">
        <v>42</v>
      </c>
      <c r="BT17" s="140" t="s">
        <v>49</v>
      </c>
      <c r="BU17" s="140" t="s">
        <v>42</v>
      </c>
      <c r="BV17" s="140" t="s">
        <v>61</v>
      </c>
      <c r="BW17" s="140" t="s">
        <v>71</v>
      </c>
      <c r="BX17" s="140" t="s">
        <v>67</v>
      </c>
      <c r="BY17" s="140" t="s">
        <v>42</v>
      </c>
      <c r="BZ17" s="140" t="s">
        <v>67</v>
      </c>
      <c r="CA17" s="140" t="s">
        <v>67</v>
      </c>
      <c r="CB17" s="140" t="s">
        <v>49</v>
      </c>
      <c r="CC17" s="140" t="s">
        <v>61</v>
      </c>
      <c r="CD17" s="140" t="s">
        <v>71</v>
      </c>
      <c r="CE17" s="140" t="s">
        <v>67</v>
      </c>
      <c r="CF17" s="140" t="s">
        <v>42</v>
      </c>
      <c r="CG17" s="43"/>
    </row>
    <row r="18" spans="1:85" ht="18" customHeight="1">
      <c r="A18" s="501" t="s">
        <v>620</v>
      </c>
      <c r="B18" s="502"/>
      <c r="C18" s="502"/>
      <c r="D18" s="502"/>
      <c r="E18" s="502"/>
      <c r="F18" s="400" t="s">
        <v>616</v>
      </c>
      <c r="G18" s="400"/>
      <c r="H18" s="400"/>
      <c r="I18" s="400"/>
      <c r="J18" s="400"/>
      <c r="K18" s="400"/>
      <c r="L18" s="400"/>
      <c r="M18" s="400"/>
      <c r="N18" s="400"/>
      <c r="O18" s="400"/>
      <c r="P18" s="400"/>
      <c r="Q18" s="400"/>
      <c r="R18" s="400"/>
      <c r="S18" s="400"/>
      <c r="T18" s="400"/>
      <c r="U18" s="400"/>
      <c r="V18" s="400"/>
      <c r="W18" s="400"/>
      <c r="X18" s="400"/>
      <c r="Y18" s="400"/>
      <c r="Z18" s="400"/>
      <c r="AA18" s="400"/>
      <c r="AB18" s="400"/>
      <c r="AC18" s="400"/>
      <c r="AD18" s="400"/>
      <c r="AE18" s="400"/>
      <c r="AF18" s="400"/>
      <c r="AG18" s="400"/>
      <c r="AH18" s="400"/>
      <c r="AI18" s="401"/>
      <c r="AK18" s="425" t="s">
        <v>621</v>
      </c>
      <c r="AL18" s="425"/>
      <c r="AM18" s="425"/>
      <c r="AN18" s="425"/>
      <c r="AO18" s="425"/>
      <c r="AP18" s="425"/>
      <c r="AQ18" s="42"/>
      <c r="AR18" s="43"/>
      <c r="AS18" s="46">
        <v>9</v>
      </c>
      <c r="AT18" s="46"/>
      <c r="AU18" s="46"/>
      <c r="AV18" s="47" t="s">
        <v>622</v>
      </c>
      <c r="AW18" s="47" t="s">
        <v>612</v>
      </c>
      <c r="AX18" s="47">
        <v>0.83333333333333337</v>
      </c>
      <c r="AY18" s="47" t="s">
        <v>613</v>
      </c>
      <c r="AZ18" s="43"/>
    </row>
    <row r="19" spans="1:85" ht="18" customHeight="1" thickBot="1">
      <c r="A19" s="35" t="s">
        <v>189</v>
      </c>
      <c r="B19" s="405">
        <v>0.57291666666666663</v>
      </c>
      <c r="C19" s="405"/>
      <c r="D19" s="405"/>
      <c r="E19" s="405"/>
      <c r="F19" s="402" t="s">
        <v>821</v>
      </c>
      <c r="G19" s="402"/>
      <c r="H19" s="402"/>
      <c r="I19" s="402"/>
      <c r="J19" s="402"/>
      <c r="K19" s="402"/>
      <c r="L19" s="402"/>
      <c r="M19" s="402"/>
      <c r="N19" s="402"/>
      <c r="O19" s="402"/>
      <c r="P19" s="402"/>
      <c r="Q19" s="402"/>
      <c r="R19" s="402"/>
      <c r="S19" s="402"/>
      <c r="T19" s="402"/>
      <c r="U19" s="402"/>
      <c r="V19" s="402"/>
      <c r="W19" s="402"/>
      <c r="X19" s="402"/>
      <c r="Y19" s="402"/>
      <c r="Z19" s="402"/>
      <c r="AA19" s="402"/>
      <c r="AB19" s="402"/>
      <c r="AC19" s="402"/>
      <c r="AD19" s="402"/>
      <c r="AE19" s="402"/>
      <c r="AF19" s="402"/>
      <c r="AG19" s="402"/>
      <c r="AH19" s="402"/>
      <c r="AI19" s="403"/>
      <c r="AK19" s="524" t="s">
        <v>623</v>
      </c>
      <c r="AL19" s="524"/>
      <c r="AM19" s="524"/>
      <c r="AN19" s="524"/>
      <c r="AO19" s="524"/>
      <c r="AP19" s="524"/>
      <c r="AQ19" s="58"/>
      <c r="AR19" s="43"/>
      <c r="AS19" s="46">
        <v>10</v>
      </c>
      <c r="AT19" s="46"/>
      <c r="AU19" s="46"/>
      <c r="AV19" s="47" t="s">
        <v>111</v>
      </c>
      <c r="AW19" s="47" t="s">
        <v>612</v>
      </c>
      <c r="AX19" s="47">
        <v>0.83333333333333337</v>
      </c>
      <c r="AY19" s="47" t="s">
        <v>613</v>
      </c>
      <c r="AZ19" s="43"/>
    </row>
    <row r="20" spans="1:85" ht="18" customHeight="1">
      <c r="A20" s="36" t="s">
        <v>189</v>
      </c>
      <c r="B20" s="404">
        <v>0.70972222222222225</v>
      </c>
      <c r="C20" s="404"/>
      <c r="D20" s="404"/>
      <c r="E20" s="404"/>
      <c r="F20" s="288" t="s">
        <v>822</v>
      </c>
      <c r="G20" s="288"/>
      <c r="H20" s="288"/>
      <c r="I20" s="288"/>
      <c r="J20" s="288"/>
      <c r="K20" s="288"/>
      <c r="L20" s="288"/>
      <c r="M20" s="288"/>
      <c r="N20" s="288"/>
      <c r="O20" s="288"/>
      <c r="P20" s="288"/>
      <c r="Q20" s="288"/>
      <c r="R20" s="288"/>
      <c r="S20" s="288"/>
      <c r="T20" s="288"/>
      <c r="U20" s="288"/>
      <c r="V20" s="288"/>
      <c r="W20" s="288"/>
      <c r="X20" s="288"/>
      <c r="Y20" s="288"/>
      <c r="Z20" s="288"/>
      <c r="AA20" s="288"/>
      <c r="AB20" s="288"/>
      <c r="AC20" s="288"/>
      <c r="AD20" s="288"/>
      <c r="AE20" s="288"/>
      <c r="AF20" s="288"/>
      <c r="AG20" s="288"/>
      <c r="AH20" s="288"/>
      <c r="AI20" s="289"/>
      <c r="AK20" s="447" t="s">
        <v>624</v>
      </c>
      <c r="AL20" s="448"/>
      <c r="AM20" s="448"/>
      <c r="AN20" s="448"/>
      <c r="AO20" s="448"/>
      <c r="AP20" s="448"/>
      <c r="AQ20" s="62"/>
      <c r="AR20" s="426" t="s">
        <v>625</v>
      </c>
      <c r="AS20" s="146">
        <v>11</v>
      </c>
      <c r="AT20" s="46"/>
      <c r="AU20" s="46"/>
      <c r="AV20" s="47" t="s">
        <v>111</v>
      </c>
      <c r="AW20" s="47" t="s">
        <v>612</v>
      </c>
      <c r="AX20" s="47">
        <v>0.83333333333333337</v>
      </c>
      <c r="AY20" s="47" t="s">
        <v>613</v>
      </c>
      <c r="AZ20" s="43"/>
    </row>
    <row r="21" spans="1:85" ht="18" customHeight="1" thickBot="1">
      <c r="A21" s="36"/>
      <c r="B21" s="404"/>
      <c r="C21" s="404"/>
      <c r="D21" s="404"/>
      <c r="E21" s="404"/>
      <c r="F21" s="288" t="s">
        <v>823</v>
      </c>
      <c r="G21" s="288"/>
      <c r="H21" s="288"/>
      <c r="I21" s="288"/>
      <c r="J21" s="288"/>
      <c r="K21" s="288"/>
      <c r="L21" s="288"/>
      <c r="M21" s="288"/>
      <c r="N21" s="288"/>
      <c r="O21" s="288"/>
      <c r="P21" s="288"/>
      <c r="Q21" s="288"/>
      <c r="R21" s="288"/>
      <c r="S21" s="288"/>
      <c r="T21" s="288"/>
      <c r="U21" s="288"/>
      <c r="V21" s="288"/>
      <c r="W21" s="288"/>
      <c r="X21" s="288"/>
      <c r="Y21" s="288"/>
      <c r="Z21" s="288"/>
      <c r="AA21" s="288"/>
      <c r="AB21" s="288"/>
      <c r="AC21" s="288"/>
      <c r="AD21" s="288"/>
      <c r="AE21" s="288"/>
      <c r="AF21" s="288"/>
      <c r="AG21" s="288"/>
      <c r="AH21" s="288"/>
      <c r="AI21" s="289"/>
      <c r="AK21" s="429" t="s">
        <v>626</v>
      </c>
      <c r="AL21" s="430"/>
      <c r="AM21" s="430"/>
      <c r="AN21" s="430"/>
      <c r="AO21" s="430"/>
      <c r="AP21" s="430"/>
      <c r="AQ21" s="63"/>
      <c r="AR21" s="427"/>
      <c r="AW21" s="43"/>
      <c r="AX21" s="43"/>
      <c r="AY21" s="43"/>
      <c r="AZ21" s="43"/>
    </row>
    <row r="22" spans="1:85" ht="18" customHeight="1">
      <c r="A22" s="36" t="s">
        <v>189</v>
      </c>
      <c r="B22" s="404">
        <v>0.9</v>
      </c>
      <c r="C22" s="404"/>
      <c r="D22" s="404"/>
      <c r="E22" s="404"/>
      <c r="F22" s="288" t="s">
        <v>824</v>
      </c>
      <c r="G22" s="288"/>
      <c r="H22" s="288"/>
      <c r="I22" s="288"/>
      <c r="J22" s="288"/>
      <c r="K22" s="288"/>
      <c r="L22" s="288"/>
      <c r="M22" s="288"/>
      <c r="N22" s="288"/>
      <c r="O22" s="288"/>
      <c r="P22" s="288"/>
      <c r="Q22" s="288"/>
      <c r="R22" s="288"/>
      <c r="S22" s="288"/>
      <c r="T22" s="288"/>
      <c r="U22" s="288"/>
      <c r="V22" s="288"/>
      <c r="W22" s="288"/>
      <c r="X22" s="288"/>
      <c r="Y22" s="288"/>
      <c r="Z22" s="288"/>
      <c r="AA22" s="288"/>
      <c r="AB22" s="288"/>
      <c r="AC22" s="288"/>
      <c r="AD22" s="288"/>
      <c r="AE22" s="288"/>
      <c r="AF22" s="288"/>
      <c r="AG22" s="288"/>
      <c r="AH22" s="288"/>
      <c r="AI22" s="289"/>
      <c r="AK22" s="429" t="s">
        <v>627</v>
      </c>
      <c r="AL22" s="430"/>
      <c r="AM22" s="430"/>
      <c r="AN22" s="430"/>
      <c r="AO22" s="430"/>
      <c r="AP22" s="430"/>
      <c r="AQ22" s="63"/>
      <c r="AR22" s="427"/>
      <c r="AS22" s="433" t="s">
        <v>628</v>
      </c>
      <c r="AT22" s="434"/>
      <c r="AU22" s="435"/>
      <c r="AV22" s="435"/>
      <c r="AW22" s="60" t="s">
        <v>74</v>
      </c>
      <c r="AY22" s="413" t="s">
        <v>629</v>
      </c>
      <c r="AZ22" s="413"/>
      <c r="BA22" s="412"/>
      <c r="BB22" s="412"/>
    </row>
    <row r="23" spans="1:85" ht="18" customHeight="1" thickBot="1">
      <c r="A23" s="36" t="s">
        <v>189</v>
      </c>
      <c r="B23" s="404">
        <v>0.98472222222222228</v>
      </c>
      <c r="C23" s="404"/>
      <c r="D23" s="404"/>
      <c r="E23" s="404"/>
      <c r="F23" s="288" t="s">
        <v>825</v>
      </c>
      <c r="G23" s="288"/>
      <c r="H23" s="288"/>
      <c r="I23" s="288"/>
      <c r="J23" s="288"/>
      <c r="K23" s="288"/>
      <c r="L23" s="288"/>
      <c r="M23" s="288"/>
      <c r="N23" s="288"/>
      <c r="O23" s="288"/>
      <c r="P23" s="288"/>
      <c r="Q23" s="288"/>
      <c r="R23" s="288"/>
      <c r="S23" s="288"/>
      <c r="T23" s="288"/>
      <c r="U23" s="288"/>
      <c r="V23" s="288"/>
      <c r="W23" s="288"/>
      <c r="X23" s="288"/>
      <c r="Y23" s="288"/>
      <c r="Z23" s="288"/>
      <c r="AA23" s="288"/>
      <c r="AB23" s="288"/>
      <c r="AC23" s="288"/>
      <c r="AD23" s="288"/>
      <c r="AE23" s="288"/>
      <c r="AF23" s="288"/>
      <c r="AG23" s="288"/>
      <c r="AH23" s="288"/>
      <c r="AI23" s="289"/>
      <c r="AK23" s="431" t="s">
        <v>630</v>
      </c>
      <c r="AL23" s="432"/>
      <c r="AM23" s="432"/>
      <c r="AN23" s="432"/>
      <c r="AO23" s="432"/>
      <c r="AP23" s="432"/>
      <c r="AQ23" s="64">
        <v>1</v>
      </c>
      <c r="AR23" s="428"/>
      <c r="AS23" s="536" t="s">
        <v>631</v>
      </c>
      <c r="AT23" s="246"/>
      <c r="AU23" s="537"/>
      <c r="AV23" s="537"/>
      <c r="AW23" s="56" t="s">
        <v>632</v>
      </c>
      <c r="AY23" s="413" t="s">
        <v>633</v>
      </c>
      <c r="AZ23" s="413"/>
      <c r="BA23" s="412"/>
      <c r="BB23" s="412"/>
    </row>
    <row r="24" spans="1:85" ht="18" customHeight="1" thickBot="1">
      <c r="A24" s="36"/>
      <c r="B24" s="404"/>
      <c r="C24" s="404"/>
      <c r="D24" s="404"/>
      <c r="E24" s="404"/>
      <c r="F24" s="288" t="s">
        <v>826</v>
      </c>
      <c r="G24" s="288"/>
      <c r="H24" s="288"/>
      <c r="I24" s="288"/>
      <c r="J24" s="288"/>
      <c r="K24" s="288"/>
      <c r="L24" s="288"/>
      <c r="M24" s="288"/>
      <c r="N24" s="288"/>
      <c r="O24" s="288"/>
      <c r="P24" s="288"/>
      <c r="Q24" s="288"/>
      <c r="R24" s="288"/>
      <c r="S24" s="288"/>
      <c r="T24" s="288"/>
      <c r="U24" s="288"/>
      <c r="V24" s="288"/>
      <c r="W24" s="288"/>
      <c r="X24" s="288"/>
      <c r="Y24" s="288"/>
      <c r="Z24" s="288"/>
      <c r="AA24" s="288"/>
      <c r="AB24" s="288"/>
      <c r="AC24" s="288"/>
      <c r="AD24" s="288"/>
      <c r="AE24" s="288"/>
      <c r="AF24" s="288"/>
      <c r="AG24" s="288"/>
      <c r="AH24" s="288"/>
      <c r="AI24" s="289"/>
      <c r="AK24" s="527" t="s">
        <v>634</v>
      </c>
      <c r="AL24" s="528"/>
      <c r="AM24" s="528"/>
      <c r="AN24" s="528"/>
      <c r="AO24" s="528"/>
      <c r="AP24" s="528"/>
      <c r="AQ24" s="65"/>
      <c r="AR24" s="43"/>
      <c r="AY24" s="413" t="s">
        <v>635</v>
      </c>
      <c r="AZ24" s="413"/>
      <c r="BA24" s="412"/>
      <c r="BB24" s="412"/>
    </row>
    <row r="25" spans="1:85" ht="18" customHeight="1">
      <c r="A25" s="36"/>
      <c r="B25" s="404">
        <v>0.98819444444444449</v>
      </c>
      <c r="C25" s="404"/>
      <c r="D25" s="404"/>
      <c r="E25" s="404"/>
      <c r="F25" s="288" t="s">
        <v>827</v>
      </c>
      <c r="G25" s="288"/>
      <c r="H25" s="288"/>
      <c r="I25" s="288"/>
      <c r="J25" s="288"/>
      <c r="K25" s="288"/>
      <c r="L25" s="288"/>
      <c r="M25" s="288"/>
      <c r="N25" s="288"/>
      <c r="O25" s="288"/>
      <c r="P25" s="288"/>
      <c r="Q25" s="288"/>
      <c r="R25" s="288"/>
      <c r="S25" s="288"/>
      <c r="T25" s="288"/>
      <c r="U25" s="288"/>
      <c r="V25" s="288"/>
      <c r="W25" s="288"/>
      <c r="X25" s="288"/>
      <c r="Y25" s="288"/>
      <c r="Z25" s="288"/>
      <c r="AA25" s="288"/>
      <c r="AB25" s="288"/>
      <c r="AC25" s="288"/>
      <c r="AD25" s="288"/>
      <c r="AE25" s="288"/>
      <c r="AF25" s="288"/>
      <c r="AG25" s="288"/>
      <c r="AH25" s="288"/>
      <c r="AI25" s="289"/>
      <c r="AK25" s="529" t="s">
        <v>636</v>
      </c>
      <c r="AL25" s="529"/>
      <c r="AM25" s="529"/>
      <c r="AN25" s="529"/>
      <c r="AO25" s="529"/>
      <c r="AP25" s="529"/>
      <c r="AQ25" s="66"/>
      <c r="AR25" s="43"/>
      <c r="AY25" s="413" t="s">
        <v>637</v>
      </c>
      <c r="AZ25" s="413"/>
      <c r="BA25" s="412"/>
      <c r="BB25" s="412"/>
    </row>
    <row r="26" spans="1:85" ht="18" customHeight="1">
      <c r="A26" s="36"/>
      <c r="B26" s="404">
        <v>0.99027777777777781</v>
      </c>
      <c r="C26" s="404"/>
      <c r="D26" s="404"/>
      <c r="E26" s="404"/>
      <c r="F26" s="288" t="s">
        <v>828</v>
      </c>
      <c r="G26" s="288"/>
      <c r="H26" s="288"/>
      <c r="I26" s="288"/>
      <c r="J26" s="288"/>
      <c r="K26" s="288"/>
      <c r="L26" s="288"/>
      <c r="M26" s="288"/>
      <c r="N26" s="288"/>
      <c r="O26" s="288"/>
      <c r="P26" s="288"/>
      <c r="Q26" s="288"/>
      <c r="R26" s="288"/>
      <c r="S26" s="288"/>
      <c r="T26" s="288"/>
      <c r="U26" s="288"/>
      <c r="V26" s="288"/>
      <c r="W26" s="288"/>
      <c r="X26" s="288"/>
      <c r="Y26" s="288"/>
      <c r="Z26" s="288"/>
      <c r="AA26" s="288"/>
      <c r="AB26" s="288"/>
      <c r="AC26" s="288"/>
      <c r="AD26" s="288"/>
      <c r="AE26" s="288"/>
      <c r="AF26" s="288"/>
      <c r="AG26" s="288"/>
      <c r="AH26" s="288"/>
      <c r="AI26" s="289"/>
      <c r="AK26" s="436" t="s">
        <v>638</v>
      </c>
      <c r="AL26" s="436"/>
      <c r="AM26" s="436"/>
      <c r="AN26" s="436"/>
      <c r="AO26" s="436"/>
      <c r="AP26" s="436"/>
      <c r="AQ26" s="67"/>
      <c r="AR26" s="43"/>
      <c r="AS26" s="548" t="s">
        <v>639</v>
      </c>
      <c r="AT26" s="549"/>
      <c r="AU26" s="549"/>
      <c r="AV26" s="549"/>
      <c r="AW26" s="550"/>
      <c r="AY26" s="147"/>
      <c r="AZ26" s="147"/>
      <c r="BA26" s="147"/>
      <c r="BB26" s="147"/>
    </row>
    <row r="27" spans="1:85" ht="18" customHeight="1">
      <c r="A27" s="36" t="s">
        <v>189</v>
      </c>
      <c r="B27" s="404">
        <v>0.29305555555555557</v>
      </c>
      <c r="C27" s="404"/>
      <c r="D27" s="404"/>
      <c r="E27" s="404"/>
      <c r="F27" s="288" t="s">
        <v>689</v>
      </c>
      <c r="G27" s="288"/>
      <c r="H27" s="288"/>
      <c r="I27" s="288"/>
      <c r="J27" s="288"/>
      <c r="K27" s="288"/>
      <c r="L27" s="288"/>
      <c r="M27" s="288"/>
      <c r="N27" s="288"/>
      <c r="O27" s="288"/>
      <c r="P27" s="288"/>
      <c r="Q27" s="288"/>
      <c r="R27" s="288"/>
      <c r="S27" s="288"/>
      <c r="T27" s="288"/>
      <c r="U27" s="288"/>
      <c r="V27" s="288"/>
      <c r="W27" s="288"/>
      <c r="X27" s="288"/>
      <c r="Y27" s="288"/>
      <c r="Z27" s="288"/>
      <c r="AA27" s="288"/>
      <c r="AB27" s="288"/>
      <c r="AC27" s="288"/>
      <c r="AD27" s="288"/>
      <c r="AE27" s="288"/>
      <c r="AF27" s="288"/>
      <c r="AG27" s="288"/>
      <c r="AH27" s="288"/>
      <c r="AI27" s="289"/>
      <c r="AK27" s="436" t="s">
        <v>640</v>
      </c>
      <c r="AL27" s="436"/>
      <c r="AM27" s="436"/>
      <c r="AN27" s="436"/>
      <c r="AO27" s="436"/>
      <c r="AP27" s="436"/>
      <c r="AQ27" s="67"/>
      <c r="AR27" s="43"/>
      <c r="AS27" s="458" t="s">
        <v>641</v>
      </c>
      <c r="AT27" s="460"/>
      <c r="AU27" s="458" t="s">
        <v>642</v>
      </c>
      <c r="AV27" s="459"/>
      <c r="AW27" s="460"/>
      <c r="AY27" s="411" t="s">
        <v>643</v>
      </c>
      <c r="AZ27" s="411"/>
      <c r="BA27" s="411"/>
      <c r="BB27" s="411"/>
    </row>
    <row r="28" spans="1:85" ht="18" customHeight="1" thickBot="1">
      <c r="A28" s="36"/>
      <c r="B28" s="404"/>
      <c r="C28" s="404"/>
      <c r="D28" s="404"/>
      <c r="E28" s="404"/>
      <c r="F28" s="288"/>
      <c r="G28" s="288"/>
      <c r="H28" s="288"/>
      <c r="I28" s="288"/>
      <c r="J28" s="288"/>
      <c r="K28" s="288"/>
      <c r="L28" s="288"/>
      <c r="M28" s="288"/>
      <c r="N28" s="288"/>
      <c r="O28" s="288"/>
      <c r="P28" s="288"/>
      <c r="Q28" s="288"/>
      <c r="R28" s="288"/>
      <c r="S28" s="288"/>
      <c r="T28" s="288"/>
      <c r="U28" s="288"/>
      <c r="V28" s="288"/>
      <c r="W28" s="288"/>
      <c r="X28" s="288"/>
      <c r="Y28" s="288"/>
      <c r="Z28" s="288"/>
      <c r="AA28" s="288"/>
      <c r="AB28" s="288"/>
      <c r="AC28" s="288"/>
      <c r="AD28" s="288"/>
      <c r="AE28" s="288"/>
      <c r="AF28" s="288"/>
      <c r="AG28" s="288"/>
      <c r="AH28" s="288"/>
      <c r="AI28" s="289"/>
      <c r="AK28" s="436" t="s">
        <v>644</v>
      </c>
      <c r="AL28" s="436"/>
      <c r="AM28" s="436"/>
      <c r="AN28" s="436"/>
      <c r="AO28" s="436"/>
      <c r="AP28" s="436"/>
      <c r="AQ28" s="67"/>
      <c r="AR28" s="43"/>
      <c r="AS28" s="538" t="s">
        <v>645</v>
      </c>
      <c r="AT28" s="539"/>
      <c r="AU28" s="533" t="s">
        <v>646</v>
      </c>
      <c r="AV28" s="534"/>
      <c r="AW28" s="535"/>
      <c r="AY28" s="413" t="s">
        <v>647</v>
      </c>
      <c r="AZ28" s="413"/>
      <c r="BA28" s="412"/>
      <c r="BB28" s="412"/>
    </row>
    <row r="29" spans="1:85" ht="18" customHeight="1" thickBot="1">
      <c r="A29" s="36"/>
      <c r="B29" s="404"/>
      <c r="C29" s="404"/>
      <c r="D29" s="404"/>
      <c r="E29" s="404"/>
      <c r="F29" s="288"/>
      <c r="G29" s="288"/>
      <c r="H29" s="288"/>
      <c r="I29" s="288"/>
      <c r="J29" s="288"/>
      <c r="K29" s="288"/>
      <c r="L29" s="288"/>
      <c r="M29" s="288"/>
      <c r="N29" s="288"/>
      <c r="O29" s="288"/>
      <c r="P29" s="288"/>
      <c r="Q29" s="288"/>
      <c r="R29" s="288"/>
      <c r="S29" s="288"/>
      <c r="T29" s="288"/>
      <c r="U29" s="288"/>
      <c r="V29" s="288"/>
      <c r="W29" s="288"/>
      <c r="X29" s="288"/>
      <c r="Y29" s="288"/>
      <c r="Z29" s="288"/>
      <c r="AA29" s="288"/>
      <c r="AB29" s="288"/>
      <c r="AC29" s="288"/>
      <c r="AD29" s="288"/>
      <c r="AE29" s="288"/>
      <c r="AF29" s="288"/>
      <c r="AG29" s="288"/>
      <c r="AH29" s="288"/>
      <c r="AI29" s="289"/>
      <c r="AK29" s="524"/>
      <c r="AL29" s="524"/>
      <c r="AM29" s="524"/>
      <c r="AN29" s="524"/>
      <c r="AO29" s="524"/>
      <c r="AP29" s="524"/>
      <c r="AQ29" s="58"/>
      <c r="AR29" s="43"/>
      <c r="AS29" s="551"/>
      <c r="AT29" s="552"/>
      <c r="AU29" s="434"/>
      <c r="AV29" s="434"/>
      <c r="AW29" s="553"/>
      <c r="AY29" s="413" t="s">
        <v>633</v>
      </c>
      <c r="AZ29" s="413"/>
      <c r="BA29" s="412"/>
      <c r="BB29" s="412"/>
    </row>
    <row r="30" spans="1:85" ht="18" customHeight="1">
      <c r="A30" s="36"/>
      <c r="B30" s="404"/>
      <c r="C30" s="404"/>
      <c r="D30" s="404"/>
      <c r="E30" s="404"/>
      <c r="F30" s="288"/>
      <c r="G30" s="288"/>
      <c r="H30" s="288"/>
      <c r="I30" s="288"/>
      <c r="J30" s="288"/>
      <c r="K30" s="288"/>
      <c r="L30" s="288"/>
      <c r="M30" s="288"/>
      <c r="N30" s="288"/>
      <c r="O30" s="288"/>
      <c r="P30" s="288"/>
      <c r="Q30" s="288"/>
      <c r="R30" s="288"/>
      <c r="S30" s="288"/>
      <c r="T30" s="288"/>
      <c r="U30" s="288"/>
      <c r="V30" s="288"/>
      <c r="W30" s="288"/>
      <c r="X30" s="288"/>
      <c r="Y30" s="288"/>
      <c r="Z30" s="288"/>
      <c r="AA30" s="288"/>
      <c r="AB30" s="288"/>
      <c r="AC30" s="288"/>
      <c r="AD30" s="288"/>
      <c r="AE30" s="288"/>
      <c r="AF30" s="288"/>
      <c r="AG30" s="288"/>
      <c r="AH30" s="288"/>
      <c r="AI30" s="289"/>
      <c r="AK30" s="449" t="s">
        <v>648</v>
      </c>
      <c r="AL30" s="450"/>
      <c r="AM30" s="450"/>
      <c r="AN30" s="450"/>
      <c r="AO30" s="450"/>
      <c r="AP30" s="450"/>
      <c r="AQ30" s="62"/>
      <c r="AR30" s="43"/>
      <c r="AS30" s="554"/>
      <c r="AT30" s="532"/>
      <c r="AU30" s="439"/>
      <c r="AV30" s="439"/>
      <c r="AW30" s="555"/>
      <c r="AY30" s="413" t="s">
        <v>649</v>
      </c>
      <c r="AZ30" s="413"/>
      <c r="BA30" s="412"/>
      <c r="BB30" s="412"/>
    </row>
    <row r="31" spans="1:85" ht="18" customHeight="1" thickBot="1">
      <c r="A31" s="37"/>
      <c r="B31" s="466"/>
      <c r="C31" s="466"/>
      <c r="D31" s="466"/>
      <c r="E31" s="466"/>
      <c r="F31" s="467"/>
      <c r="G31" s="467"/>
      <c r="H31" s="467"/>
      <c r="I31" s="467"/>
      <c r="J31" s="467"/>
      <c r="K31" s="467"/>
      <c r="L31" s="467"/>
      <c r="M31" s="467"/>
      <c r="N31" s="467"/>
      <c r="O31" s="467"/>
      <c r="P31" s="467"/>
      <c r="Q31" s="467"/>
      <c r="R31" s="467"/>
      <c r="S31" s="467"/>
      <c r="T31" s="467"/>
      <c r="U31" s="467"/>
      <c r="V31" s="467"/>
      <c r="W31" s="467"/>
      <c r="X31" s="467"/>
      <c r="Y31" s="467"/>
      <c r="Z31" s="467"/>
      <c r="AA31" s="467"/>
      <c r="AB31" s="467"/>
      <c r="AC31" s="467"/>
      <c r="AD31" s="467"/>
      <c r="AE31" s="467"/>
      <c r="AF31" s="467"/>
      <c r="AG31" s="467"/>
      <c r="AH31" s="467"/>
      <c r="AI31" s="468"/>
      <c r="AK31" s="451" t="s">
        <v>650</v>
      </c>
      <c r="AL31" s="416"/>
      <c r="AM31" s="416"/>
      <c r="AN31" s="416"/>
      <c r="AO31" s="416"/>
      <c r="AP31" s="416"/>
      <c r="AQ31" s="64"/>
      <c r="AR31" s="48"/>
      <c r="AS31" s="556"/>
      <c r="AT31" s="557"/>
      <c r="AU31" s="424"/>
      <c r="AV31" s="424"/>
      <c r="AW31" s="491"/>
      <c r="AY31" s="413" t="s">
        <v>637</v>
      </c>
      <c r="AZ31" s="413"/>
      <c r="BA31" s="412"/>
      <c r="BB31" s="412"/>
    </row>
    <row r="32" spans="1:85" ht="18" customHeight="1" thickBot="1">
      <c r="A32" s="406" t="s">
        <v>651</v>
      </c>
      <c r="B32" s="407"/>
      <c r="C32" s="407"/>
      <c r="D32" s="407"/>
      <c r="E32" s="407"/>
      <c r="F32" s="407"/>
      <c r="G32" s="407"/>
      <c r="H32" s="407"/>
      <c r="I32" s="407"/>
      <c r="J32" s="407"/>
      <c r="K32" s="407"/>
      <c r="L32" s="407"/>
      <c r="M32" s="407"/>
      <c r="N32" s="407"/>
      <c r="O32" s="407"/>
      <c r="P32" s="407"/>
      <c r="Q32" s="407"/>
      <c r="R32" s="407"/>
      <c r="S32" s="407"/>
      <c r="T32" s="407"/>
      <c r="U32" s="407"/>
      <c r="V32" s="407"/>
      <c r="W32" s="407"/>
      <c r="X32" s="407"/>
      <c r="Y32" s="407"/>
      <c r="Z32" s="407"/>
      <c r="AA32" s="407"/>
      <c r="AB32" s="407"/>
      <c r="AC32" s="407"/>
      <c r="AD32" s="407"/>
      <c r="AE32" s="407"/>
      <c r="AF32" s="407"/>
      <c r="AG32" s="407"/>
      <c r="AH32" s="407"/>
      <c r="AI32" s="408"/>
      <c r="AK32" s="531"/>
      <c r="AL32" s="531"/>
      <c r="AM32" s="531"/>
      <c r="AN32" s="531"/>
      <c r="AO32" s="531"/>
      <c r="AP32" s="531"/>
      <c r="AQ32" s="61"/>
      <c r="AR32" s="48"/>
      <c r="AS32" s="558"/>
      <c r="AT32" s="558"/>
      <c r="AU32" s="559"/>
      <c r="AV32" s="559"/>
      <c r="AW32" s="559"/>
      <c r="AY32" s="413" t="s">
        <v>652</v>
      </c>
      <c r="AZ32" s="413"/>
      <c r="BA32" s="412"/>
      <c r="BB32" s="412"/>
    </row>
    <row r="33" spans="1:80" ht="18" customHeight="1">
      <c r="A33" s="39"/>
      <c r="B33" s="546" t="s">
        <v>653</v>
      </c>
      <c r="C33" s="546"/>
      <c r="D33" s="546"/>
      <c r="E33" s="546"/>
      <c r="F33" s="417" t="str" cm="1">
        <f t="array" ref="F33">_xlfn.TEXTJOIN("/",TRUE,IF(AS29:AS31&lt;&gt;"",TEXT(AS29:AS31,"h:mm")&amp;" "&amp;AU29:AU31,""))</f>
        <v/>
      </c>
      <c r="G33" s="418"/>
      <c r="H33" s="418"/>
      <c r="I33" s="418"/>
      <c r="J33" s="418"/>
      <c r="K33" s="418"/>
      <c r="L33" s="418"/>
      <c r="M33" s="418"/>
      <c r="N33" s="418"/>
      <c r="O33" s="418"/>
      <c r="P33" s="418"/>
      <c r="Q33" s="418"/>
      <c r="R33" s="418"/>
      <c r="S33" s="418"/>
      <c r="T33" s="418"/>
      <c r="U33" s="418"/>
      <c r="V33" s="418"/>
      <c r="W33" s="418"/>
      <c r="X33" s="418"/>
      <c r="Y33" s="418"/>
      <c r="Z33" s="418"/>
      <c r="AA33" s="418"/>
      <c r="AB33" s="418"/>
      <c r="AC33" s="418"/>
      <c r="AD33" s="418"/>
      <c r="AE33" s="418"/>
      <c r="AF33" s="418"/>
      <c r="AG33" s="418"/>
      <c r="AH33" s="418"/>
      <c r="AI33" s="419"/>
      <c r="AK33" s="449" t="s">
        <v>654</v>
      </c>
      <c r="AL33" s="450"/>
      <c r="AM33" s="450"/>
      <c r="AN33" s="450"/>
      <c r="AO33" s="450"/>
      <c r="AP33" s="450"/>
      <c r="AQ33" s="60"/>
      <c r="AR33" s="48"/>
      <c r="AS33" s="532"/>
      <c r="AT33" s="532"/>
      <c r="AU33" s="439"/>
      <c r="AV33" s="439"/>
      <c r="AW33" s="439"/>
      <c r="AY33" s="413" t="s">
        <v>655</v>
      </c>
      <c r="AZ33" s="413"/>
      <c r="BA33" s="412"/>
      <c r="BB33" s="412"/>
    </row>
    <row r="34" spans="1:80" ht="18" customHeight="1" thickBot="1">
      <c r="A34" s="39"/>
      <c r="B34" s="546" t="s">
        <v>656</v>
      </c>
      <c r="C34" s="546"/>
      <c r="D34" s="546"/>
      <c r="E34" s="546"/>
      <c r="F34" s="420" t="s">
        <v>79</v>
      </c>
      <c r="G34" s="420"/>
      <c r="H34" s="420"/>
      <c r="I34" s="420"/>
      <c r="J34" s="420"/>
      <c r="K34" s="420"/>
      <c r="L34" s="420"/>
      <c r="M34" s="420"/>
      <c r="N34" s="420"/>
      <c r="O34" s="420"/>
      <c r="P34" s="420"/>
      <c r="Q34" s="420"/>
      <c r="R34" s="420"/>
      <c r="S34" s="420"/>
      <c r="T34" s="420"/>
      <c r="U34" s="420"/>
      <c r="V34" s="420"/>
      <c r="W34" s="420"/>
      <c r="X34" s="420"/>
      <c r="Y34" s="420"/>
      <c r="Z34" s="420"/>
      <c r="AA34" s="420"/>
      <c r="AB34" s="420"/>
      <c r="AC34" s="421"/>
      <c r="AD34" s="421"/>
      <c r="AE34" s="421"/>
      <c r="AF34" s="421"/>
      <c r="AG34" s="421"/>
      <c r="AH34" s="421"/>
      <c r="AI34" s="422"/>
      <c r="AK34" s="451" t="s">
        <v>657</v>
      </c>
      <c r="AL34" s="416"/>
      <c r="AM34" s="416"/>
      <c r="AN34" s="416"/>
      <c r="AO34" s="416"/>
      <c r="AP34" s="416"/>
      <c r="AQ34" s="56"/>
      <c r="AR34" s="48"/>
      <c r="AS34" s="532"/>
      <c r="AT34" s="532"/>
      <c r="AU34" s="439"/>
      <c r="AV34" s="439"/>
      <c r="AW34" s="439"/>
      <c r="AY34" s="413" t="s">
        <v>658</v>
      </c>
      <c r="AZ34" s="413"/>
      <c r="BA34" s="412"/>
      <c r="BB34" s="412"/>
    </row>
    <row r="35" spans="1:80" ht="18" customHeight="1" thickBot="1">
      <c r="A35" s="57"/>
      <c r="B35" s="547" t="s">
        <v>659</v>
      </c>
      <c r="C35" s="547"/>
      <c r="D35" s="547"/>
      <c r="E35" s="547"/>
      <c r="F35" s="389" t="s">
        <v>660</v>
      </c>
      <c r="G35" s="389"/>
      <c r="H35" s="389"/>
      <c r="I35" s="389"/>
      <c r="J35" s="389"/>
      <c r="K35" s="389"/>
      <c r="L35" s="389"/>
      <c r="M35" s="389"/>
      <c r="N35" s="389"/>
      <c r="O35" s="389"/>
      <c r="P35" s="389"/>
      <c r="Q35" s="389"/>
      <c r="R35" s="389"/>
      <c r="S35" s="389"/>
      <c r="T35" s="389"/>
      <c r="U35" s="389"/>
      <c r="V35" s="389"/>
      <c r="W35" s="390" t="s">
        <v>661</v>
      </c>
      <c r="X35" s="391"/>
      <c r="Y35" s="391"/>
      <c r="Z35" s="391"/>
      <c r="AA35" s="391"/>
      <c r="AB35" s="391"/>
      <c r="AC35" s="392" t="s">
        <v>662</v>
      </c>
      <c r="AD35" s="393"/>
      <c r="AE35" s="393"/>
      <c r="AF35" s="393"/>
      <c r="AG35" s="393"/>
      <c r="AH35" s="393"/>
      <c r="AI35" s="394"/>
      <c r="AK35" s="531"/>
      <c r="AL35" s="531"/>
      <c r="AM35" s="531"/>
      <c r="AN35" s="531"/>
      <c r="AO35" s="531"/>
      <c r="AP35" s="531"/>
      <c r="AQ35" s="61"/>
      <c r="AR35" s="48"/>
      <c r="AS35" s="532"/>
      <c r="AT35" s="532"/>
      <c r="AU35" s="439"/>
      <c r="AV35" s="439"/>
      <c r="AW35" s="439"/>
      <c r="AY35" s="413" t="s">
        <v>663</v>
      </c>
      <c r="AZ35" s="413"/>
      <c r="BA35" s="412"/>
      <c r="BB35" s="412"/>
    </row>
    <row r="36" spans="1:80" ht="18" customHeight="1" thickBot="1">
      <c r="A36" s="492" t="s">
        <v>664</v>
      </c>
      <c r="B36" s="493"/>
      <c r="C36" s="493"/>
      <c r="D36" s="493"/>
      <c r="E36" s="493"/>
      <c r="F36" s="498">
        <v>4.1666666666666664E-2</v>
      </c>
      <c r="G36" s="439"/>
      <c r="H36" s="439"/>
      <c r="I36" s="439"/>
      <c r="J36" s="439"/>
      <c r="K36" s="439"/>
      <c r="L36" s="499" t="s">
        <v>665</v>
      </c>
      <c r="M36" s="489"/>
      <c r="N36" s="489"/>
      <c r="O36" s="500"/>
      <c r="P36" s="410" t="s">
        <v>72</v>
      </c>
      <c r="Q36" s="410"/>
      <c r="R36" s="410"/>
      <c r="S36" s="55" t="s">
        <v>666</v>
      </c>
      <c r="T36" s="410" t="s">
        <v>50</v>
      </c>
      <c r="U36" s="410"/>
      <c r="V36" s="530"/>
      <c r="W36" s="489" t="s">
        <v>667</v>
      </c>
      <c r="X36" s="489"/>
      <c r="Y36" s="489"/>
      <c r="Z36" s="489"/>
      <c r="AA36" s="489"/>
      <c r="AB36" s="489"/>
      <c r="AC36" s="490" t="s">
        <v>722</v>
      </c>
      <c r="AD36" s="487"/>
      <c r="AE36" s="487"/>
      <c r="AF36" s="487"/>
      <c r="AG36" s="487"/>
      <c r="AH36" s="487"/>
      <c r="AI36" s="488"/>
      <c r="AK36" s="525" t="s">
        <v>668</v>
      </c>
      <c r="AL36" s="526"/>
      <c r="AM36" s="526"/>
      <c r="AN36" s="526"/>
      <c r="AO36" s="526"/>
      <c r="AP36" s="526"/>
      <c r="AQ36" s="117"/>
      <c r="AR36" s="48"/>
      <c r="AS36" s="532"/>
      <c r="AT36" s="532"/>
      <c r="AU36" s="439"/>
      <c r="AV36" s="439"/>
      <c r="AW36" s="439"/>
      <c r="BH36" s="50"/>
      <c r="BI36" s="51"/>
    </row>
    <row r="37" spans="1:80" ht="18" customHeight="1" thickBot="1">
      <c r="A37" s="494" t="s">
        <v>669</v>
      </c>
      <c r="B37" s="495"/>
      <c r="C37" s="495"/>
      <c r="D37" s="495"/>
      <c r="E37" s="495"/>
      <c r="F37" s="487"/>
      <c r="G37" s="487"/>
      <c r="H37" s="487"/>
      <c r="I37" s="487"/>
      <c r="J37" s="487"/>
      <c r="K37" s="487"/>
      <c r="L37" s="487"/>
      <c r="M37" s="487"/>
      <c r="N37" s="487"/>
      <c r="O37" s="487"/>
      <c r="P37" s="487"/>
      <c r="Q37" s="487"/>
      <c r="R37" s="487"/>
      <c r="S37" s="487"/>
      <c r="T37" s="487"/>
      <c r="U37" s="487"/>
      <c r="V37" s="487"/>
      <c r="W37" s="487"/>
      <c r="X37" s="487"/>
      <c r="Y37" s="487"/>
      <c r="Z37" s="487"/>
      <c r="AA37" s="487"/>
      <c r="AB37" s="487"/>
      <c r="AC37" s="487"/>
      <c r="AD37" s="487"/>
      <c r="AE37" s="487"/>
      <c r="AF37" s="487"/>
      <c r="AG37" s="487"/>
      <c r="AH37" s="487"/>
      <c r="AI37" s="488"/>
      <c r="AK37" s="544" t="s">
        <v>240</v>
      </c>
      <c r="AL37" s="545"/>
      <c r="AM37" s="545"/>
      <c r="AN37" s="545"/>
      <c r="AO37" s="545"/>
      <c r="AP37" s="545"/>
      <c r="AQ37" s="122"/>
      <c r="AR37" s="48"/>
      <c r="AS37" s="532"/>
      <c r="AT37" s="532"/>
      <c r="AU37" s="439"/>
      <c r="AV37" s="439"/>
      <c r="AW37" s="439"/>
      <c r="BH37" s="50"/>
      <c r="BI37" s="51"/>
    </row>
    <row r="38" spans="1:80" ht="18" customHeight="1" thickBot="1">
      <c r="A38" s="496" t="s">
        <v>670</v>
      </c>
      <c r="B38" s="497"/>
      <c r="C38" s="497"/>
      <c r="D38" s="497"/>
      <c r="E38" s="497"/>
      <c r="F38" s="416" t="s">
        <v>667</v>
      </c>
      <c r="G38" s="416"/>
      <c r="H38" s="416"/>
      <c r="I38" s="416"/>
      <c r="J38" s="416"/>
      <c r="K38" s="416"/>
      <c r="L38" s="424" t="s">
        <v>722</v>
      </c>
      <c r="M38" s="424"/>
      <c r="N38" s="424"/>
      <c r="O38" s="424"/>
      <c r="P38" s="416" t="s">
        <v>671</v>
      </c>
      <c r="Q38" s="416"/>
      <c r="R38" s="416"/>
      <c r="S38" s="416"/>
      <c r="T38" s="416"/>
      <c r="U38" s="416"/>
      <c r="V38" s="416"/>
      <c r="W38" s="416" t="s">
        <v>667</v>
      </c>
      <c r="X38" s="416"/>
      <c r="Y38" s="416"/>
      <c r="Z38" s="416"/>
      <c r="AA38" s="416"/>
      <c r="AB38" s="416"/>
      <c r="AC38" s="424" t="s">
        <v>722</v>
      </c>
      <c r="AD38" s="424"/>
      <c r="AE38" s="424"/>
      <c r="AF38" s="424"/>
      <c r="AG38" s="424"/>
      <c r="AH38" s="424"/>
      <c r="AI38" s="491"/>
      <c r="AK38" s="543"/>
      <c r="AL38" s="543"/>
      <c r="AM38" s="543"/>
      <c r="AN38" s="543"/>
      <c r="AO38" s="543"/>
      <c r="AP38" s="543"/>
      <c r="AQ38" s="59"/>
      <c r="AR38" s="48"/>
      <c r="BC38" s="50"/>
      <c r="BD38" s="51"/>
    </row>
    <row r="39" spans="1:80" ht="18" customHeight="1">
      <c r="A39" s="452" t="s">
        <v>672</v>
      </c>
      <c r="B39" s="453"/>
      <c r="C39" s="453"/>
      <c r="D39" s="453"/>
      <c r="E39" s="453"/>
      <c r="F39" s="453"/>
      <c r="G39" s="453"/>
      <c r="H39" s="453"/>
      <c r="I39" s="453"/>
      <c r="J39" s="453"/>
      <c r="K39" s="453"/>
      <c r="L39" s="453"/>
      <c r="M39" s="453"/>
      <c r="N39" s="453"/>
      <c r="O39" s="453"/>
      <c r="P39" s="453"/>
      <c r="Q39" s="453"/>
      <c r="R39" s="453"/>
      <c r="S39" s="453"/>
      <c r="T39" s="453"/>
      <c r="U39" s="453"/>
      <c r="V39" s="453"/>
      <c r="W39" s="453"/>
      <c r="X39" s="453"/>
      <c r="Y39" s="453"/>
      <c r="Z39" s="453"/>
      <c r="AA39" s="453"/>
      <c r="AB39" s="453"/>
      <c r="AC39" s="453"/>
      <c r="AD39" s="453"/>
      <c r="AE39" s="453"/>
      <c r="AF39" s="453"/>
      <c r="AG39" s="453"/>
      <c r="AH39" s="453"/>
      <c r="AI39" s="454"/>
      <c r="AK39" s="444" t="s">
        <v>673</v>
      </c>
      <c r="AL39" s="444"/>
      <c r="AM39" s="444"/>
      <c r="AN39" s="444"/>
      <c r="AO39" s="444"/>
      <c r="AP39" s="444"/>
      <c r="AQ39" s="42"/>
      <c r="AR39" s="48"/>
      <c r="AS39" s="423" t="s">
        <v>526</v>
      </c>
      <c r="AT39" s="423"/>
      <c r="AU39" s="148">
        <v>38</v>
      </c>
      <c r="AV39" s="423" t="s">
        <v>528</v>
      </c>
      <c r="AW39" s="423"/>
      <c r="BC39" s="50"/>
      <c r="BD39" s="51"/>
    </row>
    <row r="40" spans="1:80" ht="18" customHeight="1">
      <c r="A40" s="464" t="s">
        <v>674</v>
      </c>
      <c r="B40" s="459"/>
      <c r="C40" s="459"/>
      <c r="D40" s="459"/>
      <c r="E40" s="470" t="s">
        <v>675</v>
      </c>
      <c r="F40" s="471"/>
      <c r="G40" s="471"/>
      <c r="H40" s="471"/>
      <c r="I40" s="471"/>
      <c r="J40" s="471"/>
      <c r="K40" s="472"/>
      <c r="L40" s="458" t="s">
        <v>676</v>
      </c>
      <c r="M40" s="459"/>
      <c r="N40" s="459"/>
      <c r="O40" s="459"/>
      <c r="P40" s="459"/>
      <c r="Q40" s="459"/>
      <c r="R40" s="460"/>
      <c r="S40" s="458" t="s">
        <v>677</v>
      </c>
      <c r="T40" s="459"/>
      <c r="U40" s="459"/>
      <c r="V40" s="459"/>
      <c r="W40" s="470" t="s">
        <v>675</v>
      </c>
      <c r="X40" s="471"/>
      <c r="Y40" s="471"/>
      <c r="Z40" s="471"/>
      <c r="AA40" s="471"/>
      <c r="AB40" s="471"/>
      <c r="AC40" s="472"/>
      <c r="AD40" s="458" t="s">
        <v>678</v>
      </c>
      <c r="AE40" s="459"/>
      <c r="AF40" s="459"/>
      <c r="AG40" s="459"/>
      <c r="AH40" s="459"/>
      <c r="AI40" s="463"/>
      <c r="AK40" s="444" t="s">
        <v>679</v>
      </c>
      <c r="AL40" s="444"/>
      <c r="AM40" s="444"/>
      <c r="AN40" s="444"/>
      <c r="AO40" s="444"/>
      <c r="AP40" s="444"/>
      <c r="AQ40" s="42"/>
      <c r="AR40" s="48"/>
      <c r="AS40" s="423" t="s">
        <v>527</v>
      </c>
      <c r="AT40" s="423"/>
      <c r="AU40" s="148">
        <v>26</v>
      </c>
      <c r="AV40" s="560">
        <v>0.72450000000000003</v>
      </c>
      <c r="AW40" s="560"/>
      <c r="BC40" s="50"/>
      <c r="BD40" s="51"/>
    </row>
    <row r="41" spans="1:80" ht="18" customHeight="1">
      <c r="A41" s="464" t="s">
        <v>16</v>
      </c>
      <c r="B41" s="459"/>
      <c r="C41" s="459"/>
      <c r="D41" s="459"/>
      <c r="E41" s="469">
        <f>AX10</f>
        <v>0.33333333333333331</v>
      </c>
      <c r="F41" s="456"/>
      <c r="G41" s="456"/>
      <c r="H41" s="144" t="s">
        <v>680</v>
      </c>
      <c r="I41" s="456">
        <f>AY10</f>
        <v>0.83333333333333337</v>
      </c>
      <c r="J41" s="456"/>
      <c r="K41" s="457"/>
      <c r="L41" s="458" t="str">
        <f>AU10</f>
        <v>藤井隆幸</v>
      </c>
      <c r="M41" s="459"/>
      <c r="N41" s="459"/>
      <c r="O41" s="459"/>
      <c r="P41" s="459"/>
      <c r="Q41" s="459"/>
      <c r="R41" s="460"/>
      <c r="S41" s="409"/>
      <c r="T41" s="410"/>
      <c r="U41" s="410"/>
      <c r="V41" s="410"/>
      <c r="W41" s="414"/>
      <c r="X41" s="415"/>
      <c r="Y41" s="415"/>
      <c r="Z41" s="40"/>
      <c r="AA41" s="415"/>
      <c r="AB41" s="415"/>
      <c r="AC41" s="461"/>
      <c r="AD41" s="409">
        <f>AU14</f>
        <v>0</v>
      </c>
      <c r="AE41" s="410"/>
      <c r="AF41" s="410"/>
      <c r="AG41" s="410"/>
      <c r="AH41" s="410"/>
      <c r="AI41" s="462"/>
      <c r="AK41" s="444" t="s">
        <v>681</v>
      </c>
      <c r="AL41" s="444"/>
      <c r="AM41" s="444"/>
      <c r="AN41" s="444"/>
      <c r="AO41" s="444"/>
      <c r="AP41" s="444"/>
      <c r="AQ41" s="42"/>
      <c r="AR41" s="48"/>
      <c r="BC41" s="50"/>
      <c r="BD41" s="51"/>
    </row>
    <row r="42" spans="1:80" ht="18" customHeight="1">
      <c r="A42" s="464" t="s">
        <v>24</v>
      </c>
      <c r="B42" s="459"/>
      <c r="C42" s="459"/>
      <c r="D42" s="459"/>
      <c r="E42" s="469">
        <f>AX13</f>
        <v>0.33333333333333331</v>
      </c>
      <c r="F42" s="456"/>
      <c r="G42" s="456"/>
      <c r="H42" s="144" t="s">
        <v>680</v>
      </c>
      <c r="I42" s="456">
        <f>AY12</f>
        <v>0.83333333333333337</v>
      </c>
      <c r="J42" s="456"/>
      <c r="K42" s="457"/>
      <c r="L42" s="458" t="str">
        <f>AU13</f>
        <v>松葉眞</v>
      </c>
      <c r="M42" s="459"/>
      <c r="N42" s="459"/>
      <c r="O42" s="459"/>
      <c r="P42" s="459"/>
      <c r="Q42" s="459"/>
      <c r="R42" s="460"/>
      <c r="S42" s="409"/>
      <c r="T42" s="410"/>
      <c r="U42" s="410"/>
      <c r="V42" s="410"/>
      <c r="W42" s="414"/>
      <c r="X42" s="415"/>
      <c r="Y42" s="415"/>
      <c r="Z42" s="136"/>
      <c r="AA42" s="415"/>
      <c r="AB42" s="415"/>
      <c r="AC42" s="461"/>
      <c r="AD42" s="409">
        <f>AU15</f>
        <v>0</v>
      </c>
      <c r="AE42" s="410"/>
      <c r="AF42" s="410"/>
      <c r="AG42" s="410"/>
      <c r="AH42" s="410"/>
      <c r="AI42" s="462"/>
      <c r="AK42" s="445" t="s">
        <v>682</v>
      </c>
      <c r="AL42" s="445"/>
      <c r="AM42" s="445"/>
      <c r="AN42" s="445"/>
      <c r="AO42" s="445"/>
      <c r="AP42" s="445"/>
      <c r="AQ42" s="42"/>
      <c r="AR42" s="48"/>
      <c r="AS42" s="561" t="s">
        <v>683</v>
      </c>
      <c r="AT42" s="561"/>
      <c r="AU42" s="561"/>
      <c r="AV42" s="561"/>
      <c r="AW42" s="561"/>
      <c r="BC42" s="50"/>
      <c r="BD42" s="51"/>
    </row>
    <row r="43" spans="1:80" ht="18" customHeight="1">
      <c r="A43" s="464" t="s">
        <v>38</v>
      </c>
      <c r="B43" s="459"/>
      <c r="C43" s="459"/>
      <c r="D43" s="459"/>
      <c r="E43" s="469">
        <f>AX16</f>
        <v>0.83333333333333337</v>
      </c>
      <c r="F43" s="456"/>
      <c r="G43" s="456"/>
      <c r="H43" s="144" t="s">
        <v>680</v>
      </c>
      <c r="I43" s="456" t="str">
        <f>AY16</f>
        <v>翌8:00</v>
      </c>
      <c r="J43" s="456"/>
      <c r="K43" s="457"/>
      <c r="L43" s="458" t="str">
        <f>AU16</f>
        <v>片山薫</v>
      </c>
      <c r="M43" s="459"/>
      <c r="N43" s="459"/>
      <c r="O43" s="459"/>
      <c r="P43" s="459"/>
      <c r="Q43" s="459"/>
      <c r="R43" s="460"/>
      <c r="S43" s="409"/>
      <c r="T43" s="410"/>
      <c r="U43" s="410"/>
      <c r="V43" s="410"/>
      <c r="W43" s="414"/>
      <c r="X43" s="415"/>
      <c r="Y43" s="415"/>
      <c r="Z43" s="136"/>
      <c r="AA43" s="415"/>
      <c r="AB43" s="415"/>
      <c r="AC43" s="461"/>
      <c r="AD43" s="486">
        <f>AU18</f>
        <v>0</v>
      </c>
      <c r="AE43" s="410"/>
      <c r="AF43" s="410"/>
      <c r="AG43" s="410"/>
      <c r="AH43" s="410"/>
      <c r="AI43" s="462"/>
      <c r="AK43" s="444" t="s">
        <v>684</v>
      </c>
      <c r="AL43" s="444"/>
      <c r="AM43" s="444"/>
      <c r="AN43" s="444"/>
      <c r="AO43" s="444"/>
      <c r="AP43" s="444"/>
      <c r="AQ43" s="42"/>
      <c r="AR43" s="43"/>
      <c r="AW43"/>
      <c r="AX43"/>
      <c r="AY43"/>
      <c r="AZ43"/>
      <c r="BA43"/>
      <c r="BB43"/>
      <c r="BC43" s="50"/>
      <c r="BD43" s="51"/>
      <c r="BE43"/>
      <c r="BF43"/>
      <c r="BG43"/>
      <c r="BH43"/>
      <c r="BI43"/>
      <c r="BJ43"/>
      <c r="BK43"/>
      <c r="BL43"/>
      <c r="BM43"/>
      <c r="BN43"/>
      <c r="BO43"/>
      <c r="BP43"/>
      <c r="BQ43"/>
      <c r="BR43"/>
      <c r="BS43"/>
      <c r="BT43"/>
      <c r="BU43"/>
      <c r="BV43"/>
      <c r="BW43"/>
      <c r="BX43"/>
      <c r="BY43"/>
      <c r="BZ43"/>
      <c r="CA43"/>
      <c r="CB43"/>
    </row>
    <row r="44" spans="1:80" ht="18" customHeight="1" thickBot="1">
      <c r="A44" s="473" t="s">
        <v>45</v>
      </c>
      <c r="B44" s="474"/>
      <c r="C44" s="474"/>
      <c r="D44" s="474"/>
      <c r="E44" s="475">
        <f>AX17</f>
        <v>0.83333333333333337</v>
      </c>
      <c r="F44" s="476"/>
      <c r="G44" s="476"/>
      <c r="H44" s="145" t="s">
        <v>680</v>
      </c>
      <c r="I44" s="476" t="str">
        <f>AY17</f>
        <v>翌8:00</v>
      </c>
      <c r="J44" s="476"/>
      <c r="K44" s="477"/>
      <c r="L44" s="478" t="str">
        <f>AU17</f>
        <v>末廣信行</v>
      </c>
      <c r="M44" s="478"/>
      <c r="N44" s="478"/>
      <c r="O44" s="478"/>
      <c r="P44" s="478"/>
      <c r="Q44" s="478"/>
      <c r="R44" s="478"/>
      <c r="S44" s="479"/>
      <c r="T44" s="480"/>
      <c r="U44" s="480"/>
      <c r="V44" s="480"/>
      <c r="W44" s="481"/>
      <c r="X44" s="482"/>
      <c r="Y44" s="482"/>
      <c r="Z44" s="137"/>
      <c r="AA44" s="482"/>
      <c r="AB44" s="482"/>
      <c r="AC44" s="483"/>
      <c r="AD44" s="484">
        <f>AU19</f>
        <v>0</v>
      </c>
      <c r="AE44" s="480"/>
      <c r="AF44" s="480"/>
      <c r="AG44" s="480"/>
      <c r="AH44" s="480"/>
      <c r="AI44" s="485"/>
      <c r="AK44" s="446" t="s">
        <v>685</v>
      </c>
      <c r="AL44" s="446"/>
      <c r="AM44" s="446"/>
      <c r="AN44" s="446"/>
      <c r="AO44" s="446"/>
      <c r="AP44" s="446"/>
      <c r="AQ44" s="42"/>
      <c r="AR44" s="43"/>
      <c r="BC44" s="50"/>
      <c r="BD44" s="51"/>
    </row>
    <row r="45" spans="1:80" ht="18" customHeight="1" thickBot="1">
      <c r="A45" s="27"/>
      <c r="B45" s="27"/>
      <c r="C45" s="27"/>
      <c r="D45" s="27"/>
      <c r="E45" s="27"/>
      <c r="F45" s="27"/>
      <c r="G45" s="27"/>
      <c r="H45" s="27"/>
      <c r="I45" s="27"/>
      <c r="R45" s="307">
        <f>A7</f>
        <v>46185</v>
      </c>
      <c r="S45" s="308"/>
      <c r="T45" s="308"/>
      <c r="U45" s="308"/>
      <c r="V45" s="23" t="s">
        <v>169</v>
      </c>
      <c r="W45" s="309">
        <f>G7</f>
        <v>46185</v>
      </c>
      <c r="X45" s="308"/>
      <c r="Y45" s="23" t="s">
        <v>170</v>
      </c>
      <c r="Z45" s="310">
        <f>K7</f>
        <v>46185</v>
      </c>
      <c r="AA45" s="308"/>
      <c r="AB45" s="23" t="s">
        <v>3</v>
      </c>
      <c r="AC45" s="455">
        <f>O7</f>
        <v>46185</v>
      </c>
      <c r="AD45" s="308"/>
      <c r="AE45" s="308" t="s">
        <v>292</v>
      </c>
      <c r="AF45" s="308"/>
      <c r="AK45" s="425" t="s">
        <v>686</v>
      </c>
      <c r="AL45" s="425"/>
      <c r="AM45" s="425"/>
      <c r="AN45" s="425"/>
      <c r="AO45" s="425"/>
      <c r="AP45" s="425"/>
      <c r="AQ45" s="42"/>
      <c r="AR45" s="43"/>
      <c r="BC45" s="50"/>
      <c r="BD45" s="51"/>
    </row>
    <row r="46" spans="1:80" customFormat="1" ht="18" customHeight="1">
      <c r="A46" s="452" t="s">
        <v>598</v>
      </c>
      <c r="B46" s="453"/>
      <c r="C46" s="453"/>
      <c r="D46" s="453"/>
      <c r="E46" s="453"/>
      <c r="F46" s="453"/>
      <c r="G46" s="453"/>
      <c r="H46" s="453"/>
      <c r="I46" s="453"/>
      <c r="J46" s="453"/>
      <c r="K46" s="453"/>
      <c r="L46" s="453"/>
      <c r="M46" s="453"/>
      <c r="N46" s="453"/>
      <c r="O46" s="453"/>
      <c r="P46" s="453"/>
      <c r="Q46" s="453"/>
      <c r="R46" s="453"/>
      <c r="S46" s="453"/>
      <c r="T46" s="453"/>
      <c r="U46" s="453"/>
      <c r="V46" s="453"/>
      <c r="W46" s="453"/>
      <c r="X46" s="453"/>
      <c r="Y46" s="453"/>
      <c r="Z46" s="453"/>
      <c r="AA46" s="453"/>
      <c r="AB46" s="453"/>
      <c r="AC46" s="453"/>
      <c r="AD46" s="453"/>
      <c r="AE46" s="453"/>
      <c r="AF46" s="453"/>
      <c r="AG46" s="453"/>
      <c r="AH46" s="453"/>
      <c r="AI46" s="454"/>
      <c r="AK46" s="425" t="s">
        <v>687</v>
      </c>
      <c r="AL46" s="425"/>
      <c r="AM46" s="425"/>
      <c r="AN46" s="425"/>
      <c r="AO46" s="425"/>
      <c r="AP46" s="425"/>
      <c r="AQ46" s="42"/>
      <c r="AR46" s="43"/>
      <c r="AW46" s="23"/>
      <c r="AX46" s="23"/>
      <c r="AY46" s="23"/>
      <c r="AZ46" s="23"/>
      <c r="BA46" s="23"/>
      <c r="BB46" s="23"/>
      <c r="BC46" s="50"/>
      <c r="BD46" s="51"/>
      <c r="BE46" s="23"/>
      <c r="BF46" s="23"/>
      <c r="BG46" s="23"/>
      <c r="BH46" s="23"/>
      <c r="BI46" s="23"/>
      <c r="BJ46" s="23"/>
      <c r="BK46" s="23"/>
      <c r="BL46" s="23"/>
      <c r="BM46" s="23"/>
      <c r="BN46" s="23"/>
      <c r="BO46" s="23"/>
      <c r="BP46" s="23"/>
      <c r="BQ46" s="23"/>
      <c r="BR46" s="23"/>
      <c r="BS46" s="23"/>
      <c r="BT46" s="23"/>
      <c r="BU46" s="23"/>
      <c r="BV46" s="23"/>
      <c r="BW46" s="23"/>
      <c r="BX46" s="23"/>
      <c r="BY46" s="23"/>
      <c r="BZ46" s="23"/>
      <c r="CA46" s="23"/>
      <c r="CB46" s="23"/>
    </row>
    <row r="47" spans="1:80" ht="18" customHeight="1">
      <c r="A47" s="36"/>
      <c r="B47" s="404"/>
      <c r="C47" s="404"/>
      <c r="D47" s="404"/>
      <c r="E47" s="404"/>
      <c r="F47" s="288"/>
      <c r="G47" s="288"/>
      <c r="H47" s="288"/>
      <c r="I47" s="288"/>
      <c r="J47" s="288"/>
      <c r="K47" s="288"/>
      <c r="L47" s="288"/>
      <c r="M47" s="288"/>
      <c r="N47" s="288"/>
      <c r="O47" s="288"/>
      <c r="P47" s="288"/>
      <c r="Q47" s="288"/>
      <c r="R47" s="288"/>
      <c r="S47" s="288"/>
      <c r="T47" s="288"/>
      <c r="U47" s="288"/>
      <c r="V47" s="288"/>
      <c r="W47" s="288"/>
      <c r="X47" s="288"/>
      <c r="Y47" s="288"/>
      <c r="Z47" s="288"/>
      <c r="AA47" s="288"/>
      <c r="AB47" s="288"/>
      <c r="AC47" s="288"/>
      <c r="AD47" s="288"/>
      <c r="AE47" s="288"/>
      <c r="AF47" s="288"/>
      <c r="AG47" s="288"/>
      <c r="AH47" s="288"/>
      <c r="AI47" s="289"/>
      <c r="AK47" s="425" t="s">
        <v>688</v>
      </c>
      <c r="AL47" s="425"/>
      <c r="AM47" s="425"/>
      <c r="AN47" s="425"/>
      <c r="AO47" s="425"/>
      <c r="AP47" s="425"/>
      <c r="AQ47" s="42"/>
      <c r="AR47" s="43"/>
      <c r="AS47" s="120" t="s">
        <v>189</v>
      </c>
      <c r="AT47" s="43" t="s">
        <v>689</v>
      </c>
      <c r="AU47" s="43"/>
      <c r="BC47" s="50"/>
      <c r="BD47" s="51"/>
    </row>
    <row r="48" spans="1:80" ht="18" customHeight="1">
      <c r="A48" s="36"/>
      <c r="B48" s="404"/>
      <c r="C48" s="404"/>
      <c r="D48" s="404"/>
      <c r="E48" s="404"/>
      <c r="F48" s="288"/>
      <c r="G48" s="288"/>
      <c r="H48" s="288"/>
      <c r="I48" s="288"/>
      <c r="J48" s="288"/>
      <c r="K48" s="288"/>
      <c r="L48" s="288"/>
      <c r="M48" s="288"/>
      <c r="N48" s="288"/>
      <c r="O48" s="288"/>
      <c r="P48" s="288"/>
      <c r="Q48" s="288"/>
      <c r="R48" s="288"/>
      <c r="S48" s="288"/>
      <c r="T48" s="288"/>
      <c r="U48" s="288"/>
      <c r="V48" s="288"/>
      <c r="W48" s="288"/>
      <c r="X48" s="288"/>
      <c r="Y48" s="288"/>
      <c r="Z48" s="288"/>
      <c r="AA48" s="288"/>
      <c r="AB48" s="288"/>
      <c r="AC48" s="288"/>
      <c r="AD48" s="288"/>
      <c r="AE48" s="288"/>
      <c r="AF48" s="288"/>
      <c r="AG48" s="288"/>
      <c r="AH48" s="288"/>
      <c r="AI48" s="289"/>
      <c r="AK48" s="425" t="s">
        <v>690</v>
      </c>
      <c r="AL48" s="425"/>
      <c r="AM48" s="425"/>
      <c r="AN48" s="425"/>
      <c r="AO48" s="425"/>
      <c r="AP48" s="425"/>
      <c r="AQ48" s="42"/>
      <c r="AR48" s="43"/>
      <c r="AS48" s="43"/>
      <c r="AT48" s="43"/>
      <c r="AU48" s="43"/>
      <c r="BC48" s="50"/>
      <c r="BD48" s="51"/>
    </row>
    <row r="49" spans="1:61" ht="18" customHeight="1">
      <c r="A49" s="36"/>
      <c r="B49" s="404"/>
      <c r="C49" s="404"/>
      <c r="D49" s="404"/>
      <c r="E49" s="404"/>
      <c r="F49" s="288"/>
      <c r="G49" s="288"/>
      <c r="H49" s="288"/>
      <c r="I49" s="288"/>
      <c r="J49" s="288"/>
      <c r="K49" s="288"/>
      <c r="L49" s="288"/>
      <c r="M49" s="288"/>
      <c r="N49" s="288"/>
      <c r="O49" s="288"/>
      <c r="P49" s="288"/>
      <c r="Q49" s="288"/>
      <c r="R49" s="288"/>
      <c r="S49" s="288"/>
      <c r="T49" s="288"/>
      <c r="U49" s="288"/>
      <c r="V49" s="288"/>
      <c r="W49" s="288"/>
      <c r="X49" s="288"/>
      <c r="Y49" s="288"/>
      <c r="Z49" s="288"/>
      <c r="AA49" s="288"/>
      <c r="AB49" s="288"/>
      <c r="AC49" s="288"/>
      <c r="AD49" s="288"/>
      <c r="AE49" s="288"/>
      <c r="AF49" s="288"/>
      <c r="AG49" s="288"/>
      <c r="AH49" s="288"/>
      <c r="AI49" s="289"/>
      <c r="AK49" s="425" t="s">
        <v>691</v>
      </c>
      <c r="AL49" s="425"/>
      <c r="AM49" s="425"/>
      <c r="AN49" s="425"/>
      <c r="AO49" s="425"/>
      <c r="AP49" s="425"/>
      <c r="AQ49" s="42"/>
      <c r="AR49" s="43"/>
      <c r="AS49" s="43"/>
      <c r="AT49" s="43"/>
      <c r="AU49" s="43"/>
      <c r="BC49" s="50"/>
      <c r="BD49" s="51"/>
    </row>
    <row r="50" spans="1:61" ht="18" customHeight="1">
      <c r="A50" s="36"/>
      <c r="B50" s="404"/>
      <c r="C50" s="404"/>
      <c r="D50" s="404"/>
      <c r="E50" s="404"/>
      <c r="F50" s="288"/>
      <c r="G50" s="288"/>
      <c r="H50" s="288"/>
      <c r="I50" s="288"/>
      <c r="J50" s="288"/>
      <c r="K50" s="288"/>
      <c r="L50" s="288"/>
      <c r="M50" s="288"/>
      <c r="N50" s="288"/>
      <c r="O50" s="288"/>
      <c r="P50" s="288"/>
      <c r="Q50" s="288"/>
      <c r="R50" s="288"/>
      <c r="S50" s="288"/>
      <c r="T50" s="288"/>
      <c r="U50" s="288"/>
      <c r="V50" s="288"/>
      <c r="W50" s="288"/>
      <c r="X50" s="288"/>
      <c r="Y50" s="288"/>
      <c r="Z50" s="288"/>
      <c r="AA50" s="288"/>
      <c r="AB50" s="288"/>
      <c r="AC50" s="288"/>
      <c r="AD50" s="288"/>
      <c r="AE50" s="288"/>
      <c r="AF50" s="288"/>
      <c r="AG50" s="288"/>
      <c r="AH50" s="288"/>
      <c r="AI50" s="289"/>
      <c r="AK50" s="425" t="s">
        <v>692</v>
      </c>
      <c r="AL50" s="425"/>
      <c r="AM50" s="425"/>
      <c r="AN50" s="425"/>
      <c r="AO50" s="425"/>
      <c r="AP50" s="425"/>
      <c r="AQ50" s="42"/>
      <c r="AR50" s="43"/>
      <c r="AS50" s="43"/>
      <c r="AT50" s="43"/>
      <c r="AU50" s="43"/>
      <c r="BC50" s="50"/>
      <c r="BD50" s="51"/>
    </row>
    <row r="51" spans="1:61" ht="18" customHeight="1">
      <c r="A51" s="36"/>
      <c r="B51" s="404"/>
      <c r="C51" s="404"/>
      <c r="D51" s="404"/>
      <c r="E51" s="404"/>
      <c r="F51" s="288"/>
      <c r="G51" s="288"/>
      <c r="H51" s="288"/>
      <c r="I51" s="288"/>
      <c r="J51" s="288"/>
      <c r="K51" s="288"/>
      <c r="L51" s="288"/>
      <c r="M51" s="288"/>
      <c r="N51" s="288"/>
      <c r="O51" s="288"/>
      <c r="P51" s="288"/>
      <c r="Q51" s="288"/>
      <c r="R51" s="288"/>
      <c r="S51" s="288"/>
      <c r="T51" s="288"/>
      <c r="U51" s="288"/>
      <c r="V51" s="288"/>
      <c r="W51" s="288"/>
      <c r="X51" s="288"/>
      <c r="Y51" s="288"/>
      <c r="Z51" s="288"/>
      <c r="AA51" s="288"/>
      <c r="AB51" s="288"/>
      <c r="AC51" s="288"/>
      <c r="AD51" s="288"/>
      <c r="AE51" s="288"/>
      <c r="AF51" s="288"/>
      <c r="AG51" s="288"/>
      <c r="AH51" s="288"/>
      <c r="AI51" s="289"/>
      <c r="AK51" s="425" t="s">
        <v>693</v>
      </c>
      <c r="AL51" s="425"/>
      <c r="AM51" s="425"/>
      <c r="AN51" s="425"/>
      <c r="AO51" s="425"/>
      <c r="AP51" s="425"/>
      <c r="AQ51" s="42"/>
      <c r="AR51" s="43"/>
      <c r="AS51" s="43"/>
      <c r="AT51" s="43"/>
      <c r="AU51" s="43"/>
      <c r="BC51" s="50"/>
      <c r="BD51" s="51"/>
    </row>
    <row r="52" spans="1:61" ht="18" customHeight="1">
      <c r="A52" s="36"/>
      <c r="B52" s="404"/>
      <c r="C52" s="404"/>
      <c r="D52" s="404"/>
      <c r="E52" s="404"/>
      <c r="F52" s="288"/>
      <c r="G52" s="288"/>
      <c r="H52" s="288"/>
      <c r="I52" s="288"/>
      <c r="J52" s="288"/>
      <c r="K52" s="288"/>
      <c r="L52" s="288"/>
      <c r="M52" s="288"/>
      <c r="N52" s="288"/>
      <c r="O52" s="288"/>
      <c r="P52" s="288"/>
      <c r="Q52" s="288"/>
      <c r="R52" s="288"/>
      <c r="S52" s="288"/>
      <c r="T52" s="288"/>
      <c r="U52" s="288"/>
      <c r="V52" s="288"/>
      <c r="W52" s="288"/>
      <c r="X52" s="288"/>
      <c r="Y52" s="288"/>
      <c r="Z52" s="288"/>
      <c r="AA52" s="288"/>
      <c r="AB52" s="288"/>
      <c r="AC52" s="288"/>
      <c r="AD52" s="288"/>
      <c r="AE52" s="288"/>
      <c r="AF52" s="288"/>
      <c r="AG52" s="288"/>
      <c r="AH52" s="288"/>
      <c r="AI52" s="289"/>
      <c r="AK52" s="425" t="s">
        <v>694</v>
      </c>
      <c r="AL52" s="425"/>
      <c r="AM52" s="425"/>
      <c r="AN52" s="425"/>
      <c r="AO52" s="425"/>
      <c r="AP52" s="425"/>
      <c r="AQ52" s="42"/>
      <c r="AR52" s="43"/>
      <c r="AS52" s="43"/>
      <c r="AV52" s="43"/>
      <c r="AW52" s="43"/>
      <c r="AX52" s="43"/>
      <c r="AY52" s="43"/>
      <c r="AZ52" s="43"/>
      <c r="BA52" s="43"/>
      <c r="BH52" s="52"/>
      <c r="BI52" s="51"/>
    </row>
    <row r="53" spans="1:61" ht="18" customHeight="1">
      <c r="A53" s="36"/>
      <c r="B53" s="404"/>
      <c r="C53" s="404"/>
      <c r="D53" s="404"/>
      <c r="E53" s="404"/>
      <c r="F53" s="288"/>
      <c r="G53" s="288"/>
      <c r="H53" s="288"/>
      <c r="I53" s="288"/>
      <c r="J53" s="288"/>
      <c r="K53" s="288"/>
      <c r="L53" s="288"/>
      <c r="M53" s="288"/>
      <c r="N53" s="288"/>
      <c r="O53" s="288"/>
      <c r="P53" s="288"/>
      <c r="Q53" s="288"/>
      <c r="R53" s="288"/>
      <c r="S53" s="288"/>
      <c r="T53" s="288"/>
      <c r="U53" s="288"/>
      <c r="V53" s="288"/>
      <c r="W53" s="288"/>
      <c r="X53" s="288"/>
      <c r="Y53" s="288"/>
      <c r="Z53" s="288"/>
      <c r="AA53" s="288"/>
      <c r="AB53" s="288"/>
      <c r="AC53" s="288"/>
      <c r="AD53" s="288"/>
      <c r="AE53" s="288"/>
      <c r="AF53" s="288"/>
      <c r="AG53" s="288"/>
      <c r="AH53" s="288"/>
      <c r="AI53" s="289"/>
      <c r="AK53" s="425" t="s">
        <v>695</v>
      </c>
      <c r="AL53" s="425"/>
      <c r="AM53" s="425"/>
      <c r="AN53" s="425"/>
      <c r="AO53" s="425"/>
      <c r="AP53" s="425"/>
      <c r="AQ53" s="42"/>
      <c r="AR53" s="43"/>
      <c r="AS53" s="43"/>
      <c r="AT53" s="43"/>
      <c r="AU53" s="43"/>
      <c r="AV53" s="43"/>
      <c r="AW53" s="43"/>
      <c r="AX53" s="43"/>
      <c r="AY53" s="43"/>
      <c r="AZ53" s="43"/>
      <c r="BH53" s="50"/>
      <c r="BI53" s="51"/>
    </row>
    <row r="54" spans="1:61" ht="18" customHeight="1">
      <c r="A54" s="36"/>
      <c r="B54" s="404"/>
      <c r="C54" s="404"/>
      <c r="D54" s="404"/>
      <c r="E54" s="404"/>
      <c r="F54" s="288"/>
      <c r="G54" s="288"/>
      <c r="H54" s="288"/>
      <c r="I54" s="288"/>
      <c r="J54" s="288"/>
      <c r="K54" s="288"/>
      <c r="L54" s="288"/>
      <c r="M54" s="288"/>
      <c r="N54" s="288"/>
      <c r="O54" s="288"/>
      <c r="P54" s="288"/>
      <c r="Q54" s="288"/>
      <c r="R54" s="288"/>
      <c r="S54" s="288"/>
      <c r="T54" s="288"/>
      <c r="U54" s="288"/>
      <c r="V54" s="288"/>
      <c r="W54" s="288"/>
      <c r="X54" s="288"/>
      <c r="Y54" s="288"/>
      <c r="Z54" s="288"/>
      <c r="AA54" s="288"/>
      <c r="AB54" s="288"/>
      <c r="AC54" s="288"/>
      <c r="AD54" s="288"/>
      <c r="AE54" s="288"/>
      <c r="AF54" s="288"/>
      <c r="AG54" s="288"/>
      <c r="AH54" s="288"/>
      <c r="AI54" s="289"/>
      <c r="AK54" s="425" t="s">
        <v>696</v>
      </c>
      <c r="AL54" s="425"/>
      <c r="AM54" s="425"/>
      <c r="AN54" s="425"/>
      <c r="AO54" s="425"/>
      <c r="AP54" s="425"/>
      <c r="AQ54" s="42"/>
      <c r="AR54" s="43"/>
      <c r="AS54" s="43"/>
      <c r="AT54" s="43"/>
      <c r="AU54" s="43"/>
      <c r="AV54" s="43"/>
      <c r="AW54" s="43"/>
      <c r="AX54" s="43"/>
      <c r="AY54" s="43"/>
      <c r="AZ54" s="43"/>
      <c r="BH54" s="50"/>
      <c r="BI54" s="51"/>
    </row>
    <row r="55" spans="1:61" ht="18" customHeight="1">
      <c r="A55" s="36"/>
      <c r="B55" s="404"/>
      <c r="C55" s="404"/>
      <c r="D55" s="404"/>
      <c r="E55" s="404"/>
      <c r="F55" s="288"/>
      <c r="G55" s="288"/>
      <c r="H55" s="288"/>
      <c r="I55" s="288"/>
      <c r="J55" s="288"/>
      <c r="K55" s="288"/>
      <c r="L55" s="288"/>
      <c r="M55" s="288"/>
      <c r="N55" s="288"/>
      <c r="O55" s="288"/>
      <c r="P55" s="288"/>
      <c r="Q55" s="288"/>
      <c r="R55" s="288"/>
      <c r="S55" s="288"/>
      <c r="T55" s="288"/>
      <c r="U55" s="288"/>
      <c r="V55" s="288"/>
      <c r="W55" s="288"/>
      <c r="X55" s="288"/>
      <c r="Y55" s="288"/>
      <c r="Z55" s="288"/>
      <c r="AA55" s="288"/>
      <c r="AB55" s="288"/>
      <c r="AC55" s="288"/>
      <c r="AD55" s="288"/>
      <c r="AE55" s="288"/>
      <c r="AF55" s="288"/>
      <c r="AG55" s="288"/>
      <c r="AH55" s="288"/>
      <c r="AI55" s="289"/>
      <c r="AK55" s="425" t="s">
        <v>697</v>
      </c>
      <c r="AL55" s="425"/>
      <c r="AM55" s="425"/>
      <c r="AN55" s="425"/>
      <c r="AO55" s="425"/>
      <c r="AP55" s="425"/>
      <c r="AQ55" s="42"/>
      <c r="AR55" s="43"/>
      <c r="AS55" s="43"/>
      <c r="AT55" s="43"/>
      <c r="AU55" s="43"/>
      <c r="AV55" s="43"/>
      <c r="AW55" s="43"/>
      <c r="AX55" s="43"/>
      <c r="AY55" s="43"/>
      <c r="AZ55" s="43"/>
      <c r="BH55" s="50"/>
      <c r="BI55" s="51"/>
    </row>
    <row r="56" spans="1:61" ht="18" customHeight="1">
      <c r="A56" s="36"/>
      <c r="B56" s="404"/>
      <c r="C56" s="404"/>
      <c r="D56" s="404"/>
      <c r="E56" s="404"/>
      <c r="F56" s="288"/>
      <c r="G56" s="288"/>
      <c r="H56" s="288"/>
      <c r="I56" s="288"/>
      <c r="J56" s="288"/>
      <c r="K56" s="288"/>
      <c r="L56" s="288"/>
      <c r="M56" s="288"/>
      <c r="N56" s="288"/>
      <c r="O56" s="288"/>
      <c r="P56" s="288"/>
      <c r="Q56" s="288"/>
      <c r="R56" s="288"/>
      <c r="S56" s="288"/>
      <c r="T56" s="288"/>
      <c r="U56" s="288"/>
      <c r="V56" s="288"/>
      <c r="W56" s="288"/>
      <c r="X56" s="288"/>
      <c r="Y56" s="288"/>
      <c r="Z56" s="288"/>
      <c r="AA56" s="288"/>
      <c r="AB56" s="288"/>
      <c r="AC56" s="288"/>
      <c r="AD56" s="288"/>
      <c r="AE56" s="288"/>
      <c r="AF56" s="288"/>
      <c r="AG56" s="288"/>
      <c r="AH56" s="288"/>
      <c r="AI56" s="289"/>
      <c r="AK56" s="425" t="s">
        <v>698</v>
      </c>
      <c r="AL56" s="425"/>
      <c r="AM56" s="425"/>
      <c r="AN56" s="425"/>
      <c r="AO56" s="425"/>
      <c r="AP56" s="425"/>
      <c r="AQ56" s="42"/>
      <c r="AR56" s="43"/>
      <c r="AS56" s="43"/>
      <c r="AT56" s="43"/>
      <c r="AU56" s="43"/>
      <c r="AV56" s="43"/>
      <c r="AW56" s="43"/>
      <c r="AX56" s="43"/>
      <c r="AY56" s="43"/>
      <c r="AZ56" s="43"/>
      <c r="BH56" s="52"/>
      <c r="BI56" s="51"/>
    </row>
    <row r="57" spans="1:61" ht="18" customHeight="1">
      <c r="A57" s="36"/>
      <c r="B57" s="404"/>
      <c r="C57" s="404"/>
      <c r="D57" s="404"/>
      <c r="E57" s="404"/>
      <c r="F57" s="288"/>
      <c r="G57" s="288"/>
      <c r="H57" s="288"/>
      <c r="I57" s="288"/>
      <c r="J57" s="288"/>
      <c r="K57" s="288"/>
      <c r="L57" s="288"/>
      <c r="M57" s="288"/>
      <c r="N57" s="288"/>
      <c r="O57" s="288"/>
      <c r="P57" s="288"/>
      <c r="Q57" s="288"/>
      <c r="R57" s="288"/>
      <c r="S57" s="288"/>
      <c r="T57" s="288"/>
      <c r="U57" s="288"/>
      <c r="V57" s="288"/>
      <c r="W57" s="288"/>
      <c r="X57" s="288"/>
      <c r="Y57" s="288"/>
      <c r="Z57" s="288"/>
      <c r="AA57" s="288"/>
      <c r="AB57" s="288"/>
      <c r="AC57" s="288"/>
      <c r="AD57" s="288"/>
      <c r="AE57" s="288"/>
      <c r="AF57" s="288"/>
      <c r="AG57" s="288"/>
      <c r="AH57" s="288"/>
      <c r="AI57" s="289"/>
      <c r="AK57" s="425" t="s">
        <v>699</v>
      </c>
      <c r="AL57" s="425"/>
      <c r="AM57" s="425"/>
      <c r="AN57" s="425"/>
      <c r="AO57" s="425"/>
      <c r="AP57" s="425"/>
      <c r="AQ57" s="42"/>
      <c r="AR57" s="43"/>
      <c r="AS57" s="43"/>
      <c r="AT57" s="43"/>
      <c r="AU57" s="43"/>
      <c r="AV57" s="43"/>
      <c r="AW57" s="43"/>
      <c r="AX57" s="43"/>
      <c r="AY57" s="43"/>
      <c r="AZ57" s="43"/>
      <c r="BH57" s="50"/>
      <c r="BI57" s="51"/>
    </row>
    <row r="58" spans="1:61" ht="18" customHeight="1">
      <c r="A58" s="36"/>
      <c r="B58" s="404"/>
      <c r="C58" s="404"/>
      <c r="D58" s="404"/>
      <c r="E58" s="404"/>
      <c r="F58" s="288"/>
      <c r="G58" s="288"/>
      <c r="H58" s="288"/>
      <c r="I58" s="288"/>
      <c r="J58" s="288"/>
      <c r="K58" s="288"/>
      <c r="L58" s="288"/>
      <c r="M58" s="288"/>
      <c r="N58" s="288"/>
      <c r="O58" s="288"/>
      <c r="P58" s="288"/>
      <c r="Q58" s="288"/>
      <c r="R58" s="288"/>
      <c r="S58" s="288"/>
      <c r="T58" s="288"/>
      <c r="U58" s="288"/>
      <c r="V58" s="288"/>
      <c r="W58" s="288"/>
      <c r="X58" s="288"/>
      <c r="Y58" s="288"/>
      <c r="Z58" s="288"/>
      <c r="AA58" s="288"/>
      <c r="AB58" s="288"/>
      <c r="AC58" s="288"/>
      <c r="AD58" s="288"/>
      <c r="AE58" s="288"/>
      <c r="AF58" s="288"/>
      <c r="AG58" s="288"/>
      <c r="AH58" s="288"/>
      <c r="AI58" s="289"/>
      <c r="AK58" s="425" t="s">
        <v>700</v>
      </c>
      <c r="AL58" s="425"/>
      <c r="AM58" s="425"/>
      <c r="AN58" s="425"/>
      <c r="AO58" s="425"/>
      <c r="AP58" s="425"/>
      <c r="AQ58" s="42"/>
      <c r="AR58" s="43"/>
      <c r="AS58" s="43"/>
      <c r="AT58" s="43"/>
      <c r="AU58" s="43"/>
      <c r="AV58" s="43"/>
      <c r="AW58" s="43"/>
      <c r="AX58" s="43"/>
      <c r="AY58" s="43"/>
      <c r="AZ58" s="43"/>
      <c r="BH58" s="50"/>
      <c r="BI58" s="51"/>
    </row>
    <row r="59" spans="1:61" ht="18" customHeight="1">
      <c r="A59" s="36"/>
      <c r="B59" s="404"/>
      <c r="C59" s="404"/>
      <c r="D59" s="404"/>
      <c r="E59" s="404"/>
      <c r="F59" s="288"/>
      <c r="G59" s="288"/>
      <c r="H59" s="288"/>
      <c r="I59" s="288"/>
      <c r="J59" s="288"/>
      <c r="K59" s="288"/>
      <c r="L59" s="288"/>
      <c r="M59" s="288"/>
      <c r="N59" s="288"/>
      <c r="O59" s="288"/>
      <c r="P59" s="288"/>
      <c r="Q59" s="288"/>
      <c r="R59" s="288"/>
      <c r="S59" s="288"/>
      <c r="T59" s="288"/>
      <c r="U59" s="288"/>
      <c r="V59" s="288"/>
      <c r="W59" s="288"/>
      <c r="X59" s="288"/>
      <c r="Y59" s="288"/>
      <c r="Z59" s="288"/>
      <c r="AA59" s="288"/>
      <c r="AB59" s="288"/>
      <c r="AC59" s="288"/>
      <c r="AD59" s="288"/>
      <c r="AE59" s="288"/>
      <c r="AF59" s="288"/>
      <c r="AG59" s="288"/>
      <c r="AH59" s="288"/>
      <c r="AI59" s="289"/>
      <c r="AK59" s="425" t="s">
        <v>701</v>
      </c>
      <c r="AL59" s="425"/>
      <c r="AM59" s="425"/>
      <c r="AN59" s="425"/>
      <c r="AO59" s="425"/>
      <c r="AP59" s="425"/>
      <c r="AQ59" s="42"/>
      <c r="AR59" s="43"/>
      <c r="AS59" s="43"/>
      <c r="AT59" s="43"/>
      <c r="AU59" s="43"/>
      <c r="AV59" s="43"/>
      <c r="AW59" s="43"/>
      <c r="AX59" s="43"/>
      <c r="AY59" s="43"/>
      <c r="AZ59" s="43"/>
      <c r="BH59" s="50"/>
      <c r="BI59" s="51"/>
    </row>
    <row r="60" spans="1:61" ht="18" customHeight="1">
      <c r="A60" s="36"/>
      <c r="B60" s="404"/>
      <c r="C60" s="404"/>
      <c r="D60" s="404"/>
      <c r="E60" s="404"/>
      <c r="F60" s="288"/>
      <c r="G60" s="288"/>
      <c r="H60" s="288"/>
      <c r="I60" s="288"/>
      <c r="J60" s="288"/>
      <c r="K60" s="288"/>
      <c r="L60" s="288"/>
      <c r="M60" s="288"/>
      <c r="N60" s="288"/>
      <c r="O60" s="288"/>
      <c r="P60" s="288"/>
      <c r="Q60" s="288"/>
      <c r="R60" s="288"/>
      <c r="S60" s="288"/>
      <c r="T60" s="288"/>
      <c r="U60" s="288"/>
      <c r="V60" s="288"/>
      <c r="W60" s="288"/>
      <c r="X60" s="288"/>
      <c r="Y60" s="288"/>
      <c r="Z60" s="288"/>
      <c r="AA60" s="288"/>
      <c r="AB60" s="288"/>
      <c r="AC60" s="288"/>
      <c r="AD60" s="288"/>
      <c r="AE60" s="288"/>
      <c r="AF60" s="288"/>
      <c r="AG60" s="288"/>
      <c r="AH60" s="288"/>
      <c r="AI60" s="289"/>
      <c r="AK60" s="425" t="s">
        <v>702</v>
      </c>
      <c r="AL60" s="425"/>
      <c r="AM60" s="425"/>
      <c r="AN60" s="425"/>
      <c r="AO60" s="425"/>
      <c r="AP60" s="425"/>
      <c r="AQ60" s="42"/>
      <c r="AR60" s="43"/>
      <c r="AS60" s="43"/>
      <c r="AT60" s="43"/>
      <c r="AU60" s="43"/>
      <c r="AV60" s="43"/>
      <c r="AW60" s="43"/>
      <c r="AX60" s="43"/>
      <c r="AY60" s="43"/>
      <c r="AZ60" s="43"/>
      <c r="BH60" s="52"/>
      <c r="BI60" s="51"/>
    </row>
    <row r="61" spans="1:61" ht="18" customHeight="1">
      <c r="A61" s="36"/>
      <c r="B61" s="404"/>
      <c r="C61" s="404"/>
      <c r="D61" s="404"/>
      <c r="E61" s="404"/>
      <c r="F61" s="288"/>
      <c r="G61" s="288"/>
      <c r="H61" s="288"/>
      <c r="I61" s="288"/>
      <c r="J61" s="288"/>
      <c r="K61" s="288"/>
      <c r="L61" s="288"/>
      <c r="M61" s="288"/>
      <c r="N61" s="288"/>
      <c r="O61" s="288"/>
      <c r="P61" s="288"/>
      <c r="Q61" s="288"/>
      <c r="R61" s="288"/>
      <c r="S61" s="288"/>
      <c r="T61" s="288"/>
      <c r="U61" s="288"/>
      <c r="V61" s="288"/>
      <c r="W61" s="288"/>
      <c r="X61" s="288"/>
      <c r="Y61" s="288"/>
      <c r="Z61" s="288"/>
      <c r="AA61" s="288"/>
      <c r="AB61" s="288"/>
      <c r="AC61" s="288"/>
      <c r="AD61" s="288"/>
      <c r="AE61" s="288"/>
      <c r="AF61" s="288"/>
      <c r="AG61" s="288"/>
      <c r="AH61" s="288"/>
      <c r="AI61" s="289"/>
      <c r="AK61" s="425" t="s">
        <v>703</v>
      </c>
      <c r="AL61" s="425"/>
      <c r="AM61" s="425"/>
      <c r="AN61" s="425"/>
      <c r="AO61" s="425"/>
      <c r="AP61" s="425"/>
      <c r="AQ61" s="42"/>
      <c r="AR61" s="43"/>
      <c r="AS61" s="43"/>
      <c r="AT61" s="43"/>
      <c r="AU61" s="43"/>
      <c r="AV61" s="43"/>
      <c r="AW61" s="43"/>
      <c r="AX61" s="43"/>
      <c r="AY61" s="43"/>
      <c r="AZ61" s="43"/>
      <c r="BH61" s="50"/>
      <c r="BI61" s="51"/>
    </row>
    <row r="62" spans="1:61" ht="18" customHeight="1">
      <c r="A62" s="36"/>
      <c r="B62" s="404"/>
      <c r="C62" s="404"/>
      <c r="D62" s="404"/>
      <c r="E62" s="404"/>
      <c r="F62" s="288"/>
      <c r="G62" s="288"/>
      <c r="H62" s="288"/>
      <c r="I62" s="288"/>
      <c r="J62" s="288"/>
      <c r="K62" s="288"/>
      <c r="L62" s="288"/>
      <c r="M62" s="288"/>
      <c r="N62" s="288"/>
      <c r="O62" s="288"/>
      <c r="P62" s="288"/>
      <c r="Q62" s="288"/>
      <c r="R62" s="288"/>
      <c r="S62" s="288"/>
      <c r="T62" s="288"/>
      <c r="U62" s="288"/>
      <c r="V62" s="288"/>
      <c r="W62" s="288"/>
      <c r="X62" s="288"/>
      <c r="Y62" s="288"/>
      <c r="Z62" s="288"/>
      <c r="AA62" s="288"/>
      <c r="AB62" s="288"/>
      <c r="AC62" s="288"/>
      <c r="AD62" s="288"/>
      <c r="AE62" s="288"/>
      <c r="AF62" s="288"/>
      <c r="AG62" s="288"/>
      <c r="AH62" s="288"/>
      <c r="AI62" s="289"/>
      <c r="AK62" s="425"/>
      <c r="AL62" s="425"/>
      <c r="AM62" s="425"/>
      <c r="AN62" s="425"/>
      <c r="AO62" s="425"/>
      <c r="AP62" s="425"/>
      <c r="AQ62" s="42"/>
      <c r="AR62" s="43"/>
      <c r="AS62" s="43"/>
      <c r="AT62" s="43"/>
      <c r="AU62" s="43"/>
      <c r="AV62" s="43"/>
      <c r="AW62" s="43"/>
      <c r="AX62" s="43"/>
      <c r="AY62" s="43"/>
      <c r="AZ62" s="43"/>
      <c r="BH62" s="50"/>
      <c r="BI62" s="51"/>
    </row>
    <row r="63" spans="1:61" ht="18" customHeight="1">
      <c r="A63" s="36"/>
      <c r="B63" s="404"/>
      <c r="C63" s="404"/>
      <c r="D63" s="404"/>
      <c r="E63" s="404"/>
      <c r="F63" s="288"/>
      <c r="G63" s="288"/>
      <c r="H63" s="288"/>
      <c r="I63" s="288"/>
      <c r="J63" s="288"/>
      <c r="K63" s="288"/>
      <c r="L63" s="288"/>
      <c r="M63" s="288"/>
      <c r="N63" s="288"/>
      <c r="O63" s="288"/>
      <c r="P63" s="288"/>
      <c r="Q63" s="288"/>
      <c r="R63" s="288"/>
      <c r="S63" s="288"/>
      <c r="T63" s="288"/>
      <c r="U63" s="288"/>
      <c r="V63" s="288"/>
      <c r="W63" s="288"/>
      <c r="X63" s="288"/>
      <c r="Y63" s="288"/>
      <c r="Z63" s="288"/>
      <c r="AA63" s="288"/>
      <c r="AB63" s="288"/>
      <c r="AC63" s="288"/>
      <c r="AD63" s="288"/>
      <c r="AE63" s="288"/>
      <c r="AF63" s="288"/>
      <c r="AG63" s="288"/>
      <c r="AH63" s="288"/>
      <c r="AI63" s="289"/>
      <c r="AK63" s="425"/>
      <c r="AL63" s="425"/>
      <c r="AM63" s="425"/>
      <c r="AN63" s="425"/>
      <c r="AO63" s="425"/>
      <c r="AP63" s="425"/>
      <c r="AQ63" s="42"/>
      <c r="AR63" s="43"/>
      <c r="AS63" s="43"/>
      <c r="AT63" s="43"/>
      <c r="AU63" s="43"/>
      <c r="AV63" s="43"/>
      <c r="AW63" s="43"/>
      <c r="AX63" s="43"/>
      <c r="AY63" s="43"/>
      <c r="AZ63" s="43"/>
      <c r="BH63" s="52"/>
      <c r="BI63" s="51"/>
    </row>
    <row r="64" spans="1:61" ht="18" customHeight="1">
      <c r="A64" s="36"/>
      <c r="B64" s="404"/>
      <c r="C64" s="404"/>
      <c r="D64" s="404"/>
      <c r="E64" s="404"/>
      <c r="F64" s="288"/>
      <c r="G64" s="288"/>
      <c r="H64" s="288"/>
      <c r="I64" s="288"/>
      <c r="J64" s="288"/>
      <c r="K64" s="288"/>
      <c r="L64" s="288"/>
      <c r="M64" s="288"/>
      <c r="N64" s="288"/>
      <c r="O64" s="288"/>
      <c r="P64" s="288"/>
      <c r="Q64" s="288"/>
      <c r="R64" s="288"/>
      <c r="S64" s="288"/>
      <c r="T64" s="288"/>
      <c r="U64" s="288"/>
      <c r="V64" s="288"/>
      <c r="W64" s="288"/>
      <c r="X64" s="288"/>
      <c r="Y64" s="288"/>
      <c r="Z64" s="288"/>
      <c r="AA64" s="288"/>
      <c r="AB64" s="288"/>
      <c r="AC64" s="288"/>
      <c r="AD64" s="288"/>
      <c r="AE64" s="288"/>
      <c r="AF64" s="288"/>
      <c r="AG64" s="288"/>
      <c r="AH64" s="288"/>
      <c r="AI64" s="289"/>
      <c r="AK64" s="425"/>
      <c r="AL64" s="425"/>
      <c r="AM64" s="425"/>
      <c r="AN64" s="425"/>
      <c r="AO64" s="425"/>
      <c r="AP64" s="425"/>
      <c r="AQ64" s="42"/>
      <c r="AR64" s="43"/>
      <c r="AS64" s="43"/>
      <c r="AT64" s="43"/>
      <c r="AU64" s="43"/>
      <c r="AV64" s="43"/>
      <c r="AW64" s="43"/>
      <c r="AX64" s="43"/>
      <c r="AY64" s="43"/>
      <c r="AZ64" s="43"/>
      <c r="BH64" s="52"/>
      <c r="BI64" s="51"/>
    </row>
    <row r="65" spans="1:61" ht="18" customHeight="1">
      <c r="A65" s="36"/>
      <c r="B65" s="404"/>
      <c r="C65" s="404"/>
      <c r="D65" s="404"/>
      <c r="E65" s="404"/>
      <c r="F65" s="288"/>
      <c r="G65" s="288"/>
      <c r="H65" s="288"/>
      <c r="I65" s="288"/>
      <c r="J65" s="288"/>
      <c r="K65" s="288"/>
      <c r="L65" s="288"/>
      <c r="M65" s="288"/>
      <c r="N65" s="288"/>
      <c r="O65" s="288"/>
      <c r="P65" s="288"/>
      <c r="Q65" s="288"/>
      <c r="R65" s="288"/>
      <c r="S65" s="288"/>
      <c r="T65" s="288"/>
      <c r="U65" s="288"/>
      <c r="V65" s="288"/>
      <c r="W65" s="288"/>
      <c r="X65" s="288"/>
      <c r="Y65" s="288"/>
      <c r="Z65" s="288"/>
      <c r="AA65" s="288"/>
      <c r="AB65" s="288"/>
      <c r="AC65" s="288"/>
      <c r="AD65" s="288"/>
      <c r="AE65" s="288"/>
      <c r="AF65" s="288"/>
      <c r="AG65" s="288"/>
      <c r="AH65" s="288"/>
      <c r="AI65" s="289"/>
      <c r="AK65" s="425"/>
      <c r="AL65" s="425"/>
      <c r="AM65" s="425"/>
      <c r="AN65" s="425"/>
      <c r="AO65" s="425"/>
      <c r="AP65" s="425"/>
      <c r="AQ65" s="42"/>
      <c r="AR65" s="43"/>
      <c r="AS65" s="43"/>
      <c r="AT65" s="43"/>
      <c r="AU65" s="43"/>
      <c r="AV65" s="43"/>
      <c r="AW65" s="43"/>
      <c r="AX65" s="43"/>
      <c r="AY65" s="43"/>
      <c r="AZ65" s="43"/>
      <c r="BH65" s="50"/>
      <c r="BI65" s="51"/>
    </row>
    <row r="66" spans="1:61" ht="18" customHeight="1">
      <c r="A66" s="36"/>
      <c r="B66" s="404"/>
      <c r="C66" s="404"/>
      <c r="D66" s="404"/>
      <c r="E66" s="404"/>
      <c r="F66" s="288"/>
      <c r="G66" s="288"/>
      <c r="H66" s="288"/>
      <c r="I66" s="288"/>
      <c r="J66" s="288"/>
      <c r="K66" s="288"/>
      <c r="L66" s="288"/>
      <c r="M66" s="288"/>
      <c r="N66" s="288"/>
      <c r="O66" s="288"/>
      <c r="P66" s="288"/>
      <c r="Q66" s="288"/>
      <c r="R66" s="288"/>
      <c r="S66" s="288"/>
      <c r="T66" s="288"/>
      <c r="U66" s="288"/>
      <c r="V66" s="288"/>
      <c r="W66" s="288"/>
      <c r="X66" s="288"/>
      <c r="Y66" s="288"/>
      <c r="Z66" s="288"/>
      <c r="AA66" s="288"/>
      <c r="AB66" s="288"/>
      <c r="AC66" s="288"/>
      <c r="AD66" s="288"/>
      <c r="AE66" s="288"/>
      <c r="AF66" s="288"/>
      <c r="AG66" s="288"/>
      <c r="AH66" s="288"/>
      <c r="AI66" s="289"/>
      <c r="AK66" s="425"/>
      <c r="AL66" s="425"/>
      <c r="AM66" s="425"/>
      <c r="AN66" s="425"/>
      <c r="AO66" s="425"/>
      <c r="AP66" s="425"/>
      <c r="AQ66" s="42"/>
      <c r="AR66" s="43"/>
      <c r="AS66" s="43"/>
      <c r="AT66" s="43"/>
      <c r="AU66" s="43"/>
      <c r="AV66" s="43"/>
      <c r="AW66" s="43"/>
      <c r="AX66" s="43"/>
      <c r="AY66" s="43"/>
      <c r="AZ66" s="43"/>
      <c r="BH66" s="50"/>
      <c r="BI66" s="51"/>
    </row>
    <row r="67" spans="1:61" ht="18" customHeight="1">
      <c r="A67" s="36"/>
      <c r="B67" s="404"/>
      <c r="C67" s="404"/>
      <c r="D67" s="404"/>
      <c r="E67" s="404"/>
      <c r="F67" s="288"/>
      <c r="G67" s="288"/>
      <c r="H67" s="288"/>
      <c r="I67" s="288"/>
      <c r="J67" s="288"/>
      <c r="K67" s="288"/>
      <c r="L67" s="288"/>
      <c r="M67" s="288"/>
      <c r="N67" s="288"/>
      <c r="O67" s="288"/>
      <c r="P67" s="288"/>
      <c r="Q67" s="288"/>
      <c r="R67" s="288"/>
      <c r="S67" s="288"/>
      <c r="T67" s="288"/>
      <c r="U67" s="288"/>
      <c r="V67" s="288"/>
      <c r="W67" s="288"/>
      <c r="X67" s="288"/>
      <c r="Y67" s="288"/>
      <c r="Z67" s="288"/>
      <c r="AA67" s="288"/>
      <c r="AB67" s="288"/>
      <c r="AC67" s="288"/>
      <c r="AD67" s="288"/>
      <c r="AE67" s="288"/>
      <c r="AF67" s="288"/>
      <c r="AG67" s="288"/>
      <c r="AH67" s="288"/>
      <c r="AI67" s="289"/>
      <c r="AK67" s="425"/>
      <c r="AL67" s="425"/>
      <c r="AM67" s="425"/>
      <c r="AN67" s="425"/>
      <c r="AO67" s="425"/>
      <c r="AP67" s="425"/>
      <c r="AQ67" s="67"/>
      <c r="AR67" s="43"/>
      <c r="AS67" s="43"/>
      <c r="AT67" s="43"/>
      <c r="AU67" s="43"/>
      <c r="AV67" s="43"/>
      <c r="AW67" s="43"/>
      <c r="AX67" s="43"/>
      <c r="AY67" s="43"/>
      <c r="AZ67" s="43"/>
      <c r="BH67" s="50"/>
      <c r="BI67" s="51"/>
    </row>
    <row r="68" spans="1:61" ht="18" customHeight="1">
      <c r="A68" s="36"/>
      <c r="B68" s="404"/>
      <c r="C68" s="404"/>
      <c r="D68" s="404"/>
      <c r="E68" s="404"/>
      <c r="F68" s="288"/>
      <c r="G68" s="288"/>
      <c r="H68" s="288"/>
      <c r="I68" s="288"/>
      <c r="J68" s="288"/>
      <c r="K68" s="288"/>
      <c r="L68" s="288"/>
      <c r="M68" s="288"/>
      <c r="N68" s="288"/>
      <c r="O68" s="288"/>
      <c r="P68" s="288"/>
      <c r="Q68" s="288"/>
      <c r="R68" s="288"/>
      <c r="S68" s="288"/>
      <c r="T68" s="288"/>
      <c r="U68" s="288"/>
      <c r="V68" s="288"/>
      <c r="W68" s="288"/>
      <c r="X68" s="288"/>
      <c r="Y68" s="288"/>
      <c r="Z68" s="288"/>
      <c r="AA68" s="288"/>
      <c r="AB68" s="288"/>
      <c r="AC68" s="288"/>
      <c r="AD68" s="288"/>
      <c r="AE68" s="288"/>
      <c r="AF68" s="288"/>
      <c r="AG68" s="288"/>
      <c r="AH68" s="288"/>
      <c r="AI68" s="289"/>
      <c r="AK68" s="425"/>
      <c r="AL68" s="425"/>
      <c r="AM68" s="425"/>
      <c r="AN68" s="425"/>
      <c r="AO68" s="425"/>
      <c r="AP68" s="425"/>
      <c r="AQ68" s="67"/>
      <c r="AR68" s="43"/>
      <c r="AS68" s="43"/>
      <c r="AT68" s="43"/>
      <c r="AU68" s="43"/>
      <c r="AV68" s="43"/>
      <c r="AW68" s="43"/>
      <c r="AX68" s="43"/>
      <c r="AY68" s="43"/>
      <c r="AZ68" s="43"/>
      <c r="BH68" s="50"/>
      <c r="BI68" s="51"/>
    </row>
    <row r="69" spans="1:61" ht="18" customHeight="1">
      <c r="A69" s="36"/>
      <c r="B69" s="404"/>
      <c r="C69" s="404"/>
      <c r="D69" s="404"/>
      <c r="E69" s="404"/>
      <c r="F69" s="288"/>
      <c r="G69" s="288"/>
      <c r="H69" s="288"/>
      <c r="I69" s="288"/>
      <c r="J69" s="288"/>
      <c r="K69" s="288"/>
      <c r="L69" s="288"/>
      <c r="M69" s="288"/>
      <c r="N69" s="288"/>
      <c r="O69" s="288"/>
      <c r="P69" s="288"/>
      <c r="Q69" s="288"/>
      <c r="R69" s="288"/>
      <c r="S69" s="288"/>
      <c r="T69" s="288"/>
      <c r="U69" s="288"/>
      <c r="V69" s="288"/>
      <c r="W69" s="288"/>
      <c r="X69" s="288"/>
      <c r="Y69" s="288"/>
      <c r="Z69" s="288"/>
      <c r="AA69" s="288"/>
      <c r="AB69" s="288"/>
      <c r="AC69" s="288"/>
      <c r="AD69" s="288"/>
      <c r="AE69" s="288"/>
      <c r="AF69" s="288"/>
      <c r="AG69" s="288"/>
      <c r="AH69" s="288"/>
      <c r="AI69" s="289"/>
      <c r="AK69" s="425"/>
      <c r="AL69" s="425"/>
      <c r="AM69" s="425"/>
      <c r="AN69" s="425"/>
      <c r="AO69" s="425"/>
      <c r="AP69" s="425"/>
      <c r="AQ69" s="42"/>
      <c r="AR69" s="43"/>
      <c r="AS69" s="43"/>
      <c r="AT69" s="43"/>
      <c r="AU69" s="43"/>
      <c r="AV69" s="43"/>
      <c r="AW69" s="43"/>
      <c r="AX69" s="43"/>
      <c r="AY69" s="43"/>
      <c r="AZ69" s="43"/>
      <c r="BH69" s="50"/>
      <c r="BI69" s="51"/>
    </row>
    <row r="70" spans="1:61" ht="18" customHeight="1">
      <c r="A70" s="36"/>
      <c r="B70" s="404"/>
      <c r="C70" s="404"/>
      <c r="D70" s="404"/>
      <c r="E70" s="404"/>
      <c r="F70" s="288"/>
      <c r="G70" s="288"/>
      <c r="H70" s="288"/>
      <c r="I70" s="288"/>
      <c r="J70" s="288"/>
      <c r="K70" s="288"/>
      <c r="L70" s="288"/>
      <c r="M70" s="288"/>
      <c r="N70" s="288"/>
      <c r="O70" s="288"/>
      <c r="P70" s="288"/>
      <c r="Q70" s="288"/>
      <c r="R70" s="288"/>
      <c r="S70" s="288"/>
      <c r="T70" s="288"/>
      <c r="U70" s="288"/>
      <c r="V70" s="288"/>
      <c r="W70" s="288"/>
      <c r="X70" s="288"/>
      <c r="Y70" s="288"/>
      <c r="Z70" s="288"/>
      <c r="AA70" s="288"/>
      <c r="AB70" s="288"/>
      <c r="AC70" s="288"/>
      <c r="AD70" s="288"/>
      <c r="AE70" s="288"/>
      <c r="AF70" s="288"/>
      <c r="AG70" s="288"/>
      <c r="AH70" s="288"/>
      <c r="AI70" s="289"/>
      <c r="AK70" s="425"/>
      <c r="AL70" s="425"/>
      <c r="AM70" s="425"/>
      <c r="AN70" s="425"/>
      <c r="AO70" s="425"/>
      <c r="AP70" s="425"/>
      <c r="AQ70" s="42"/>
      <c r="AR70" s="43"/>
      <c r="AS70" s="43"/>
      <c r="AT70" s="43"/>
      <c r="AU70" s="43"/>
      <c r="AV70" s="43"/>
      <c r="AW70" s="43"/>
      <c r="AX70" s="43"/>
      <c r="AY70" s="43"/>
      <c r="AZ70" s="43"/>
      <c r="BH70" s="50"/>
      <c r="BI70" s="51"/>
    </row>
    <row r="71" spans="1:61" ht="18" customHeight="1">
      <c r="A71" s="36"/>
      <c r="B71" s="404"/>
      <c r="C71" s="404"/>
      <c r="D71" s="404"/>
      <c r="E71" s="404"/>
      <c r="F71" s="288"/>
      <c r="G71" s="288"/>
      <c r="H71" s="288"/>
      <c r="I71" s="288"/>
      <c r="J71" s="288"/>
      <c r="K71" s="288"/>
      <c r="L71" s="288"/>
      <c r="M71" s="288"/>
      <c r="N71" s="288"/>
      <c r="O71" s="288"/>
      <c r="P71" s="288"/>
      <c r="Q71" s="288"/>
      <c r="R71" s="288"/>
      <c r="S71" s="288"/>
      <c r="T71" s="288"/>
      <c r="U71" s="288"/>
      <c r="V71" s="288"/>
      <c r="W71" s="288"/>
      <c r="X71" s="288"/>
      <c r="Y71" s="288"/>
      <c r="Z71" s="288"/>
      <c r="AA71" s="288"/>
      <c r="AB71" s="288"/>
      <c r="AC71" s="288"/>
      <c r="AD71" s="288"/>
      <c r="AE71" s="288"/>
      <c r="AF71" s="288"/>
      <c r="AG71" s="288"/>
      <c r="AH71" s="288"/>
      <c r="AI71" s="289"/>
      <c r="AK71" s="425"/>
      <c r="AL71" s="425"/>
      <c r="AM71" s="425"/>
      <c r="AN71" s="425"/>
      <c r="AO71" s="425"/>
      <c r="AP71" s="425"/>
      <c r="AQ71" s="42"/>
      <c r="AR71" s="43"/>
      <c r="AS71" s="43"/>
      <c r="AT71" s="43"/>
      <c r="AU71" s="43"/>
      <c r="AV71" s="43"/>
      <c r="AW71" s="43"/>
      <c r="AX71" s="43"/>
      <c r="AY71" s="43"/>
      <c r="AZ71" s="43"/>
      <c r="BH71" s="52"/>
      <c r="BI71" s="51"/>
    </row>
    <row r="72" spans="1:61" ht="18" customHeight="1">
      <c r="A72" s="36"/>
      <c r="B72" s="404"/>
      <c r="C72" s="404"/>
      <c r="D72" s="404"/>
      <c r="E72" s="404"/>
      <c r="F72" s="288"/>
      <c r="G72" s="288"/>
      <c r="H72" s="288"/>
      <c r="I72" s="288"/>
      <c r="J72" s="288"/>
      <c r="K72" s="288"/>
      <c r="L72" s="288"/>
      <c r="M72" s="288"/>
      <c r="N72" s="288"/>
      <c r="O72" s="288"/>
      <c r="P72" s="288"/>
      <c r="Q72" s="288"/>
      <c r="R72" s="288"/>
      <c r="S72" s="288"/>
      <c r="T72" s="288"/>
      <c r="U72" s="288"/>
      <c r="V72" s="288"/>
      <c r="W72" s="288"/>
      <c r="X72" s="288"/>
      <c r="Y72" s="288"/>
      <c r="Z72" s="288"/>
      <c r="AA72" s="288"/>
      <c r="AB72" s="288"/>
      <c r="AC72" s="288"/>
      <c r="AD72" s="288"/>
      <c r="AE72" s="288"/>
      <c r="AF72" s="288"/>
      <c r="AG72" s="288"/>
      <c r="AH72" s="288"/>
      <c r="AI72" s="289"/>
      <c r="AK72" s="425"/>
      <c r="AL72" s="425"/>
      <c r="AM72" s="425"/>
      <c r="AN72" s="425"/>
      <c r="AO72" s="425"/>
      <c r="AP72" s="425"/>
      <c r="AQ72" s="42"/>
      <c r="AR72" s="43"/>
      <c r="AS72" s="43"/>
      <c r="AT72" s="43"/>
      <c r="AU72" s="43"/>
      <c r="AV72" s="43"/>
      <c r="AW72" s="43"/>
      <c r="AX72" s="43"/>
      <c r="AY72" s="43"/>
      <c r="AZ72" s="43"/>
      <c r="BH72" s="53"/>
      <c r="BI72" s="51"/>
    </row>
    <row r="73" spans="1:61" ht="18" customHeight="1">
      <c r="A73" s="36"/>
      <c r="B73" s="404"/>
      <c r="C73" s="404"/>
      <c r="D73" s="404"/>
      <c r="E73" s="404"/>
      <c r="F73" s="288"/>
      <c r="G73" s="288"/>
      <c r="H73" s="288"/>
      <c r="I73" s="288"/>
      <c r="J73" s="288"/>
      <c r="K73" s="288"/>
      <c r="L73" s="288"/>
      <c r="M73" s="288"/>
      <c r="N73" s="288"/>
      <c r="O73" s="288"/>
      <c r="P73" s="288"/>
      <c r="Q73" s="288"/>
      <c r="R73" s="288"/>
      <c r="S73" s="288"/>
      <c r="T73" s="288"/>
      <c r="U73" s="288"/>
      <c r="V73" s="288"/>
      <c r="W73" s="288"/>
      <c r="X73" s="288"/>
      <c r="Y73" s="288"/>
      <c r="Z73" s="288"/>
      <c r="AA73" s="288"/>
      <c r="AB73" s="288"/>
      <c r="AC73" s="288"/>
      <c r="AD73" s="288"/>
      <c r="AE73" s="288"/>
      <c r="AF73" s="288"/>
      <c r="AG73" s="288"/>
      <c r="AH73" s="288"/>
      <c r="AI73" s="289"/>
      <c r="AK73" s="425"/>
      <c r="AL73" s="425"/>
      <c r="AM73" s="425"/>
      <c r="AN73" s="425"/>
      <c r="AO73" s="425"/>
      <c r="AP73" s="425"/>
      <c r="AQ73" s="42"/>
      <c r="AR73" s="43"/>
      <c r="AS73" s="43"/>
      <c r="AT73" s="43"/>
      <c r="AU73" s="43"/>
      <c r="AV73" s="43"/>
      <c r="AW73" s="43"/>
      <c r="AX73" s="43"/>
      <c r="AY73" s="43"/>
      <c r="AZ73" s="43"/>
      <c r="BH73" s="54"/>
      <c r="BI73" s="51"/>
    </row>
    <row r="74" spans="1:61" ht="18" customHeight="1">
      <c r="A74" s="36"/>
      <c r="B74" s="404"/>
      <c r="C74" s="404"/>
      <c r="D74" s="404"/>
      <c r="E74" s="404"/>
      <c r="F74" s="288"/>
      <c r="G74" s="288"/>
      <c r="H74" s="288"/>
      <c r="I74" s="288"/>
      <c r="J74" s="288"/>
      <c r="K74" s="288"/>
      <c r="L74" s="288"/>
      <c r="M74" s="288"/>
      <c r="N74" s="288"/>
      <c r="O74" s="288"/>
      <c r="P74" s="288"/>
      <c r="Q74" s="288"/>
      <c r="R74" s="288"/>
      <c r="S74" s="288"/>
      <c r="T74" s="288"/>
      <c r="U74" s="288"/>
      <c r="V74" s="288"/>
      <c r="W74" s="288"/>
      <c r="X74" s="288"/>
      <c r="Y74" s="288"/>
      <c r="Z74" s="288"/>
      <c r="AA74" s="288"/>
      <c r="AB74" s="288"/>
      <c r="AC74" s="288"/>
      <c r="AD74" s="288"/>
      <c r="AE74" s="288"/>
      <c r="AF74" s="288"/>
      <c r="AG74" s="288"/>
      <c r="AH74" s="288"/>
      <c r="AI74" s="289"/>
      <c r="AK74" s="425"/>
      <c r="AL74" s="425"/>
      <c r="AM74" s="425"/>
      <c r="AN74" s="425"/>
      <c r="AO74" s="425"/>
      <c r="AP74" s="425"/>
      <c r="AQ74" s="42"/>
      <c r="AR74" s="43"/>
      <c r="AS74" s="43"/>
      <c r="AT74" s="43"/>
      <c r="AU74" s="43"/>
      <c r="AV74" s="43"/>
      <c r="AW74" s="43"/>
      <c r="AX74" s="43"/>
      <c r="AY74" s="43"/>
      <c r="AZ74" s="43"/>
      <c r="BH74" s="54"/>
      <c r="BI74" s="51"/>
    </row>
    <row r="75" spans="1:61" ht="18" customHeight="1">
      <c r="A75" s="36"/>
      <c r="B75" s="404"/>
      <c r="C75" s="404"/>
      <c r="D75" s="404"/>
      <c r="E75" s="404"/>
      <c r="F75" s="288"/>
      <c r="G75" s="288"/>
      <c r="H75" s="288"/>
      <c r="I75" s="288"/>
      <c r="J75" s="288"/>
      <c r="K75" s="288"/>
      <c r="L75" s="288"/>
      <c r="M75" s="288"/>
      <c r="N75" s="288"/>
      <c r="O75" s="288"/>
      <c r="P75" s="288"/>
      <c r="Q75" s="288"/>
      <c r="R75" s="288"/>
      <c r="S75" s="288"/>
      <c r="T75" s="288"/>
      <c r="U75" s="288"/>
      <c r="V75" s="288"/>
      <c r="W75" s="288"/>
      <c r="X75" s="288"/>
      <c r="Y75" s="288"/>
      <c r="Z75" s="288"/>
      <c r="AA75" s="288"/>
      <c r="AB75" s="288"/>
      <c r="AC75" s="288"/>
      <c r="AD75" s="288"/>
      <c r="AE75" s="288"/>
      <c r="AF75" s="288"/>
      <c r="AG75" s="288"/>
      <c r="AH75" s="288"/>
      <c r="AI75" s="289"/>
      <c r="AK75" s="425"/>
      <c r="AL75" s="425"/>
      <c r="AM75" s="425"/>
      <c r="AN75" s="425"/>
      <c r="AO75" s="425"/>
      <c r="AP75" s="425"/>
      <c r="AQ75" s="42"/>
      <c r="AR75" s="43"/>
      <c r="AS75" s="43"/>
      <c r="AT75" s="43"/>
      <c r="AU75" s="43"/>
      <c r="AV75" s="43"/>
      <c r="AW75" s="43"/>
      <c r="AX75" s="43"/>
      <c r="AY75" s="43"/>
      <c r="AZ75" s="43"/>
      <c r="BH75" s="53"/>
      <c r="BI75" s="51"/>
    </row>
    <row r="76" spans="1:61" ht="18" customHeight="1">
      <c r="A76" s="36"/>
      <c r="B76" s="404"/>
      <c r="C76" s="404"/>
      <c r="D76" s="404"/>
      <c r="E76" s="404"/>
      <c r="F76" s="288"/>
      <c r="G76" s="288"/>
      <c r="H76" s="288"/>
      <c r="I76" s="288"/>
      <c r="J76" s="288"/>
      <c r="K76" s="288"/>
      <c r="L76" s="288"/>
      <c r="M76" s="288"/>
      <c r="N76" s="288"/>
      <c r="O76" s="288"/>
      <c r="P76" s="288"/>
      <c r="Q76" s="288"/>
      <c r="R76" s="288"/>
      <c r="S76" s="288"/>
      <c r="T76" s="288"/>
      <c r="U76" s="288"/>
      <c r="V76" s="288"/>
      <c r="W76" s="288"/>
      <c r="X76" s="288"/>
      <c r="Y76" s="288"/>
      <c r="Z76" s="288"/>
      <c r="AA76" s="288"/>
      <c r="AB76" s="288"/>
      <c r="AC76" s="288"/>
      <c r="AD76" s="288"/>
      <c r="AE76" s="288"/>
      <c r="AF76" s="288"/>
      <c r="AG76" s="288"/>
      <c r="AH76" s="288"/>
      <c r="AI76" s="289"/>
      <c r="AK76" s="425"/>
      <c r="AL76" s="425"/>
      <c r="AM76" s="425"/>
      <c r="AN76" s="425"/>
      <c r="AO76" s="425"/>
      <c r="AP76" s="425"/>
      <c r="AQ76" s="42"/>
      <c r="AR76" s="43"/>
      <c r="AS76" s="43"/>
      <c r="AT76" s="43"/>
      <c r="AU76" s="43"/>
      <c r="AV76" s="43"/>
      <c r="AW76" s="43"/>
      <c r="AX76" s="43"/>
      <c r="AY76" s="43"/>
      <c r="AZ76" s="43"/>
      <c r="BH76" s="53"/>
      <c r="BI76" s="51"/>
    </row>
    <row r="77" spans="1:61" ht="18" customHeight="1">
      <c r="A77" s="36"/>
      <c r="B77" s="404"/>
      <c r="C77" s="404"/>
      <c r="D77" s="404"/>
      <c r="E77" s="404"/>
      <c r="F77" s="288"/>
      <c r="G77" s="288"/>
      <c r="H77" s="288"/>
      <c r="I77" s="288"/>
      <c r="J77" s="288"/>
      <c r="K77" s="288"/>
      <c r="L77" s="288"/>
      <c r="M77" s="288"/>
      <c r="N77" s="288"/>
      <c r="O77" s="288"/>
      <c r="P77" s="288"/>
      <c r="Q77" s="288"/>
      <c r="R77" s="288"/>
      <c r="S77" s="288"/>
      <c r="T77" s="288"/>
      <c r="U77" s="288"/>
      <c r="V77" s="288"/>
      <c r="W77" s="288"/>
      <c r="X77" s="288"/>
      <c r="Y77" s="288"/>
      <c r="Z77" s="288"/>
      <c r="AA77" s="288"/>
      <c r="AB77" s="288"/>
      <c r="AC77" s="288"/>
      <c r="AD77" s="288"/>
      <c r="AE77" s="288"/>
      <c r="AF77" s="288"/>
      <c r="AG77" s="288"/>
      <c r="AH77" s="288"/>
      <c r="AI77" s="289"/>
      <c r="AK77" s="425"/>
      <c r="AL77" s="425"/>
      <c r="AM77" s="425"/>
      <c r="AN77" s="425"/>
      <c r="AO77" s="425"/>
      <c r="AP77" s="425"/>
      <c r="AQ77" s="42"/>
      <c r="AR77" s="43"/>
      <c r="AS77" s="43"/>
      <c r="AT77" s="43"/>
      <c r="AU77" s="43"/>
      <c r="AV77" s="43"/>
      <c r="AW77" s="43"/>
      <c r="AX77" s="43"/>
      <c r="AY77" s="43"/>
      <c r="AZ77" s="43"/>
      <c r="BH77" s="54"/>
      <c r="BI77" s="51"/>
    </row>
    <row r="78" spans="1:61" ht="18" customHeight="1">
      <c r="A78" s="36"/>
      <c r="B78" s="404"/>
      <c r="C78" s="404"/>
      <c r="D78" s="404"/>
      <c r="E78" s="404"/>
      <c r="F78" s="288"/>
      <c r="G78" s="288"/>
      <c r="H78" s="288"/>
      <c r="I78" s="288"/>
      <c r="J78" s="288"/>
      <c r="K78" s="288"/>
      <c r="L78" s="288"/>
      <c r="M78" s="288"/>
      <c r="N78" s="288"/>
      <c r="O78" s="288"/>
      <c r="P78" s="288"/>
      <c r="Q78" s="288"/>
      <c r="R78" s="288"/>
      <c r="S78" s="288"/>
      <c r="T78" s="288"/>
      <c r="U78" s="288"/>
      <c r="V78" s="288"/>
      <c r="W78" s="288"/>
      <c r="X78" s="288"/>
      <c r="Y78" s="288"/>
      <c r="Z78" s="288"/>
      <c r="AA78" s="288"/>
      <c r="AB78" s="288"/>
      <c r="AC78" s="288"/>
      <c r="AD78" s="288"/>
      <c r="AE78" s="288"/>
      <c r="AF78" s="288"/>
      <c r="AG78" s="288"/>
      <c r="AH78" s="288"/>
      <c r="AI78" s="289"/>
      <c r="AK78" s="425"/>
      <c r="AL78" s="425"/>
      <c r="AM78" s="425"/>
      <c r="AN78" s="425"/>
      <c r="AO78" s="425"/>
      <c r="AP78" s="425"/>
      <c r="AQ78" s="42"/>
      <c r="AR78" s="43"/>
      <c r="AS78" s="43"/>
      <c r="AT78" s="43"/>
      <c r="AU78" s="43"/>
      <c r="AV78" s="43"/>
      <c r="AW78" s="43"/>
      <c r="AX78" s="43"/>
      <c r="AY78" s="43"/>
      <c r="AZ78" s="43"/>
      <c r="BH78" s="54"/>
      <c r="BI78" s="51"/>
    </row>
    <row r="79" spans="1:61" ht="18" customHeight="1">
      <c r="A79" s="36"/>
      <c r="B79" s="404"/>
      <c r="C79" s="404"/>
      <c r="D79" s="404"/>
      <c r="E79" s="404"/>
      <c r="F79" s="288"/>
      <c r="G79" s="288"/>
      <c r="H79" s="288"/>
      <c r="I79" s="288"/>
      <c r="J79" s="288"/>
      <c r="K79" s="288"/>
      <c r="L79" s="288"/>
      <c r="M79" s="288"/>
      <c r="N79" s="288"/>
      <c r="O79" s="288"/>
      <c r="P79" s="288"/>
      <c r="Q79" s="288"/>
      <c r="R79" s="288"/>
      <c r="S79" s="288"/>
      <c r="T79" s="288"/>
      <c r="U79" s="288"/>
      <c r="V79" s="288"/>
      <c r="W79" s="288"/>
      <c r="X79" s="288"/>
      <c r="Y79" s="288"/>
      <c r="Z79" s="288"/>
      <c r="AA79" s="288"/>
      <c r="AB79" s="288"/>
      <c r="AC79" s="288"/>
      <c r="AD79" s="288"/>
      <c r="AE79" s="288"/>
      <c r="AF79" s="288"/>
      <c r="AG79" s="288"/>
      <c r="AH79" s="288"/>
      <c r="AI79" s="289"/>
      <c r="AK79" s="425"/>
      <c r="AL79" s="425"/>
      <c r="AM79" s="425"/>
      <c r="AN79" s="425"/>
      <c r="AO79" s="425"/>
      <c r="AP79" s="425"/>
      <c r="AQ79" s="42"/>
      <c r="AR79" s="43"/>
      <c r="AS79" s="43"/>
      <c r="AT79" s="43"/>
      <c r="AU79" s="43"/>
      <c r="AV79" s="43"/>
      <c r="AW79" s="43"/>
      <c r="AX79" s="43"/>
      <c r="AY79" s="43"/>
      <c r="AZ79" s="43"/>
      <c r="BH79" s="54"/>
      <c r="BI79" s="51"/>
    </row>
    <row r="80" spans="1:61" ht="18" customHeight="1">
      <c r="A80" s="37"/>
      <c r="B80" s="466"/>
      <c r="C80" s="466"/>
      <c r="D80" s="466"/>
      <c r="E80" s="466"/>
      <c r="F80" s="467"/>
      <c r="G80" s="467"/>
      <c r="H80" s="467"/>
      <c r="I80" s="467"/>
      <c r="J80" s="467"/>
      <c r="K80" s="467"/>
      <c r="L80" s="467"/>
      <c r="M80" s="467"/>
      <c r="N80" s="467"/>
      <c r="O80" s="467"/>
      <c r="P80" s="467"/>
      <c r="Q80" s="467"/>
      <c r="R80" s="467"/>
      <c r="S80" s="467"/>
      <c r="T80" s="467"/>
      <c r="U80" s="467"/>
      <c r="V80" s="467"/>
      <c r="W80" s="467"/>
      <c r="X80" s="467"/>
      <c r="Y80" s="467"/>
      <c r="Z80" s="467"/>
      <c r="AA80" s="467"/>
      <c r="AB80" s="467"/>
      <c r="AC80" s="467"/>
      <c r="AD80" s="467"/>
      <c r="AE80" s="467"/>
      <c r="AF80" s="467"/>
      <c r="AG80" s="467"/>
      <c r="AH80" s="467"/>
      <c r="AI80" s="468"/>
      <c r="AK80" s="425"/>
      <c r="AL80" s="425"/>
      <c r="AM80" s="425"/>
      <c r="AN80" s="425"/>
      <c r="AO80" s="425"/>
      <c r="AP80" s="425"/>
      <c r="AQ80" s="42"/>
      <c r="AR80" s="43"/>
      <c r="AS80" s="43"/>
      <c r="AT80" s="43"/>
      <c r="AU80" s="43"/>
      <c r="AV80" s="43"/>
      <c r="AW80" s="43"/>
      <c r="AX80" s="43"/>
      <c r="AY80" s="43"/>
      <c r="AZ80" s="43"/>
      <c r="BH80" s="54"/>
      <c r="BI80" s="51"/>
    </row>
    <row r="81" spans="1:61" ht="18" customHeight="1">
      <c r="A81" s="406" t="s">
        <v>704</v>
      </c>
      <c r="B81" s="407"/>
      <c r="C81" s="407"/>
      <c r="D81" s="407"/>
      <c r="E81" s="407"/>
      <c r="F81" s="407"/>
      <c r="G81" s="407"/>
      <c r="H81" s="407"/>
      <c r="I81" s="407"/>
      <c r="J81" s="407"/>
      <c r="K81" s="407"/>
      <c r="L81" s="407"/>
      <c r="M81" s="407"/>
      <c r="N81" s="407"/>
      <c r="O81" s="407"/>
      <c r="P81" s="407"/>
      <c r="Q81" s="407"/>
      <c r="R81" s="407"/>
      <c r="S81" s="407"/>
      <c r="T81" s="407"/>
      <c r="U81" s="407"/>
      <c r="V81" s="407"/>
      <c r="W81" s="407"/>
      <c r="X81" s="407"/>
      <c r="Y81" s="407"/>
      <c r="Z81" s="407"/>
      <c r="AA81" s="407"/>
      <c r="AB81" s="407"/>
      <c r="AC81" s="407"/>
      <c r="AD81" s="407"/>
      <c r="AE81" s="407"/>
      <c r="AF81" s="407"/>
      <c r="AG81" s="407"/>
      <c r="AH81" s="407"/>
      <c r="AI81" s="408"/>
      <c r="AK81" s="425"/>
      <c r="AL81" s="425"/>
      <c r="AM81" s="425"/>
      <c r="AN81" s="425"/>
      <c r="AO81" s="425"/>
      <c r="AP81" s="425"/>
      <c r="AQ81" s="42"/>
      <c r="AR81" s="43"/>
      <c r="AS81" s="43"/>
      <c r="AT81" s="43"/>
      <c r="AU81" s="43"/>
      <c r="AV81" s="43"/>
      <c r="AW81" s="43"/>
      <c r="AX81" s="43"/>
      <c r="AY81" s="43"/>
      <c r="AZ81" s="43"/>
      <c r="BH81" s="53"/>
      <c r="BI81" s="51"/>
    </row>
    <row r="82" spans="1:61" ht="18" customHeight="1">
      <c r="A82" s="38"/>
      <c r="B82" s="465"/>
      <c r="C82" s="465"/>
      <c r="D82" s="465"/>
      <c r="E82" s="465"/>
      <c r="F82" s="288"/>
      <c r="G82" s="288"/>
      <c r="H82" s="288"/>
      <c r="I82" s="288"/>
      <c r="J82" s="288"/>
      <c r="K82" s="288"/>
      <c r="L82" s="288"/>
      <c r="M82" s="288"/>
      <c r="N82" s="288"/>
      <c r="O82" s="288"/>
      <c r="P82" s="288"/>
      <c r="Q82" s="288"/>
      <c r="R82" s="288"/>
      <c r="S82" s="288"/>
      <c r="T82" s="288"/>
      <c r="U82" s="288"/>
      <c r="V82" s="288"/>
      <c r="W82" s="288"/>
      <c r="X82" s="288"/>
      <c r="Y82" s="288"/>
      <c r="Z82" s="288"/>
      <c r="AA82" s="288"/>
      <c r="AB82" s="288"/>
      <c r="AC82" s="288"/>
      <c r="AD82" s="288"/>
      <c r="AE82" s="288"/>
      <c r="AF82" s="288"/>
      <c r="AG82" s="288"/>
      <c r="AH82" s="288"/>
      <c r="AI82" s="289"/>
      <c r="AK82" s="425"/>
      <c r="AL82" s="425"/>
      <c r="AM82" s="425"/>
      <c r="AN82" s="425"/>
      <c r="AO82" s="425"/>
      <c r="AP82" s="425"/>
      <c r="AQ82" s="42"/>
      <c r="AR82" s="43"/>
      <c r="AS82" s="43"/>
      <c r="AT82" s="43"/>
      <c r="AU82" s="43"/>
      <c r="AV82" s="43"/>
      <c r="AW82" s="43"/>
      <c r="AX82" s="43"/>
      <c r="AY82" s="43"/>
      <c r="AZ82" s="43"/>
      <c r="BH82" s="53"/>
      <c r="BI82" s="51"/>
    </row>
    <row r="83" spans="1:61" ht="18" customHeight="1">
      <c r="A83" s="38"/>
      <c r="B83" s="465"/>
      <c r="C83" s="465"/>
      <c r="D83" s="465"/>
      <c r="E83" s="465"/>
      <c r="F83" s="288"/>
      <c r="G83" s="288"/>
      <c r="H83" s="288"/>
      <c r="I83" s="288"/>
      <c r="J83" s="288"/>
      <c r="K83" s="288"/>
      <c r="L83" s="288"/>
      <c r="M83" s="288"/>
      <c r="N83" s="288"/>
      <c r="O83" s="288"/>
      <c r="P83" s="288"/>
      <c r="Q83" s="288"/>
      <c r="R83" s="288"/>
      <c r="S83" s="288"/>
      <c r="T83" s="288"/>
      <c r="U83" s="288"/>
      <c r="V83" s="288"/>
      <c r="W83" s="288"/>
      <c r="X83" s="288"/>
      <c r="Y83" s="288"/>
      <c r="Z83" s="288"/>
      <c r="AA83" s="288"/>
      <c r="AB83" s="288"/>
      <c r="AC83" s="288"/>
      <c r="AD83" s="288"/>
      <c r="AE83" s="288"/>
      <c r="AF83" s="288"/>
      <c r="AG83" s="288"/>
      <c r="AH83" s="288"/>
      <c r="AI83" s="289"/>
      <c r="AK83" s="425"/>
      <c r="AL83" s="425"/>
      <c r="AM83" s="425"/>
      <c r="AN83" s="425"/>
      <c r="AO83" s="425"/>
      <c r="AP83" s="425"/>
      <c r="AQ83" s="42"/>
      <c r="AR83" s="43"/>
      <c r="AS83" s="43"/>
      <c r="AT83" s="43"/>
      <c r="AU83" s="43"/>
      <c r="AV83" s="43"/>
      <c r="AW83" s="43"/>
      <c r="AX83" s="43"/>
      <c r="AY83" s="43"/>
      <c r="AZ83" s="43"/>
      <c r="BH83" s="53"/>
      <c r="BI83" s="51"/>
    </row>
    <row r="84" spans="1:61" ht="18" customHeight="1">
      <c r="A84" s="38"/>
      <c r="B84" s="465"/>
      <c r="C84" s="465"/>
      <c r="D84" s="465"/>
      <c r="E84" s="465"/>
      <c r="F84" s="288"/>
      <c r="G84" s="288"/>
      <c r="H84" s="288"/>
      <c r="I84" s="288"/>
      <c r="J84" s="288"/>
      <c r="K84" s="288"/>
      <c r="L84" s="288"/>
      <c r="M84" s="288"/>
      <c r="N84" s="288"/>
      <c r="O84" s="288"/>
      <c r="P84" s="288"/>
      <c r="Q84" s="288"/>
      <c r="R84" s="288"/>
      <c r="S84" s="288"/>
      <c r="T84" s="288"/>
      <c r="U84" s="288"/>
      <c r="V84" s="288"/>
      <c r="W84" s="288"/>
      <c r="X84" s="288"/>
      <c r="Y84" s="288"/>
      <c r="Z84" s="288"/>
      <c r="AA84" s="288"/>
      <c r="AB84" s="288"/>
      <c r="AC84" s="288"/>
      <c r="AD84" s="288"/>
      <c r="AE84" s="288"/>
      <c r="AF84" s="288"/>
      <c r="AG84" s="288"/>
      <c r="AH84" s="288"/>
      <c r="AI84" s="289"/>
      <c r="AK84" s="425"/>
      <c r="AL84" s="425"/>
      <c r="AM84" s="425"/>
      <c r="AN84" s="425"/>
      <c r="AO84" s="425"/>
      <c r="AP84" s="425"/>
      <c r="AQ84" s="42"/>
      <c r="AR84" s="43"/>
      <c r="AS84" s="43"/>
      <c r="AT84" s="43"/>
      <c r="AU84" s="43"/>
      <c r="AV84" s="43"/>
      <c r="AW84" s="43"/>
      <c r="AX84" s="43"/>
      <c r="AY84" s="43"/>
      <c r="AZ84" s="43"/>
    </row>
    <row r="85" spans="1:61" ht="18" customHeight="1">
      <c r="A85" s="38"/>
      <c r="B85" s="465"/>
      <c r="C85" s="465"/>
      <c r="D85" s="465"/>
      <c r="E85" s="465"/>
      <c r="F85" s="288"/>
      <c r="G85" s="288"/>
      <c r="H85" s="288"/>
      <c r="I85" s="288"/>
      <c r="J85" s="288"/>
      <c r="K85" s="288"/>
      <c r="L85" s="288"/>
      <c r="M85" s="288"/>
      <c r="N85" s="288"/>
      <c r="O85" s="288"/>
      <c r="P85" s="288"/>
      <c r="Q85" s="288"/>
      <c r="R85" s="288"/>
      <c r="S85" s="288"/>
      <c r="T85" s="288"/>
      <c r="U85" s="288"/>
      <c r="V85" s="288"/>
      <c r="W85" s="288"/>
      <c r="X85" s="288"/>
      <c r="Y85" s="288"/>
      <c r="Z85" s="288"/>
      <c r="AA85" s="288"/>
      <c r="AB85" s="288"/>
      <c r="AC85" s="288"/>
      <c r="AD85" s="288"/>
      <c r="AE85" s="288"/>
      <c r="AF85" s="288"/>
      <c r="AG85" s="288"/>
      <c r="AH85" s="288"/>
      <c r="AI85" s="289"/>
      <c r="AK85" s="425"/>
      <c r="AL85" s="425"/>
      <c r="AM85" s="425"/>
      <c r="AN85" s="425"/>
      <c r="AO85" s="425"/>
      <c r="AP85" s="425"/>
      <c r="AQ85" s="42"/>
      <c r="AR85" s="43"/>
      <c r="AS85" s="43"/>
      <c r="AT85" s="43"/>
      <c r="AU85" s="43"/>
      <c r="AV85" s="43"/>
      <c r="AW85" s="43"/>
      <c r="AX85" s="43"/>
      <c r="AY85" s="43"/>
      <c r="AZ85" s="43"/>
    </row>
    <row r="86" spans="1:61" ht="18" customHeight="1" thickBot="1">
      <c r="A86" s="41"/>
      <c r="B86" s="540"/>
      <c r="C86" s="540"/>
      <c r="D86" s="540"/>
      <c r="E86" s="540"/>
      <c r="F86" s="541"/>
      <c r="G86" s="541"/>
      <c r="H86" s="541"/>
      <c r="I86" s="541"/>
      <c r="J86" s="541"/>
      <c r="K86" s="541"/>
      <c r="L86" s="541"/>
      <c r="M86" s="541"/>
      <c r="N86" s="541"/>
      <c r="O86" s="541"/>
      <c r="P86" s="541"/>
      <c r="Q86" s="541"/>
      <c r="R86" s="541"/>
      <c r="S86" s="541"/>
      <c r="T86" s="541"/>
      <c r="U86" s="541"/>
      <c r="V86" s="541"/>
      <c r="W86" s="541"/>
      <c r="X86" s="541"/>
      <c r="Y86" s="541"/>
      <c r="Z86" s="541"/>
      <c r="AA86" s="541"/>
      <c r="AB86" s="541"/>
      <c r="AC86" s="541"/>
      <c r="AD86" s="541"/>
      <c r="AE86" s="541"/>
      <c r="AF86" s="541"/>
      <c r="AG86" s="541"/>
      <c r="AH86" s="541"/>
      <c r="AI86" s="542"/>
      <c r="AK86" s="425"/>
      <c r="AL86" s="425"/>
      <c r="AM86" s="425"/>
      <c r="AN86" s="425"/>
      <c r="AO86" s="425"/>
      <c r="AP86" s="425"/>
      <c r="AQ86" s="42"/>
      <c r="AR86" s="43"/>
      <c r="AS86" s="43"/>
      <c r="AT86" s="43"/>
      <c r="AU86" s="43"/>
      <c r="AV86" s="43"/>
      <c r="AW86" s="43"/>
      <c r="AX86" s="43"/>
      <c r="AY86" s="43"/>
      <c r="AZ86" s="43"/>
    </row>
    <row r="87" spans="1:61" ht="14.1" customHeight="1">
      <c r="AK87" s="438"/>
      <c r="AL87" s="438"/>
      <c r="AM87" s="438"/>
      <c r="AN87" s="438"/>
      <c r="AO87" s="438"/>
      <c r="AP87" s="438"/>
      <c r="AQ87" s="119"/>
    </row>
    <row r="88" spans="1:61" ht="14.1" customHeight="1">
      <c r="AK88" s="437"/>
      <c r="AL88" s="437"/>
      <c r="AM88" s="437"/>
      <c r="AN88" s="437"/>
      <c r="AO88" s="437"/>
      <c r="AP88" s="437"/>
      <c r="AQ88" s="120"/>
    </row>
    <row r="89" spans="1:61" ht="14.1" customHeight="1">
      <c r="AK89" s="437"/>
      <c r="AL89" s="437"/>
      <c r="AM89" s="437"/>
      <c r="AN89" s="437"/>
      <c r="AO89" s="437"/>
      <c r="AP89" s="437"/>
      <c r="AQ89" s="120"/>
    </row>
    <row r="90" spans="1:61" ht="14.1" customHeight="1"/>
    <row r="91" spans="1:61" ht="14.1" customHeight="1"/>
    <row r="92" spans="1:61" ht="14.1" customHeight="1"/>
    <row r="93" spans="1:61" ht="14.1" customHeight="1"/>
    <row r="94" spans="1:61" ht="14.1" customHeight="1"/>
    <row r="95" spans="1:61" ht="14.1" customHeight="1"/>
    <row r="96" spans="1:61" ht="14.1" customHeight="1"/>
    <row r="97" ht="14.1" customHeight="1"/>
    <row r="98" ht="14.1" customHeight="1"/>
    <row r="99" ht="14.1" customHeight="1"/>
    <row r="100" ht="14.1" customHeight="1"/>
    <row r="101" ht="14.1" customHeight="1"/>
    <row r="102" ht="14.1" customHeight="1"/>
    <row r="103" ht="14.1" customHeight="1"/>
    <row r="104" ht="14.1" customHeight="1"/>
    <row r="105" ht="14.1" customHeight="1"/>
    <row r="106" ht="14.1" customHeight="1"/>
    <row r="107" ht="14.1" customHeight="1"/>
    <row r="108" ht="14.1" customHeight="1"/>
    <row r="109" ht="14.1" customHeight="1"/>
    <row r="110" ht="14.1" customHeight="1"/>
    <row r="111" ht="14.1" customHeight="1"/>
    <row r="112" ht="14.1" customHeight="1"/>
    <row r="113" ht="14.1" customHeight="1"/>
    <row r="114" ht="14.1" customHeight="1"/>
    <row r="115" ht="14.1" customHeight="1"/>
    <row r="116" ht="14.1" customHeight="1"/>
    <row r="117" ht="14.1" customHeight="1"/>
    <row r="118" ht="14.1" customHeight="1"/>
    <row r="119" ht="14.1" customHeight="1"/>
    <row r="120" ht="14.1" customHeight="1"/>
    <row r="121" ht="14.1" customHeight="1"/>
    <row r="122" ht="14.1" customHeight="1"/>
    <row r="123" ht="14.1" customHeight="1"/>
    <row r="124" ht="14.1" customHeight="1"/>
    <row r="125" ht="14.1" customHeight="1"/>
    <row r="126" ht="14.1" customHeight="1"/>
    <row r="127" ht="14.1" customHeight="1"/>
    <row r="128" ht="14.1" customHeight="1"/>
    <row r="129" ht="14.1" customHeight="1"/>
    <row r="130" ht="14.1" customHeight="1"/>
    <row r="131" ht="14.1" customHeight="1"/>
    <row r="132" ht="14.1" customHeight="1"/>
    <row r="133" ht="14.1" customHeight="1"/>
    <row r="134" ht="14.1" customHeight="1"/>
    <row r="135" ht="14.1" customHeight="1"/>
    <row r="136" ht="14.1" customHeight="1"/>
    <row r="137" ht="14.1" customHeight="1"/>
    <row r="138" ht="14.1" customHeight="1"/>
    <row r="139" ht="14.1" customHeight="1"/>
    <row r="140" ht="14.1" customHeight="1"/>
    <row r="141" ht="14.1" customHeight="1"/>
    <row r="142" ht="14.1" customHeight="1"/>
    <row r="143" ht="14.1" customHeight="1"/>
    <row r="144" ht="14.1" customHeight="1"/>
    <row r="145" ht="14.1" customHeight="1"/>
    <row r="146" ht="14.1" customHeight="1"/>
    <row r="147" ht="14.1" customHeight="1"/>
    <row r="148" ht="14.1" customHeight="1"/>
    <row r="149" ht="14.1" customHeight="1"/>
    <row r="150" ht="14.1" customHeight="1"/>
    <row r="151" ht="14.1" customHeight="1"/>
    <row r="152" ht="14.1" customHeight="1"/>
    <row r="153" ht="14.1" customHeight="1"/>
    <row r="154" ht="14.1" customHeight="1"/>
    <row r="155" ht="14.1" customHeight="1"/>
    <row r="156" ht="14.1" customHeight="1"/>
    <row r="157" ht="14.1" customHeight="1"/>
    <row r="158" ht="14.1" customHeight="1"/>
    <row r="159" ht="14.1" customHeight="1"/>
    <row r="160" ht="14.1" customHeight="1"/>
    <row r="161" ht="14.1" customHeight="1"/>
    <row r="162" ht="14.1" customHeight="1"/>
    <row r="163" ht="14.1" customHeight="1"/>
    <row r="164" ht="14.1" customHeight="1"/>
    <row r="165" ht="14.1" customHeight="1"/>
    <row r="166" ht="14.1" customHeight="1"/>
    <row r="167" ht="14.1" customHeight="1"/>
    <row r="168" ht="14.1" customHeight="1"/>
    <row r="169" ht="14.1" customHeight="1"/>
    <row r="170" ht="14.1" customHeight="1"/>
    <row r="171" ht="14.1" customHeight="1"/>
    <row r="172" ht="14.1" customHeight="1"/>
    <row r="173" ht="14.1" customHeight="1"/>
    <row r="174" ht="14.1" customHeight="1"/>
    <row r="175" ht="14.1" customHeight="1"/>
    <row r="176" ht="14.1" customHeight="1"/>
    <row r="177" ht="14.1" customHeight="1"/>
    <row r="178" ht="14.1" customHeight="1"/>
    <row r="179" ht="14.1" customHeight="1"/>
    <row r="180" ht="14.1" customHeight="1"/>
    <row r="181" ht="14.1" customHeight="1"/>
    <row r="182" ht="14.1" customHeight="1"/>
    <row r="183" ht="14.1" customHeight="1"/>
    <row r="184" ht="14.1" customHeight="1"/>
    <row r="185" ht="14.1" customHeight="1"/>
    <row r="186" ht="14.1" customHeight="1"/>
    <row r="187" ht="14.1" customHeight="1"/>
    <row r="188" ht="14.1" customHeight="1"/>
    <row r="189" ht="14.1" customHeight="1"/>
    <row r="190" ht="14.1" customHeight="1"/>
    <row r="191" ht="14.1" customHeight="1"/>
    <row r="192" ht="14.1" customHeight="1"/>
    <row r="193" ht="14.1" customHeight="1"/>
    <row r="194" ht="14.1" customHeight="1"/>
    <row r="195" ht="14.1" customHeight="1"/>
    <row r="196" ht="14.1" customHeight="1"/>
    <row r="197" ht="14.1" customHeight="1"/>
    <row r="198" ht="14.1" customHeight="1"/>
    <row r="199" ht="14.1" customHeight="1"/>
    <row r="200" ht="14.1" customHeight="1"/>
    <row r="201" ht="14.1" customHeight="1"/>
    <row r="202" ht="14.1" customHeight="1"/>
    <row r="203" ht="14.1" customHeight="1"/>
    <row r="204" ht="14.1" customHeight="1"/>
    <row r="205" ht="14.1" customHeight="1"/>
    <row r="206" ht="14.1" customHeight="1"/>
    <row r="207" ht="14.1" customHeight="1"/>
    <row r="208" ht="14.1" customHeight="1"/>
    <row r="209" ht="14.1" customHeight="1"/>
    <row r="210" ht="14.1" customHeight="1"/>
    <row r="211" ht="14.1" customHeight="1"/>
    <row r="212" ht="14.1" customHeight="1"/>
    <row r="213" ht="14.1" customHeight="1"/>
    <row r="214" ht="14.1" customHeight="1"/>
    <row r="215" ht="14.1" customHeight="1"/>
    <row r="216" ht="14.1" customHeight="1"/>
    <row r="217" ht="14.1" customHeight="1"/>
    <row r="218" ht="14.1" customHeight="1"/>
    <row r="219" ht="14.1" customHeight="1"/>
    <row r="220" ht="14.1" customHeight="1"/>
    <row r="221" ht="14.1" customHeight="1"/>
    <row r="222" ht="14.1" customHeight="1"/>
    <row r="223" ht="14.1" customHeight="1"/>
    <row r="224" ht="14.1" customHeight="1"/>
    <row r="225" ht="14.1" customHeight="1"/>
    <row r="226" ht="14.1" customHeight="1"/>
    <row r="227" ht="14.1" customHeight="1"/>
    <row r="228" ht="14.1" customHeight="1"/>
    <row r="229" ht="14.1" customHeight="1"/>
    <row r="230" ht="14.1" customHeight="1"/>
    <row r="231" ht="14.1" customHeight="1"/>
    <row r="232" ht="14.1" customHeight="1"/>
    <row r="233" ht="14.1" customHeight="1"/>
    <row r="234" ht="14.1" customHeight="1"/>
    <row r="235" ht="14.1" customHeight="1"/>
    <row r="236" ht="14.1" customHeight="1"/>
    <row r="237" ht="14.1" customHeight="1"/>
    <row r="238" ht="14.1" customHeight="1"/>
    <row r="239" ht="14.1" customHeight="1"/>
    <row r="240" ht="14.1" customHeight="1"/>
    <row r="241" ht="14.1" customHeight="1"/>
    <row r="242" ht="14.1" customHeight="1"/>
    <row r="243" ht="14.1" customHeight="1"/>
    <row r="244" ht="14.1" customHeight="1"/>
    <row r="245" ht="14.1" customHeight="1"/>
    <row r="246" ht="14.1" customHeight="1"/>
    <row r="247" ht="14.1" customHeight="1"/>
    <row r="248" ht="14.1" customHeight="1"/>
    <row r="249" ht="14.1" customHeight="1"/>
    <row r="250" ht="14.1" customHeight="1"/>
    <row r="251" ht="14.1" customHeight="1"/>
    <row r="252" ht="14.1" customHeight="1"/>
    <row r="253" ht="14.1" customHeight="1"/>
    <row r="254" ht="14.1" customHeight="1"/>
    <row r="255" ht="14.1" customHeight="1"/>
    <row r="256" ht="14.1" customHeight="1"/>
    <row r="257" ht="14.1" customHeight="1"/>
    <row r="258" ht="14.1" customHeight="1"/>
    <row r="259" ht="14.1" customHeight="1"/>
    <row r="260" ht="14.1" customHeight="1"/>
    <row r="261" ht="14.1" customHeight="1"/>
    <row r="262" ht="14.1" customHeight="1"/>
    <row r="263" ht="14.1" customHeight="1"/>
    <row r="264" ht="14.1" customHeight="1"/>
    <row r="265" ht="14.1" customHeight="1"/>
    <row r="266" ht="14.1" customHeight="1"/>
  </sheetData>
  <sheetProtection algorithmName="SHA-512" hashValue="0loLJCJhL4ad+e9W1BFBlntzNt2hf75qC+V2eugpQkoXMOcFlTwiL5DSpVRXAf1cyQ/kgBnOXO/4cSPzCUKn4A==" saltValue="4etb9yyOEqZ9UduJqdtb6g==" spinCount="100000" sheet="1" autoFilter="0"/>
  <mergeCells count="381">
    <mergeCell ref="A1:S3"/>
    <mergeCell ref="T1:Z3"/>
    <mergeCell ref="AD1:AI1"/>
    <mergeCell ref="AD2:AF4"/>
    <mergeCell ref="AG2:AI4"/>
    <mergeCell ref="A4:S5"/>
    <mergeCell ref="AK7:AP8"/>
    <mergeCell ref="AQ7:AQ8"/>
    <mergeCell ref="V8:X8"/>
    <mergeCell ref="A9:AI9"/>
    <mergeCell ref="AK9:AP9"/>
    <mergeCell ref="A10:H10"/>
    <mergeCell ref="I10:J10"/>
    <mergeCell ref="K10:L10"/>
    <mergeCell ref="M10:T10"/>
    <mergeCell ref="U10:V10"/>
    <mergeCell ref="O7:P8"/>
    <mergeCell ref="Q7:R8"/>
    <mergeCell ref="S7:T8"/>
    <mergeCell ref="V7:X7"/>
    <mergeCell ref="Y7:AA8"/>
    <mergeCell ref="AB7:AI8"/>
    <mergeCell ref="A7:E8"/>
    <mergeCell ref="F7:F8"/>
    <mergeCell ref="G7:I8"/>
    <mergeCell ref="J7:J8"/>
    <mergeCell ref="K7:M8"/>
    <mergeCell ref="N7:N8"/>
    <mergeCell ref="W10:X10"/>
    <mergeCell ref="Y10:AF10"/>
    <mergeCell ref="AG10:AH10"/>
    <mergeCell ref="AK10:AP10"/>
    <mergeCell ref="A11:H11"/>
    <mergeCell ref="I11:J11"/>
    <mergeCell ref="K11:L11"/>
    <mergeCell ref="M11:T11"/>
    <mergeCell ref="U11:V11"/>
    <mergeCell ref="W11:X11"/>
    <mergeCell ref="Y11:AF11"/>
    <mergeCell ref="AG11:AH11"/>
    <mergeCell ref="AK11:AP11"/>
    <mergeCell ref="A12:H12"/>
    <mergeCell ref="I12:J12"/>
    <mergeCell ref="K12:L12"/>
    <mergeCell ref="M12:T12"/>
    <mergeCell ref="U12:V12"/>
    <mergeCell ref="W12:X12"/>
    <mergeCell ref="Y12:AF12"/>
    <mergeCell ref="AG12:AH12"/>
    <mergeCell ref="AK12:AP12"/>
    <mergeCell ref="A13:H13"/>
    <mergeCell ref="I13:J13"/>
    <mergeCell ref="K13:L13"/>
    <mergeCell ref="M13:T13"/>
    <mergeCell ref="U13:V13"/>
    <mergeCell ref="W13:X13"/>
    <mergeCell ref="Y13:AF13"/>
    <mergeCell ref="AG13:AH13"/>
    <mergeCell ref="AK13:AP13"/>
    <mergeCell ref="A14:AI14"/>
    <mergeCell ref="AK14:AP14"/>
    <mergeCell ref="B15:I15"/>
    <mergeCell ref="J15:L15"/>
    <mergeCell ref="M15:N15"/>
    <mergeCell ref="O15:V15"/>
    <mergeCell ref="W15:Y15"/>
    <mergeCell ref="Z15:AA15"/>
    <mergeCell ref="AB15:AG15"/>
    <mergeCell ref="A18:E18"/>
    <mergeCell ref="F18:AI18"/>
    <mergeCell ref="AK18:AP18"/>
    <mergeCell ref="B19:E19"/>
    <mergeCell ref="F19:AI19"/>
    <mergeCell ref="AK19:AP19"/>
    <mergeCell ref="AH15:AI15"/>
    <mergeCell ref="AK15:AP15"/>
    <mergeCell ref="A16:AI16"/>
    <mergeCell ref="AK16:AP16"/>
    <mergeCell ref="A17:E17"/>
    <mergeCell ref="F17:AI17"/>
    <mergeCell ref="AK17:AP17"/>
    <mergeCell ref="B20:E20"/>
    <mergeCell ref="F20:AI20"/>
    <mergeCell ref="AK20:AP20"/>
    <mergeCell ref="AR20:AR23"/>
    <mergeCell ref="B21:E21"/>
    <mergeCell ref="F21:AI21"/>
    <mergeCell ref="AK21:AP21"/>
    <mergeCell ref="B22:E22"/>
    <mergeCell ref="F22:AI22"/>
    <mergeCell ref="AK22:AP22"/>
    <mergeCell ref="BA23:BB23"/>
    <mergeCell ref="B24:E24"/>
    <mergeCell ref="F24:AI24"/>
    <mergeCell ref="AK24:AP24"/>
    <mergeCell ref="AY24:AZ24"/>
    <mergeCell ref="BA24:BB24"/>
    <mergeCell ref="AS22:AT22"/>
    <mergeCell ref="AU22:AV22"/>
    <mergeCell ref="AY22:AZ22"/>
    <mergeCell ref="BA22:BB22"/>
    <mergeCell ref="B23:E23"/>
    <mergeCell ref="F23:AI23"/>
    <mergeCell ref="AK23:AP23"/>
    <mergeCell ref="AS23:AT23"/>
    <mergeCell ref="AU23:AV23"/>
    <mergeCell ref="AY23:AZ23"/>
    <mergeCell ref="B27:E27"/>
    <mergeCell ref="F27:AI27"/>
    <mergeCell ref="AK27:AP27"/>
    <mergeCell ref="AS27:AT27"/>
    <mergeCell ref="AU27:AW27"/>
    <mergeCell ref="AY27:BB27"/>
    <mergeCell ref="B25:E25"/>
    <mergeCell ref="F25:AI25"/>
    <mergeCell ref="AK25:AP25"/>
    <mergeCell ref="AY25:AZ25"/>
    <mergeCell ref="BA25:BB25"/>
    <mergeCell ref="B26:E26"/>
    <mergeCell ref="F26:AI26"/>
    <mergeCell ref="AK26:AP26"/>
    <mergeCell ref="AS26:AW26"/>
    <mergeCell ref="BA28:BB28"/>
    <mergeCell ref="B29:E29"/>
    <mergeCell ref="F29:AI29"/>
    <mergeCell ref="AK29:AP29"/>
    <mergeCell ref="AS29:AT29"/>
    <mergeCell ref="AU29:AW29"/>
    <mergeCell ref="AY29:AZ29"/>
    <mergeCell ref="BA29:BB29"/>
    <mergeCell ref="B28:E28"/>
    <mergeCell ref="F28:AI28"/>
    <mergeCell ref="AK28:AP28"/>
    <mergeCell ref="AS28:AT28"/>
    <mergeCell ref="AU28:AW28"/>
    <mergeCell ref="AY28:AZ28"/>
    <mergeCell ref="A32:AI32"/>
    <mergeCell ref="AK32:AP32"/>
    <mergeCell ref="AS32:AT32"/>
    <mergeCell ref="AU32:AW32"/>
    <mergeCell ref="AY32:AZ32"/>
    <mergeCell ref="BA32:BB32"/>
    <mergeCell ref="BA30:BB30"/>
    <mergeCell ref="B31:E31"/>
    <mergeCell ref="F31:AI31"/>
    <mergeCell ref="AK31:AP31"/>
    <mergeCell ref="AS31:AT31"/>
    <mergeCell ref="AU31:AW31"/>
    <mergeCell ref="AY31:AZ31"/>
    <mergeCell ref="BA31:BB31"/>
    <mergeCell ref="B30:E30"/>
    <mergeCell ref="F30:AI30"/>
    <mergeCell ref="AK30:AP30"/>
    <mergeCell ref="AS30:AT30"/>
    <mergeCell ref="AU30:AW30"/>
    <mergeCell ref="AY30:AZ30"/>
    <mergeCell ref="BA33:BB33"/>
    <mergeCell ref="B34:E34"/>
    <mergeCell ref="F34:AI34"/>
    <mergeCell ref="AK34:AP34"/>
    <mergeCell ref="AS34:AT34"/>
    <mergeCell ref="AU34:AW34"/>
    <mergeCell ref="AY34:AZ34"/>
    <mergeCell ref="BA34:BB34"/>
    <mergeCell ref="B33:E33"/>
    <mergeCell ref="F33:AI33"/>
    <mergeCell ref="AK33:AP33"/>
    <mergeCell ref="AS33:AT33"/>
    <mergeCell ref="AU33:AW33"/>
    <mergeCell ref="AY33:AZ33"/>
    <mergeCell ref="AY35:AZ35"/>
    <mergeCell ref="BA35:BB35"/>
    <mergeCell ref="A36:E36"/>
    <mergeCell ref="F36:K36"/>
    <mergeCell ref="L36:O36"/>
    <mergeCell ref="P36:R36"/>
    <mergeCell ref="T36:V36"/>
    <mergeCell ref="W36:AB36"/>
    <mergeCell ref="AC36:AI36"/>
    <mergeCell ref="B35:E35"/>
    <mergeCell ref="F35:V35"/>
    <mergeCell ref="W35:AB35"/>
    <mergeCell ref="AC35:AI35"/>
    <mergeCell ref="AK35:AP35"/>
    <mergeCell ref="AS35:AT35"/>
    <mergeCell ref="AK36:AP36"/>
    <mergeCell ref="AS36:AT36"/>
    <mergeCell ref="AU36:AW36"/>
    <mergeCell ref="AU35:AW35"/>
    <mergeCell ref="A39:AI39"/>
    <mergeCell ref="AK39:AP39"/>
    <mergeCell ref="AS39:AT39"/>
    <mergeCell ref="AV39:AW39"/>
    <mergeCell ref="A38:E38"/>
    <mergeCell ref="F38:K38"/>
    <mergeCell ref="L38:O38"/>
    <mergeCell ref="P38:V38"/>
    <mergeCell ref="W38:AB38"/>
    <mergeCell ref="AC38:AI38"/>
    <mergeCell ref="AD40:AI40"/>
    <mergeCell ref="A37:E37"/>
    <mergeCell ref="F37:AI37"/>
    <mergeCell ref="AK40:AP40"/>
    <mergeCell ref="AS40:AT40"/>
    <mergeCell ref="AV40:AW40"/>
    <mergeCell ref="A41:D41"/>
    <mergeCell ref="E41:G41"/>
    <mergeCell ref="I41:K41"/>
    <mergeCell ref="L41:R41"/>
    <mergeCell ref="S41:V41"/>
    <mergeCell ref="W41:Y41"/>
    <mergeCell ref="AA41:AC41"/>
    <mergeCell ref="AD41:AI41"/>
    <mergeCell ref="AK41:AP41"/>
    <mergeCell ref="A40:D40"/>
    <mergeCell ref="E40:K40"/>
    <mergeCell ref="L40:R40"/>
    <mergeCell ref="S40:V40"/>
    <mergeCell ref="W40:AC40"/>
    <mergeCell ref="AK37:AP37"/>
    <mergeCell ref="AS37:AT37"/>
    <mergeCell ref="AU37:AW37"/>
    <mergeCell ref="AK38:AP38"/>
    <mergeCell ref="A42:D42"/>
    <mergeCell ref="E42:G42"/>
    <mergeCell ref="I42:K42"/>
    <mergeCell ref="L42:R42"/>
    <mergeCell ref="S42:V42"/>
    <mergeCell ref="W42:Y42"/>
    <mergeCell ref="AA42:AC42"/>
    <mergeCell ref="AK42:AP42"/>
    <mergeCell ref="AS42:AW42"/>
    <mergeCell ref="A43:D43"/>
    <mergeCell ref="E43:G43"/>
    <mergeCell ref="I43:K43"/>
    <mergeCell ref="L43:R43"/>
    <mergeCell ref="S43:V43"/>
    <mergeCell ref="W43:Y43"/>
    <mergeCell ref="AA43:AC43"/>
    <mergeCell ref="A44:D44"/>
    <mergeCell ref="E44:G44"/>
    <mergeCell ref="I44:K44"/>
    <mergeCell ref="L44:R44"/>
    <mergeCell ref="S44:V44"/>
    <mergeCell ref="W44:Y44"/>
    <mergeCell ref="AA44:AC44"/>
    <mergeCell ref="AD44:AI44"/>
    <mergeCell ref="AD42:AI42"/>
    <mergeCell ref="AK44:AP44"/>
    <mergeCell ref="R45:U45"/>
    <mergeCell ref="W45:X45"/>
    <mergeCell ref="Z45:AA45"/>
    <mergeCell ref="AC45:AD45"/>
    <mergeCell ref="AE45:AF45"/>
    <mergeCell ref="AK45:AP45"/>
    <mergeCell ref="AD43:AI43"/>
    <mergeCell ref="AK43:AP43"/>
    <mergeCell ref="B49:E49"/>
    <mergeCell ref="F49:AI49"/>
    <mergeCell ref="AK49:AP49"/>
    <mergeCell ref="B50:E50"/>
    <mergeCell ref="F50:AI50"/>
    <mergeCell ref="AK50:AP50"/>
    <mergeCell ref="A46:AI46"/>
    <mergeCell ref="AK46:AP46"/>
    <mergeCell ref="B47:E47"/>
    <mergeCell ref="F47:AI47"/>
    <mergeCell ref="AK47:AP47"/>
    <mergeCell ref="B48:E48"/>
    <mergeCell ref="F48:AI48"/>
    <mergeCell ref="AK48:AP48"/>
    <mergeCell ref="B53:E53"/>
    <mergeCell ref="F53:AI53"/>
    <mergeCell ref="AK53:AP53"/>
    <mergeCell ref="B54:E54"/>
    <mergeCell ref="F54:AI54"/>
    <mergeCell ref="AK54:AP54"/>
    <mergeCell ref="B51:E51"/>
    <mergeCell ref="F51:AI51"/>
    <mergeCell ref="AK51:AP51"/>
    <mergeCell ref="B52:E52"/>
    <mergeCell ref="F52:AI52"/>
    <mergeCell ref="AK52:AP52"/>
    <mergeCell ref="B57:E57"/>
    <mergeCell ref="F57:AI57"/>
    <mergeCell ref="AK57:AP57"/>
    <mergeCell ref="B58:E58"/>
    <mergeCell ref="F58:AI58"/>
    <mergeCell ref="AK58:AP58"/>
    <mergeCell ref="B55:E55"/>
    <mergeCell ref="F55:AI55"/>
    <mergeCell ref="AK55:AP55"/>
    <mergeCell ref="B56:E56"/>
    <mergeCell ref="F56:AI56"/>
    <mergeCell ref="AK56:AP56"/>
    <mergeCell ref="B61:E61"/>
    <mergeCell ref="F61:AI61"/>
    <mergeCell ref="AK61:AP61"/>
    <mergeCell ref="B62:E62"/>
    <mergeCell ref="F62:AI62"/>
    <mergeCell ref="AK62:AP62"/>
    <mergeCell ref="B59:E59"/>
    <mergeCell ref="F59:AI59"/>
    <mergeCell ref="AK59:AP59"/>
    <mergeCell ref="B60:E60"/>
    <mergeCell ref="F60:AI60"/>
    <mergeCell ref="AK60:AP60"/>
    <mergeCell ref="B65:E65"/>
    <mergeCell ref="F65:AI65"/>
    <mergeCell ref="AK65:AP65"/>
    <mergeCell ref="B66:E66"/>
    <mergeCell ref="F66:AI66"/>
    <mergeCell ref="AK66:AP66"/>
    <mergeCell ref="B63:E63"/>
    <mergeCell ref="F63:AI63"/>
    <mergeCell ref="AK63:AP63"/>
    <mergeCell ref="B64:E64"/>
    <mergeCell ref="F64:AI64"/>
    <mergeCell ref="AK64:AP64"/>
    <mergeCell ref="B69:E69"/>
    <mergeCell ref="F69:AI69"/>
    <mergeCell ref="AK69:AP69"/>
    <mergeCell ref="B70:E70"/>
    <mergeCell ref="F70:AI70"/>
    <mergeCell ref="AK70:AP70"/>
    <mergeCell ref="B67:E67"/>
    <mergeCell ref="F67:AI67"/>
    <mergeCell ref="AK67:AP67"/>
    <mergeCell ref="B68:E68"/>
    <mergeCell ref="F68:AI68"/>
    <mergeCell ref="AK68:AP68"/>
    <mergeCell ref="B73:E73"/>
    <mergeCell ref="F73:AI73"/>
    <mergeCell ref="AK73:AP73"/>
    <mergeCell ref="B74:E74"/>
    <mergeCell ref="F74:AI74"/>
    <mergeCell ref="AK74:AP74"/>
    <mergeCell ref="B71:E71"/>
    <mergeCell ref="F71:AI71"/>
    <mergeCell ref="AK71:AP71"/>
    <mergeCell ref="B72:E72"/>
    <mergeCell ref="F72:AI72"/>
    <mergeCell ref="AK72:AP72"/>
    <mergeCell ref="B77:E77"/>
    <mergeCell ref="F77:AI77"/>
    <mergeCell ref="AK77:AP77"/>
    <mergeCell ref="B78:E78"/>
    <mergeCell ref="F78:AI78"/>
    <mergeCell ref="AK78:AP78"/>
    <mergeCell ref="B75:E75"/>
    <mergeCell ref="F75:AI75"/>
    <mergeCell ref="AK75:AP75"/>
    <mergeCell ref="B76:E76"/>
    <mergeCell ref="F76:AI76"/>
    <mergeCell ref="AK76:AP76"/>
    <mergeCell ref="A81:AI81"/>
    <mergeCell ref="AK81:AP81"/>
    <mergeCell ref="B82:E82"/>
    <mergeCell ref="F82:AI82"/>
    <mergeCell ref="AK82:AP82"/>
    <mergeCell ref="B83:E83"/>
    <mergeCell ref="F83:AI83"/>
    <mergeCell ref="AK83:AP83"/>
    <mergeCell ref="B79:E79"/>
    <mergeCell ref="F79:AI79"/>
    <mergeCell ref="AK79:AP79"/>
    <mergeCell ref="B80:E80"/>
    <mergeCell ref="F80:AI80"/>
    <mergeCell ref="AK80:AP80"/>
    <mergeCell ref="B86:E86"/>
    <mergeCell ref="F86:AI86"/>
    <mergeCell ref="AK86:AP86"/>
    <mergeCell ref="AK87:AP87"/>
    <mergeCell ref="AK88:AP88"/>
    <mergeCell ref="AK89:AP89"/>
    <mergeCell ref="B84:E84"/>
    <mergeCell ref="F84:AI84"/>
    <mergeCell ref="AK84:AP84"/>
    <mergeCell ref="B85:E85"/>
    <mergeCell ref="F85:AI85"/>
    <mergeCell ref="AK85:AP85"/>
  </mergeCells>
  <phoneticPr fontId="2"/>
  <conditionalFormatting sqref="AQ20:AQ28 AQ30:AQ31 AQ9 AQ11:AQ12 AQ14 AQ33:AQ34">
    <cfRule type="containsBlanks" dxfId="239" priority="12">
      <formula>LEN(TRIM(AQ9))=0</formula>
    </cfRule>
  </conditionalFormatting>
  <conditionalFormatting sqref="BC11:CF11">
    <cfRule type="containsText" dxfId="238" priority="8" operator="containsText" text="青">
      <formula>NOT(ISERROR(SEARCH("青",BC11)))</formula>
    </cfRule>
    <cfRule type="containsText" dxfId="237" priority="9" operator="containsText" text="緑">
      <formula>NOT(ISERROR(SEARCH("緑",BC11)))</formula>
    </cfRule>
    <cfRule type="containsText" dxfId="236" priority="10" operator="containsText" text="黄">
      <formula>NOT(ISERROR(SEARCH("黄",BC11)))</formula>
    </cfRule>
    <cfRule type="containsText" dxfId="235" priority="11" operator="containsText" text="赤">
      <formula>NOT(ISERROR(SEARCH("赤",BC11)))</formula>
    </cfRule>
  </conditionalFormatting>
  <conditionalFormatting sqref="V7:X8">
    <cfRule type="containsBlanks" dxfId="234" priority="7">
      <formula>LEN(TRIM(V7))=0</formula>
    </cfRule>
  </conditionalFormatting>
  <conditionalFormatting sqref="AB7:AI8">
    <cfRule type="containsBlanks" dxfId="233" priority="6">
      <formula>LEN(TRIM(AB7))=0</formula>
    </cfRule>
  </conditionalFormatting>
  <conditionalFormatting sqref="A7:E8 G7:I8 K7:M8 O7:P8">
    <cfRule type="containsBlanks" dxfId="232" priority="5">
      <formula>LEN(TRIM(A7))=0</formula>
    </cfRule>
  </conditionalFormatting>
  <conditionalFormatting sqref="W15:Y15 AH15:AI15 J15:L15">
    <cfRule type="containsBlanks" dxfId="231" priority="4">
      <formula>LEN(TRIM(J15))=0</formula>
    </cfRule>
  </conditionalFormatting>
  <conditionalFormatting sqref="L41:R44">
    <cfRule type="cellIs" dxfId="230" priority="1" operator="equal">
      <formula>0</formula>
    </cfRule>
  </conditionalFormatting>
  <conditionalFormatting sqref="P36:R36 T36:V36 L38:O38 AC38:AI38 AC36:AI36">
    <cfRule type="containsBlanks" dxfId="229" priority="3">
      <formula>LEN(TRIM(L36))=0</formula>
    </cfRule>
  </conditionalFormatting>
  <conditionalFormatting sqref="W41:Y44 AA41:AI44">
    <cfRule type="cellIs" dxfId="228" priority="2" operator="equal">
      <formula>0</formula>
    </cfRule>
  </conditionalFormatting>
  <printOptions horizontalCentered="1" verticalCentered="1"/>
  <pageMargins left="0.70866141732283472" right="0.59055118110236227" top="0.55118110236220474" bottom="0.55118110236220474" header="0.31496062992125984" footer="0.31496062992125984"/>
  <pageSetup paperSize="9" orientation="portrait" horizontalDpi="300" verticalDpi="300" r:id="rId1"/>
  <headerFooter scaleWithDoc="0" alignWithMargins="0">
    <oddFooter>&amp;C&amp;P&amp;Rヒトトヒト株式会社</oddFooter>
  </headerFooter>
  <rowBreaks count="1" manualBreakCount="1">
    <brk id="44" max="34" man="1"/>
  </rowBreaks>
  <drawing r:id="rId2"/>
  <extLst>
    <ext xmlns:x14="http://schemas.microsoft.com/office/spreadsheetml/2009/9/main" uri="{CCE6A557-97BC-4b89-ADB6-D9C93CAAB3DF}">
      <x14:dataValidations xmlns:xm="http://schemas.microsoft.com/office/excel/2006/main" count="6">
        <x14:dataValidation type="list" allowBlank="1" showInputMessage="1" showErrorMessage="1" xr:uid="{1D091DBD-9E35-4641-8192-44377BBBACD2}">
          <x14:formula1>
            <xm:f>初期値!$C$12:$C$27</xm:f>
          </x14:formula1>
          <xm:sqref>P36:R36 T36:V36</xm:sqref>
        </x14:dataValidation>
        <x14:dataValidation type="list" allowBlank="1" showInputMessage="1" showErrorMessage="1" xr:uid="{82FE3ED5-D131-47EB-A85D-6DC74DDAF4F9}">
          <x14:formula1>
            <xm:f>初期値!$G$12:$G$24</xm:f>
          </x14:formula1>
          <xm:sqref>V7:X8</xm:sqref>
        </x14:dataValidation>
        <x14:dataValidation type="list" allowBlank="1" showInputMessage="1" showErrorMessage="1" xr:uid="{655FBCFE-5C6B-4581-9F7A-38EC3508F01A}">
          <x14:formula1>
            <xm:f>初期値!$E$12:$E$13</xm:f>
          </x14:formula1>
          <xm:sqref>L38:O38 AC38:AI38 AC36:AI36</xm:sqref>
        </x14:dataValidation>
        <x14:dataValidation type="list" allowBlank="1" showInputMessage="1" showErrorMessage="1" xr:uid="{DAC9C788-1347-480B-B0FA-0E4C32B573E3}">
          <x14:formula1>
            <xm:f>初期値!$N$22:$N$23</xm:f>
          </x14:formula1>
          <xm:sqref>AW23</xm:sqref>
        </x14:dataValidation>
        <x14:dataValidation type="list" allowBlank="1" showInputMessage="1" showErrorMessage="1" xr:uid="{EEA30F0E-D572-43AB-B56D-1535E1163F98}">
          <x14:formula1>
            <xm:f>初期値!$P$12:$P$27</xm:f>
          </x14:formula1>
          <xm:sqref>BA24:BB24 BA22:BB22 BA28:BB28 BA30:BB30 BA32:BB32 BA34:BB34</xm:sqref>
        </x14:dataValidation>
        <x14:dataValidation type="list" allowBlank="1" showInputMessage="1" showErrorMessage="1" xr:uid="{84AB25BB-AA1A-46CE-8120-CBCCA1D116A5}">
          <x14:formula1>
            <xm:f>初期値!$N$12:$N$19</xm:f>
          </x14:formula1>
          <xm:sqref>AU22:AV22</xm:sqref>
        </x14:dataValidation>
      </x14:dataValidations>
    </ext>
  </extLst>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EEB36E4-6CA4-4AB9-B4C7-C64D5B7E2B9C}">
  <sheetPr codeName="Sheet20"/>
  <dimension ref="A1:CG266"/>
  <sheetViews>
    <sheetView topLeftCell="A12" zoomScaleNormal="100" zoomScaleSheetLayoutView="100" workbookViewId="0">
      <selection activeCell="AW38" sqref="AW38"/>
    </sheetView>
  </sheetViews>
  <sheetFormatPr defaultColWidth="8.875" defaultRowHeight="13.5"/>
  <cols>
    <col min="1" max="42" width="2.25" style="23" customWidth="1"/>
    <col min="43" max="43" width="6" style="23" bestFit="1" customWidth="1"/>
    <col min="44" max="44" width="4.5" style="23" bestFit="1" customWidth="1"/>
    <col min="45" max="45" width="6" style="23" bestFit="1" customWidth="1"/>
    <col min="46" max="46" width="4.5" style="23" bestFit="1" customWidth="1"/>
    <col min="47" max="47" width="9" style="23" bestFit="1" customWidth="1"/>
    <col min="48" max="48" width="8.5" style="23" bestFit="1" customWidth="1"/>
    <col min="49" max="49" width="7.5" style="23" bestFit="1" customWidth="1"/>
    <col min="50" max="50" width="6.5" style="23" bestFit="1" customWidth="1"/>
    <col min="51" max="51" width="7.5" style="23" bestFit="1" customWidth="1"/>
    <col min="52" max="52" width="2.125" style="23" customWidth="1"/>
    <col min="53" max="54" width="7.375" style="23" customWidth="1"/>
    <col min="55" max="63" width="3.625" style="23" bestFit="1" customWidth="1"/>
    <col min="64" max="84" width="4" style="23" bestFit="1" customWidth="1"/>
    <col min="85" max="16384" width="8.875" style="23"/>
  </cols>
  <sheetData>
    <row r="1" spans="1:85" ht="14.1" customHeight="1">
      <c r="A1" s="510" t="s">
        <v>551</v>
      </c>
      <c r="B1" s="510"/>
      <c r="C1" s="510"/>
      <c r="D1" s="510"/>
      <c r="E1" s="510"/>
      <c r="F1" s="510"/>
      <c r="G1" s="510"/>
      <c r="H1" s="510"/>
      <c r="I1" s="510"/>
      <c r="J1" s="510"/>
      <c r="K1" s="510"/>
      <c r="L1" s="510"/>
      <c r="M1" s="510"/>
      <c r="N1" s="510"/>
      <c r="O1" s="510"/>
      <c r="P1" s="510"/>
      <c r="Q1" s="510"/>
      <c r="R1" s="510"/>
      <c r="S1" s="510"/>
      <c r="T1" s="388"/>
      <c r="U1" s="388"/>
      <c r="V1" s="388"/>
      <c r="W1" s="388"/>
      <c r="X1" s="388"/>
      <c r="Y1" s="388"/>
      <c r="Z1" s="388"/>
      <c r="AA1" s="24"/>
      <c r="AB1" s="32"/>
      <c r="AD1" s="252" t="s">
        <v>167</v>
      </c>
      <c r="AE1" s="252"/>
      <c r="AF1" s="252"/>
      <c r="AG1" s="252"/>
      <c r="AH1" s="252"/>
      <c r="AI1" s="252"/>
      <c r="AM1" s="123">
        <v>13</v>
      </c>
      <c r="BB1"/>
    </row>
    <row r="2" spans="1:85" ht="14.1" customHeight="1">
      <c r="A2" s="510"/>
      <c r="B2" s="510"/>
      <c r="C2" s="510"/>
      <c r="D2" s="510"/>
      <c r="E2" s="510"/>
      <c r="F2" s="510"/>
      <c r="G2" s="510"/>
      <c r="H2" s="510"/>
      <c r="I2" s="510"/>
      <c r="J2" s="510"/>
      <c r="K2" s="510"/>
      <c r="L2" s="510"/>
      <c r="M2" s="510"/>
      <c r="N2" s="510"/>
      <c r="O2" s="510"/>
      <c r="P2" s="510"/>
      <c r="Q2" s="510"/>
      <c r="R2" s="510"/>
      <c r="S2" s="510"/>
      <c r="T2" s="388"/>
      <c r="U2" s="388"/>
      <c r="V2" s="388"/>
      <c r="W2" s="388"/>
      <c r="X2" s="388"/>
      <c r="Y2" s="388"/>
      <c r="Z2" s="388"/>
      <c r="AA2" s="25"/>
      <c r="AB2" s="31"/>
      <c r="AD2" s="253"/>
      <c r="AE2" s="253"/>
      <c r="AF2" s="253"/>
      <c r="AG2" s="253"/>
      <c r="AH2" s="253"/>
      <c r="AI2" s="253"/>
      <c r="BA2"/>
    </row>
    <row r="3" spans="1:85" ht="14.1" customHeight="1">
      <c r="A3" s="510"/>
      <c r="B3" s="510"/>
      <c r="C3" s="510"/>
      <c r="D3" s="510"/>
      <c r="E3" s="510"/>
      <c r="F3" s="510"/>
      <c r="G3" s="510"/>
      <c r="H3" s="510"/>
      <c r="I3" s="510"/>
      <c r="J3" s="510"/>
      <c r="K3" s="510"/>
      <c r="L3" s="510"/>
      <c r="M3" s="510"/>
      <c r="N3" s="510"/>
      <c r="O3" s="510"/>
      <c r="P3" s="510"/>
      <c r="Q3" s="510"/>
      <c r="R3" s="510"/>
      <c r="S3" s="510"/>
      <c r="T3" s="388"/>
      <c r="U3" s="388"/>
      <c r="V3" s="388"/>
      <c r="W3" s="388"/>
      <c r="X3" s="388"/>
      <c r="Y3" s="388"/>
      <c r="Z3" s="388"/>
      <c r="AA3" s="25"/>
      <c r="AB3" s="31"/>
      <c r="AD3" s="253"/>
      <c r="AE3" s="253"/>
      <c r="AF3" s="253"/>
      <c r="AG3" s="253"/>
      <c r="AH3" s="253"/>
      <c r="AI3" s="253"/>
      <c r="BA3"/>
    </row>
    <row r="4" spans="1:85" ht="14.1" customHeight="1">
      <c r="A4" s="395" t="s">
        <v>552</v>
      </c>
      <c r="B4" s="395"/>
      <c r="C4" s="395"/>
      <c r="D4" s="395"/>
      <c r="E4" s="395"/>
      <c r="F4" s="395"/>
      <c r="G4" s="395"/>
      <c r="H4" s="395"/>
      <c r="I4" s="395"/>
      <c r="J4" s="395"/>
      <c r="K4" s="395"/>
      <c r="L4" s="395"/>
      <c r="M4" s="395"/>
      <c r="N4" s="395"/>
      <c r="O4" s="395"/>
      <c r="P4" s="395"/>
      <c r="Q4" s="395"/>
      <c r="R4" s="395"/>
      <c r="S4" s="395"/>
      <c r="T4" s="155"/>
      <c r="U4" s="155"/>
      <c r="V4" s="155"/>
      <c r="W4" s="155"/>
      <c r="X4" s="155"/>
      <c r="Y4" s="155"/>
      <c r="Z4" s="155"/>
      <c r="AA4" s="26"/>
      <c r="AB4" s="31"/>
      <c r="AD4" s="253"/>
      <c r="AE4" s="253"/>
      <c r="AF4" s="253"/>
      <c r="AG4" s="253"/>
      <c r="AH4" s="253"/>
      <c r="AI4" s="253"/>
      <c r="BA4"/>
    </row>
    <row r="5" spans="1:85" ht="14.1" customHeight="1">
      <c r="A5" s="395"/>
      <c r="B5" s="395"/>
      <c r="C5" s="395"/>
      <c r="D5" s="395"/>
      <c r="E5" s="395"/>
      <c r="F5" s="395"/>
      <c r="G5" s="395"/>
      <c r="H5" s="395"/>
      <c r="I5" s="395"/>
      <c r="J5" s="395"/>
      <c r="K5" s="395"/>
      <c r="L5" s="395"/>
      <c r="M5" s="395"/>
      <c r="N5" s="395"/>
      <c r="O5" s="395"/>
      <c r="P5" s="395"/>
      <c r="Q5" s="395"/>
      <c r="R5" s="395"/>
      <c r="S5" s="395"/>
      <c r="T5" s="155"/>
      <c r="U5" s="155"/>
      <c r="V5" s="155"/>
      <c r="W5" s="155"/>
      <c r="X5" s="155"/>
      <c r="Y5" s="155"/>
      <c r="Z5" s="155"/>
      <c r="AA5" s="26"/>
      <c r="AB5" s="31"/>
      <c r="AC5" s="31"/>
      <c r="AD5" s="31"/>
      <c r="AE5" s="31"/>
      <c r="AF5" s="31"/>
      <c r="AG5" s="31"/>
      <c r="AH5" s="31"/>
      <c r="AI5" s="31"/>
      <c r="BA5"/>
    </row>
    <row r="6" spans="1:85" ht="14.1" customHeight="1" thickBot="1">
      <c r="A6" s="27"/>
      <c r="B6" s="27"/>
      <c r="C6" s="27"/>
      <c r="D6" s="27"/>
      <c r="E6" s="27"/>
      <c r="F6" s="27"/>
      <c r="G6" s="27"/>
      <c r="H6" s="27"/>
      <c r="I6" s="27"/>
      <c r="BA6"/>
    </row>
    <row r="7" spans="1:85" ht="12" customHeight="1">
      <c r="A7" s="255">
        <f>DATE(初期値!A2,初期値!A3,AM1)</f>
        <v>46186</v>
      </c>
      <c r="B7" s="256"/>
      <c r="C7" s="256"/>
      <c r="D7" s="256"/>
      <c r="E7" s="256"/>
      <c r="F7" s="259" t="s">
        <v>169</v>
      </c>
      <c r="G7" s="236">
        <f>$A$7</f>
        <v>46186</v>
      </c>
      <c r="H7" s="236"/>
      <c r="I7" s="236"/>
      <c r="J7" s="239" t="s">
        <v>170</v>
      </c>
      <c r="K7" s="261">
        <f>$A$7</f>
        <v>46186</v>
      </c>
      <c r="L7" s="261"/>
      <c r="M7" s="261"/>
      <c r="N7" s="239" t="s">
        <v>3</v>
      </c>
      <c r="O7" s="520">
        <f>$A$7</f>
        <v>46186</v>
      </c>
      <c r="P7" s="520"/>
      <c r="Q7" s="239" t="s">
        <v>292</v>
      </c>
      <c r="R7" s="240"/>
      <c r="S7" s="522" t="s">
        <v>553</v>
      </c>
      <c r="T7" s="244"/>
      <c r="U7" s="29" t="s">
        <v>554</v>
      </c>
      <c r="V7" s="518" t="s">
        <v>23</v>
      </c>
      <c r="W7" s="518"/>
      <c r="X7" s="518"/>
      <c r="Y7" s="511" t="s">
        <v>555</v>
      </c>
      <c r="Z7" s="512"/>
      <c r="AA7" s="513"/>
      <c r="AB7" s="244" t="str">
        <f>L43</f>
        <v>山本喜久</v>
      </c>
      <c r="AC7" s="244"/>
      <c r="AD7" s="244"/>
      <c r="AE7" s="244"/>
      <c r="AF7" s="244"/>
      <c r="AG7" s="244"/>
      <c r="AH7" s="244"/>
      <c r="AI7" s="245"/>
      <c r="AK7" s="425" t="s">
        <v>556</v>
      </c>
      <c r="AL7" s="425"/>
      <c r="AM7" s="425"/>
      <c r="AN7" s="425"/>
      <c r="AO7" s="425"/>
      <c r="AP7" s="425"/>
      <c r="AQ7" s="439" t="s">
        <v>557</v>
      </c>
      <c r="AR7" s="43"/>
      <c r="AS7" s="43"/>
      <c r="AT7" s="43"/>
      <c r="AU7" s="43"/>
      <c r="AV7" s="43"/>
      <c r="AW7" s="43"/>
      <c r="AX7" s="43"/>
      <c r="AY7" s="43"/>
      <c r="AZ7" s="43"/>
      <c r="BA7"/>
    </row>
    <row r="8" spans="1:85" ht="12" customHeight="1" thickBot="1">
      <c r="A8" s="257"/>
      <c r="B8" s="258"/>
      <c r="C8" s="258"/>
      <c r="D8" s="258"/>
      <c r="E8" s="258"/>
      <c r="F8" s="260"/>
      <c r="G8" s="237"/>
      <c r="H8" s="237"/>
      <c r="I8" s="237"/>
      <c r="J8" s="242"/>
      <c r="K8" s="262"/>
      <c r="L8" s="262"/>
      <c r="M8" s="262"/>
      <c r="N8" s="242"/>
      <c r="O8" s="521"/>
      <c r="P8" s="521"/>
      <c r="Q8" s="242"/>
      <c r="R8" s="243"/>
      <c r="S8" s="523"/>
      <c r="T8" s="246"/>
      <c r="U8" s="33" t="s">
        <v>558</v>
      </c>
      <c r="V8" s="519" t="s">
        <v>23</v>
      </c>
      <c r="W8" s="519"/>
      <c r="X8" s="519"/>
      <c r="Y8" s="514"/>
      <c r="Z8" s="515"/>
      <c r="AA8" s="516"/>
      <c r="AB8" s="246"/>
      <c r="AC8" s="246"/>
      <c r="AD8" s="246"/>
      <c r="AE8" s="246"/>
      <c r="AF8" s="246"/>
      <c r="AG8" s="246"/>
      <c r="AH8" s="246"/>
      <c r="AI8" s="247"/>
      <c r="AK8" s="425"/>
      <c r="AL8" s="425"/>
      <c r="AM8" s="425"/>
      <c r="AN8" s="425"/>
      <c r="AO8" s="425"/>
      <c r="AP8" s="425"/>
      <c r="AQ8" s="439"/>
      <c r="AR8" s="43"/>
      <c r="AS8" s="43"/>
      <c r="AT8" s="43"/>
      <c r="AU8" s="43"/>
      <c r="AV8" s="43"/>
      <c r="AW8" s="43"/>
      <c r="AX8" s="43"/>
      <c r="AY8" s="43"/>
      <c r="AZ8" s="43"/>
      <c r="BA8"/>
    </row>
    <row r="9" spans="1:85" ht="18" customHeight="1">
      <c r="A9" s="507" t="s">
        <v>559</v>
      </c>
      <c r="B9" s="508"/>
      <c r="C9" s="508"/>
      <c r="D9" s="508"/>
      <c r="E9" s="508"/>
      <c r="F9" s="508"/>
      <c r="G9" s="508"/>
      <c r="H9" s="508"/>
      <c r="I9" s="508"/>
      <c r="J9" s="508"/>
      <c r="K9" s="508"/>
      <c r="L9" s="508"/>
      <c r="M9" s="508"/>
      <c r="N9" s="508"/>
      <c r="O9" s="508"/>
      <c r="P9" s="508"/>
      <c r="Q9" s="508"/>
      <c r="R9" s="508"/>
      <c r="S9" s="508"/>
      <c r="T9" s="508"/>
      <c r="U9" s="508"/>
      <c r="V9" s="508"/>
      <c r="W9" s="508"/>
      <c r="X9" s="508"/>
      <c r="Y9" s="508"/>
      <c r="Z9" s="508"/>
      <c r="AA9" s="508"/>
      <c r="AB9" s="508"/>
      <c r="AC9" s="508"/>
      <c r="AD9" s="508"/>
      <c r="AE9" s="508"/>
      <c r="AF9" s="508"/>
      <c r="AG9" s="508"/>
      <c r="AH9" s="508"/>
      <c r="AI9" s="509"/>
      <c r="AK9" s="440" t="s">
        <v>560</v>
      </c>
      <c r="AL9" s="440"/>
      <c r="AM9" s="440"/>
      <c r="AN9" s="440"/>
      <c r="AO9" s="440"/>
      <c r="AP9" s="440"/>
      <c r="AQ9" s="42">
        <v>21</v>
      </c>
      <c r="AR9" s="43"/>
      <c r="AS9" s="44" t="s">
        <v>561</v>
      </c>
      <c r="AT9" s="44" t="s">
        <v>562</v>
      </c>
      <c r="AU9" s="44" t="s">
        <v>563</v>
      </c>
      <c r="AV9" s="44" t="s">
        <v>564</v>
      </c>
      <c r="AW9" s="45" t="s">
        <v>565</v>
      </c>
      <c r="AX9" s="45" t="s">
        <v>566</v>
      </c>
      <c r="AY9" s="44" t="s">
        <v>567</v>
      </c>
      <c r="AZ9" s="43"/>
      <c r="BB9" s="49" t="s">
        <v>568</v>
      </c>
      <c r="BC9" s="43"/>
      <c r="BD9" s="43"/>
      <c r="BE9" s="43"/>
      <c r="BF9" s="43"/>
      <c r="BG9" s="43"/>
      <c r="BH9" s="43"/>
      <c r="BI9" s="43"/>
      <c r="BJ9" s="43"/>
      <c r="BK9" s="43"/>
      <c r="BL9" s="43"/>
      <c r="BM9" s="43"/>
      <c r="BN9" s="43"/>
      <c r="BO9" s="43"/>
      <c r="BP9" s="43"/>
      <c r="BQ9" s="43"/>
      <c r="BR9" s="43"/>
      <c r="BS9" s="43"/>
      <c r="BT9" s="43"/>
      <c r="BU9" s="43"/>
      <c r="BV9" s="43"/>
      <c r="BW9" s="43"/>
      <c r="BX9" s="43"/>
      <c r="BY9" s="43"/>
      <c r="BZ9" s="43"/>
      <c r="CA9" s="43"/>
      <c r="CB9" s="43"/>
      <c r="CC9" s="43"/>
      <c r="CD9" s="43"/>
      <c r="CE9" s="43"/>
      <c r="CF9" s="43"/>
      <c r="CG9" s="43"/>
    </row>
    <row r="10" spans="1:85" ht="18" customHeight="1">
      <c r="A10" s="265" t="s">
        <v>569</v>
      </c>
      <c r="B10" s="266"/>
      <c r="C10" s="266"/>
      <c r="D10" s="266"/>
      <c r="E10" s="266"/>
      <c r="F10" s="266"/>
      <c r="G10" s="266"/>
      <c r="H10" s="266"/>
      <c r="I10" s="264">
        <f>AQ14</f>
        <v>3</v>
      </c>
      <c r="J10" s="264"/>
      <c r="K10" s="267" t="s">
        <v>176</v>
      </c>
      <c r="L10" s="268"/>
      <c r="M10" s="269" t="s">
        <v>570</v>
      </c>
      <c r="N10" s="266"/>
      <c r="O10" s="266"/>
      <c r="P10" s="266"/>
      <c r="Q10" s="266"/>
      <c r="R10" s="266"/>
      <c r="S10" s="266"/>
      <c r="T10" s="266"/>
      <c r="U10" s="264">
        <f>AQ37</f>
        <v>0</v>
      </c>
      <c r="V10" s="264"/>
      <c r="W10" s="267" t="s">
        <v>176</v>
      </c>
      <c r="X10" s="268"/>
      <c r="Y10" s="269" t="s">
        <v>571</v>
      </c>
      <c r="Z10" s="266"/>
      <c r="AA10" s="266"/>
      <c r="AB10" s="266"/>
      <c r="AC10" s="266"/>
      <c r="AD10" s="266"/>
      <c r="AE10" s="266"/>
      <c r="AF10" s="266"/>
      <c r="AG10" s="264">
        <f>AQ26+AQ25</f>
        <v>0</v>
      </c>
      <c r="AH10" s="264"/>
      <c r="AI10" s="28" t="s">
        <v>176</v>
      </c>
      <c r="AK10" s="440" t="s">
        <v>572</v>
      </c>
      <c r="AL10" s="440"/>
      <c r="AM10" s="440"/>
      <c r="AN10" s="440"/>
      <c r="AO10" s="440"/>
      <c r="AP10" s="440"/>
      <c r="AQ10" s="42"/>
      <c r="AR10" s="43"/>
      <c r="AS10" s="46">
        <v>1</v>
      </c>
      <c r="AT10" s="46"/>
      <c r="AU10" s="46" t="s">
        <v>20</v>
      </c>
      <c r="AV10" s="47" t="s">
        <v>573</v>
      </c>
      <c r="AW10" s="47" t="s">
        <v>574</v>
      </c>
      <c r="AX10" s="47">
        <v>0.33333333333333331</v>
      </c>
      <c r="AY10" s="47">
        <v>0.83333333333333337</v>
      </c>
      <c r="AZ10" s="43"/>
      <c r="BB10" s="49" t="s">
        <v>95</v>
      </c>
      <c r="BC10" s="120">
        <v>1</v>
      </c>
      <c r="BD10" s="120">
        <v>2</v>
      </c>
      <c r="BE10" s="120">
        <v>3</v>
      </c>
      <c r="BF10" s="120">
        <v>4</v>
      </c>
      <c r="BG10" s="120">
        <v>5</v>
      </c>
      <c r="BH10" s="120">
        <v>6</v>
      </c>
      <c r="BI10" s="120">
        <v>7</v>
      </c>
      <c r="BJ10" s="120">
        <v>8</v>
      </c>
      <c r="BK10" s="120">
        <v>9</v>
      </c>
      <c r="BL10" s="120">
        <v>10</v>
      </c>
      <c r="BM10" s="120">
        <v>11</v>
      </c>
      <c r="BN10" s="120">
        <v>12</v>
      </c>
      <c r="BO10" s="120">
        <v>13</v>
      </c>
      <c r="BP10" s="120">
        <v>14</v>
      </c>
      <c r="BQ10" s="120">
        <v>15</v>
      </c>
      <c r="BR10" s="120">
        <v>16</v>
      </c>
      <c r="BS10" s="120">
        <v>17</v>
      </c>
      <c r="BT10" s="120">
        <v>18</v>
      </c>
      <c r="BU10" s="120">
        <v>19</v>
      </c>
      <c r="BV10" s="120">
        <v>20</v>
      </c>
      <c r="BW10" s="120">
        <v>21</v>
      </c>
      <c r="BX10" s="120">
        <v>22</v>
      </c>
      <c r="BY10" s="120">
        <v>23</v>
      </c>
      <c r="BZ10" s="120">
        <v>24</v>
      </c>
      <c r="CA10" s="120">
        <v>25</v>
      </c>
      <c r="CB10" s="120">
        <v>26</v>
      </c>
      <c r="CC10" s="120">
        <v>27</v>
      </c>
      <c r="CD10" s="120">
        <v>28</v>
      </c>
      <c r="CE10" s="120">
        <v>29</v>
      </c>
      <c r="CF10" s="120">
        <v>30</v>
      </c>
      <c r="CG10" s="43"/>
    </row>
    <row r="11" spans="1:85" ht="18" customHeight="1">
      <c r="A11" s="265" t="s">
        <v>575</v>
      </c>
      <c r="B11" s="266"/>
      <c r="C11" s="266"/>
      <c r="D11" s="266"/>
      <c r="E11" s="266"/>
      <c r="F11" s="266"/>
      <c r="G11" s="266"/>
      <c r="H11" s="266"/>
      <c r="I11" s="264">
        <f>AQ27</f>
        <v>0</v>
      </c>
      <c r="J11" s="264"/>
      <c r="K11" s="267" t="s">
        <v>176</v>
      </c>
      <c r="L11" s="268"/>
      <c r="M11" s="269" t="s">
        <v>576</v>
      </c>
      <c r="N11" s="266"/>
      <c r="O11" s="266"/>
      <c r="P11" s="266"/>
      <c r="Q11" s="266"/>
      <c r="R11" s="266"/>
      <c r="S11" s="266"/>
      <c r="T11" s="266"/>
      <c r="U11" s="264">
        <f>AQ36</f>
        <v>0</v>
      </c>
      <c r="V11" s="264"/>
      <c r="W11" s="267" t="s">
        <v>176</v>
      </c>
      <c r="X11" s="268"/>
      <c r="Y11" s="269" t="s">
        <v>577</v>
      </c>
      <c r="Z11" s="266"/>
      <c r="AA11" s="266"/>
      <c r="AB11" s="266"/>
      <c r="AC11" s="266"/>
      <c r="AD11" s="266"/>
      <c r="AE11" s="266"/>
      <c r="AF11" s="266"/>
      <c r="AG11" s="264">
        <f>AQ34</f>
        <v>0</v>
      </c>
      <c r="AH11" s="264"/>
      <c r="AI11" s="28" t="s">
        <v>176</v>
      </c>
      <c r="AK11" s="441" t="s">
        <v>578</v>
      </c>
      <c r="AL11" s="442"/>
      <c r="AM11" s="442"/>
      <c r="AN11" s="442"/>
      <c r="AO11" s="442"/>
      <c r="AP11" s="443"/>
      <c r="AQ11" s="42">
        <v>25</v>
      </c>
      <c r="AR11" s="43"/>
      <c r="AS11" s="46">
        <v>2</v>
      </c>
      <c r="AT11" s="46"/>
      <c r="AU11" s="46"/>
      <c r="AV11" s="47" t="s">
        <v>579</v>
      </c>
      <c r="AW11" s="47" t="s">
        <v>580</v>
      </c>
      <c r="AX11" s="47">
        <v>0.33333333333333331</v>
      </c>
      <c r="AY11" s="47">
        <v>0.58333333333333337</v>
      </c>
      <c r="AZ11" s="43"/>
      <c r="BB11" s="121" t="s">
        <v>581</v>
      </c>
      <c r="BC11" s="138" t="s">
        <v>582</v>
      </c>
      <c r="BD11" s="138" t="s">
        <v>583</v>
      </c>
      <c r="BE11" s="138" t="s">
        <v>584</v>
      </c>
      <c r="BF11" s="138" t="s">
        <v>585</v>
      </c>
      <c r="BG11" s="139" t="s">
        <v>584</v>
      </c>
      <c r="BH11" s="138" t="s">
        <v>582</v>
      </c>
      <c r="BI11" s="138" t="s">
        <v>585</v>
      </c>
      <c r="BJ11" s="138" t="s">
        <v>583</v>
      </c>
      <c r="BK11" s="138" t="s">
        <v>584</v>
      </c>
      <c r="BL11" s="138" t="s">
        <v>583</v>
      </c>
      <c r="BM11" s="138" t="s">
        <v>585</v>
      </c>
      <c r="BN11" s="138" t="s">
        <v>582</v>
      </c>
      <c r="BO11" s="138" t="s">
        <v>584</v>
      </c>
      <c r="BP11" s="138" t="s">
        <v>585</v>
      </c>
      <c r="BQ11" s="138" t="s">
        <v>583</v>
      </c>
      <c r="BR11" s="138" t="s">
        <v>585</v>
      </c>
      <c r="BS11" s="138" t="s">
        <v>584</v>
      </c>
      <c r="BT11" s="138" t="s">
        <v>582</v>
      </c>
      <c r="BU11" s="138" t="s">
        <v>583</v>
      </c>
      <c r="BV11" s="138" t="s">
        <v>585</v>
      </c>
      <c r="BW11" s="138" t="s">
        <v>582</v>
      </c>
      <c r="BX11" s="138" t="s">
        <v>584</v>
      </c>
      <c r="BY11" s="138" t="s">
        <v>585</v>
      </c>
      <c r="BZ11" s="138" t="s">
        <v>583</v>
      </c>
      <c r="CA11" s="138" t="s">
        <v>582</v>
      </c>
      <c r="CB11" s="138" t="s">
        <v>585</v>
      </c>
      <c r="CC11" s="138" t="s">
        <v>584</v>
      </c>
      <c r="CD11" s="138" t="s">
        <v>582</v>
      </c>
      <c r="CE11" s="138" t="s">
        <v>585</v>
      </c>
      <c r="CF11" s="138" t="s">
        <v>583</v>
      </c>
      <c r="CG11" s="43"/>
    </row>
    <row r="12" spans="1:85" ht="18" customHeight="1">
      <c r="A12" s="265" t="s">
        <v>586</v>
      </c>
      <c r="B12" s="266"/>
      <c r="C12" s="266"/>
      <c r="D12" s="266"/>
      <c r="E12" s="266"/>
      <c r="F12" s="266"/>
      <c r="G12" s="266"/>
      <c r="H12" s="266"/>
      <c r="I12" s="264">
        <f>AQ33</f>
        <v>0</v>
      </c>
      <c r="J12" s="264"/>
      <c r="K12" s="267" t="s">
        <v>176</v>
      </c>
      <c r="L12" s="268"/>
      <c r="M12" s="269" t="s">
        <v>587</v>
      </c>
      <c r="N12" s="266"/>
      <c r="O12" s="266"/>
      <c r="P12" s="266"/>
      <c r="Q12" s="266"/>
      <c r="R12" s="266"/>
      <c r="S12" s="266"/>
      <c r="T12" s="266"/>
      <c r="U12" s="264">
        <f>AQ24</f>
        <v>0</v>
      </c>
      <c r="V12" s="264"/>
      <c r="W12" s="267" t="s">
        <v>176</v>
      </c>
      <c r="X12" s="268"/>
      <c r="Y12" s="269" t="s">
        <v>588</v>
      </c>
      <c r="Z12" s="266"/>
      <c r="AA12" s="266"/>
      <c r="AB12" s="266"/>
      <c r="AC12" s="266"/>
      <c r="AD12" s="266"/>
      <c r="AE12" s="266"/>
      <c r="AF12" s="266"/>
      <c r="AG12" s="264">
        <f>AQ20+AQ21+AQ22+AQ23</f>
        <v>0</v>
      </c>
      <c r="AH12" s="264"/>
      <c r="AI12" s="28" t="s">
        <v>176</v>
      </c>
      <c r="AK12" s="441" t="s">
        <v>589</v>
      </c>
      <c r="AL12" s="442"/>
      <c r="AM12" s="442"/>
      <c r="AN12" s="442"/>
      <c r="AO12" s="442"/>
      <c r="AP12" s="443"/>
      <c r="AQ12" s="42">
        <v>12</v>
      </c>
      <c r="AR12" s="43"/>
      <c r="AS12" s="46">
        <v>3</v>
      </c>
      <c r="AT12" s="46"/>
      <c r="AU12" s="46"/>
      <c r="AV12" s="47" t="s">
        <v>590</v>
      </c>
      <c r="AW12" s="47" t="s">
        <v>574</v>
      </c>
      <c r="AX12" s="47">
        <v>0.58333333333333337</v>
      </c>
      <c r="AY12" s="47">
        <v>0.83333333333333337</v>
      </c>
      <c r="AZ12" s="43"/>
      <c r="BB12" s="49"/>
      <c r="BC12" s="43"/>
      <c r="BD12" s="43"/>
      <c r="BE12" s="43"/>
      <c r="BF12" s="43"/>
      <c r="BG12" s="43"/>
      <c r="BH12" s="43"/>
      <c r="BI12" s="43"/>
      <c r="BJ12" s="43"/>
      <c r="BK12" s="43"/>
      <c r="BL12" s="43"/>
      <c r="BM12" s="43"/>
      <c r="BN12" s="43"/>
      <c r="BO12" s="43"/>
      <c r="BP12" s="43"/>
      <c r="BQ12" s="43"/>
      <c r="BR12" s="43"/>
      <c r="BS12" s="43"/>
      <c r="BT12" s="43"/>
      <c r="BU12" s="43"/>
      <c r="BV12" s="43"/>
      <c r="BW12" s="43"/>
      <c r="BX12" s="43"/>
      <c r="BY12" s="43"/>
      <c r="BZ12" s="43"/>
      <c r="CA12" s="43"/>
      <c r="CB12" s="43"/>
      <c r="CC12" s="43"/>
      <c r="CD12" s="43"/>
      <c r="CE12" s="43"/>
      <c r="CF12" s="43"/>
      <c r="CG12" s="43"/>
    </row>
    <row r="13" spans="1:85" ht="18" customHeight="1" thickBot="1">
      <c r="A13" s="517" t="s">
        <v>591</v>
      </c>
      <c r="B13" s="277"/>
      <c r="C13" s="277"/>
      <c r="D13" s="277"/>
      <c r="E13" s="277"/>
      <c r="F13" s="277"/>
      <c r="G13" s="277"/>
      <c r="H13" s="277"/>
      <c r="I13" s="272">
        <f>AQ30+AQ31</f>
        <v>0</v>
      </c>
      <c r="J13" s="272"/>
      <c r="K13" s="273" t="s">
        <v>176</v>
      </c>
      <c r="L13" s="274"/>
      <c r="M13" s="276" t="s">
        <v>592</v>
      </c>
      <c r="N13" s="277"/>
      <c r="O13" s="277"/>
      <c r="P13" s="277"/>
      <c r="Q13" s="277"/>
      <c r="R13" s="277"/>
      <c r="S13" s="277"/>
      <c r="T13" s="277"/>
      <c r="U13" s="272">
        <f>AQ28</f>
        <v>0</v>
      </c>
      <c r="V13" s="272"/>
      <c r="W13" s="273" t="s">
        <v>176</v>
      </c>
      <c r="X13" s="274"/>
      <c r="Y13" s="276" t="s">
        <v>593</v>
      </c>
      <c r="Z13" s="277"/>
      <c r="AA13" s="277"/>
      <c r="AB13" s="277"/>
      <c r="AC13" s="277"/>
      <c r="AD13" s="277"/>
      <c r="AE13" s="277"/>
      <c r="AF13" s="277"/>
      <c r="AG13" s="272">
        <f>AQ13</f>
        <v>0</v>
      </c>
      <c r="AH13" s="272"/>
      <c r="AI13" s="34" t="s">
        <v>176</v>
      </c>
      <c r="AK13" s="425" t="s">
        <v>594</v>
      </c>
      <c r="AL13" s="425"/>
      <c r="AM13" s="425"/>
      <c r="AN13" s="425"/>
      <c r="AO13" s="425"/>
      <c r="AP13" s="425"/>
      <c r="AQ13" s="42"/>
      <c r="AR13" s="43"/>
      <c r="AS13" s="46">
        <v>4</v>
      </c>
      <c r="AT13" s="46"/>
      <c r="AU13" s="46" t="s">
        <v>28</v>
      </c>
      <c r="AV13" s="47" t="s">
        <v>595</v>
      </c>
      <c r="AW13" s="47" t="s">
        <v>596</v>
      </c>
      <c r="AX13" s="47">
        <v>0.33333333333333331</v>
      </c>
      <c r="AY13" s="47">
        <v>0.83333333333333337</v>
      </c>
      <c r="AZ13" s="43"/>
      <c r="BB13" s="121" t="s">
        <v>597</v>
      </c>
      <c r="BC13" s="140" t="s">
        <v>20</v>
      </c>
      <c r="BD13" s="140" t="s">
        <v>119</v>
      </c>
      <c r="BE13" s="140" t="s">
        <v>20</v>
      </c>
      <c r="BF13" s="140" t="s">
        <v>20</v>
      </c>
      <c r="BG13" s="140" t="s">
        <v>20</v>
      </c>
      <c r="BH13" s="140" t="s">
        <v>20</v>
      </c>
      <c r="BI13" s="140" t="s">
        <v>80</v>
      </c>
      <c r="BJ13" s="140" t="s">
        <v>20</v>
      </c>
      <c r="BK13" s="140" t="s">
        <v>20</v>
      </c>
      <c r="BL13" s="140" t="s">
        <v>20</v>
      </c>
      <c r="BM13" s="140" t="s">
        <v>20</v>
      </c>
      <c r="BN13" s="140" t="s">
        <v>20</v>
      </c>
      <c r="BO13" s="140" t="s">
        <v>119</v>
      </c>
      <c r="BP13" s="140" t="s">
        <v>119</v>
      </c>
      <c r="BQ13" s="140" t="s">
        <v>20</v>
      </c>
      <c r="BR13" s="140" t="s">
        <v>119</v>
      </c>
      <c r="BS13" s="140" t="s">
        <v>20</v>
      </c>
      <c r="BT13" s="140" t="s">
        <v>20</v>
      </c>
      <c r="BU13" s="140" t="s">
        <v>20</v>
      </c>
      <c r="BV13" s="140" t="s">
        <v>119</v>
      </c>
      <c r="BW13" s="140" t="s">
        <v>119</v>
      </c>
      <c r="BX13" s="140" t="s">
        <v>20</v>
      </c>
      <c r="BY13" s="140" t="s">
        <v>119</v>
      </c>
      <c r="BZ13" s="140" t="s">
        <v>20</v>
      </c>
      <c r="CA13" s="140" t="s">
        <v>119</v>
      </c>
      <c r="CB13" s="140" t="s">
        <v>20</v>
      </c>
      <c r="CC13" s="140" t="s">
        <v>20</v>
      </c>
      <c r="CD13" s="140" t="s">
        <v>119</v>
      </c>
      <c r="CE13" s="140" t="s">
        <v>20</v>
      </c>
      <c r="CF13" s="140" t="s">
        <v>119</v>
      </c>
      <c r="CG13" s="43"/>
    </row>
    <row r="14" spans="1:85" ht="18" customHeight="1" thickBot="1">
      <c r="A14" s="452" t="s">
        <v>598</v>
      </c>
      <c r="B14" s="453"/>
      <c r="C14" s="453"/>
      <c r="D14" s="453"/>
      <c r="E14" s="453"/>
      <c r="F14" s="453"/>
      <c r="G14" s="453"/>
      <c r="H14" s="453"/>
      <c r="I14" s="453"/>
      <c r="J14" s="453"/>
      <c r="K14" s="453"/>
      <c r="L14" s="453"/>
      <c r="M14" s="453"/>
      <c r="N14" s="453"/>
      <c r="O14" s="453"/>
      <c r="P14" s="453"/>
      <c r="Q14" s="453"/>
      <c r="R14" s="453"/>
      <c r="S14" s="453"/>
      <c r="T14" s="453"/>
      <c r="U14" s="453"/>
      <c r="V14" s="453"/>
      <c r="W14" s="453"/>
      <c r="X14" s="453"/>
      <c r="Y14" s="453"/>
      <c r="Z14" s="453"/>
      <c r="AA14" s="453"/>
      <c r="AB14" s="453"/>
      <c r="AC14" s="453"/>
      <c r="AD14" s="453"/>
      <c r="AE14" s="453"/>
      <c r="AF14" s="453"/>
      <c r="AG14" s="453"/>
      <c r="AH14" s="453"/>
      <c r="AI14" s="454"/>
      <c r="AK14" s="440" t="s">
        <v>599</v>
      </c>
      <c r="AL14" s="440"/>
      <c r="AM14" s="440"/>
      <c r="AN14" s="440"/>
      <c r="AO14" s="440"/>
      <c r="AP14" s="440"/>
      <c r="AQ14" s="42">
        <v>3</v>
      </c>
      <c r="AR14" s="43"/>
      <c r="AS14" s="46">
        <v>5</v>
      </c>
      <c r="AT14" s="46"/>
      <c r="AU14" s="46" t="s">
        <v>602</v>
      </c>
      <c r="AV14" s="47" t="s">
        <v>600</v>
      </c>
      <c r="AW14" s="47" t="s">
        <v>596</v>
      </c>
      <c r="AX14" s="47">
        <v>0.33333333333333331</v>
      </c>
      <c r="AY14" s="47">
        <v>0.83333333333333337</v>
      </c>
      <c r="AZ14" s="43"/>
      <c r="BB14" s="121" t="s">
        <v>601</v>
      </c>
      <c r="BC14" s="162" t="s">
        <v>28</v>
      </c>
      <c r="BD14" s="162" t="s">
        <v>602</v>
      </c>
      <c r="BE14" s="162" t="s">
        <v>602</v>
      </c>
      <c r="BF14" s="162" t="s">
        <v>28</v>
      </c>
      <c r="BG14" s="162" t="s">
        <v>602</v>
      </c>
      <c r="BH14" s="162" t="s">
        <v>602</v>
      </c>
      <c r="BI14" s="162" t="s">
        <v>28</v>
      </c>
      <c r="BJ14" s="162" t="s">
        <v>28</v>
      </c>
      <c r="BK14" s="162" t="s">
        <v>602</v>
      </c>
      <c r="BL14" s="162" t="s">
        <v>28</v>
      </c>
      <c r="BM14" s="162" t="s">
        <v>602</v>
      </c>
      <c r="BN14" s="162" t="s">
        <v>28</v>
      </c>
      <c r="BO14" s="162" t="s">
        <v>28</v>
      </c>
      <c r="BP14" s="162" t="s">
        <v>76</v>
      </c>
      <c r="BQ14" s="162" t="s">
        <v>28</v>
      </c>
      <c r="BR14" s="162" t="s">
        <v>602</v>
      </c>
      <c r="BS14" s="162" t="s">
        <v>28</v>
      </c>
      <c r="BT14" s="162" t="s">
        <v>602</v>
      </c>
      <c r="BU14" s="162" t="s">
        <v>28</v>
      </c>
      <c r="BV14" s="162" t="s">
        <v>602</v>
      </c>
      <c r="BW14" s="162" t="s">
        <v>28</v>
      </c>
      <c r="BX14" s="162" t="s">
        <v>28</v>
      </c>
      <c r="BY14" s="162" t="s">
        <v>602</v>
      </c>
      <c r="BZ14" s="162" t="s">
        <v>28</v>
      </c>
      <c r="CA14" s="162" t="s">
        <v>602</v>
      </c>
      <c r="CB14" s="162" t="s">
        <v>28</v>
      </c>
      <c r="CC14" s="162" t="s">
        <v>28</v>
      </c>
      <c r="CD14" s="162" t="s">
        <v>76</v>
      </c>
      <c r="CE14" s="162" t="s">
        <v>28</v>
      </c>
      <c r="CF14" s="162" t="s">
        <v>602</v>
      </c>
      <c r="CG14" s="43"/>
    </row>
    <row r="15" spans="1:85" ht="18" customHeight="1" thickBot="1">
      <c r="A15" s="30" t="s">
        <v>189</v>
      </c>
      <c r="B15" s="264" t="s">
        <v>603</v>
      </c>
      <c r="C15" s="264"/>
      <c r="D15" s="264"/>
      <c r="E15" s="264"/>
      <c r="F15" s="264"/>
      <c r="G15" s="264"/>
      <c r="H15" s="264"/>
      <c r="I15" s="264"/>
      <c r="J15" s="278">
        <f>AQ9+AQ10</f>
        <v>21</v>
      </c>
      <c r="K15" s="278"/>
      <c r="L15" s="278"/>
      <c r="M15" s="264" t="s">
        <v>176</v>
      </c>
      <c r="N15" s="264"/>
      <c r="O15" s="264" t="s">
        <v>604</v>
      </c>
      <c r="P15" s="264"/>
      <c r="Q15" s="264"/>
      <c r="R15" s="264"/>
      <c r="S15" s="264"/>
      <c r="T15" s="264"/>
      <c r="U15" s="264"/>
      <c r="V15" s="264"/>
      <c r="W15" s="278">
        <f>AQ11+AQ12</f>
        <v>37</v>
      </c>
      <c r="X15" s="278"/>
      <c r="Y15" s="278"/>
      <c r="Z15" s="264" t="s">
        <v>176</v>
      </c>
      <c r="AA15" s="264"/>
      <c r="AB15" s="503" t="s">
        <v>605</v>
      </c>
      <c r="AC15" s="503"/>
      <c r="AD15" s="503"/>
      <c r="AE15" s="503"/>
      <c r="AF15" s="503"/>
      <c r="AG15" s="503"/>
      <c r="AH15" s="281" t="s">
        <v>584</v>
      </c>
      <c r="AI15" s="282"/>
      <c r="AK15" s="425" t="s">
        <v>606</v>
      </c>
      <c r="AL15" s="425"/>
      <c r="AM15" s="425"/>
      <c r="AN15" s="425"/>
      <c r="AO15" s="425"/>
      <c r="AP15" s="425"/>
      <c r="AQ15" s="42"/>
      <c r="AR15" s="43"/>
      <c r="AS15" s="46">
        <v>6</v>
      </c>
      <c r="AT15" s="46"/>
      <c r="AU15" s="46"/>
      <c r="AV15" s="47" t="s">
        <v>607</v>
      </c>
      <c r="AW15" s="47" t="s">
        <v>596</v>
      </c>
      <c r="AX15" s="47">
        <v>0.33333333333333331</v>
      </c>
      <c r="AY15" s="47">
        <v>0.83333333333333337</v>
      </c>
      <c r="AZ15" s="43"/>
      <c r="BB15" s="121" t="s">
        <v>31</v>
      </c>
      <c r="BC15" s="163" t="s">
        <v>119</v>
      </c>
      <c r="BD15" s="164"/>
      <c r="BE15" s="165" t="s">
        <v>28</v>
      </c>
      <c r="BF15" s="165" t="s">
        <v>119</v>
      </c>
      <c r="BG15" s="164"/>
      <c r="BH15" s="164"/>
      <c r="BI15" s="164"/>
      <c r="BJ15" s="164"/>
      <c r="BK15" s="165" t="s">
        <v>119</v>
      </c>
      <c r="BL15" s="165" t="s">
        <v>602</v>
      </c>
      <c r="BM15" s="165" t="s">
        <v>119</v>
      </c>
      <c r="BN15" s="165"/>
      <c r="BO15" s="164" t="s">
        <v>602</v>
      </c>
      <c r="BP15" s="164"/>
      <c r="BQ15" s="165" t="s">
        <v>608</v>
      </c>
      <c r="BR15" s="165" t="s">
        <v>20</v>
      </c>
      <c r="BS15" s="165" t="s">
        <v>602</v>
      </c>
      <c r="BT15" s="165" t="s">
        <v>119</v>
      </c>
      <c r="BU15" s="165" t="s">
        <v>602</v>
      </c>
      <c r="BV15" s="164"/>
      <c r="BW15" s="164"/>
      <c r="BX15" s="165" t="s">
        <v>119</v>
      </c>
      <c r="BY15" s="165" t="s">
        <v>20</v>
      </c>
      <c r="BZ15" s="165" t="s">
        <v>602</v>
      </c>
      <c r="CA15" s="165" t="s">
        <v>20</v>
      </c>
      <c r="CB15" s="165" t="s">
        <v>602</v>
      </c>
      <c r="CC15" s="165" t="s">
        <v>602</v>
      </c>
      <c r="CD15" s="164"/>
      <c r="CE15" s="165" t="s">
        <v>119</v>
      </c>
      <c r="CF15" s="165" t="s">
        <v>20</v>
      </c>
      <c r="CG15" s="43"/>
    </row>
    <row r="16" spans="1:85" ht="18" customHeight="1">
      <c r="A16" s="504" t="s">
        <v>609</v>
      </c>
      <c r="B16" s="505"/>
      <c r="C16" s="505"/>
      <c r="D16" s="505"/>
      <c r="E16" s="505"/>
      <c r="F16" s="505"/>
      <c r="G16" s="505"/>
      <c r="H16" s="505"/>
      <c r="I16" s="505"/>
      <c r="J16" s="505"/>
      <c r="K16" s="505"/>
      <c r="L16" s="505"/>
      <c r="M16" s="505"/>
      <c r="N16" s="505"/>
      <c r="O16" s="505"/>
      <c r="P16" s="505"/>
      <c r="Q16" s="505"/>
      <c r="R16" s="505"/>
      <c r="S16" s="505"/>
      <c r="T16" s="505"/>
      <c r="U16" s="505"/>
      <c r="V16" s="505"/>
      <c r="W16" s="505"/>
      <c r="X16" s="505"/>
      <c r="Y16" s="505"/>
      <c r="Z16" s="505"/>
      <c r="AA16" s="505"/>
      <c r="AB16" s="505"/>
      <c r="AC16" s="505"/>
      <c r="AD16" s="505"/>
      <c r="AE16" s="505"/>
      <c r="AF16" s="505"/>
      <c r="AG16" s="505"/>
      <c r="AH16" s="505"/>
      <c r="AI16" s="506"/>
      <c r="AK16" s="425" t="s">
        <v>610</v>
      </c>
      <c r="AL16" s="425"/>
      <c r="AM16" s="425"/>
      <c r="AN16" s="425"/>
      <c r="AO16" s="425"/>
      <c r="AP16" s="425"/>
      <c r="AQ16" s="42"/>
      <c r="AR16" s="43"/>
      <c r="AS16" s="46">
        <v>7</v>
      </c>
      <c r="AT16" s="46"/>
      <c r="AU16" s="46" t="s">
        <v>42</v>
      </c>
      <c r="AV16" s="47" t="s">
        <v>611</v>
      </c>
      <c r="AW16" s="47" t="s">
        <v>612</v>
      </c>
      <c r="AX16" s="47">
        <v>0.83333333333333337</v>
      </c>
      <c r="AY16" s="47" t="s">
        <v>613</v>
      </c>
      <c r="AZ16" s="43"/>
      <c r="BB16" s="121" t="s">
        <v>614</v>
      </c>
      <c r="BC16" s="142" t="s">
        <v>20</v>
      </c>
      <c r="BD16" s="140" t="s">
        <v>67</v>
      </c>
      <c r="BE16" s="142" t="s">
        <v>42</v>
      </c>
      <c r="BF16" s="142" t="s">
        <v>20</v>
      </c>
      <c r="BG16" s="142" t="s">
        <v>42</v>
      </c>
      <c r="BH16" s="142" t="s">
        <v>61</v>
      </c>
      <c r="BI16" s="142" t="s">
        <v>67</v>
      </c>
      <c r="BJ16" s="142" t="s">
        <v>67</v>
      </c>
      <c r="BK16" s="142" t="s">
        <v>42</v>
      </c>
      <c r="BL16" s="142" t="s">
        <v>42</v>
      </c>
      <c r="BM16" s="142" t="s">
        <v>67</v>
      </c>
      <c r="BN16" s="142" t="s">
        <v>67</v>
      </c>
      <c r="BO16" s="142" t="s">
        <v>42</v>
      </c>
      <c r="BP16" s="142" t="s">
        <v>67</v>
      </c>
      <c r="BQ16" s="142" t="s">
        <v>20</v>
      </c>
      <c r="BR16" s="142" t="s">
        <v>71</v>
      </c>
      <c r="BS16" s="142" t="s">
        <v>67</v>
      </c>
      <c r="BT16" s="142" t="s">
        <v>67</v>
      </c>
      <c r="BU16" s="142" t="s">
        <v>61</v>
      </c>
      <c r="BV16" s="142" t="s">
        <v>42</v>
      </c>
      <c r="BW16" s="142" t="s">
        <v>49</v>
      </c>
      <c r="BX16" s="142" t="s">
        <v>20</v>
      </c>
      <c r="BY16" s="142" t="s">
        <v>71</v>
      </c>
      <c r="BZ16" s="142" t="s">
        <v>42</v>
      </c>
      <c r="CA16" s="142" t="s">
        <v>20</v>
      </c>
      <c r="CB16" s="142" t="s">
        <v>61</v>
      </c>
      <c r="CC16" s="142" t="s">
        <v>42</v>
      </c>
      <c r="CD16" s="142" t="s">
        <v>49</v>
      </c>
      <c r="CE16" s="142" t="s">
        <v>20</v>
      </c>
      <c r="CF16" s="143" t="s">
        <v>71</v>
      </c>
      <c r="CG16" s="43"/>
    </row>
    <row r="17" spans="1:85" ht="18" customHeight="1">
      <c r="A17" s="396" t="s">
        <v>615</v>
      </c>
      <c r="B17" s="397"/>
      <c r="C17" s="397"/>
      <c r="D17" s="397"/>
      <c r="E17" s="397"/>
      <c r="F17" s="398" t="s">
        <v>616</v>
      </c>
      <c r="G17" s="398"/>
      <c r="H17" s="398"/>
      <c r="I17" s="398"/>
      <c r="J17" s="398"/>
      <c r="K17" s="398"/>
      <c r="L17" s="398"/>
      <c r="M17" s="398"/>
      <c r="N17" s="398"/>
      <c r="O17" s="398"/>
      <c r="P17" s="398"/>
      <c r="Q17" s="398"/>
      <c r="R17" s="398"/>
      <c r="S17" s="398"/>
      <c r="T17" s="398"/>
      <c r="U17" s="398"/>
      <c r="V17" s="398"/>
      <c r="W17" s="398"/>
      <c r="X17" s="398"/>
      <c r="Y17" s="398"/>
      <c r="Z17" s="398"/>
      <c r="AA17" s="398"/>
      <c r="AB17" s="398"/>
      <c r="AC17" s="398"/>
      <c r="AD17" s="398"/>
      <c r="AE17" s="398"/>
      <c r="AF17" s="398"/>
      <c r="AG17" s="398"/>
      <c r="AH17" s="398"/>
      <c r="AI17" s="399"/>
      <c r="AK17" s="425" t="s">
        <v>617</v>
      </c>
      <c r="AL17" s="425"/>
      <c r="AM17" s="425"/>
      <c r="AN17" s="425"/>
      <c r="AO17" s="425"/>
      <c r="AP17" s="425"/>
      <c r="AQ17" s="42"/>
      <c r="AR17" s="43"/>
      <c r="AS17" s="46">
        <v>8</v>
      </c>
      <c r="AT17" s="46"/>
      <c r="AU17" s="46" t="s">
        <v>61</v>
      </c>
      <c r="AV17" s="47" t="s">
        <v>618</v>
      </c>
      <c r="AW17" s="47" t="s">
        <v>612</v>
      </c>
      <c r="AX17" s="47">
        <v>0.83333333333333337</v>
      </c>
      <c r="AY17" s="47" t="s">
        <v>613</v>
      </c>
      <c r="AZ17" s="43"/>
      <c r="BB17" s="121" t="s">
        <v>619</v>
      </c>
      <c r="BC17" s="141" t="s">
        <v>67</v>
      </c>
      <c r="BD17" s="140" t="s">
        <v>42</v>
      </c>
      <c r="BE17" s="141" t="s">
        <v>71</v>
      </c>
      <c r="BF17" s="140" t="s">
        <v>67</v>
      </c>
      <c r="BG17" s="140" t="s">
        <v>61</v>
      </c>
      <c r="BH17" s="140" t="s">
        <v>42</v>
      </c>
      <c r="BI17" s="140" t="s">
        <v>49</v>
      </c>
      <c r="BJ17" s="140" t="s">
        <v>61</v>
      </c>
      <c r="BK17" s="140" t="s">
        <v>71</v>
      </c>
      <c r="BL17" s="140" t="s">
        <v>67</v>
      </c>
      <c r="BM17" s="140" t="s">
        <v>49</v>
      </c>
      <c r="BN17" s="140" t="s">
        <v>49</v>
      </c>
      <c r="BO17" s="140" t="s">
        <v>61</v>
      </c>
      <c r="BP17" s="140" t="s">
        <v>49</v>
      </c>
      <c r="BQ17" s="140" t="s">
        <v>67</v>
      </c>
      <c r="BR17" s="140" t="s">
        <v>42</v>
      </c>
      <c r="BS17" s="140" t="s">
        <v>42</v>
      </c>
      <c r="BT17" s="140" t="s">
        <v>49</v>
      </c>
      <c r="BU17" s="140" t="s">
        <v>42</v>
      </c>
      <c r="BV17" s="140" t="s">
        <v>61</v>
      </c>
      <c r="BW17" s="140" t="s">
        <v>71</v>
      </c>
      <c r="BX17" s="140" t="s">
        <v>67</v>
      </c>
      <c r="BY17" s="140" t="s">
        <v>42</v>
      </c>
      <c r="BZ17" s="140" t="s">
        <v>67</v>
      </c>
      <c r="CA17" s="140" t="s">
        <v>67</v>
      </c>
      <c r="CB17" s="140" t="s">
        <v>49</v>
      </c>
      <c r="CC17" s="140" t="s">
        <v>61</v>
      </c>
      <c r="CD17" s="140" t="s">
        <v>71</v>
      </c>
      <c r="CE17" s="140" t="s">
        <v>67</v>
      </c>
      <c r="CF17" s="140" t="s">
        <v>42</v>
      </c>
      <c r="CG17" s="43"/>
    </row>
    <row r="18" spans="1:85" ht="18" customHeight="1">
      <c r="A18" s="501" t="s">
        <v>620</v>
      </c>
      <c r="B18" s="502"/>
      <c r="C18" s="502"/>
      <c r="D18" s="502"/>
      <c r="E18" s="502"/>
      <c r="F18" s="400" t="s">
        <v>616</v>
      </c>
      <c r="G18" s="400"/>
      <c r="H18" s="400"/>
      <c r="I18" s="400"/>
      <c r="J18" s="400"/>
      <c r="K18" s="400"/>
      <c r="L18" s="400"/>
      <c r="M18" s="400"/>
      <c r="N18" s="400"/>
      <c r="O18" s="400"/>
      <c r="P18" s="400"/>
      <c r="Q18" s="400"/>
      <c r="R18" s="400"/>
      <c r="S18" s="400"/>
      <c r="T18" s="400"/>
      <c r="U18" s="400"/>
      <c r="V18" s="400"/>
      <c r="W18" s="400"/>
      <c r="X18" s="400"/>
      <c r="Y18" s="400"/>
      <c r="Z18" s="400"/>
      <c r="AA18" s="400"/>
      <c r="AB18" s="400"/>
      <c r="AC18" s="400"/>
      <c r="AD18" s="400"/>
      <c r="AE18" s="400"/>
      <c r="AF18" s="400"/>
      <c r="AG18" s="400"/>
      <c r="AH18" s="400"/>
      <c r="AI18" s="401"/>
      <c r="AK18" s="425" t="s">
        <v>621</v>
      </c>
      <c r="AL18" s="425"/>
      <c r="AM18" s="425"/>
      <c r="AN18" s="425"/>
      <c r="AO18" s="425"/>
      <c r="AP18" s="425"/>
      <c r="AQ18" s="42"/>
      <c r="AR18" s="43"/>
      <c r="AS18" s="46">
        <v>9</v>
      </c>
      <c r="AT18" s="46"/>
      <c r="AU18" s="46"/>
      <c r="AV18" s="47" t="s">
        <v>622</v>
      </c>
      <c r="AW18" s="47" t="s">
        <v>612</v>
      </c>
      <c r="AX18" s="47">
        <v>0.83333333333333337</v>
      </c>
      <c r="AY18" s="47" t="s">
        <v>613</v>
      </c>
      <c r="AZ18" s="43"/>
    </row>
    <row r="19" spans="1:85" ht="18" customHeight="1" thickBot="1">
      <c r="A19" s="35" t="s">
        <v>189</v>
      </c>
      <c r="B19" s="405">
        <v>0.41666666666666669</v>
      </c>
      <c r="C19" s="405"/>
      <c r="D19" s="405"/>
      <c r="E19" s="405"/>
      <c r="F19" s="402" t="s">
        <v>829</v>
      </c>
      <c r="G19" s="402"/>
      <c r="H19" s="402"/>
      <c r="I19" s="402"/>
      <c r="J19" s="402"/>
      <c r="K19" s="402"/>
      <c r="L19" s="402"/>
      <c r="M19" s="402"/>
      <c r="N19" s="402"/>
      <c r="O19" s="402"/>
      <c r="P19" s="402"/>
      <c r="Q19" s="402"/>
      <c r="R19" s="402"/>
      <c r="S19" s="402"/>
      <c r="T19" s="402"/>
      <c r="U19" s="402"/>
      <c r="V19" s="402"/>
      <c r="W19" s="402"/>
      <c r="X19" s="402"/>
      <c r="Y19" s="402"/>
      <c r="Z19" s="402"/>
      <c r="AA19" s="402"/>
      <c r="AB19" s="402"/>
      <c r="AC19" s="402"/>
      <c r="AD19" s="402"/>
      <c r="AE19" s="402"/>
      <c r="AF19" s="402"/>
      <c r="AG19" s="402"/>
      <c r="AH19" s="402"/>
      <c r="AI19" s="403"/>
      <c r="AK19" s="524" t="s">
        <v>623</v>
      </c>
      <c r="AL19" s="524"/>
      <c r="AM19" s="524"/>
      <c r="AN19" s="524"/>
      <c r="AO19" s="524"/>
      <c r="AP19" s="524"/>
      <c r="AQ19" s="58"/>
      <c r="AR19" s="43"/>
      <c r="AS19" s="46">
        <v>10</v>
      </c>
      <c r="AT19" s="46"/>
      <c r="AU19" s="46"/>
      <c r="AV19" s="47" t="s">
        <v>111</v>
      </c>
      <c r="AW19" s="47" t="s">
        <v>612</v>
      </c>
      <c r="AX19" s="47">
        <v>0.83333333333333337</v>
      </c>
      <c r="AY19" s="47" t="s">
        <v>613</v>
      </c>
      <c r="AZ19" s="43"/>
    </row>
    <row r="20" spans="1:85" ht="18" customHeight="1">
      <c r="A20" s="36" t="s">
        <v>189</v>
      </c>
      <c r="B20" s="404">
        <v>0.56944444444444442</v>
      </c>
      <c r="C20" s="404"/>
      <c r="D20" s="404"/>
      <c r="E20" s="404"/>
      <c r="F20" s="288" t="s">
        <v>714</v>
      </c>
      <c r="G20" s="288"/>
      <c r="H20" s="288"/>
      <c r="I20" s="288"/>
      <c r="J20" s="288"/>
      <c r="K20" s="288"/>
      <c r="L20" s="288"/>
      <c r="M20" s="288"/>
      <c r="N20" s="288"/>
      <c r="O20" s="288"/>
      <c r="P20" s="288"/>
      <c r="Q20" s="288"/>
      <c r="R20" s="288"/>
      <c r="S20" s="288"/>
      <c r="T20" s="288"/>
      <c r="U20" s="288"/>
      <c r="V20" s="288"/>
      <c r="W20" s="288"/>
      <c r="X20" s="288"/>
      <c r="Y20" s="288"/>
      <c r="Z20" s="288"/>
      <c r="AA20" s="288"/>
      <c r="AB20" s="288"/>
      <c r="AC20" s="288"/>
      <c r="AD20" s="288"/>
      <c r="AE20" s="288"/>
      <c r="AF20" s="288"/>
      <c r="AG20" s="288"/>
      <c r="AH20" s="288"/>
      <c r="AI20" s="289"/>
      <c r="AK20" s="447" t="s">
        <v>624</v>
      </c>
      <c r="AL20" s="448"/>
      <c r="AM20" s="448"/>
      <c r="AN20" s="448"/>
      <c r="AO20" s="448"/>
      <c r="AP20" s="448"/>
      <c r="AQ20" s="62"/>
      <c r="AR20" s="426" t="s">
        <v>625</v>
      </c>
      <c r="AS20" s="146">
        <v>11</v>
      </c>
      <c r="AT20" s="46"/>
      <c r="AU20" s="46"/>
      <c r="AV20" s="47" t="s">
        <v>111</v>
      </c>
      <c r="AW20" s="47" t="s">
        <v>612</v>
      </c>
      <c r="AX20" s="47">
        <v>0.83333333333333337</v>
      </c>
      <c r="AY20" s="47" t="s">
        <v>613</v>
      </c>
      <c r="AZ20" s="43"/>
    </row>
    <row r="21" spans="1:85" ht="18" customHeight="1" thickBot="1">
      <c r="A21" s="36" t="s">
        <v>189</v>
      </c>
      <c r="B21" s="404">
        <v>0.66666666666666663</v>
      </c>
      <c r="C21" s="404"/>
      <c r="D21" s="404"/>
      <c r="E21" s="404"/>
      <c r="F21" s="288" t="s">
        <v>830</v>
      </c>
      <c r="G21" s="288"/>
      <c r="H21" s="288"/>
      <c r="I21" s="288"/>
      <c r="J21" s="288"/>
      <c r="K21" s="288"/>
      <c r="L21" s="288"/>
      <c r="M21" s="288"/>
      <c r="N21" s="288"/>
      <c r="O21" s="288"/>
      <c r="P21" s="288"/>
      <c r="Q21" s="288"/>
      <c r="R21" s="288"/>
      <c r="S21" s="288"/>
      <c r="T21" s="288"/>
      <c r="U21" s="288"/>
      <c r="V21" s="288"/>
      <c r="W21" s="288"/>
      <c r="X21" s="288"/>
      <c r="Y21" s="288"/>
      <c r="Z21" s="288"/>
      <c r="AA21" s="288"/>
      <c r="AB21" s="288"/>
      <c r="AC21" s="288"/>
      <c r="AD21" s="288"/>
      <c r="AE21" s="288"/>
      <c r="AF21" s="288"/>
      <c r="AG21" s="288"/>
      <c r="AH21" s="288"/>
      <c r="AI21" s="289"/>
      <c r="AK21" s="429" t="s">
        <v>626</v>
      </c>
      <c r="AL21" s="430"/>
      <c r="AM21" s="430"/>
      <c r="AN21" s="430"/>
      <c r="AO21" s="430"/>
      <c r="AP21" s="430"/>
      <c r="AQ21" s="63"/>
      <c r="AR21" s="427"/>
      <c r="AW21" s="43"/>
      <c r="AX21" s="43"/>
      <c r="AY21" s="43"/>
      <c r="AZ21" s="43"/>
    </row>
    <row r="22" spans="1:85" ht="18" customHeight="1">
      <c r="A22" s="36" t="s">
        <v>189</v>
      </c>
      <c r="B22" s="404">
        <v>0.89236111111111116</v>
      </c>
      <c r="C22" s="404"/>
      <c r="D22" s="404"/>
      <c r="E22" s="404"/>
      <c r="F22" s="288" t="s">
        <v>831</v>
      </c>
      <c r="G22" s="288"/>
      <c r="H22" s="288"/>
      <c r="I22" s="288"/>
      <c r="J22" s="288"/>
      <c r="K22" s="288"/>
      <c r="L22" s="288"/>
      <c r="M22" s="288"/>
      <c r="N22" s="288"/>
      <c r="O22" s="288"/>
      <c r="P22" s="288"/>
      <c r="Q22" s="288"/>
      <c r="R22" s="288"/>
      <c r="S22" s="288"/>
      <c r="T22" s="288"/>
      <c r="U22" s="288"/>
      <c r="V22" s="288"/>
      <c r="W22" s="288"/>
      <c r="X22" s="288"/>
      <c r="Y22" s="288"/>
      <c r="Z22" s="288"/>
      <c r="AA22" s="288"/>
      <c r="AB22" s="288"/>
      <c r="AC22" s="288"/>
      <c r="AD22" s="288"/>
      <c r="AE22" s="288"/>
      <c r="AF22" s="288"/>
      <c r="AG22" s="288"/>
      <c r="AH22" s="288"/>
      <c r="AI22" s="289"/>
      <c r="AK22" s="429" t="s">
        <v>627</v>
      </c>
      <c r="AL22" s="430"/>
      <c r="AM22" s="430"/>
      <c r="AN22" s="430"/>
      <c r="AO22" s="430"/>
      <c r="AP22" s="430"/>
      <c r="AQ22" s="63"/>
      <c r="AR22" s="427"/>
      <c r="AS22" s="433" t="s">
        <v>628</v>
      </c>
      <c r="AT22" s="434"/>
      <c r="AU22" s="435"/>
      <c r="AV22" s="435"/>
      <c r="AW22" s="60" t="s">
        <v>74</v>
      </c>
      <c r="AY22" s="413" t="s">
        <v>629</v>
      </c>
      <c r="AZ22" s="413"/>
      <c r="BA22" s="412"/>
      <c r="BB22" s="412"/>
    </row>
    <row r="23" spans="1:85" ht="18" customHeight="1" thickBot="1">
      <c r="A23" s="36" t="s">
        <v>189</v>
      </c>
      <c r="B23" s="404">
        <v>0.29236111111111113</v>
      </c>
      <c r="C23" s="404"/>
      <c r="D23" s="404"/>
      <c r="E23" s="404"/>
      <c r="F23" s="288" t="s">
        <v>728</v>
      </c>
      <c r="G23" s="288"/>
      <c r="H23" s="288"/>
      <c r="I23" s="288"/>
      <c r="J23" s="288"/>
      <c r="K23" s="288"/>
      <c r="L23" s="288"/>
      <c r="M23" s="288"/>
      <c r="N23" s="288"/>
      <c r="O23" s="288"/>
      <c r="P23" s="288"/>
      <c r="Q23" s="288"/>
      <c r="R23" s="288"/>
      <c r="S23" s="288"/>
      <c r="T23" s="288"/>
      <c r="U23" s="288"/>
      <c r="V23" s="288"/>
      <c r="W23" s="288"/>
      <c r="X23" s="288"/>
      <c r="Y23" s="288"/>
      <c r="Z23" s="288"/>
      <c r="AA23" s="288"/>
      <c r="AB23" s="288"/>
      <c r="AC23" s="288"/>
      <c r="AD23" s="288"/>
      <c r="AE23" s="288"/>
      <c r="AF23" s="288"/>
      <c r="AG23" s="288"/>
      <c r="AH23" s="288"/>
      <c r="AI23" s="289"/>
      <c r="AK23" s="431" t="s">
        <v>630</v>
      </c>
      <c r="AL23" s="432"/>
      <c r="AM23" s="432"/>
      <c r="AN23" s="432"/>
      <c r="AO23" s="432"/>
      <c r="AP23" s="432"/>
      <c r="AQ23" s="64"/>
      <c r="AR23" s="428"/>
      <c r="AS23" s="536" t="s">
        <v>631</v>
      </c>
      <c r="AT23" s="246"/>
      <c r="AU23" s="537"/>
      <c r="AV23" s="537"/>
      <c r="AW23" s="56" t="s">
        <v>632</v>
      </c>
      <c r="AY23" s="413" t="s">
        <v>633</v>
      </c>
      <c r="AZ23" s="413"/>
      <c r="BA23" s="412"/>
      <c r="BB23" s="412"/>
    </row>
    <row r="24" spans="1:85" ht="18" customHeight="1" thickBot="1">
      <c r="A24" s="36"/>
      <c r="B24" s="404"/>
      <c r="C24" s="404"/>
      <c r="D24" s="404"/>
      <c r="E24" s="404"/>
      <c r="F24" s="288"/>
      <c r="G24" s="288"/>
      <c r="H24" s="288"/>
      <c r="I24" s="288"/>
      <c r="J24" s="288"/>
      <c r="K24" s="288"/>
      <c r="L24" s="288"/>
      <c r="M24" s="288"/>
      <c r="N24" s="288"/>
      <c r="O24" s="288"/>
      <c r="P24" s="288"/>
      <c r="Q24" s="288"/>
      <c r="R24" s="288"/>
      <c r="S24" s="288"/>
      <c r="T24" s="288"/>
      <c r="U24" s="288"/>
      <c r="V24" s="288"/>
      <c r="W24" s="288"/>
      <c r="X24" s="288"/>
      <c r="Y24" s="288"/>
      <c r="Z24" s="288"/>
      <c r="AA24" s="288"/>
      <c r="AB24" s="288"/>
      <c r="AC24" s="288"/>
      <c r="AD24" s="288"/>
      <c r="AE24" s="288"/>
      <c r="AF24" s="288"/>
      <c r="AG24" s="288"/>
      <c r="AH24" s="288"/>
      <c r="AI24" s="289"/>
      <c r="AK24" s="527" t="s">
        <v>634</v>
      </c>
      <c r="AL24" s="528"/>
      <c r="AM24" s="528"/>
      <c r="AN24" s="528"/>
      <c r="AO24" s="528"/>
      <c r="AP24" s="528"/>
      <c r="AQ24" s="65"/>
      <c r="AR24" s="43"/>
      <c r="AY24" s="413" t="s">
        <v>635</v>
      </c>
      <c r="AZ24" s="413"/>
      <c r="BA24" s="412"/>
      <c r="BB24" s="412"/>
    </row>
    <row r="25" spans="1:85" ht="18" customHeight="1">
      <c r="A25" s="36"/>
      <c r="B25" s="404"/>
      <c r="C25" s="404"/>
      <c r="D25" s="404"/>
      <c r="E25" s="404"/>
      <c r="F25" s="288"/>
      <c r="G25" s="288"/>
      <c r="H25" s="288"/>
      <c r="I25" s="288"/>
      <c r="J25" s="288"/>
      <c r="K25" s="288"/>
      <c r="L25" s="288"/>
      <c r="M25" s="288"/>
      <c r="N25" s="288"/>
      <c r="O25" s="288"/>
      <c r="P25" s="288"/>
      <c r="Q25" s="288"/>
      <c r="R25" s="288"/>
      <c r="S25" s="288"/>
      <c r="T25" s="288"/>
      <c r="U25" s="288"/>
      <c r="V25" s="288"/>
      <c r="W25" s="288"/>
      <c r="X25" s="288"/>
      <c r="Y25" s="288"/>
      <c r="Z25" s="288"/>
      <c r="AA25" s="288"/>
      <c r="AB25" s="288"/>
      <c r="AC25" s="288"/>
      <c r="AD25" s="288"/>
      <c r="AE25" s="288"/>
      <c r="AF25" s="288"/>
      <c r="AG25" s="288"/>
      <c r="AH25" s="288"/>
      <c r="AI25" s="289"/>
      <c r="AK25" s="529" t="s">
        <v>636</v>
      </c>
      <c r="AL25" s="529"/>
      <c r="AM25" s="529"/>
      <c r="AN25" s="529"/>
      <c r="AO25" s="529"/>
      <c r="AP25" s="529"/>
      <c r="AQ25" s="66"/>
      <c r="AR25" s="43"/>
      <c r="AY25" s="413" t="s">
        <v>637</v>
      </c>
      <c r="AZ25" s="413"/>
      <c r="BA25" s="412"/>
      <c r="BB25" s="412"/>
    </row>
    <row r="26" spans="1:85" ht="18" customHeight="1">
      <c r="A26" s="36"/>
      <c r="B26" s="404"/>
      <c r="C26" s="404"/>
      <c r="D26" s="404"/>
      <c r="E26" s="404"/>
      <c r="F26" s="288"/>
      <c r="G26" s="288"/>
      <c r="H26" s="288"/>
      <c r="I26" s="288"/>
      <c r="J26" s="288"/>
      <c r="K26" s="288"/>
      <c r="L26" s="288"/>
      <c r="M26" s="288"/>
      <c r="N26" s="288"/>
      <c r="O26" s="288"/>
      <c r="P26" s="288"/>
      <c r="Q26" s="288"/>
      <c r="R26" s="288"/>
      <c r="S26" s="288"/>
      <c r="T26" s="288"/>
      <c r="U26" s="288"/>
      <c r="V26" s="288"/>
      <c r="W26" s="288"/>
      <c r="X26" s="288"/>
      <c r="Y26" s="288"/>
      <c r="Z26" s="288"/>
      <c r="AA26" s="288"/>
      <c r="AB26" s="288"/>
      <c r="AC26" s="288"/>
      <c r="AD26" s="288"/>
      <c r="AE26" s="288"/>
      <c r="AF26" s="288"/>
      <c r="AG26" s="288"/>
      <c r="AH26" s="288"/>
      <c r="AI26" s="289"/>
      <c r="AK26" s="436" t="s">
        <v>638</v>
      </c>
      <c r="AL26" s="436"/>
      <c r="AM26" s="436"/>
      <c r="AN26" s="436"/>
      <c r="AO26" s="436"/>
      <c r="AP26" s="436"/>
      <c r="AQ26" s="67"/>
      <c r="AR26" s="43"/>
      <c r="AS26" s="548" t="s">
        <v>639</v>
      </c>
      <c r="AT26" s="549"/>
      <c r="AU26" s="549"/>
      <c r="AV26" s="549"/>
      <c r="AW26" s="550"/>
      <c r="AY26" s="147"/>
      <c r="AZ26" s="147"/>
      <c r="BA26" s="147"/>
      <c r="BB26" s="147"/>
    </row>
    <row r="27" spans="1:85" ht="18" customHeight="1">
      <c r="A27" s="36"/>
      <c r="B27" s="404"/>
      <c r="C27" s="404"/>
      <c r="D27" s="404"/>
      <c r="E27" s="404"/>
      <c r="F27" s="288"/>
      <c r="G27" s="288"/>
      <c r="H27" s="288"/>
      <c r="I27" s="288"/>
      <c r="J27" s="288"/>
      <c r="K27" s="288"/>
      <c r="L27" s="288"/>
      <c r="M27" s="288"/>
      <c r="N27" s="288"/>
      <c r="O27" s="288"/>
      <c r="P27" s="288"/>
      <c r="Q27" s="288"/>
      <c r="R27" s="288"/>
      <c r="S27" s="288"/>
      <c r="T27" s="288"/>
      <c r="U27" s="288"/>
      <c r="V27" s="288"/>
      <c r="W27" s="288"/>
      <c r="X27" s="288"/>
      <c r="Y27" s="288"/>
      <c r="Z27" s="288"/>
      <c r="AA27" s="288"/>
      <c r="AB27" s="288"/>
      <c r="AC27" s="288"/>
      <c r="AD27" s="288"/>
      <c r="AE27" s="288"/>
      <c r="AF27" s="288"/>
      <c r="AG27" s="288"/>
      <c r="AH27" s="288"/>
      <c r="AI27" s="289"/>
      <c r="AK27" s="436" t="s">
        <v>640</v>
      </c>
      <c r="AL27" s="436"/>
      <c r="AM27" s="436"/>
      <c r="AN27" s="436"/>
      <c r="AO27" s="436"/>
      <c r="AP27" s="436"/>
      <c r="AQ27" s="67"/>
      <c r="AR27" s="43"/>
      <c r="AS27" s="458" t="s">
        <v>641</v>
      </c>
      <c r="AT27" s="460"/>
      <c r="AU27" s="458" t="s">
        <v>642</v>
      </c>
      <c r="AV27" s="459"/>
      <c r="AW27" s="460"/>
      <c r="AY27" s="411" t="s">
        <v>643</v>
      </c>
      <c r="AZ27" s="411"/>
      <c r="BA27" s="411"/>
      <c r="BB27" s="411"/>
    </row>
    <row r="28" spans="1:85" ht="18" customHeight="1" thickBot="1">
      <c r="A28" s="36"/>
      <c r="B28" s="404"/>
      <c r="C28" s="404"/>
      <c r="D28" s="404"/>
      <c r="E28" s="404"/>
      <c r="F28" s="288"/>
      <c r="G28" s="288"/>
      <c r="H28" s="288"/>
      <c r="I28" s="288"/>
      <c r="J28" s="288"/>
      <c r="K28" s="288"/>
      <c r="L28" s="288"/>
      <c r="M28" s="288"/>
      <c r="N28" s="288"/>
      <c r="O28" s="288"/>
      <c r="P28" s="288"/>
      <c r="Q28" s="288"/>
      <c r="R28" s="288"/>
      <c r="S28" s="288"/>
      <c r="T28" s="288"/>
      <c r="U28" s="288"/>
      <c r="V28" s="288"/>
      <c r="W28" s="288"/>
      <c r="X28" s="288"/>
      <c r="Y28" s="288"/>
      <c r="Z28" s="288"/>
      <c r="AA28" s="288"/>
      <c r="AB28" s="288"/>
      <c r="AC28" s="288"/>
      <c r="AD28" s="288"/>
      <c r="AE28" s="288"/>
      <c r="AF28" s="288"/>
      <c r="AG28" s="288"/>
      <c r="AH28" s="288"/>
      <c r="AI28" s="289"/>
      <c r="AK28" s="436" t="s">
        <v>644</v>
      </c>
      <c r="AL28" s="436"/>
      <c r="AM28" s="436"/>
      <c r="AN28" s="436"/>
      <c r="AO28" s="436"/>
      <c r="AP28" s="436"/>
      <c r="AQ28" s="67"/>
      <c r="AR28" s="43"/>
      <c r="AS28" s="538" t="s">
        <v>645</v>
      </c>
      <c r="AT28" s="539"/>
      <c r="AU28" s="533" t="s">
        <v>646</v>
      </c>
      <c r="AV28" s="534"/>
      <c r="AW28" s="535"/>
      <c r="AY28" s="413" t="s">
        <v>647</v>
      </c>
      <c r="AZ28" s="413"/>
      <c r="BA28" s="412"/>
      <c r="BB28" s="412"/>
    </row>
    <row r="29" spans="1:85" ht="18" customHeight="1" thickBot="1">
      <c r="A29" s="36"/>
      <c r="B29" s="404"/>
      <c r="C29" s="404"/>
      <c r="D29" s="404"/>
      <c r="E29" s="404"/>
      <c r="F29" s="288"/>
      <c r="G29" s="288"/>
      <c r="H29" s="288"/>
      <c r="I29" s="288"/>
      <c r="J29" s="288"/>
      <c r="K29" s="288"/>
      <c r="L29" s="288"/>
      <c r="M29" s="288"/>
      <c r="N29" s="288"/>
      <c r="O29" s="288"/>
      <c r="P29" s="288"/>
      <c r="Q29" s="288"/>
      <c r="R29" s="288"/>
      <c r="S29" s="288"/>
      <c r="T29" s="288"/>
      <c r="U29" s="288"/>
      <c r="V29" s="288"/>
      <c r="W29" s="288"/>
      <c r="X29" s="288"/>
      <c r="Y29" s="288"/>
      <c r="Z29" s="288"/>
      <c r="AA29" s="288"/>
      <c r="AB29" s="288"/>
      <c r="AC29" s="288"/>
      <c r="AD29" s="288"/>
      <c r="AE29" s="288"/>
      <c r="AF29" s="288"/>
      <c r="AG29" s="288"/>
      <c r="AH29" s="288"/>
      <c r="AI29" s="289"/>
      <c r="AK29" s="524"/>
      <c r="AL29" s="524"/>
      <c r="AM29" s="524"/>
      <c r="AN29" s="524"/>
      <c r="AO29" s="524"/>
      <c r="AP29" s="524"/>
      <c r="AQ29" s="58"/>
      <c r="AR29" s="43"/>
      <c r="AS29" s="551">
        <v>1.2756944444444445</v>
      </c>
      <c r="AT29" s="552"/>
      <c r="AU29" s="434" t="s">
        <v>832</v>
      </c>
      <c r="AV29" s="434"/>
      <c r="AW29" s="553"/>
      <c r="AY29" s="413" t="s">
        <v>633</v>
      </c>
      <c r="AZ29" s="413"/>
      <c r="BA29" s="412"/>
      <c r="BB29" s="412"/>
    </row>
    <row r="30" spans="1:85" ht="18" customHeight="1">
      <c r="A30" s="36"/>
      <c r="B30" s="404"/>
      <c r="C30" s="404"/>
      <c r="D30" s="404"/>
      <c r="E30" s="404"/>
      <c r="F30" s="288"/>
      <c r="G30" s="288"/>
      <c r="H30" s="288"/>
      <c r="I30" s="288"/>
      <c r="J30" s="288"/>
      <c r="K30" s="288"/>
      <c r="L30" s="288"/>
      <c r="M30" s="288"/>
      <c r="N30" s="288"/>
      <c r="O30" s="288"/>
      <c r="P30" s="288"/>
      <c r="Q30" s="288"/>
      <c r="R30" s="288"/>
      <c r="S30" s="288"/>
      <c r="T30" s="288"/>
      <c r="U30" s="288"/>
      <c r="V30" s="288"/>
      <c r="W30" s="288"/>
      <c r="X30" s="288"/>
      <c r="Y30" s="288"/>
      <c r="Z30" s="288"/>
      <c r="AA30" s="288"/>
      <c r="AB30" s="288"/>
      <c r="AC30" s="288"/>
      <c r="AD30" s="288"/>
      <c r="AE30" s="288"/>
      <c r="AF30" s="288"/>
      <c r="AG30" s="288"/>
      <c r="AH30" s="288"/>
      <c r="AI30" s="289"/>
      <c r="AK30" s="449" t="s">
        <v>648</v>
      </c>
      <c r="AL30" s="450"/>
      <c r="AM30" s="450"/>
      <c r="AN30" s="450"/>
      <c r="AO30" s="450"/>
      <c r="AP30" s="450"/>
      <c r="AQ30" s="62"/>
      <c r="AR30" s="43"/>
      <c r="AS30" s="554">
        <v>1.2756944444444445</v>
      </c>
      <c r="AT30" s="532"/>
      <c r="AU30" s="439" t="s">
        <v>833</v>
      </c>
      <c r="AV30" s="439"/>
      <c r="AW30" s="555"/>
      <c r="AY30" s="413" t="s">
        <v>649</v>
      </c>
      <c r="AZ30" s="413"/>
      <c r="BA30" s="412"/>
      <c r="BB30" s="412"/>
    </row>
    <row r="31" spans="1:85" ht="18" customHeight="1" thickBot="1">
      <c r="A31" s="37"/>
      <c r="B31" s="466"/>
      <c r="C31" s="466"/>
      <c r="D31" s="466"/>
      <c r="E31" s="466"/>
      <c r="F31" s="467"/>
      <c r="G31" s="467"/>
      <c r="H31" s="467"/>
      <c r="I31" s="467"/>
      <c r="J31" s="467"/>
      <c r="K31" s="467"/>
      <c r="L31" s="467"/>
      <c r="M31" s="467"/>
      <c r="N31" s="467"/>
      <c r="O31" s="467"/>
      <c r="P31" s="467"/>
      <c r="Q31" s="467"/>
      <c r="R31" s="467"/>
      <c r="S31" s="467"/>
      <c r="T31" s="467"/>
      <c r="U31" s="467"/>
      <c r="V31" s="467"/>
      <c r="W31" s="467"/>
      <c r="X31" s="467"/>
      <c r="Y31" s="467"/>
      <c r="Z31" s="467"/>
      <c r="AA31" s="467"/>
      <c r="AB31" s="467"/>
      <c r="AC31" s="467"/>
      <c r="AD31" s="467"/>
      <c r="AE31" s="467"/>
      <c r="AF31" s="467"/>
      <c r="AG31" s="467"/>
      <c r="AH31" s="467"/>
      <c r="AI31" s="468"/>
      <c r="AK31" s="451" t="s">
        <v>650</v>
      </c>
      <c r="AL31" s="416"/>
      <c r="AM31" s="416"/>
      <c r="AN31" s="416"/>
      <c r="AO31" s="416"/>
      <c r="AP31" s="416"/>
      <c r="AQ31" s="64"/>
      <c r="AR31" s="48"/>
      <c r="AS31" s="556">
        <v>1.2743055555555556</v>
      </c>
      <c r="AT31" s="557"/>
      <c r="AU31" s="424" t="s">
        <v>834</v>
      </c>
      <c r="AV31" s="424"/>
      <c r="AW31" s="491"/>
      <c r="AY31" s="413" t="s">
        <v>637</v>
      </c>
      <c r="AZ31" s="413"/>
      <c r="BA31" s="412"/>
      <c r="BB31" s="412"/>
    </row>
    <row r="32" spans="1:85" ht="18" customHeight="1" thickBot="1">
      <c r="A32" s="406" t="s">
        <v>651</v>
      </c>
      <c r="B32" s="407"/>
      <c r="C32" s="407"/>
      <c r="D32" s="407"/>
      <c r="E32" s="407"/>
      <c r="F32" s="407"/>
      <c r="G32" s="407"/>
      <c r="H32" s="407"/>
      <c r="I32" s="407"/>
      <c r="J32" s="407"/>
      <c r="K32" s="407"/>
      <c r="L32" s="407"/>
      <c r="M32" s="407"/>
      <c r="N32" s="407"/>
      <c r="O32" s="407"/>
      <c r="P32" s="407"/>
      <c r="Q32" s="407"/>
      <c r="R32" s="407"/>
      <c r="S32" s="407"/>
      <c r="T32" s="407"/>
      <c r="U32" s="407"/>
      <c r="V32" s="407"/>
      <c r="W32" s="407"/>
      <c r="X32" s="407"/>
      <c r="Y32" s="407"/>
      <c r="Z32" s="407"/>
      <c r="AA32" s="407"/>
      <c r="AB32" s="407"/>
      <c r="AC32" s="407"/>
      <c r="AD32" s="407"/>
      <c r="AE32" s="407"/>
      <c r="AF32" s="407"/>
      <c r="AG32" s="407"/>
      <c r="AH32" s="407"/>
      <c r="AI32" s="408"/>
      <c r="AK32" s="531"/>
      <c r="AL32" s="531"/>
      <c r="AM32" s="531"/>
      <c r="AN32" s="531"/>
      <c r="AO32" s="531"/>
      <c r="AP32" s="531"/>
      <c r="AQ32" s="61"/>
      <c r="AR32" s="48"/>
      <c r="AS32" s="558"/>
      <c r="AT32" s="558"/>
      <c r="AU32" s="559"/>
      <c r="AV32" s="559"/>
      <c r="AW32" s="559"/>
      <c r="AY32" s="413" t="s">
        <v>652</v>
      </c>
      <c r="AZ32" s="413"/>
      <c r="BA32" s="412"/>
      <c r="BB32" s="412"/>
    </row>
    <row r="33" spans="1:80" ht="18" customHeight="1">
      <c r="A33" s="39"/>
      <c r="B33" s="546" t="s">
        <v>653</v>
      </c>
      <c r="C33" s="546"/>
      <c r="D33" s="546"/>
      <c r="E33" s="546"/>
      <c r="F33" s="417" t="str" cm="1">
        <f t="array" ref="F33">_xlfn.TEXTJOIN("/",TRUE,IF(AS29:AS31&lt;&gt;"",TEXT(AS29:AS31,"h:mm")&amp;" "&amp;AU29:AU31,""))</f>
        <v>6:37 45階屋外ストレージ2/6:37 45階ルーフトップテラス2/6:35 45階風除室2</v>
      </c>
      <c r="G33" s="418"/>
      <c r="H33" s="418"/>
      <c r="I33" s="418"/>
      <c r="J33" s="418"/>
      <c r="K33" s="418"/>
      <c r="L33" s="418"/>
      <c r="M33" s="418"/>
      <c r="N33" s="418"/>
      <c r="O33" s="418"/>
      <c r="P33" s="418"/>
      <c r="Q33" s="418"/>
      <c r="R33" s="418"/>
      <c r="S33" s="418"/>
      <c r="T33" s="418"/>
      <c r="U33" s="418"/>
      <c r="V33" s="418"/>
      <c r="W33" s="418"/>
      <c r="X33" s="418"/>
      <c r="Y33" s="418"/>
      <c r="Z33" s="418"/>
      <c r="AA33" s="418"/>
      <c r="AB33" s="418"/>
      <c r="AC33" s="418"/>
      <c r="AD33" s="418"/>
      <c r="AE33" s="418"/>
      <c r="AF33" s="418"/>
      <c r="AG33" s="418"/>
      <c r="AH33" s="418"/>
      <c r="AI33" s="419"/>
      <c r="AK33" s="449" t="s">
        <v>654</v>
      </c>
      <c r="AL33" s="450"/>
      <c r="AM33" s="450"/>
      <c r="AN33" s="450"/>
      <c r="AO33" s="450"/>
      <c r="AP33" s="450"/>
      <c r="AQ33" s="60"/>
      <c r="AR33" s="48"/>
      <c r="AS33" s="532"/>
      <c r="AT33" s="532"/>
      <c r="AU33" s="439"/>
      <c r="AV33" s="439"/>
      <c r="AW33" s="439"/>
      <c r="AY33" s="413" t="s">
        <v>655</v>
      </c>
      <c r="AZ33" s="413"/>
      <c r="BA33" s="412"/>
      <c r="BB33" s="412"/>
    </row>
    <row r="34" spans="1:80" ht="18" customHeight="1" thickBot="1">
      <c r="A34" s="39"/>
      <c r="B34" s="546" t="s">
        <v>656</v>
      </c>
      <c r="C34" s="546"/>
      <c r="D34" s="546"/>
      <c r="E34" s="546"/>
      <c r="F34" s="420" t="s">
        <v>79</v>
      </c>
      <c r="G34" s="420"/>
      <c r="H34" s="420"/>
      <c r="I34" s="420"/>
      <c r="J34" s="420"/>
      <c r="K34" s="420"/>
      <c r="L34" s="420"/>
      <c r="M34" s="420"/>
      <c r="N34" s="420"/>
      <c r="O34" s="420"/>
      <c r="P34" s="420"/>
      <c r="Q34" s="420"/>
      <c r="R34" s="420"/>
      <c r="S34" s="420"/>
      <c r="T34" s="420"/>
      <c r="U34" s="420"/>
      <c r="V34" s="420"/>
      <c r="W34" s="420"/>
      <c r="X34" s="420"/>
      <c r="Y34" s="420"/>
      <c r="Z34" s="420"/>
      <c r="AA34" s="420"/>
      <c r="AB34" s="420"/>
      <c r="AC34" s="421"/>
      <c r="AD34" s="421"/>
      <c r="AE34" s="421"/>
      <c r="AF34" s="421"/>
      <c r="AG34" s="421"/>
      <c r="AH34" s="421"/>
      <c r="AI34" s="422"/>
      <c r="AK34" s="451" t="s">
        <v>657</v>
      </c>
      <c r="AL34" s="416"/>
      <c r="AM34" s="416"/>
      <c r="AN34" s="416"/>
      <c r="AO34" s="416"/>
      <c r="AP34" s="416"/>
      <c r="AQ34" s="56"/>
      <c r="AR34" s="48"/>
      <c r="AS34" s="532"/>
      <c r="AT34" s="532"/>
      <c r="AU34" s="439"/>
      <c r="AV34" s="439"/>
      <c r="AW34" s="439"/>
      <c r="AY34" s="413" t="s">
        <v>658</v>
      </c>
      <c r="AZ34" s="413"/>
      <c r="BA34" s="412"/>
      <c r="BB34" s="412"/>
    </row>
    <row r="35" spans="1:80" ht="18" customHeight="1" thickBot="1">
      <c r="A35" s="57"/>
      <c r="B35" s="547" t="s">
        <v>659</v>
      </c>
      <c r="C35" s="547"/>
      <c r="D35" s="547"/>
      <c r="E35" s="547"/>
      <c r="F35" s="389" t="s">
        <v>660</v>
      </c>
      <c r="G35" s="389"/>
      <c r="H35" s="389"/>
      <c r="I35" s="389"/>
      <c r="J35" s="389"/>
      <c r="K35" s="389"/>
      <c r="L35" s="389"/>
      <c r="M35" s="389"/>
      <c r="N35" s="389"/>
      <c r="O35" s="389"/>
      <c r="P35" s="389"/>
      <c r="Q35" s="389"/>
      <c r="R35" s="389"/>
      <c r="S35" s="389"/>
      <c r="T35" s="389"/>
      <c r="U35" s="389"/>
      <c r="V35" s="389"/>
      <c r="W35" s="390" t="s">
        <v>661</v>
      </c>
      <c r="X35" s="391"/>
      <c r="Y35" s="391"/>
      <c r="Z35" s="391"/>
      <c r="AA35" s="391"/>
      <c r="AB35" s="391"/>
      <c r="AC35" s="392" t="s">
        <v>662</v>
      </c>
      <c r="AD35" s="393"/>
      <c r="AE35" s="393"/>
      <c r="AF35" s="393"/>
      <c r="AG35" s="393"/>
      <c r="AH35" s="393"/>
      <c r="AI35" s="394"/>
      <c r="AK35" s="531"/>
      <c r="AL35" s="531"/>
      <c r="AM35" s="531"/>
      <c r="AN35" s="531"/>
      <c r="AO35" s="531"/>
      <c r="AP35" s="531"/>
      <c r="AQ35" s="61"/>
      <c r="AR35" s="48"/>
      <c r="AS35" s="532"/>
      <c r="AT35" s="532"/>
      <c r="AU35" s="439"/>
      <c r="AV35" s="439"/>
      <c r="AW35" s="439"/>
      <c r="AY35" s="413" t="s">
        <v>663</v>
      </c>
      <c r="AZ35" s="413"/>
      <c r="BA35" s="412"/>
      <c r="BB35" s="412"/>
    </row>
    <row r="36" spans="1:80" ht="18" customHeight="1" thickBot="1">
      <c r="A36" s="492" t="s">
        <v>664</v>
      </c>
      <c r="B36" s="493"/>
      <c r="C36" s="493"/>
      <c r="D36" s="493"/>
      <c r="E36" s="493"/>
      <c r="F36" s="498">
        <v>4.1666666666666664E-2</v>
      </c>
      <c r="G36" s="439"/>
      <c r="H36" s="439"/>
      <c r="I36" s="439"/>
      <c r="J36" s="439"/>
      <c r="K36" s="439"/>
      <c r="L36" s="499" t="s">
        <v>665</v>
      </c>
      <c r="M36" s="489"/>
      <c r="N36" s="489"/>
      <c r="O36" s="500"/>
      <c r="P36" s="410" t="s">
        <v>43</v>
      </c>
      <c r="Q36" s="410"/>
      <c r="R36" s="410"/>
      <c r="S36" s="55" t="s">
        <v>666</v>
      </c>
      <c r="T36" s="410" t="s">
        <v>62</v>
      </c>
      <c r="U36" s="410"/>
      <c r="V36" s="530"/>
      <c r="W36" s="489" t="s">
        <v>667</v>
      </c>
      <c r="X36" s="489"/>
      <c r="Y36" s="489"/>
      <c r="Z36" s="489"/>
      <c r="AA36" s="489"/>
      <c r="AB36" s="489"/>
      <c r="AC36" s="490" t="s">
        <v>722</v>
      </c>
      <c r="AD36" s="487"/>
      <c r="AE36" s="487"/>
      <c r="AF36" s="487"/>
      <c r="AG36" s="487"/>
      <c r="AH36" s="487"/>
      <c r="AI36" s="488"/>
      <c r="AK36" s="525" t="s">
        <v>668</v>
      </c>
      <c r="AL36" s="526"/>
      <c r="AM36" s="526"/>
      <c r="AN36" s="526"/>
      <c r="AO36" s="526"/>
      <c r="AP36" s="526"/>
      <c r="AQ36" s="117"/>
      <c r="AR36" s="48"/>
      <c r="AS36" s="532"/>
      <c r="AT36" s="532"/>
      <c r="AU36" s="439"/>
      <c r="AV36" s="439"/>
      <c r="AW36" s="439"/>
      <c r="BH36" s="50"/>
      <c r="BI36" s="51"/>
    </row>
    <row r="37" spans="1:80" ht="18" customHeight="1" thickBot="1">
      <c r="A37" s="494" t="s">
        <v>669</v>
      </c>
      <c r="B37" s="495"/>
      <c r="C37" s="495"/>
      <c r="D37" s="495"/>
      <c r="E37" s="495"/>
      <c r="F37" s="487"/>
      <c r="G37" s="487"/>
      <c r="H37" s="487"/>
      <c r="I37" s="487"/>
      <c r="J37" s="487"/>
      <c r="K37" s="487"/>
      <c r="L37" s="487"/>
      <c r="M37" s="487"/>
      <c r="N37" s="487"/>
      <c r="O37" s="487"/>
      <c r="P37" s="487"/>
      <c r="Q37" s="487"/>
      <c r="R37" s="487"/>
      <c r="S37" s="487"/>
      <c r="T37" s="487"/>
      <c r="U37" s="487"/>
      <c r="V37" s="487"/>
      <c r="W37" s="487"/>
      <c r="X37" s="487"/>
      <c r="Y37" s="487"/>
      <c r="Z37" s="487"/>
      <c r="AA37" s="487"/>
      <c r="AB37" s="487"/>
      <c r="AC37" s="487"/>
      <c r="AD37" s="487"/>
      <c r="AE37" s="487"/>
      <c r="AF37" s="487"/>
      <c r="AG37" s="487"/>
      <c r="AH37" s="487"/>
      <c r="AI37" s="488"/>
      <c r="AK37" s="544" t="s">
        <v>240</v>
      </c>
      <c r="AL37" s="545"/>
      <c r="AM37" s="545"/>
      <c r="AN37" s="545"/>
      <c r="AO37" s="545"/>
      <c r="AP37" s="545"/>
      <c r="AQ37" s="122"/>
      <c r="AR37" s="48"/>
      <c r="AS37" s="532"/>
      <c r="AT37" s="532"/>
      <c r="AU37" s="439"/>
      <c r="AV37" s="439"/>
      <c r="AW37" s="439"/>
      <c r="BH37" s="50"/>
      <c r="BI37" s="51"/>
    </row>
    <row r="38" spans="1:80" ht="18" customHeight="1" thickBot="1">
      <c r="A38" s="496" t="s">
        <v>670</v>
      </c>
      <c r="B38" s="497"/>
      <c r="C38" s="497"/>
      <c r="D38" s="497"/>
      <c r="E38" s="497"/>
      <c r="F38" s="416" t="s">
        <v>667</v>
      </c>
      <c r="G38" s="416"/>
      <c r="H38" s="416"/>
      <c r="I38" s="416"/>
      <c r="J38" s="416"/>
      <c r="K38" s="416"/>
      <c r="L38" s="424" t="s">
        <v>722</v>
      </c>
      <c r="M38" s="424"/>
      <c r="N38" s="424"/>
      <c r="O38" s="424"/>
      <c r="P38" s="416" t="s">
        <v>671</v>
      </c>
      <c r="Q38" s="416"/>
      <c r="R38" s="416"/>
      <c r="S38" s="416"/>
      <c r="T38" s="416"/>
      <c r="U38" s="416"/>
      <c r="V38" s="416"/>
      <c r="W38" s="416" t="s">
        <v>667</v>
      </c>
      <c r="X38" s="416"/>
      <c r="Y38" s="416"/>
      <c r="Z38" s="416"/>
      <c r="AA38" s="416"/>
      <c r="AB38" s="416"/>
      <c r="AC38" s="424" t="s">
        <v>722</v>
      </c>
      <c r="AD38" s="424"/>
      <c r="AE38" s="424"/>
      <c r="AF38" s="424"/>
      <c r="AG38" s="424"/>
      <c r="AH38" s="424"/>
      <c r="AI38" s="491"/>
      <c r="AK38" s="543"/>
      <c r="AL38" s="543"/>
      <c r="AM38" s="543"/>
      <c r="AN38" s="543"/>
      <c r="AO38" s="543"/>
      <c r="AP38" s="543"/>
      <c r="AQ38" s="59"/>
      <c r="AR38" s="48"/>
      <c r="BC38" s="50"/>
      <c r="BD38" s="51"/>
    </row>
    <row r="39" spans="1:80" ht="18" customHeight="1">
      <c r="A39" s="452" t="s">
        <v>672</v>
      </c>
      <c r="B39" s="453"/>
      <c r="C39" s="453"/>
      <c r="D39" s="453"/>
      <c r="E39" s="453"/>
      <c r="F39" s="453"/>
      <c r="G39" s="453"/>
      <c r="H39" s="453"/>
      <c r="I39" s="453"/>
      <c r="J39" s="453"/>
      <c r="K39" s="453"/>
      <c r="L39" s="453"/>
      <c r="M39" s="453"/>
      <c r="N39" s="453"/>
      <c r="O39" s="453"/>
      <c r="P39" s="453"/>
      <c r="Q39" s="453"/>
      <c r="R39" s="453"/>
      <c r="S39" s="453"/>
      <c r="T39" s="453"/>
      <c r="U39" s="453"/>
      <c r="V39" s="453"/>
      <c r="W39" s="453"/>
      <c r="X39" s="453"/>
      <c r="Y39" s="453"/>
      <c r="Z39" s="453"/>
      <c r="AA39" s="453"/>
      <c r="AB39" s="453"/>
      <c r="AC39" s="453"/>
      <c r="AD39" s="453"/>
      <c r="AE39" s="453"/>
      <c r="AF39" s="453"/>
      <c r="AG39" s="453"/>
      <c r="AH39" s="453"/>
      <c r="AI39" s="454"/>
      <c r="AK39" s="444" t="s">
        <v>673</v>
      </c>
      <c r="AL39" s="444"/>
      <c r="AM39" s="444"/>
      <c r="AN39" s="444"/>
      <c r="AO39" s="444"/>
      <c r="AP39" s="444"/>
      <c r="AQ39" s="42"/>
      <c r="AR39" s="48"/>
      <c r="AS39" s="423" t="s">
        <v>526</v>
      </c>
      <c r="AT39" s="423"/>
      <c r="AU39" s="148">
        <v>17</v>
      </c>
      <c r="AV39" s="423" t="s">
        <v>528</v>
      </c>
      <c r="AW39" s="423"/>
      <c r="BC39" s="50"/>
      <c r="BD39" s="51"/>
    </row>
    <row r="40" spans="1:80" ht="18" customHeight="1">
      <c r="A40" s="464" t="s">
        <v>674</v>
      </c>
      <c r="B40" s="459"/>
      <c r="C40" s="459"/>
      <c r="D40" s="459"/>
      <c r="E40" s="470" t="s">
        <v>675</v>
      </c>
      <c r="F40" s="471"/>
      <c r="G40" s="471"/>
      <c r="H40" s="471"/>
      <c r="I40" s="471"/>
      <c r="J40" s="471"/>
      <c r="K40" s="472"/>
      <c r="L40" s="458" t="s">
        <v>676</v>
      </c>
      <c r="M40" s="459"/>
      <c r="N40" s="459"/>
      <c r="O40" s="459"/>
      <c r="P40" s="459"/>
      <c r="Q40" s="459"/>
      <c r="R40" s="460"/>
      <c r="S40" s="458" t="s">
        <v>677</v>
      </c>
      <c r="T40" s="459"/>
      <c r="U40" s="459"/>
      <c r="V40" s="459"/>
      <c r="W40" s="470" t="s">
        <v>675</v>
      </c>
      <c r="X40" s="471"/>
      <c r="Y40" s="471"/>
      <c r="Z40" s="471"/>
      <c r="AA40" s="471"/>
      <c r="AB40" s="471"/>
      <c r="AC40" s="472"/>
      <c r="AD40" s="458" t="s">
        <v>678</v>
      </c>
      <c r="AE40" s="459"/>
      <c r="AF40" s="459"/>
      <c r="AG40" s="459"/>
      <c r="AH40" s="459"/>
      <c r="AI40" s="463"/>
      <c r="AK40" s="444" t="s">
        <v>679</v>
      </c>
      <c r="AL40" s="444"/>
      <c r="AM40" s="444"/>
      <c r="AN40" s="444"/>
      <c r="AO40" s="444"/>
      <c r="AP40" s="444"/>
      <c r="AQ40" s="42"/>
      <c r="AR40" s="48"/>
      <c r="AS40" s="423" t="s">
        <v>527</v>
      </c>
      <c r="AT40" s="423"/>
      <c r="AU40" s="148">
        <v>17</v>
      </c>
      <c r="AV40" s="560">
        <v>0.71430000000000005</v>
      </c>
      <c r="AW40" s="560"/>
      <c r="BC40" s="50"/>
      <c r="BD40" s="51"/>
    </row>
    <row r="41" spans="1:80" ht="18" customHeight="1">
      <c r="A41" s="464" t="s">
        <v>16</v>
      </c>
      <c r="B41" s="459"/>
      <c r="C41" s="459"/>
      <c r="D41" s="459"/>
      <c r="E41" s="469">
        <f>AX10</f>
        <v>0.33333333333333331</v>
      </c>
      <c r="F41" s="456"/>
      <c r="G41" s="456"/>
      <c r="H41" s="144" t="s">
        <v>680</v>
      </c>
      <c r="I41" s="456">
        <f>AY10</f>
        <v>0.83333333333333337</v>
      </c>
      <c r="J41" s="456"/>
      <c r="K41" s="457"/>
      <c r="L41" s="458" t="str">
        <f>AU10</f>
        <v>三角龍彦</v>
      </c>
      <c r="M41" s="459"/>
      <c r="N41" s="459"/>
      <c r="O41" s="459"/>
      <c r="P41" s="459"/>
      <c r="Q41" s="459"/>
      <c r="R41" s="460"/>
      <c r="S41" s="409" t="s">
        <v>31</v>
      </c>
      <c r="T41" s="410"/>
      <c r="U41" s="410"/>
      <c r="V41" s="410"/>
      <c r="W41" s="414">
        <v>0.39583333333333331</v>
      </c>
      <c r="X41" s="415"/>
      <c r="Y41" s="415"/>
      <c r="Z41" s="40" t="s">
        <v>680</v>
      </c>
      <c r="AA41" s="415">
        <v>0.77083333333333337</v>
      </c>
      <c r="AB41" s="415"/>
      <c r="AC41" s="461"/>
      <c r="AD41" s="409" t="str">
        <f>AU14</f>
        <v>木村重明</v>
      </c>
      <c r="AE41" s="410"/>
      <c r="AF41" s="410"/>
      <c r="AG41" s="410"/>
      <c r="AH41" s="410"/>
      <c r="AI41" s="462"/>
      <c r="AK41" s="444" t="s">
        <v>681</v>
      </c>
      <c r="AL41" s="444"/>
      <c r="AM41" s="444"/>
      <c r="AN41" s="444"/>
      <c r="AO41" s="444"/>
      <c r="AP41" s="444"/>
      <c r="AQ41" s="42"/>
      <c r="AR41" s="48"/>
      <c r="BC41" s="50"/>
      <c r="BD41" s="51"/>
    </row>
    <row r="42" spans="1:80" ht="18" customHeight="1">
      <c r="A42" s="464" t="s">
        <v>24</v>
      </c>
      <c r="B42" s="459"/>
      <c r="C42" s="459"/>
      <c r="D42" s="459"/>
      <c r="E42" s="469">
        <f>AX13</f>
        <v>0.33333333333333331</v>
      </c>
      <c r="F42" s="456"/>
      <c r="G42" s="456"/>
      <c r="H42" s="144" t="s">
        <v>680</v>
      </c>
      <c r="I42" s="456">
        <f>AY12</f>
        <v>0.83333333333333337</v>
      </c>
      <c r="J42" s="456"/>
      <c r="K42" s="457"/>
      <c r="L42" s="458" t="str">
        <f>AU13</f>
        <v>松葉眞</v>
      </c>
      <c r="M42" s="459"/>
      <c r="N42" s="459"/>
      <c r="O42" s="459"/>
      <c r="P42" s="459"/>
      <c r="Q42" s="459"/>
      <c r="R42" s="460"/>
      <c r="S42" s="409"/>
      <c r="T42" s="410"/>
      <c r="U42" s="410"/>
      <c r="V42" s="410"/>
      <c r="W42" s="414"/>
      <c r="X42" s="415"/>
      <c r="Y42" s="415"/>
      <c r="Z42" s="136"/>
      <c r="AA42" s="415"/>
      <c r="AB42" s="415"/>
      <c r="AC42" s="461"/>
      <c r="AD42" s="409">
        <f>AU15</f>
        <v>0</v>
      </c>
      <c r="AE42" s="410"/>
      <c r="AF42" s="410"/>
      <c r="AG42" s="410"/>
      <c r="AH42" s="410"/>
      <c r="AI42" s="462"/>
      <c r="AK42" s="445" t="s">
        <v>682</v>
      </c>
      <c r="AL42" s="445"/>
      <c r="AM42" s="445"/>
      <c r="AN42" s="445"/>
      <c r="AO42" s="445"/>
      <c r="AP42" s="445"/>
      <c r="AQ42" s="42"/>
      <c r="AR42" s="48"/>
      <c r="AS42" s="561" t="s">
        <v>683</v>
      </c>
      <c r="AT42" s="561"/>
      <c r="AU42" s="561"/>
      <c r="AV42" s="561"/>
      <c r="AW42" s="561"/>
      <c r="BC42" s="50"/>
      <c r="BD42" s="51"/>
    </row>
    <row r="43" spans="1:80" ht="18" customHeight="1">
      <c r="A43" s="464" t="s">
        <v>38</v>
      </c>
      <c r="B43" s="459"/>
      <c r="C43" s="459"/>
      <c r="D43" s="459"/>
      <c r="E43" s="469">
        <f>AX16</f>
        <v>0.83333333333333337</v>
      </c>
      <c r="F43" s="456"/>
      <c r="G43" s="456"/>
      <c r="H43" s="144" t="s">
        <v>680</v>
      </c>
      <c r="I43" s="456" t="str">
        <f>AY16</f>
        <v>翌8:00</v>
      </c>
      <c r="J43" s="456"/>
      <c r="K43" s="457"/>
      <c r="L43" s="458" t="str">
        <f>AU16</f>
        <v>山本喜久</v>
      </c>
      <c r="M43" s="459"/>
      <c r="N43" s="459"/>
      <c r="O43" s="459"/>
      <c r="P43" s="459"/>
      <c r="Q43" s="459"/>
      <c r="R43" s="460"/>
      <c r="S43" s="409"/>
      <c r="T43" s="410"/>
      <c r="U43" s="410"/>
      <c r="V43" s="410"/>
      <c r="W43" s="414"/>
      <c r="X43" s="415"/>
      <c r="Y43" s="415"/>
      <c r="Z43" s="136"/>
      <c r="AA43" s="415"/>
      <c r="AB43" s="415"/>
      <c r="AC43" s="461"/>
      <c r="AD43" s="486">
        <f>AU18</f>
        <v>0</v>
      </c>
      <c r="AE43" s="410"/>
      <c r="AF43" s="410"/>
      <c r="AG43" s="410"/>
      <c r="AH43" s="410"/>
      <c r="AI43" s="462"/>
      <c r="AK43" s="444" t="s">
        <v>684</v>
      </c>
      <c r="AL43" s="444"/>
      <c r="AM43" s="444"/>
      <c r="AN43" s="444"/>
      <c r="AO43" s="444"/>
      <c r="AP43" s="444"/>
      <c r="AQ43" s="42"/>
      <c r="AR43" s="43"/>
      <c r="AW43"/>
      <c r="AX43"/>
      <c r="AY43"/>
      <c r="AZ43"/>
      <c r="BA43"/>
      <c r="BB43"/>
      <c r="BC43" s="50"/>
      <c r="BD43" s="51"/>
      <c r="BE43"/>
      <c r="BF43"/>
      <c r="BG43"/>
      <c r="BH43"/>
      <c r="BI43"/>
      <c r="BJ43"/>
      <c r="BK43"/>
      <c r="BL43"/>
      <c r="BM43"/>
      <c r="BN43"/>
      <c r="BO43"/>
      <c r="BP43"/>
      <c r="BQ43"/>
      <c r="BR43"/>
      <c r="BS43"/>
      <c r="BT43"/>
      <c r="BU43"/>
      <c r="BV43"/>
      <c r="BW43"/>
      <c r="BX43"/>
      <c r="BY43"/>
      <c r="BZ43"/>
      <c r="CA43"/>
      <c r="CB43"/>
    </row>
    <row r="44" spans="1:80" ht="18" customHeight="1" thickBot="1">
      <c r="A44" s="473" t="s">
        <v>45</v>
      </c>
      <c r="B44" s="474"/>
      <c r="C44" s="474"/>
      <c r="D44" s="474"/>
      <c r="E44" s="475">
        <f>AX17</f>
        <v>0.83333333333333337</v>
      </c>
      <c r="F44" s="476"/>
      <c r="G44" s="476"/>
      <c r="H44" s="145" t="s">
        <v>680</v>
      </c>
      <c r="I44" s="476" t="str">
        <f>AY17</f>
        <v>翌8:00</v>
      </c>
      <c r="J44" s="476"/>
      <c r="K44" s="477"/>
      <c r="L44" s="478" t="str">
        <f>AU17</f>
        <v>二野宮慧太</v>
      </c>
      <c r="M44" s="478"/>
      <c r="N44" s="478"/>
      <c r="O44" s="478"/>
      <c r="P44" s="478"/>
      <c r="Q44" s="478"/>
      <c r="R44" s="478"/>
      <c r="S44" s="479"/>
      <c r="T44" s="480"/>
      <c r="U44" s="480"/>
      <c r="V44" s="480"/>
      <c r="W44" s="481"/>
      <c r="X44" s="482"/>
      <c r="Y44" s="482"/>
      <c r="Z44" s="137"/>
      <c r="AA44" s="482"/>
      <c r="AB44" s="482"/>
      <c r="AC44" s="483"/>
      <c r="AD44" s="484">
        <f>AU19</f>
        <v>0</v>
      </c>
      <c r="AE44" s="480"/>
      <c r="AF44" s="480"/>
      <c r="AG44" s="480"/>
      <c r="AH44" s="480"/>
      <c r="AI44" s="485"/>
      <c r="AK44" s="446" t="s">
        <v>685</v>
      </c>
      <c r="AL44" s="446"/>
      <c r="AM44" s="446"/>
      <c r="AN44" s="446"/>
      <c r="AO44" s="446"/>
      <c r="AP44" s="446"/>
      <c r="AQ44" s="42"/>
      <c r="AR44" s="43"/>
      <c r="BC44" s="50"/>
      <c r="BD44" s="51"/>
    </row>
    <row r="45" spans="1:80" ht="18" customHeight="1" thickBot="1">
      <c r="A45" s="27"/>
      <c r="B45" s="27"/>
      <c r="C45" s="27"/>
      <c r="D45" s="27"/>
      <c r="E45" s="27"/>
      <c r="F45" s="27"/>
      <c r="G45" s="27"/>
      <c r="H45" s="27"/>
      <c r="I45" s="27"/>
      <c r="R45" s="307">
        <f>A7</f>
        <v>46186</v>
      </c>
      <c r="S45" s="308"/>
      <c r="T45" s="308"/>
      <c r="U45" s="308"/>
      <c r="V45" s="23" t="s">
        <v>169</v>
      </c>
      <c r="W45" s="309">
        <f>G7</f>
        <v>46186</v>
      </c>
      <c r="X45" s="308"/>
      <c r="Y45" s="23" t="s">
        <v>170</v>
      </c>
      <c r="Z45" s="310">
        <f>K7</f>
        <v>46186</v>
      </c>
      <c r="AA45" s="308"/>
      <c r="AB45" s="23" t="s">
        <v>3</v>
      </c>
      <c r="AC45" s="455">
        <f>O7</f>
        <v>46186</v>
      </c>
      <c r="AD45" s="308"/>
      <c r="AE45" s="308" t="s">
        <v>292</v>
      </c>
      <c r="AF45" s="308"/>
      <c r="AK45" s="425" t="s">
        <v>686</v>
      </c>
      <c r="AL45" s="425"/>
      <c r="AM45" s="425"/>
      <c r="AN45" s="425"/>
      <c r="AO45" s="425"/>
      <c r="AP45" s="425"/>
      <c r="AQ45" s="42"/>
      <c r="AR45" s="43"/>
      <c r="BC45" s="50"/>
      <c r="BD45" s="51"/>
    </row>
    <row r="46" spans="1:80" customFormat="1" ht="18" customHeight="1">
      <c r="A46" s="452" t="s">
        <v>598</v>
      </c>
      <c r="B46" s="453"/>
      <c r="C46" s="453"/>
      <c r="D46" s="453"/>
      <c r="E46" s="453"/>
      <c r="F46" s="453"/>
      <c r="G46" s="453"/>
      <c r="H46" s="453"/>
      <c r="I46" s="453"/>
      <c r="J46" s="453"/>
      <c r="K46" s="453"/>
      <c r="L46" s="453"/>
      <c r="M46" s="453"/>
      <c r="N46" s="453"/>
      <c r="O46" s="453"/>
      <c r="P46" s="453"/>
      <c r="Q46" s="453"/>
      <c r="R46" s="453"/>
      <c r="S46" s="453"/>
      <c r="T46" s="453"/>
      <c r="U46" s="453"/>
      <c r="V46" s="453"/>
      <c r="W46" s="453"/>
      <c r="X46" s="453"/>
      <c r="Y46" s="453"/>
      <c r="Z46" s="453"/>
      <c r="AA46" s="453"/>
      <c r="AB46" s="453"/>
      <c r="AC46" s="453"/>
      <c r="AD46" s="453"/>
      <c r="AE46" s="453"/>
      <c r="AF46" s="453"/>
      <c r="AG46" s="453"/>
      <c r="AH46" s="453"/>
      <c r="AI46" s="454"/>
      <c r="AK46" s="425" t="s">
        <v>687</v>
      </c>
      <c r="AL46" s="425"/>
      <c r="AM46" s="425"/>
      <c r="AN46" s="425"/>
      <c r="AO46" s="425"/>
      <c r="AP46" s="425"/>
      <c r="AQ46" s="42"/>
      <c r="AR46" s="43"/>
      <c r="AW46" s="23"/>
      <c r="AX46" s="23"/>
      <c r="AY46" s="23"/>
      <c r="AZ46" s="23"/>
      <c r="BA46" s="23"/>
      <c r="BB46" s="23"/>
      <c r="BC46" s="50"/>
      <c r="BD46" s="51"/>
      <c r="BE46" s="23"/>
      <c r="BF46" s="23"/>
      <c r="BG46" s="23"/>
      <c r="BH46" s="23"/>
      <c r="BI46" s="23"/>
      <c r="BJ46" s="23"/>
      <c r="BK46" s="23"/>
      <c r="BL46" s="23"/>
      <c r="BM46" s="23"/>
      <c r="BN46" s="23"/>
      <c r="BO46" s="23"/>
      <c r="BP46" s="23"/>
      <c r="BQ46" s="23"/>
      <c r="BR46" s="23"/>
      <c r="BS46" s="23"/>
      <c r="BT46" s="23"/>
      <c r="BU46" s="23"/>
      <c r="BV46" s="23"/>
      <c r="BW46" s="23"/>
      <c r="BX46" s="23"/>
      <c r="BY46" s="23"/>
      <c r="BZ46" s="23"/>
      <c r="CA46" s="23"/>
      <c r="CB46" s="23"/>
    </row>
    <row r="47" spans="1:80" ht="18" customHeight="1">
      <c r="A47" s="36"/>
      <c r="B47" s="404"/>
      <c r="C47" s="404"/>
      <c r="D47" s="404"/>
      <c r="E47" s="404"/>
      <c r="F47" s="288"/>
      <c r="G47" s="288"/>
      <c r="H47" s="288"/>
      <c r="I47" s="288"/>
      <c r="J47" s="288"/>
      <c r="K47" s="288"/>
      <c r="L47" s="288"/>
      <c r="M47" s="288"/>
      <c r="N47" s="288"/>
      <c r="O47" s="288"/>
      <c r="P47" s="288"/>
      <c r="Q47" s="288"/>
      <c r="R47" s="288"/>
      <c r="S47" s="288"/>
      <c r="T47" s="288"/>
      <c r="U47" s="288"/>
      <c r="V47" s="288"/>
      <c r="W47" s="288"/>
      <c r="X47" s="288"/>
      <c r="Y47" s="288"/>
      <c r="Z47" s="288"/>
      <c r="AA47" s="288"/>
      <c r="AB47" s="288"/>
      <c r="AC47" s="288"/>
      <c r="AD47" s="288"/>
      <c r="AE47" s="288"/>
      <c r="AF47" s="288"/>
      <c r="AG47" s="288"/>
      <c r="AH47" s="288"/>
      <c r="AI47" s="289"/>
      <c r="AK47" s="425" t="s">
        <v>688</v>
      </c>
      <c r="AL47" s="425"/>
      <c r="AM47" s="425"/>
      <c r="AN47" s="425"/>
      <c r="AO47" s="425"/>
      <c r="AP47" s="425"/>
      <c r="AQ47" s="42"/>
      <c r="AR47" s="43"/>
      <c r="AS47" s="120" t="s">
        <v>189</v>
      </c>
      <c r="AT47" s="43" t="s">
        <v>728</v>
      </c>
      <c r="AU47" s="43"/>
      <c r="BC47" s="50"/>
      <c r="BD47" s="51"/>
    </row>
    <row r="48" spans="1:80" ht="18" customHeight="1">
      <c r="A48" s="36"/>
      <c r="B48" s="404"/>
      <c r="C48" s="404"/>
      <c r="D48" s="404"/>
      <c r="E48" s="404"/>
      <c r="F48" s="288"/>
      <c r="G48" s="288"/>
      <c r="H48" s="288"/>
      <c r="I48" s="288"/>
      <c r="J48" s="288"/>
      <c r="K48" s="288"/>
      <c r="L48" s="288"/>
      <c r="M48" s="288"/>
      <c r="N48" s="288"/>
      <c r="O48" s="288"/>
      <c r="P48" s="288"/>
      <c r="Q48" s="288"/>
      <c r="R48" s="288"/>
      <c r="S48" s="288"/>
      <c r="T48" s="288"/>
      <c r="U48" s="288"/>
      <c r="V48" s="288"/>
      <c r="W48" s="288"/>
      <c r="X48" s="288"/>
      <c r="Y48" s="288"/>
      <c r="Z48" s="288"/>
      <c r="AA48" s="288"/>
      <c r="AB48" s="288"/>
      <c r="AC48" s="288"/>
      <c r="AD48" s="288"/>
      <c r="AE48" s="288"/>
      <c r="AF48" s="288"/>
      <c r="AG48" s="288"/>
      <c r="AH48" s="288"/>
      <c r="AI48" s="289"/>
      <c r="AK48" s="425" t="s">
        <v>690</v>
      </c>
      <c r="AL48" s="425"/>
      <c r="AM48" s="425"/>
      <c r="AN48" s="425"/>
      <c r="AO48" s="425"/>
      <c r="AP48" s="425"/>
      <c r="AQ48" s="42"/>
      <c r="AR48" s="43"/>
      <c r="AS48" s="43"/>
      <c r="AT48" s="43"/>
      <c r="AU48" s="43"/>
      <c r="BC48" s="50"/>
      <c r="BD48" s="51"/>
    </row>
    <row r="49" spans="1:61" ht="18" customHeight="1">
      <c r="A49" s="36"/>
      <c r="B49" s="404"/>
      <c r="C49" s="404"/>
      <c r="D49" s="404"/>
      <c r="E49" s="404"/>
      <c r="F49" s="288"/>
      <c r="G49" s="288"/>
      <c r="H49" s="288"/>
      <c r="I49" s="288"/>
      <c r="J49" s="288"/>
      <c r="K49" s="288"/>
      <c r="L49" s="288"/>
      <c r="M49" s="288"/>
      <c r="N49" s="288"/>
      <c r="O49" s="288"/>
      <c r="P49" s="288"/>
      <c r="Q49" s="288"/>
      <c r="R49" s="288"/>
      <c r="S49" s="288"/>
      <c r="T49" s="288"/>
      <c r="U49" s="288"/>
      <c r="V49" s="288"/>
      <c r="W49" s="288"/>
      <c r="X49" s="288"/>
      <c r="Y49" s="288"/>
      <c r="Z49" s="288"/>
      <c r="AA49" s="288"/>
      <c r="AB49" s="288"/>
      <c r="AC49" s="288"/>
      <c r="AD49" s="288"/>
      <c r="AE49" s="288"/>
      <c r="AF49" s="288"/>
      <c r="AG49" s="288"/>
      <c r="AH49" s="288"/>
      <c r="AI49" s="289"/>
      <c r="AK49" s="425" t="s">
        <v>691</v>
      </c>
      <c r="AL49" s="425"/>
      <c r="AM49" s="425"/>
      <c r="AN49" s="425"/>
      <c r="AO49" s="425"/>
      <c r="AP49" s="425"/>
      <c r="AQ49" s="42"/>
      <c r="AR49" s="43"/>
      <c r="AS49" s="43"/>
      <c r="AT49" s="43"/>
      <c r="AU49" s="43"/>
      <c r="BC49" s="50"/>
      <c r="BD49" s="51"/>
    </row>
    <row r="50" spans="1:61" ht="18" customHeight="1">
      <c r="A50" s="36"/>
      <c r="B50" s="404"/>
      <c r="C50" s="404"/>
      <c r="D50" s="404"/>
      <c r="E50" s="404"/>
      <c r="F50" s="288"/>
      <c r="G50" s="288"/>
      <c r="H50" s="288"/>
      <c r="I50" s="288"/>
      <c r="J50" s="288"/>
      <c r="K50" s="288"/>
      <c r="L50" s="288"/>
      <c r="M50" s="288"/>
      <c r="N50" s="288"/>
      <c r="O50" s="288"/>
      <c r="P50" s="288"/>
      <c r="Q50" s="288"/>
      <c r="R50" s="288"/>
      <c r="S50" s="288"/>
      <c r="T50" s="288"/>
      <c r="U50" s="288"/>
      <c r="V50" s="288"/>
      <c r="W50" s="288"/>
      <c r="X50" s="288"/>
      <c r="Y50" s="288"/>
      <c r="Z50" s="288"/>
      <c r="AA50" s="288"/>
      <c r="AB50" s="288"/>
      <c r="AC50" s="288"/>
      <c r="AD50" s="288"/>
      <c r="AE50" s="288"/>
      <c r="AF50" s="288"/>
      <c r="AG50" s="288"/>
      <c r="AH50" s="288"/>
      <c r="AI50" s="289"/>
      <c r="AK50" s="425" t="s">
        <v>692</v>
      </c>
      <c r="AL50" s="425"/>
      <c r="AM50" s="425"/>
      <c r="AN50" s="425"/>
      <c r="AO50" s="425"/>
      <c r="AP50" s="425"/>
      <c r="AQ50" s="42"/>
      <c r="AR50" s="43"/>
      <c r="AS50" s="43"/>
      <c r="AT50" s="43"/>
      <c r="AU50" s="43"/>
      <c r="BC50" s="50"/>
      <c r="BD50" s="51"/>
    </row>
    <row r="51" spans="1:61" ht="18" customHeight="1">
      <c r="A51" s="36"/>
      <c r="B51" s="404"/>
      <c r="C51" s="404"/>
      <c r="D51" s="404"/>
      <c r="E51" s="404"/>
      <c r="F51" s="288"/>
      <c r="G51" s="288"/>
      <c r="H51" s="288"/>
      <c r="I51" s="288"/>
      <c r="J51" s="288"/>
      <c r="K51" s="288"/>
      <c r="L51" s="288"/>
      <c r="M51" s="288"/>
      <c r="N51" s="288"/>
      <c r="O51" s="288"/>
      <c r="P51" s="288"/>
      <c r="Q51" s="288"/>
      <c r="R51" s="288"/>
      <c r="S51" s="288"/>
      <c r="T51" s="288"/>
      <c r="U51" s="288"/>
      <c r="V51" s="288"/>
      <c r="W51" s="288"/>
      <c r="X51" s="288"/>
      <c r="Y51" s="288"/>
      <c r="Z51" s="288"/>
      <c r="AA51" s="288"/>
      <c r="AB51" s="288"/>
      <c r="AC51" s="288"/>
      <c r="AD51" s="288"/>
      <c r="AE51" s="288"/>
      <c r="AF51" s="288"/>
      <c r="AG51" s="288"/>
      <c r="AH51" s="288"/>
      <c r="AI51" s="289"/>
      <c r="AK51" s="425" t="s">
        <v>693</v>
      </c>
      <c r="AL51" s="425"/>
      <c r="AM51" s="425"/>
      <c r="AN51" s="425"/>
      <c r="AO51" s="425"/>
      <c r="AP51" s="425"/>
      <c r="AQ51" s="42"/>
      <c r="AR51" s="43"/>
      <c r="AS51" s="43"/>
      <c r="AT51" s="43"/>
      <c r="AU51" s="43"/>
      <c r="BC51" s="50"/>
      <c r="BD51" s="51"/>
    </row>
    <row r="52" spans="1:61" ht="18" customHeight="1">
      <c r="A52" s="36"/>
      <c r="B52" s="404"/>
      <c r="C52" s="404"/>
      <c r="D52" s="404"/>
      <c r="E52" s="404"/>
      <c r="F52" s="288"/>
      <c r="G52" s="288"/>
      <c r="H52" s="288"/>
      <c r="I52" s="288"/>
      <c r="J52" s="288"/>
      <c r="K52" s="288"/>
      <c r="L52" s="288"/>
      <c r="M52" s="288"/>
      <c r="N52" s="288"/>
      <c r="O52" s="288"/>
      <c r="P52" s="288"/>
      <c r="Q52" s="288"/>
      <c r="R52" s="288"/>
      <c r="S52" s="288"/>
      <c r="T52" s="288"/>
      <c r="U52" s="288"/>
      <c r="V52" s="288"/>
      <c r="W52" s="288"/>
      <c r="X52" s="288"/>
      <c r="Y52" s="288"/>
      <c r="Z52" s="288"/>
      <c r="AA52" s="288"/>
      <c r="AB52" s="288"/>
      <c r="AC52" s="288"/>
      <c r="AD52" s="288"/>
      <c r="AE52" s="288"/>
      <c r="AF52" s="288"/>
      <c r="AG52" s="288"/>
      <c r="AH52" s="288"/>
      <c r="AI52" s="289"/>
      <c r="AK52" s="425" t="s">
        <v>694</v>
      </c>
      <c r="AL52" s="425"/>
      <c r="AM52" s="425"/>
      <c r="AN52" s="425"/>
      <c r="AO52" s="425"/>
      <c r="AP52" s="425"/>
      <c r="AQ52" s="42"/>
      <c r="AR52" s="43"/>
      <c r="AS52" s="43"/>
      <c r="AV52" s="43"/>
      <c r="AW52" s="43"/>
      <c r="AX52" s="43"/>
      <c r="AY52" s="43"/>
      <c r="AZ52" s="43"/>
      <c r="BA52" s="43"/>
      <c r="BH52" s="52"/>
      <c r="BI52" s="51"/>
    </row>
    <row r="53" spans="1:61" ht="18" customHeight="1">
      <c r="A53" s="36"/>
      <c r="B53" s="404"/>
      <c r="C53" s="404"/>
      <c r="D53" s="404"/>
      <c r="E53" s="404"/>
      <c r="F53" s="288"/>
      <c r="G53" s="288"/>
      <c r="H53" s="288"/>
      <c r="I53" s="288"/>
      <c r="J53" s="288"/>
      <c r="K53" s="288"/>
      <c r="L53" s="288"/>
      <c r="M53" s="288"/>
      <c r="N53" s="288"/>
      <c r="O53" s="288"/>
      <c r="P53" s="288"/>
      <c r="Q53" s="288"/>
      <c r="R53" s="288"/>
      <c r="S53" s="288"/>
      <c r="T53" s="288"/>
      <c r="U53" s="288"/>
      <c r="V53" s="288"/>
      <c r="W53" s="288"/>
      <c r="X53" s="288"/>
      <c r="Y53" s="288"/>
      <c r="Z53" s="288"/>
      <c r="AA53" s="288"/>
      <c r="AB53" s="288"/>
      <c r="AC53" s="288"/>
      <c r="AD53" s="288"/>
      <c r="AE53" s="288"/>
      <c r="AF53" s="288"/>
      <c r="AG53" s="288"/>
      <c r="AH53" s="288"/>
      <c r="AI53" s="289"/>
      <c r="AK53" s="425" t="s">
        <v>695</v>
      </c>
      <c r="AL53" s="425"/>
      <c r="AM53" s="425"/>
      <c r="AN53" s="425"/>
      <c r="AO53" s="425"/>
      <c r="AP53" s="425"/>
      <c r="AQ53" s="42"/>
      <c r="AR53" s="43"/>
      <c r="AS53" s="43"/>
      <c r="AT53" s="43"/>
      <c r="AU53" s="43"/>
      <c r="AV53" s="43"/>
      <c r="AW53" s="43"/>
      <c r="AX53" s="43"/>
      <c r="AY53" s="43"/>
      <c r="AZ53" s="43"/>
      <c r="BH53" s="50"/>
      <c r="BI53" s="51"/>
    </row>
    <row r="54" spans="1:61" ht="18" customHeight="1">
      <c r="A54" s="36"/>
      <c r="B54" s="404"/>
      <c r="C54" s="404"/>
      <c r="D54" s="404"/>
      <c r="E54" s="404"/>
      <c r="F54" s="288"/>
      <c r="G54" s="288"/>
      <c r="H54" s="288"/>
      <c r="I54" s="288"/>
      <c r="J54" s="288"/>
      <c r="K54" s="288"/>
      <c r="L54" s="288"/>
      <c r="M54" s="288"/>
      <c r="N54" s="288"/>
      <c r="O54" s="288"/>
      <c r="P54" s="288"/>
      <c r="Q54" s="288"/>
      <c r="R54" s="288"/>
      <c r="S54" s="288"/>
      <c r="T54" s="288"/>
      <c r="U54" s="288"/>
      <c r="V54" s="288"/>
      <c r="W54" s="288"/>
      <c r="X54" s="288"/>
      <c r="Y54" s="288"/>
      <c r="Z54" s="288"/>
      <c r="AA54" s="288"/>
      <c r="AB54" s="288"/>
      <c r="AC54" s="288"/>
      <c r="AD54" s="288"/>
      <c r="AE54" s="288"/>
      <c r="AF54" s="288"/>
      <c r="AG54" s="288"/>
      <c r="AH54" s="288"/>
      <c r="AI54" s="289"/>
      <c r="AK54" s="425" t="s">
        <v>696</v>
      </c>
      <c r="AL54" s="425"/>
      <c r="AM54" s="425"/>
      <c r="AN54" s="425"/>
      <c r="AO54" s="425"/>
      <c r="AP54" s="425"/>
      <c r="AQ54" s="42"/>
      <c r="AR54" s="43"/>
      <c r="AS54" s="43"/>
      <c r="AT54" s="43"/>
      <c r="AU54" s="43"/>
      <c r="AV54" s="43"/>
      <c r="AW54" s="43"/>
      <c r="AX54" s="43"/>
      <c r="AY54" s="43"/>
      <c r="AZ54" s="43"/>
      <c r="BH54" s="50"/>
      <c r="BI54" s="51"/>
    </row>
    <row r="55" spans="1:61" ht="18" customHeight="1">
      <c r="A55" s="36"/>
      <c r="B55" s="404"/>
      <c r="C55" s="404"/>
      <c r="D55" s="404"/>
      <c r="E55" s="404"/>
      <c r="F55" s="288"/>
      <c r="G55" s="288"/>
      <c r="H55" s="288"/>
      <c r="I55" s="288"/>
      <c r="J55" s="288"/>
      <c r="K55" s="288"/>
      <c r="L55" s="288"/>
      <c r="M55" s="288"/>
      <c r="N55" s="288"/>
      <c r="O55" s="288"/>
      <c r="P55" s="288"/>
      <c r="Q55" s="288"/>
      <c r="R55" s="288"/>
      <c r="S55" s="288"/>
      <c r="T55" s="288"/>
      <c r="U55" s="288"/>
      <c r="V55" s="288"/>
      <c r="W55" s="288"/>
      <c r="X55" s="288"/>
      <c r="Y55" s="288"/>
      <c r="Z55" s="288"/>
      <c r="AA55" s="288"/>
      <c r="AB55" s="288"/>
      <c r="AC55" s="288"/>
      <c r="AD55" s="288"/>
      <c r="AE55" s="288"/>
      <c r="AF55" s="288"/>
      <c r="AG55" s="288"/>
      <c r="AH55" s="288"/>
      <c r="AI55" s="289"/>
      <c r="AK55" s="425" t="s">
        <v>697</v>
      </c>
      <c r="AL55" s="425"/>
      <c r="AM55" s="425"/>
      <c r="AN55" s="425"/>
      <c r="AO55" s="425"/>
      <c r="AP55" s="425"/>
      <c r="AQ55" s="42"/>
      <c r="AR55" s="43"/>
      <c r="AS55" s="43"/>
      <c r="AT55" s="43"/>
      <c r="AU55" s="43"/>
      <c r="AV55" s="43"/>
      <c r="AW55" s="43"/>
      <c r="AX55" s="43"/>
      <c r="AY55" s="43"/>
      <c r="AZ55" s="43"/>
      <c r="BH55" s="50"/>
      <c r="BI55" s="51"/>
    </row>
    <row r="56" spans="1:61" ht="18" customHeight="1">
      <c r="A56" s="36"/>
      <c r="B56" s="404"/>
      <c r="C56" s="404"/>
      <c r="D56" s="404"/>
      <c r="E56" s="404"/>
      <c r="F56" s="288"/>
      <c r="G56" s="288"/>
      <c r="H56" s="288"/>
      <c r="I56" s="288"/>
      <c r="J56" s="288"/>
      <c r="K56" s="288"/>
      <c r="L56" s="288"/>
      <c r="M56" s="288"/>
      <c r="N56" s="288"/>
      <c r="O56" s="288"/>
      <c r="P56" s="288"/>
      <c r="Q56" s="288"/>
      <c r="R56" s="288"/>
      <c r="S56" s="288"/>
      <c r="T56" s="288"/>
      <c r="U56" s="288"/>
      <c r="V56" s="288"/>
      <c r="W56" s="288"/>
      <c r="X56" s="288"/>
      <c r="Y56" s="288"/>
      <c r="Z56" s="288"/>
      <c r="AA56" s="288"/>
      <c r="AB56" s="288"/>
      <c r="AC56" s="288"/>
      <c r="AD56" s="288"/>
      <c r="AE56" s="288"/>
      <c r="AF56" s="288"/>
      <c r="AG56" s="288"/>
      <c r="AH56" s="288"/>
      <c r="AI56" s="289"/>
      <c r="AK56" s="425" t="s">
        <v>698</v>
      </c>
      <c r="AL56" s="425"/>
      <c r="AM56" s="425"/>
      <c r="AN56" s="425"/>
      <c r="AO56" s="425"/>
      <c r="AP56" s="425"/>
      <c r="AQ56" s="42"/>
      <c r="AR56" s="43"/>
      <c r="AS56" s="43"/>
      <c r="AT56" s="43"/>
      <c r="AU56" s="43"/>
      <c r="AV56" s="43"/>
      <c r="AW56" s="43"/>
      <c r="AX56" s="43"/>
      <c r="AY56" s="43"/>
      <c r="AZ56" s="43"/>
      <c r="BH56" s="52"/>
      <c r="BI56" s="51"/>
    </row>
    <row r="57" spans="1:61" ht="18" customHeight="1">
      <c r="A57" s="36"/>
      <c r="B57" s="404"/>
      <c r="C57" s="404"/>
      <c r="D57" s="404"/>
      <c r="E57" s="404"/>
      <c r="F57" s="288"/>
      <c r="G57" s="288"/>
      <c r="H57" s="288"/>
      <c r="I57" s="288"/>
      <c r="J57" s="288"/>
      <c r="K57" s="288"/>
      <c r="L57" s="288"/>
      <c r="M57" s="288"/>
      <c r="N57" s="288"/>
      <c r="O57" s="288"/>
      <c r="P57" s="288"/>
      <c r="Q57" s="288"/>
      <c r="R57" s="288"/>
      <c r="S57" s="288"/>
      <c r="T57" s="288"/>
      <c r="U57" s="288"/>
      <c r="V57" s="288"/>
      <c r="W57" s="288"/>
      <c r="X57" s="288"/>
      <c r="Y57" s="288"/>
      <c r="Z57" s="288"/>
      <c r="AA57" s="288"/>
      <c r="AB57" s="288"/>
      <c r="AC57" s="288"/>
      <c r="AD57" s="288"/>
      <c r="AE57" s="288"/>
      <c r="AF57" s="288"/>
      <c r="AG57" s="288"/>
      <c r="AH57" s="288"/>
      <c r="AI57" s="289"/>
      <c r="AK57" s="425" t="s">
        <v>699</v>
      </c>
      <c r="AL57" s="425"/>
      <c r="AM57" s="425"/>
      <c r="AN57" s="425"/>
      <c r="AO57" s="425"/>
      <c r="AP57" s="425"/>
      <c r="AQ57" s="42"/>
      <c r="AR57" s="43"/>
      <c r="AS57" s="43"/>
      <c r="AT57" s="43"/>
      <c r="AU57" s="43"/>
      <c r="AV57" s="43"/>
      <c r="AW57" s="43"/>
      <c r="AX57" s="43"/>
      <c r="AY57" s="43"/>
      <c r="AZ57" s="43"/>
      <c r="BH57" s="50"/>
      <c r="BI57" s="51"/>
    </row>
    <row r="58" spans="1:61" ht="18" customHeight="1">
      <c r="A58" s="36"/>
      <c r="B58" s="404"/>
      <c r="C58" s="404"/>
      <c r="D58" s="404"/>
      <c r="E58" s="404"/>
      <c r="F58" s="288"/>
      <c r="G58" s="288"/>
      <c r="H58" s="288"/>
      <c r="I58" s="288"/>
      <c r="J58" s="288"/>
      <c r="K58" s="288"/>
      <c r="L58" s="288"/>
      <c r="M58" s="288"/>
      <c r="N58" s="288"/>
      <c r="O58" s="288"/>
      <c r="P58" s="288"/>
      <c r="Q58" s="288"/>
      <c r="R58" s="288"/>
      <c r="S58" s="288"/>
      <c r="T58" s="288"/>
      <c r="U58" s="288"/>
      <c r="V58" s="288"/>
      <c r="W58" s="288"/>
      <c r="X58" s="288"/>
      <c r="Y58" s="288"/>
      <c r="Z58" s="288"/>
      <c r="AA58" s="288"/>
      <c r="AB58" s="288"/>
      <c r="AC58" s="288"/>
      <c r="AD58" s="288"/>
      <c r="AE58" s="288"/>
      <c r="AF58" s="288"/>
      <c r="AG58" s="288"/>
      <c r="AH58" s="288"/>
      <c r="AI58" s="289"/>
      <c r="AK58" s="425" t="s">
        <v>700</v>
      </c>
      <c r="AL58" s="425"/>
      <c r="AM58" s="425"/>
      <c r="AN58" s="425"/>
      <c r="AO58" s="425"/>
      <c r="AP58" s="425"/>
      <c r="AQ58" s="42"/>
      <c r="AR58" s="43"/>
      <c r="AS58" s="43"/>
      <c r="AT58" s="43"/>
      <c r="AU58" s="43"/>
      <c r="AV58" s="43"/>
      <c r="AW58" s="43"/>
      <c r="AX58" s="43"/>
      <c r="AY58" s="43"/>
      <c r="AZ58" s="43"/>
      <c r="BH58" s="50"/>
      <c r="BI58" s="51"/>
    </row>
    <row r="59" spans="1:61" ht="18" customHeight="1">
      <c r="A59" s="36"/>
      <c r="B59" s="404"/>
      <c r="C59" s="404"/>
      <c r="D59" s="404"/>
      <c r="E59" s="404"/>
      <c r="F59" s="288"/>
      <c r="G59" s="288"/>
      <c r="H59" s="288"/>
      <c r="I59" s="288"/>
      <c r="J59" s="288"/>
      <c r="K59" s="288"/>
      <c r="L59" s="288"/>
      <c r="M59" s="288"/>
      <c r="N59" s="288"/>
      <c r="O59" s="288"/>
      <c r="P59" s="288"/>
      <c r="Q59" s="288"/>
      <c r="R59" s="288"/>
      <c r="S59" s="288"/>
      <c r="T59" s="288"/>
      <c r="U59" s="288"/>
      <c r="V59" s="288"/>
      <c r="W59" s="288"/>
      <c r="X59" s="288"/>
      <c r="Y59" s="288"/>
      <c r="Z59" s="288"/>
      <c r="AA59" s="288"/>
      <c r="AB59" s="288"/>
      <c r="AC59" s="288"/>
      <c r="AD59" s="288"/>
      <c r="AE59" s="288"/>
      <c r="AF59" s="288"/>
      <c r="AG59" s="288"/>
      <c r="AH59" s="288"/>
      <c r="AI59" s="289"/>
      <c r="AK59" s="425" t="s">
        <v>701</v>
      </c>
      <c r="AL59" s="425"/>
      <c r="AM59" s="425"/>
      <c r="AN59" s="425"/>
      <c r="AO59" s="425"/>
      <c r="AP59" s="425"/>
      <c r="AQ59" s="42"/>
      <c r="AR59" s="43"/>
      <c r="AS59" s="43"/>
      <c r="AT59" s="43"/>
      <c r="AU59" s="43"/>
      <c r="AV59" s="43"/>
      <c r="AW59" s="43"/>
      <c r="AX59" s="43"/>
      <c r="AY59" s="43"/>
      <c r="AZ59" s="43"/>
      <c r="BH59" s="50"/>
      <c r="BI59" s="51"/>
    </row>
    <row r="60" spans="1:61" ht="18" customHeight="1">
      <c r="A60" s="36"/>
      <c r="B60" s="404"/>
      <c r="C60" s="404"/>
      <c r="D60" s="404"/>
      <c r="E60" s="404"/>
      <c r="F60" s="288"/>
      <c r="G60" s="288"/>
      <c r="H60" s="288"/>
      <c r="I60" s="288"/>
      <c r="J60" s="288"/>
      <c r="K60" s="288"/>
      <c r="L60" s="288"/>
      <c r="M60" s="288"/>
      <c r="N60" s="288"/>
      <c r="O60" s="288"/>
      <c r="P60" s="288"/>
      <c r="Q60" s="288"/>
      <c r="R60" s="288"/>
      <c r="S60" s="288"/>
      <c r="T60" s="288"/>
      <c r="U60" s="288"/>
      <c r="V60" s="288"/>
      <c r="W60" s="288"/>
      <c r="X60" s="288"/>
      <c r="Y60" s="288"/>
      <c r="Z60" s="288"/>
      <c r="AA60" s="288"/>
      <c r="AB60" s="288"/>
      <c r="AC60" s="288"/>
      <c r="AD60" s="288"/>
      <c r="AE60" s="288"/>
      <c r="AF60" s="288"/>
      <c r="AG60" s="288"/>
      <c r="AH60" s="288"/>
      <c r="AI60" s="289"/>
      <c r="AK60" s="425" t="s">
        <v>702</v>
      </c>
      <c r="AL60" s="425"/>
      <c r="AM60" s="425"/>
      <c r="AN60" s="425"/>
      <c r="AO60" s="425"/>
      <c r="AP60" s="425"/>
      <c r="AQ60" s="42"/>
      <c r="AR60" s="43"/>
      <c r="AS60" s="43"/>
      <c r="AT60" s="43"/>
      <c r="AU60" s="43"/>
      <c r="AV60" s="43"/>
      <c r="AW60" s="43"/>
      <c r="AX60" s="43"/>
      <c r="AY60" s="43"/>
      <c r="AZ60" s="43"/>
      <c r="BH60" s="52"/>
      <c r="BI60" s="51"/>
    </row>
    <row r="61" spans="1:61" ht="18" customHeight="1">
      <c r="A61" s="36"/>
      <c r="B61" s="404"/>
      <c r="C61" s="404"/>
      <c r="D61" s="404"/>
      <c r="E61" s="404"/>
      <c r="F61" s="288"/>
      <c r="G61" s="288"/>
      <c r="H61" s="288"/>
      <c r="I61" s="288"/>
      <c r="J61" s="288"/>
      <c r="K61" s="288"/>
      <c r="L61" s="288"/>
      <c r="M61" s="288"/>
      <c r="N61" s="288"/>
      <c r="O61" s="288"/>
      <c r="P61" s="288"/>
      <c r="Q61" s="288"/>
      <c r="R61" s="288"/>
      <c r="S61" s="288"/>
      <c r="T61" s="288"/>
      <c r="U61" s="288"/>
      <c r="V61" s="288"/>
      <c r="W61" s="288"/>
      <c r="X61" s="288"/>
      <c r="Y61" s="288"/>
      <c r="Z61" s="288"/>
      <c r="AA61" s="288"/>
      <c r="AB61" s="288"/>
      <c r="AC61" s="288"/>
      <c r="AD61" s="288"/>
      <c r="AE61" s="288"/>
      <c r="AF61" s="288"/>
      <c r="AG61" s="288"/>
      <c r="AH61" s="288"/>
      <c r="AI61" s="289"/>
      <c r="AK61" s="425" t="s">
        <v>703</v>
      </c>
      <c r="AL61" s="425"/>
      <c r="AM61" s="425"/>
      <c r="AN61" s="425"/>
      <c r="AO61" s="425"/>
      <c r="AP61" s="425"/>
      <c r="AQ61" s="42"/>
      <c r="AR61" s="43"/>
      <c r="AS61" s="43"/>
      <c r="AT61" s="43"/>
      <c r="AU61" s="43"/>
      <c r="AV61" s="43"/>
      <c r="AW61" s="43"/>
      <c r="AX61" s="43"/>
      <c r="AY61" s="43"/>
      <c r="AZ61" s="43"/>
      <c r="BH61" s="50"/>
      <c r="BI61" s="51"/>
    </row>
    <row r="62" spans="1:61" ht="18" customHeight="1">
      <c r="A62" s="36"/>
      <c r="B62" s="404"/>
      <c r="C62" s="404"/>
      <c r="D62" s="404"/>
      <c r="E62" s="404"/>
      <c r="F62" s="288"/>
      <c r="G62" s="288"/>
      <c r="H62" s="288"/>
      <c r="I62" s="288"/>
      <c r="J62" s="288"/>
      <c r="K62" s="288"/>
      <c r="L62" s="288"/>
      <c r="M62" s="288"/>
      <c r="N62" s="288"/>
      <c r="O62" s="288"/>
      <c r="P62" s="288"/>
      <c r="Q62" s="288"/>
      <c r="R62" s="288"/>
      <c r="S62" s="288"/>
      <c r="T62" s="288"/>
      <c r="U62" s="288"/>
      <c r="V62" s="288"/>
      <c r="W62" s="288"/>
      <c r="X62" s="288"/>
      <c r="Y62" s="288"/>
      <c r="Z62" s="288"/>
      <c r="AA62" s="288"/>
      <c r="AB62" s="288"/>
      <c r="AC62" s="288"/>
      <c r="AD62" s="288"/>
      <c r="AE62" s="288"/>
      <c r="AF62" s="288"/>
      <c r="AG62" s="288"/>
      <c r="AH62" s="288"/>
      <c r="AI62" s="289"/>
      <c r="AK62" s="425"/>
      <c r="AL62" s="425"/>
      <c r="AM62" s="425"/>
      <c r="AN62" s="425"/>
      <c r="AO62" s="425"/>
      <c r="AP62" s="425"/>
      <c r="AQ62" s="42"/>
      <c r="AR62" s="43"/>
      <c r="AS62" s="43"/>
      <c r="AT62" s="43"/>
      <c r="AU62" s="43"/>
      <c r="AV62" s="43"/>
      <c r="AW62" s="43"/>
      <c r="AX62" s="43"/>
      <c r="AY62" s="43"/>
      <c r="AZ62" s="43"/>
      <c r="BH62" s="50"/>
      <c r="BI62" s="51"/>
    </row>
    <row r="63" spans="1:61" ht="18" customHeight="1">
      <c r="A63" s="36"/>
      <c r="B63" s="404"/>
      <c r="C63" s="404"/>
      <c r="D63" s="404"/>
      <c r="E63" s="404"/>
      <c r="F63" s="288"/>
      <c r="G63" s="288"/>
      <c r="H63" s="288"/>
      <c r="I63" s="288"/>
      <c r="J63" s="288"/>
      <c r="K63" s="288"/>
      <c r="L63" s="288"/>
      <c r="M63" s="288"/>
      <c r="N63" s="288"/>
      <c r="O63" s="288"/>
      <c r="P63" s="288"/>
      <c r="Q63" s="288"/>
      <c r="R63" s="288"/>
      <c r="S63" s="288"/>
      <c r="T63" s="288"/>
      <c r="U63" s="288"/>
      <c r="V63" s="288"/>
      <c r="W63" s="288"/>
      <c r="X63" s="288"/>
      <c r="Y63" s="288"/>
      <c r="Z63" s="288"/>
      <c r="AA63" s="288"/>
      <c r="AB63" s="288"/>
      <c r="AC63" s="288"/>
      <c r="AD63" s="288"/>
      <c r="AE63" s="288"/>
      <c r="AF63" s="288"/>
      <c r="AG63" s="288"/>
      <c r="AH63" s="288"/>
      <c r="AI63" s="289"/>
      <c r="AK63" s="425"/>
      <c r="AL63" s="425"/>
      <c r="AM63" s="425"/>
      <c r="AN63" s="425"/>
      <c r="AO63" s="425"/>
      <c r="AP63" s="425"/>
      <c r="AQ63" s="42"/>
      <c r="AR63" s="43"/>
      <c r="AS63" s="43"/>
      <c r="AT63" s="43"/>
      <c r="AU63" s="43"/>
      <c r="AV63" s="43"/>
      <c r="AW63" s="43"/>
      <c r="AX63" s="43"/>
      <c r="AY63" s="43"/>
      <c r="AZ63" s="43"/>
      <c r="BH63" s="52"/>
      <c r="BI63" s="51"/>
    </row>
    <row r="64" spans="1:61" ht="18" customHeight="1">
      <c r="A64" s="36"/>
      <c r="B64" s="404"/>
      <c r="C64" s="404"/>
      <c r="D64" s="404"/>
      <c r="E64" s="404"/>
      <c r="F64" s="288"/>
      <c r="G64" s="288"/>
      <c r="H64" s="288"/>
      <c r="I64" s="288"/>
      <c r="J64" s="288"/>
      <c r="K64" s="288"/>
      <c r="L64" s="288"/>
      <c r="M64" s="288"/>
      <c r="N64" s="288"/>
      <c r="O64" s="288"/>
      <c r="P64" s="288"/>
      <c r="Q64" s="288"/>
      <c r="R64" s="288"/>
      <c r="S64" s="288"/>
      <c r="T64" s="288"/>
      <c r="U64" s="288"/>
      <c r="V64" s="288"/>
      <c r="W64" s="288"/>
      <c r="X64" s="288"/>
      <c r="Y64" s="288"/>
      <c r="Z64" s="288"/>
      <c r="AA64" s="288"/>
      <c r="AB64" s="288"/>
      <c r="AC64" s="288"/>
      <c r="AD64" s="288"/>
      <c r="AE64" s="288"/>
      <c r="AF64" s="288"/>
      <c r="AG64" s="288"/>
      <c r="AH64" s="288"/>
      <c r="AI64" s="289"/>
      <c r="AK64" s="425"/>
      <c r="AL64" s="425"/>
      <c r="AM64" s="425"/>
      <c r="AN64" s="425"/>
      <c r="AO64" s="425"/>
      <c r="AP64" s="425"/>
      <c r="AQ64" s="42"/>
      <c r="AR64" s="43"/>
      <c r="AS64" s="43"/>
      <c r="AT64" s="43"/>
      <c r="AU64" s="43"/>
      <c r="AV64" s="43"/>
      <c r="AW64" s="43"/>
      <c r="AX64" s="43"/>
      <c r="AY64" s="43"/>
      <c r="AZ64" s="43"/>
      <c r="BH64" s="52"/>
      <c r="BI64" s="51"/>
    </row>
    <row r="65" spans="1:61" ht="18" customHeight="1">
      <c r="A65" s="36"/>
      <c r="B65" s="404"/>
      <c r="C65" s="404"/>
      <c r="D65" s="404"/>
      <c r="E65" s="404"/>
      <c r="F65" s="288"/>
      <c r="G65" s="288"/>
      <c r="H65" s="288"/>
      <c r="I65" s="288"/>
      <c r="J65" s="288"/>
      <c r="K65" s="288"/>
      <c r="L65" s="288"/>
      <c r="M65" s="288"/>
      <c r="N65" s="288"/>
      <c r="O65" s="288"/>
      <c r="P65" s="288"/>
      <c r="Q65" s="288"/>
      <c r="R65" s="288"/>
      <c r="S65" s="288"/>
      <c r="T65" s="288"/>
      <c r="U65" s="288"/>
      <c r="V65" s="288"/>
      <c r="W65" s="288"/>
      <c r="X65" s="288"/>
      <c r="Y65" s="288"/>
      <c r="Z65" s="288"/>
      <c r="AA65" s="288"/>
      <c r="AB65" s="288"/>
      <c r="AC65" s="288"/>
      <c r="AD65" s="288"/>
      <c r="AE65" s="288"/>
      <c r="AF65" s="288"/>
      <c r="AG65" s="288"/>
      <c r="AH65" s="288"/>
      <c r="AI65" s="289"/>
      <c r="AK65" s="425"/>
      <c r="AL65" s="425"/>
      <c r="AM65" s="425"/>
      <c r="AN65" s="425"/>
      <c r="AO65" s="425"/>
      <c r="AP65" s="425"/>
      <c r="AQ65" s="42"/>
      <c r="AR65" s="43"/>
      <c r="AS65" s="43"/>
      <c r="AT65" s="43"/>
      <c r="AU65" s="43"/>
      <c r="AV65" s="43"/>
      <c r="AW65" s="43"/>
      <c r="AX65" s="43"/>
      <c r="AY65" s="43"/>
      <c r="AZ65" s="43"/>
      <c r="BH65" s="50"/>
      <c r="BI65" s="51"/>
    </row>
    <row r="66" spans="1:61" ht="18" customHeight="1">
      <c r="A66" s="36"/>
      <c r="B66" s="404"/>
      <c r="C66" s="404"/>
      <c r="D66" s="404"/>
      <c r="E66" s="404"/>
      <c r="F66" s="288"/>
      <c r="G66" s="288"/>
      <c r="H66" s="288"/>
      <c r="I66" s="288"/>
      <c r="J66" s="288"/>
      <c r="K66" s="288"/>
      <c r="L66" s="288"/>
      <c r="M66" s="288"/>
      <c r="N66" s="288"/>
      <c r="O66" s="288"/>
      <c r="P66" s="288"/>
      <c r="Q66" s="288"/>
      <c r="R66" s="288"/>
      <c r="S66" s="288"/>
      <c r="T66" s="288"/>
      <c r="U66" s="288"/>
      <c r="V66" s="288"/>
      <c r="W66" s="288"/>
      <c r="X66" s="288"/>
      <c r="Y66" s="288"/>
      <c r="Z66" s="288"/>
      <c r="AA66" s="288"/>
      <c r="AB66" s="288"/>
      <c r="AC66" s="288"/>
      <c r="AD66" s="288"/>
      <c r="AE66" s="288"/>
      <c r="AF66" s="288"/>
      <c r="AG66" s="288"/>
      <c r="AH66" s="288"/>
      <c r="AI66" s="289"/>
      <c r="AK66" s="425"/>
      <c r="AL66" s="425"/>
      <c r="AM66" s="425"/>
      <c r="AN66" s="425"/>
      <c r="AO66" s="425"/>
      <c r="AP66" s="425"/>
      <c r="AQ66" s="42"/>
      <c r="AR66" s="43"/>
      <c r="AS66" s="43"/>
      <c r="AT66" s="43"/>
      <c r="AU66" s="43"/>
      <c r="AV66" s="43"/>
      <c r="AW66" s="43"/>
      <c r="AX66" s="43"/>
      <c r="AY66" s="43"/>
      <c r="AZ66" s="43"/>
      <c r="BH66" s="50"/>
      <c r="BI66" s="51"/>
    </row>
    <row r="67" spans="1:61" ht="18" customHeight="1">
      <c r="A67" s="36"/>
      <c r="B67" s="404"/>
      <c r="C67" s="404"/>
      <c r="D67" s="404"/>
      <c r="E67" s="404"/>
      <c r="F67" s="288"/>
      <c r="G67" s="288"/>
      <c r="H67" s="288"/>
      <c r="I67" s="288"/>
      <c r="J67" s="288"/>
      <c r="K67" s="288"/>
      <c r="L67" s="288"/>
      <c r="M67" s="288"/>
      <c r="N67" s="288"/>
      <c r="O67" s="288"/>
      <c r="P67" s="288"/>
      <c r="Q67" s="288"/>
      <c r="R67" s="288"/>
      <c r="S67" s="288"/>
      <c r="T67" s="288"/>
      <c r="U67" s="288"/>
      <c r="V67" s="288"/>
      <c r="W67" s="288"/>
      <c r="X67" s="288"/>
      <c r="Y67" s="288"/>
      <c r="Z67" s="288"/>
      <c r="AA67" s="288"/>
      <c r="AB67" s="288"/>
      <c r="AC67" s="288"/>
      <c r="AD67" s="288"/>
      <c r="AE67" s="288"/>
      <c r="AF67" s="288"/>
      <c r="AG67" s="288"/>
      <c r="AH67" s="288"/>
      <c r="AI67" s="289"/>
      <c r="AK67" s="425"/>
      <c r="AL67" s="425"/>
      <c r="AM67" s="425"/>
      <c r="AN67" s="425"/>
      <c r="AO67" s="425"/>
      <c r="AP67" s="425"/>
      <c r="AQ67" s="67"/>
      <c r="AR67" s="43"/>
      <c r="AS67" s="43"/>
      <c r="AT67" s="43"/>
      <c r="AU67" s="43"/>
      <c r="AV67" s="43"/>
      <c r="AW67" s="43"/>
      <c r="AX67" s="43"/>
      <c r="AY67" s="43"/>
      <c r="AZ67" s="43"/>
      <c r="BH67" s="50"/>
      <c r="BI67" s="51"/>
    </row>
    <row r="68" spans="1:61" ht="18" customHeight="1">
      <c r="A68" s="36"/>
      <c r="B68" s="404"/>
      <c r="C68" s="404"/>
      <c r="D68" s="404"/>
      <c r="E68" s="404"/>
      <c r="F68" s="288"/>
      <c r="G68" s="288"/>
      <c r="H68" s="288"/>
      <c r="I68" s="288"/>
      <c r="J68" s="288"/>
      <c r="K68" s="288"/>
      <c r="L68" s="288"/>
      <c r="M68" s="288"/>
      <c r="N68" s="288"/>
      <c r="O68" s="288"/>
      <c r="P68" s="288"/>
      <c r="Q68" s="288"/>
      <c r="R68" s="288"/>
      <c r="S68" s="288"/>
      <c r="T68" s="288"/>
      <c r="U68" s="288"/>
      <c r="V68" s="288"/>
      <c r="W68" s="288"/>
      <c r="X68" s="288"/>
      <c r="Y68" s="288"/>
      <c r="Z68" s="288"/>
      <c r="AA68" s="288"/>
      <c r="AB68" s="288"/>
      <c r="AC68" s="288"/>
      <c r="AD68" s="288"/>
      <c r="AE68" s="288"/>
      <c r="AF68" s="288"/>
      <c r="AG68" s="288"/>
      <c r="AH68" s="288"/>
      <c r="AI68" s="289"/>
      <c r="AK68" s="425"/>
      <c r="AL68" s="425"/>
      <c r="AM68" s="425"/>
      <c r="AN68" s="425"/>
      <c r="AO68" s="425"/>
      <c r="AP68" s="425"/>
      <c r="AQ68" s="67"/>
      <c r="AR68" s="43"/>
      <c r="AS68" s="43"/>
      <c r="AT68" s="43"/>
      <c r="AU68" s="43"/>
      <c r="AV68" s="43"/>
      <c r="AW68" s="43"/>
      <c r="AX68" s="43"/>
      <c r="AY68" s="43"/>
      <c r="AZ68" s="43"/>
      <c r="BH68" s="50"/>
      <c r="BI68" s="51"/>
    </row>
    <row r="69" spans="1:61" ht="18" customHeight="1">
      <c r="A69" s="36"/>
      <c r="B69" s="404"/>
      <c r="C69" s="404"/>
      <c r="D69" s="404"/>
      <c r="E69" s="404"/>
      <c r="F69" s="288"/>
      <c r="G69" s="288"/>
      <c r="H69" s="288"/>
      <c r="I69" s="288"/>
      <c r="J69" s="288"/>
      <c r="K69" s="288"/>
      <c r="L69" s="288"/>
      <c r="M69" s="288"/>
      <c r="N69" s="288"/>
      <c r="O69" s="288"/>
      <c r="P69" s="288"/>
      <c r="Q69" s="288"/>
      <c r="R69" s="288"/>
      <c r="S69" s="288"/>
      <c r="T69" s="288"/>
      <c r="U69" s="288"/>
      <c r="V69" s="288"/>
      <c r="W69" s="288"/>
      <c r="X69" s="288"/>
      <c r="Y69" s="288"/>
      <c r="Z69" s="288"/>
      <c r="AA69" s="288"/>
      <c r="AB69" s="288"/>
      <c r="AC69" s="288"/>
      <c r="AD69" s="288"/>
      <c r="AE69" s="288"/>
      <c r="AF69" s="288"/>
      <c r="AG69" s="288"/>
      <c r="AH69" s="288"/>
      <c r="AI69" s="289"/>
      <c r="AK69" s="425"/>
      <c r="AL69" s="425"/>
      <c r="AM69" s="425"/>
      <c r="AN69" s="425"/>
      <c r="AO69" s="425"/>
      <c r="AP69" s="425"/>
      <c r="AQ69" s="42"/>
      <c r="AR69" s="43"/>
      <c r="AS69" s="43"/>
      <c r="AT69" s="43"/>
      <c r="AU69" s="43"/>
      <c r="AV69" s="43"/>
      <c r="AW69" s="43"/>
      <c r="AX69" s="43"/>
      <c r="AY69" s="43"/>
      <c r="AZ69" s="43"/>
      <c r="BH69" s="50"/>
      <c r="BI69" s="51"/>
    </row>
    <row r="70" spans="1:61" ht="18" customHeight="1">
      <c r="A70" s="36"/>
      <c r="B70" s="404"/>
      <c r="C70" s="404"/>
      <c r="D70" s="404"/>
      <c r="E70" s="404"/>
      <c r="F70" s="288"/>
      <c r="G70" s="288"/>
      <c r="H70" s="288"/>
      <c r="I70" s="288"/>
      <c r="J70" s="288"/>
      <c r="K70" s="288"/>
      <c r="L70" s="288"/>
      <c r="M70" s="288"/>
      <c r="N70" s="288"/>
      <c r="O70" s="288"/>
      <c r="P70" s="288"/>
      <c r="Q70" s="288"/>
      <c r="R70" s="288"/>
      <c r="S70" s="288"/>
      <c r="T70" s="288"/>
      <c r="U70" s="288"/>
      <c r="V70" s="288"/>
      <c r="W70" s="288"/>
      <c r="X70" s="288"/>
      <c r="Y70" s="288"/>
      <c r="Z70" s="288"/>
      <c r="AA70" s="288"/>
      <c r="AB70" s="288"/>
      <c r="AC70" s="288"/>
      <c r="AD70" s="288"/>
      <c r="AE70" s="288"/>
      <c r="AF70" s="288"/>
      <c r="AG70" s="288"/>
      <c r="AH70" s="288"/>
      <c r="AI70" s="289"/>
      <c r="AK70" s="425"/>
      <c r="AL70" s="425"/>
      <c r="AM70" s="425"/>
      <c r="AN70" s="425"/>
      <c r="AO70" s="425"/>
      <c r="AP70" s="425"/>
      <c r="AQ70" s="42"/>
      <c r="AR70" s="43"/>
      <c r="AS70" s="43"/>
      <c r="AT70" s="43"/>
      <c r="AU70" s="43"/>
      <c r="AV70" s="43"/>
      <c r="AW70" s="43"/>
      <c r="AX70" s="43"/>
      <c r="AY70" s="43"/>
      <c r="AZ70" s="43"/>
      <c r="BH70" s="50"/>
      <c r="BI70" s="51"/>
    </row>
    <row r="71" spans="1:61" ht="18" customHeight="1">
      <c r="A71" s="36"/>
      <c r="B71" s="404"/>
      <c r="C71" s="404"/>
      <c r="D71" s="404"/>
      <c r="E71" s="404"/>
      <c r="F71" s="288"/>
      <c r="G71" s="288"/>
      <c r="H71" s="288"/>
      <c r="I71" s="288"/>
      <c r="J71" s="288"/>
      <c r="K71" s="288"/>
      <c r="L71" s="288"/>
      <c r="M71" s="288"/>
      <c r="N71" s="288"/>
      <c r="O71" s="288"/>
      <c r="P71" s="288"/>
      <c r="Q71" s="288"/>
      <c r="R71" s="288"/>
      <c r="S71" s="288"/>
      <c r="T71" s="288"/>
      <c r="U71" s="288"/>
      <c r="V71" s="288"/>
      <c r="W71" s="288"/>
      <c r="X71" s="288"/>
      <c r="Y71" s="288"/>
      <c r="Z71" s="288"/>
      <c r="AA71" s="288"/>
      <c r="AB71" s="288"/>
      <c r="AC71" s="288"/>
      <c r="AD71" s="288"/>
      <c r="AE71" s="288"/>
      <c r="AF71" s="288"/>
      <c r="AG71" s="288"/>
      <c r="AH71" s="288"/>
      <c r="AI71" s="289"/>
      <c r="AK71" s="425"/>
      <c r="AL71" s="425"/>
      <c r="AM71" s="425"/>
      <c r="AN71" s="425"/>
      <c r="AO71" s="425"/>
      <c r="AP71" s="425"/>
      <c r="AQ71" s="42"/>
      <c r="AR71" s="43"/>
      <c r="AS71" s="43"/>
      <c r="AT71" s="43"/>
      <c r="AU71" s="43"/>
      <c r="AV71" s="43"/>
      <c r="AW71" s="43"/>
      <c r="AX71" s="43"/>
      <c r="AY71" s="43"/>
      <c r="AZ71" s="43"/>
      <c r="BH71" s="52"/>
      <c r="BI71" s="51"/>
    </row>
    <row r="72" spans="1:61" ht="18" customHeight="1">
      <c r="A72" s="36"/>
      <c r="B72" s="404"/>
      <c r="C72" s="404"/>
      <c r="D72" s="404"/>
      <c r="E72" s="404"/>
      <c r="F72" s="288"/>
      <c r="G72" s="288"/>
      <c r="H72" s="288"/>
      <c r="I72" s="288"/>
      <c r="J72" s="288"/>
      <c r="K72" s="288"/>
      <c r="L72" s="288"/>
      <c r="M72" s="288"/>
      <c r="N72" s="288"/>
      <c r="O72" s="288"/>
      <c r="P72" s="288"/>
      <c r="Q72" s="288"/>
      <c r="R72" s="288"/>
      <c r="S72" s="288"/>
      <c r="T72" s="288"/>
      <c r="U72" s="288"/>
      <c r="V72" s="288"/>
      <c r="W72" s="288"/>
      <c r="X72" s="288"/>
      <c r="Y72" s="288"/>
      <c r="Z72" s="288"/>
      <c r="AA72" s="288"/>
      <c r="AB72" s="288"/>
      <c r="AC72" s="288"/>
      <c r="AD72" s="288"/>
      <c r="AE72" s="288"/>
      <c r="AF72" s="288"/>
      <c r="AG72" s="288"/>
      <c r="AH72" s="288"/>
      <c r="AI72" s="289"/>
      <c r="AK72" s="425"/>
      <c r="AL72" s="425"/>
      <c r="AM72" s="425"/>
      <c r="AN72" s="425"/>
      <c r="AO72" s="425"/>
      <c r="AP72" s="425"/>
      <c r="AQ72" s="42"/>
      <c r="AR72" s="43"/>
      <c r="AS72" s="43"/>
      <c r="AT72" s="43"/>
      <c r="AU72" s="43"/>
      <c r="AV72" s="43"/>
      <c r="AW72" s="43"/>
      <c r="AX72" s="43"/>
      <c r="AY72" s="43"/>
      <c r="AZ72" s="43"/>
      <c r="BH72" s="53"/>
      <c r="BI72" s="51"/>
    </row>
    <row r="73" spans="1:61" ht="18" customHeight="1">
      <c r="A73" s="36"/>
      <c r="B73" s="404"/>
      <c r="C73" s="404"/>
      <c r="D73" s="404"/>
      <c r="E73" s="404"/>
      <c r="F73" s="288"/>
      <c r="G73" s="288"/>
      <c r="H73" s="288"/>
      <c r="I73" s="288"/>
      <c r="J73" s="288"/>
      <c r="K73" s="288"/>
      <c r="L73" s="288"/>
      <c r="M73" s="288"/>
      <c r="N73" s="288"/>
      <c r="O73" s="288"/>
      <c r="P73" s="288"/>
      <c r="Q73" s="288"/>
      <c r="R73" s="288"/>
      <c r="S73" s="288"/>
      <c r="T73" s="288"/>
      <c r="U73" s="288"/>
      <c r="V73" s="288"/>
      <c r="W73" s="288"/>
      <c r="X73" s="288"/>
      <c r="Y73" s="288"/>
      <c r="Z73" s="288"/>
      <c r="AA73" s="288"/>
      <c r="AB73" s="288"/>
      <c r="AC73" s="288"/>
      <c r="AD73" s="288"/>
      <c r="AE73" s="288"/>
      <c r="AF73" s="288"/>
      <c r="AG73" s="288"/>
      <c r="AH73" s="288"/>
      <c r="AI73" s="289"/>
      <c r="AK73" s="425"/>
      <c r="AL73" s="425"/>
      <c r="AM73" s="425"/>
      <c r="AN73" s="425"/>
      <c r="AO73" s="425"/>
      <c r="AP73" s="425"/>
      <c r="AQ73" s="42"/>
      <c r="AR73" s="43"/>
      <c r="AS73" s="43"/>
      <c r="AT73" s="43"/>
      <c r="AU73" s="43"/>
      <c r="AV73" s="43"/>
      <c r="AW73" s="43"/>
      <c r="AX73" s="43"/>
      <c r="AY73" s="43"/>
      <c r="AZ73" s="43"/>
      <c r="BH73" s="54"/>
      <c r="BI73" s="51"/>
    </row>
    <row r="74" spans="1:61" ht="18" customHeight="1">
      <c r="A74" s="36"/>
      <c r="B74" s="404"/>
      <c r="C74" s="404"/>
      <c r="D74" s="404"/>
      <c r="E74" s="404"/>
      <c r="F74" s="288"/>
      <c r="G74" s="288"/>
      <c r="H74" s="288"/>
      <c r="I74" s="288"/>
      <c r="J74" s="288"/>
      <c r="K74" s="288"/>
      <c r="L74" s="288"/>
      <c r="M74" s="288"/>
      <c r="N74" s="288"/>
      <c r="O74" s="288"/>
      <c r="P74" s="288"/>
      <c r="Q74" s="288"/>
      <c r="R74" s="288"/>
      <c r="S74" s="288"/>
      <c r="T74" s="288"/>
      <c r="U74" s="288"/>
      <c r="V74" s="288"/>
      <c r="W74" s="288"/>
      <c r="X74" s="288"/>
      <c r="Y74" s="288"/>
      <c r="Z74" s="288"/>
      <c r="AA74" s="288"/>
      <c r="AB74" s="288"/>
      <c r="AC74" s="288"/>
      <c r="AD74" s="288"/>
      <c r="AE74" s="288"/>
      <c r="AF74" s="288"/>
      <c r="AG74" s="288"/>
      <c r="AH74" s="288"/>
      <c r="AI74" s="289"/>
      <c r="AK74" s="425"/>
      <c r="AL74" s="425"/>
      <c r="AM74" s="425"/>
      <c r="AN74" s="425"/>
      <c r="AO74" s="425"/>
      <c r="AP74" s="425"/>
      <c r="AQ74" s="42"/>
      <c r="AR74" s="43"/>
      <c r="AS74" s="43"/>
      <c r="AT74" s="43"/>
      <c r="AU74" s="43"/>
      <c r="AV74" s="43"/>
      <c r="AW74" s="43"/>
      <c r="AX74" s="43"/>
      <c r="AY74" s="43"/>
      <c r="AZ74" s="43"/>
      <c r="BH74" s="54"/>
      <c r="BI74" s="51"/>
    </row>
    <row r="75" spans="1:61" ht="18" customHeight="1">
      <c r="A75" s="36"/>
      <c r="B75" s="404"/>
      <c r="C75" s="404"/>
      <c r="D75" s="404"/>
      <c r="E75" s="404"/>
      <c r="F75" s="288"/>
      <c r="G75" s="288"/>
      <c r="H75" s="288"/>
      <c r="I75" s="288"/>
      <c r="J75" s="288"/>
      <c r="K75" s="288"/>
      <c r="L75" s="288"/>
      <c r="M75" s="288"/>
      <c r="N75" s="288"/>
      <c r="O75" s="288"/>
      <c r="P75" s="288"/>
      <c r="Q75" s="288"/>
      <c r="R75" s="288"/>
      <c r="S75" s="288"/>
      <c r="T75" s="288"/>
      <c r="U75" s="288"/>
      <c r="V75" s="288"/>
      <c r="W75" s="288"/>
      <c r="X75" s="288"/>
      <c r="Y75" s="288"/>
      <c r="Z75" s="288"/>
      <c r="AA75" s="288"/>
      <c r="AB75" s="288"/>
      <c r="AC75" s="288"/>
      <c r="AD75" s="288"/>
      <c r="AE75" s="288"/>
      <c r="AF75" s="288"/>
      <c r="AG75" s="288"/>
      <c r="AH75" s="288"/>
      <c r="AI75" s="289"/>
      <c r="AK75" s="425"/>
      <c r="AL75" s="425"/>
      <c r="AM75" s="425"/>
      <c r="AN75" s="425"/>
      <c r="AO75" s="425"/>
      <c r="AP75" s="425"/>
      <c r="AQ75" s="42"/>
      <c r="AR75" s="43"/>
      <c r="AS75" s="43"/>
      <c r="AT75" s="43"/>
      <c r="AU75" s="43"/>
      <c r="AV75" s="43"/>
      <c r="AW75" s="43"/>
      <c r="AX75" s="43"/>
      <c r="AY75" s="43"/>
      <c r="AZ75" s="43"/>
      <c r="BH75" s="53"/>
      <c r="BI75" s="51"/>
    </row>
    <row r="76" spans="1:61" ht="18" customHeight="1">
      <c r="A76" s="36"/>
      <c r="B76" s="404"/>
      <c r="C76" s="404"/>
      <c r="D76" s="404"/>
      <c r="E76" s="404"/>
      <c r="F76" s="288"/>
      <c r="G76" s="288"/>
      <c r="H76" s="288"/>
      <c r="I76" s="288"/>
      <c r="J76" s="288"/>
      <c r="K76" s="288"/>
      <c r="L76" s="288"/>
      <c r="M76" s="288"/>
      <c r="N76" s="288"/>
      <c r="O76" s="288"/>
      <c r="P76" s="288"/>
      <c r="Q76" s="288"/>
      <c r="R76" s="288"/>
      <c r="S76" s="288"/>
      <c r="T76" s="288"/>
      <c r="U76" s="288"/>
      <c r="V76" s="288"/>
      <c r="W76" s="288"/>
      <c r="X76" s="288"/>
      <c r="Y76" s="288"/>
      <c r="Z76" s="288"/>
      <c r="AA76" s="288"/>
      <c r="AB76" s="288"/>
      <c r="AC76" s="288"/>
      <c r="AD76" s="288"/>
      <c r="AE76" s="288"/>
      <c r="AF76" s="288"/>
      <c r="AG76" s="288"/>
      <c r="AH76" s="288"/>
      <c r="AI76" s="289"/>
      <c r="AK76" s="425"/>
      <c r="AL76" s="425"/>
      <c r="AM76" s="425"/>
      <c r="AN76" s="425"/>
      <c r="AO76" s="425"/>
      <c r="AP76" s="425"/>
      <c r="AQ76" s="42"/>
      <c r="AR76" s="43"/>
      <c r="AS76" s="43"/>
      <c r="AT76" s="43"/>
      <c r="AU76" s="43"/>
      <c r="AV76" s="43"/>
      <c r="AW76" s="43"/>
      <c r="AX76" s="43"/>
      <c r="AY76" s="43"/>
      <c r="AZ76" s="43"/>
      <c r="BH76" s="53"/>
      <c r="BI76" s="51"/>
    </row>
    <row r="77" spans="1:61" ht="18" customHeight="1">
      <c r="A77" s="36"/>
      <c r="B77" s="404"/>
      <c r="C77" s="404"/>
      <c r="D77" s="404"/>
      <c r="E77" s="404"/>
      <c r="F77" s="288"/>
      <c r="G77" s="288"/>
      <c r="H77" s="288"/>
      <c r="I77" s="288"/>
      <c r="J77" s="288"/>
      <c r="K77" s="288"/>
      <c r="L77" s="288"/>
      <c r="M77" s="288"/>
      <c r="N77" s="288"/>
      <c r="O77" s="288"/>
      <c r="P77" s="288"/>
      <c r="Q77" s="288"/>
      <c r="R77" s="288"/>
      <c r="S77" s="288"/>
      <c r="T77" s="288"/>
      <c r="U77" s="288"/>
      <c r="V77" s="288"/>
      <c r="W77" s="288"/>
      <c r="X77" s="288"/>
      <c r="Y77" s="288"/>
      <c r="Z77" s="288"/>
      <c r="AA77" s="288"/>
      <c r="AB77" s="288"/>
      <c r="AC77" s="288"/>
      <c r="AD77" s="288"/>
      <c r="AE77" s="288"/>
      <c r="AF77" s="288"/>
      <c r="AG77" s="288"/>
      <c r="AH77" s="288"/>
      <c r="AI77" s="289"/>
      <c r="AK77" s="425"/>
      <c r="AL77" s="425"/>
      <c r="AM77" s="425"/>
      <c r="AN77" s="425"/>
      <c r="AO77" s="425"/>
      <c r="AP77" s="425"/>
      <c r="AQ77" s="42"/>
      <c r="AR77" s="43"/>
      <c r="AS77" s="43"/>
      <c r="AT77" s="43"/>
      <c r="AU77" s="43"/>
      <c r="AV77" s="43"/>
      <c r="AW77" s="43"/>
      <c r="AX77" s="43"/>
      <c r="AY77" s="43"/>
      <c r="AZ77" s="43"/>
      <c r="BH77" s="54"/>
      <c r="BI77" s="51"/>
    </row>
    <row r="78" spans="1:61" ht="18" customHeight="1">
      <c r="A78" s="36"/>
      <c r="B78" s="404"/>
      <c r="C78" s="404"/>
      <c r="D78" s="404"/>
      <c r="E78" s="404"/>
      <c r="F78" s="288"/>
      <c r="G78" s="288"/>
      <c r="H78" s="288"/>
      <c r="I78" s="288"/>
      <c r="J78" s="288"/>
      <c r="K78" s="288"/>
      <c r="L78" s="288"/>
      <c r="M78" s="288"/>
      <c r="N78" s="288"/>
      <c r="O78" s="288"/>
      <c r="P78" s="288"/>
      <c r="Q78" s="288"/>
      <c r="R78" s="288"/>
      <c r="S78" s="288"/>
      <c r="T78" s="288"/>
      <c r="U78" s="288"/>
      <c r="V78" s="288"/>
      <c r="W78" s="288"/>
      <c r="X78" s="288"/>
      <c r="Y78" s="288"/>
      <c r="Z78" s="288"/>
      <c r="AA78" s="288"/>
      <c r="AB78" s="288"/>
      <c r="AC78" s="288"/>
      <c r="AD78" s="288"/>
      <c r="AE78" s="288"/>
      <c r="AF78" s="288"/>
      <c r="AG78" s="288"/>
      <c r="AH78" s="288"/>
      <c r="AI78" s="289"/>
      <c r="AK78" s="425"/>
      <c r="AL78" s="425"/>
      <c r="AM78" s="425"/>
      <c r="AN78" s="425"/>
      <c r="AO78" s="425"/>
      <c r="AP78" s="425"/>
      <c r="AQ78" s="42"/>
      <c r="AR78" s="43"/>
      <c r="AS78" s="43"/>
      <c r="AT78" s="43"/>
      <c r="AU78" s="43"/>
      <c r="AV78" s="43"/>
      <c r="AW78" s="43"/>
      <c r="AX78" s="43"/>
      <c r="AY78" s="43"/>
      <c r="AZ78" s="43"/>
      <c r="BH78" s="54"/>
      <c r="BI78" s="51"/>
    </row>
    <row r="79" spans="1:61" ht="18" customHeight="1">
      <c r="A79" s="36"/>
      <c r="B79" s="404"/>
      <c r="C79" s="404"/>
      <c r="D79" s="404"/>
      <c r="E79" s="404"/>
      <c r="F79" s="288"/>
      <c r="G79" s="288"/>
      <c r="H79" s="288"/>
      <c r="I79" s="288"/>
      <c r="J79" s="288"/>
      <c r="K79" s="288"/>
      <c r="L79" s="288"/>
      <c r="M79" s="288"/>
      <c r="N79" s="288"/>
      <c r="O79" s="288"/>
      <c r="P79" s="288"/>
      <c r="Q79" s="288"/>
      <c r="R79" s="288"/>
      <c r="S79" s="288"/>
      <c r="T79" s="288"/>
      <c r="U79" s="288"/>
      <c r="V79" s="288"/>
      <c r="W79" s="288"/>
      <c r="X79" s="288"/>
      <c r="Y79" s="288"/>
      <c r="Z79" s="288"/>
      <c r="AA79" s="288"/>
      <c r="AB79" s="288"/>
      <c r="AC79" s="288"/>
      <c r="AD79" s="288"/>
      <c r="AE79" s="288"/>
      <c r="AF79" s="288"/>
      <c r="AG79" s="288"/>
      <c r="AH79" s="288"/>
      <c r="AI79" s="289"/>
      <c r="AK79" s="425"/>
      <c r="AL79" s="425"/>
      <c r="AM79" s="425"/>
      <c r="AN79" s="425"/>
      <c r="AO79" s="425"/>
      <c r="AP79" s="425"/>
      <c r="AQ79" s="42"/>
      <c r="AR79" s="43"/>
      <c r="AS79" s="43"/>
      <c r="AT79" s="43"/>
      <c r="AU79" s="43"/>
      <c r="AV79" s="43"/>
      <c r="AW79" s="43"/>
      <c r="AX79" s="43"/>
      <c r="AY79" s="43"/>
      <c r="AZ79" s="43"/>
      <c r="BH79" s="54"/>
      <c r="BI79" s="51"/>
    </row>
    <row r="80" spans="1:61" ht="18" customHeight="1">
      <c r="A80" s="37"/>
      <c r="B80" s="466"/>
      <c r="C80" s="466"/>
      <c r="D80" s="466"/>
      <c r="E80" s="466"/>
      <c r="F80" s="467"/>
      <c r="G80" s="467"/>
      <c r="H80" s="467"/>
      <c r="I80" s="467"/>
      <c r="J80" s="467"/>
      <c r="K80" s="467"/>
      <c r="L80" s="467"/>
      <c r="M80" s="467"/>
      <c r="N80" s="467"/>
      <c r="O80" s="467"/>
      <c r="P80" s="467"/>
      <c r="Q80" s="467"/>
      <c r="R80" s="467"/>
      <c r="S80" s="467"/>
      <c r="T80" s="467"/>
      <c r="U80" s="467"/>
      <c r="V80" s="467"/>
      <c r="W80" s="467"/>
      <c r="X80" s="467"/>
      <c r="Y80" s="467"/>
      <c r="Z80" s="467"/>
      <c r="AA80" s="467"/>
      <c r="AB80" s="467"/>
      <c r="AC80" s="467"/>
      <c r="AD80" s="467"/>
      <c r="AE80" s="467"/>
      <c r="AF80" s="467"/>
      <c r="AG80" s="467"/>
      <c r="AH80" s="467"/>
      <c r="AI80" s="468"/>
      <c r="AK80" s="425"/>
      <c r="AL80" s="425"/>
      <c r="AM80" s="425"/>
      <c r="AN80" s="425"/>
      <c r="AO80" s="425"/>
      <c r="AP80" s="425"/>
      <c r="AQ80" s="42"/>
      <c r="AR80" s="43"/>
      <c r="AS80" s="43"/>
      <c r="AT80" s="43"/>
      <c r="AU80" s="43"/>
      <c r="AV80" s="43"/>
      <c r="AW80" s="43"/>
      <c r="AX80" s="43"/>
      <c r="AY80" s="43"/>
      <c r="AZ80" s="43"/>
      <c r="BH80" s="54"/>
      <c r="BI80" s="51"/>
    </row>
    <row r="81" spans="1:61" ht="18" customHeight="1">
      <c r="A81" s="406" t="s">
        <v>704</v>
      </c>
      <c r="B81" s="407"/>
      <c r="C81" s="407"/>
      <c r="D81" s="407"/>
      <c r="E81" s="407"/>
      <c r="F81" s="407"/>
      <c r="G81" s="407"/>
      <c r="H81" s="407"/>
      <c r="I81" s="407"/>
      <c r="J81" s="407"/>
      <c r="K81" s="407"/>
      <c r="L81" s="407"/>
      <c r="M81" s="407"/>
      <c r="N81" s="407"/>
      <c r="O81" s="407"/>
      <c r="P81" s="407"/>
      <c r="Q81" s="407"/>
      <c r="R81" s="407"/>
      <c r="S81" s="407"/>
      <c r="T81" s="407"/>
      <c r="U81" s="407"/>
      <c r="V81" s="407"/>
      <c r="W81" s="407"/>
      <c r="X81" s="407"/>
      <c r="Y81" s="407"/>
      <c r="Z81" s="407"/>
      <c r="AA81" s="407"/>
      <c r="AB81" s="407"/>
      <c r="AC81" s="407"/>
      <c r="AD81" s="407"/>
      <c r="AE81" s="407"/>
      <c r="AF81" s="407"/>
      <c r="AG81" s="407"/>
      <c r="AH81" s="407"/>
      <c r="AI81" s="408"/>
      <c r="AK81" s="425"/>
      <c r="AL81" s="425"/>
      <c r="AM81" s="425"/>
      <c r="AN81" s="425"/>
      <c r="AO81" s="425"/>
      <c r="AP81" s="425"/>
      <c r="AQ81" s="42"/>
      <c r="AR81" s="43"/>
      <c r="AS81" s="43"/>
      <c r="AT81" s="43"/>
      <c r="AU81" s="43"/>
      <c r="AV81" s="43"/>
      <c r="AW81" s="43"/>
      <c r="AX81" s="43"/>
      <c r="AY81" s="43"/>
      <c r="AZ81" s="43"/>
      <c r="BH81" s="53"/>
      <c r="BI81" s="51"/>
    </row>
    <row r="82" spans="1:61" ht="18" customHeight="1">
      <c r="A82" s="38"/>
      <c r="B82" s="465"/>
      <c r="C82" s="465"/>
      <c r="D82" s="465"/>
      <c r="E82" s="465"/>
      <c r="F82" s="288"/>
      <c r="G82" s="288"/>
      <c r="H82" s="288"/>
      <c r="I82" s="288"/>
      <c r="J82" s="288"/>
      <c r="K82" s="288"/>
      <c r="L82" s="288"/>
      <c r="M82" s="288"/>
      <c r="N82" s="288"/>
      <c r="O82" s="288"/>
      <c r="P82" s="288"/>
      <c r="Q82" s="288"/>
      <c r="R82" s="288"/>
      <c r="S82" s="288"/>
      <c r="T82" s="288"/>
      <c r="U82" s="288"/>
      <c r="V82" s="288"/>
      <c r="W82" s="288"/>
      <c r="X82" s="288"/>
      <c r="Y82" s="288"/>
      <c r="Z82" s="288"/>
      <c r="AA82" s="288"/>
      <c r="AB82" s="288"/>
      <c r="AC82" s="288"/>
      <c r="AD82" s="288"/>
      <c r="AE82" s="288"/>
      <c r="AF82" s="288"/>
      <c r="AG82" s="288"/>
      <c r="AH82" s="288"/>
      <c r="AI82" s="289"/>
      <c r="AK82" s="425"/>
      <c r="AL82" s="425"/>
      <c r="AM82" s="425"/>
      <c r="AN82" s="425"/>
      <c r="AO82" s="425"/>
      <c r="AP82" s="425"/>
      <c r="AQ82" s="42"/>
      <c r="AR82" s="43"/>
      <c r="AS82" s="43"/>
      <c r="AT82" s="43"/>
      <c r="AU82" s="43"/>
      <c r="AV82" s="43"/>
      <c r="AW82" s="43"/>
      <c r="AX82" s="43"/>
      <c r="AY82" s="43"/>
      <c r="AZ82" s="43"/>
      <c r="BH82" s="53"/>
      <c r="BI82" s="51"/>
    </row>
    <row r="83" spans="1:61" ht="18" customHeight="1">
      <c r="A83" s="38"/>
      <c r="B83" s="465"/>
      <c r="C83" s="465"/>
      <c r="D83" s="465"/>
      <c r="E83" s="465"/>
      <c r="F83" s="288"/>
      <c r="G83" s="288"/>
      <c r="H83" s="288"/>
      <c r="I83" s="288"/>
      <c r="J83" s="288"/>
      <c r="K83" s="288"/>
      <c r="L83" s="288"/>
      <c r="M83" s="288"/>
      <c r="N83" s="288"/>
      <c r="O83" s="288"/>
      <c r="P83" s="288"/>
      <c r="Q83" s="288"/>
      <c r="R83" s="288"/>
      <c r="S83" s="288"/>
      <c r="T83" s="288"/>
      <c r="U83" s="288"/>
      <c r="V83" s="288"/>
      <c r="W83" s="288"/>
      <c r="X83" s="288"/>
      <c r="Y83" s="288"/>
      <c r="Z83" s="288"/>
      <c r="AA83" s="288"/>
      <c r="AB83" s="288"/>
      <c r="AC83" s="288"/>
      <c r="AD83" s="288"/>
      <c r="AE83" s="288"/>
      <c r="AF83" s="288"/>
      <c r="AG83" s="288"/>
      <c r="AH83" s="288"/>
      <c r="AI83" s="289"/>
      <c r="AK83" s="425"/>
      <c r="AL83" s="425"/>
      <c r="AM83" s="425"/>
      <c r="AN83" s="425"/>
      <c r="AO83" s="425"/>
      <c r="AP83" s="425"/>
      <c r="AQ83" s="42"/>
      <c r="AR83" s="43"/>
      <c r="AS83" s="43"/>
      <c r="AT83" s="43"/>
      <c r="AU83" s="43"/>
      <c r="AV83" s="43"/>
      <c r="AW83" s="43"/>
      <c r="AX83" s="43"/>
      <c r="AY83" s="43"/>
      <c r="AZ83" s="43"/>
      <c r="BH83" s="53"/>
      <c r="BI83" s="51"/>
    </row>
    <row r="84" spans="1:61" ht="18" customHeight="1">
      <c r="A84" s="38"/>
      <c r="B84" s="465"/>
      <c r="C84" s="465"/>
      <c r="D84" s="465"/>
      <c r="E84" s="465"/>
      <c r="F84" s="288"/>
      <c r="G84" s="288"/>
      <c r="H84" s="288"/>
      <c r="I84" s="288"/>
      <c r="J84" s="288"/>
      <c r="K84" s="288"/>
      <c r="L84" s="288"/>
      <c r="M84" s="288"/>
      <c r="N84" s="288"/>
      <c r="O84" s="288"/>
      <c r="P84" s="288"/>
      <c r="Q84" s="288"/>
      <c r="R84" s="288"/>
      <c r="S84" s="288"/>
      <c r="T84" s="288"/>
      <c r="U84" s="288"/>
      <c r="V84" s="288"/>
      <c r="W84" s="288"/>
      <c r="X84" s="288"/>
      <c r="Y84" s="288"/>
      <c r="Z84" s="288"/>
      <c r="AA84" s="288"/>
      <c r="AB84" s="288"/>
      <c r="AC84" s="288"/>
      <c r="AD84" s="288"/>
      <c r="AE84" s="288"/>
      <c r="AF84" s="288"/>
      <c r="AG84" s="288"/>
      <c r="AH84" s="288"/>
      <c r="AI84" s="289"/>
      <c r="AK84" s="425"/>
      <c r="AL84" s="425"/>
      <c r="AM84" s="425"/>
      <c r="AN84" s="425"/>
      <c r="AO84" s="425"/>
      <c r="AP84" s="425"/>
      <c r="AQ84" s="42"/>
      <c r="AR84" s="43"/>
      <c r="AS84" s="43"/>
      <c r="AT84" s="43"/>
      <c r="AU84" s="43"/>
      <c r="AV84" s="43"/>
      <c r="AW84" s="43"/>
      <c r="AX84" s="43"/>
      <c r="AY84" s="43"/>
      <c r="AZ84" s="43"/>
    </row>
    <row r="85" spans="1:61" ht="18" customHeight="1">
      <c r="A85" s="38"/>
      <c r="B85" s="465"/>
      <c r="C85" s="465"/>
      <c r="D85" s="465"/>
      <c r="E85" s="465"/>
      <c r="F85" s="288"/>
      <c r="G85" s="288"/>
      <c r="H85" s="288"/>
      <c r="I85" s="288"/>
      <c r="J85" s="288"/>
      <c r="K85" s="288"/>
      <c r="L85" s="288"/>
      <c r="M85" s="288"/>
      <c r="N85" s="288"/>
      <c r="O85" s="288"/>
      <c r="P85" s="288"/>
      <c r="Q85" s="288"/>
      <c r="R85" s="288"/>
      <c r="S85" s="288"/>
      <c r="T85" s="288"/>
      <c r="U85" s="288"/>
      <c r="V85" s="288"/>
      <c r="W85" s="288"/>
      <c r="X85" s="288"/>
      <c r="Y85" s="288"/>
      <c r="Z85" s="288"/>
      <c r="AA85" s="288"/>
      <c r="AB85" s="288"/>
      <c r="AC85" s="288"/>
      <c r="AD85" s="288"/>
      <c r="AE85" s="288"/>
      <c r="AF85" s="288"/>
      <c r="AG85" s="288"/>
      <c r="AH85" s="288"/>
      <c r="AI85" s="289"/>
      <c r="AK85" s="425"/>
      <c r="AL85" s="425"/>
      <c r="AM85" s="425"/>
      <c r="AN85" s="425"/>
      <c r="AO85" s="425"/>
      <c r="AP85" s="425"/>
      <c r="AQ85" s="42"/>
      <c r="AR85" s="43"/>
      <c r="AS85" s="43"/>
      <c r="AT85" s="43"/>
      <c r="AU85" s="43"/>
      <c r="AV85" s="43"/>
      <c r="AW85" s="43"/>
      <c r="AX85" s="43"/>
      <c r="AY85" s="43"/>
      <c r="AZ85" s="43"/>
    </row>
    <row r="86" spans="1:61" ht="18" customHeight="1" thickBot="1">
      <c r="A86" s="41"/>
      <c r="B86" s="540"/>
      <c r="C86" s="540"/>
      <c r="D86" s="540"/>
      <c r="E86" s="540"/>
      <c r="F86" s="541"/>
      <c r="G86" s="541"/>
      <c r="H86" s="541"/>
      <c r="I86" s="541"/>
      <c r="J86" s="541"/>
      <c r="K86" s="541"/>
      <c r="L86" s="541"/>
      <c r="M86" s="541"/>
      <c r="N86" s="541"/>
      <c r="O86" s="541"/>
      <c r="P86" s="541"/>
      <c r="Q86" s="541"/>
      <c r="R86" s="541"/>
      <c r="S86" s="541"/>
      <c r="T86" s="541"/>
      <c r="U86" s="541"/>
      <c r="V86" s="541"/>
      <c r="W86" s="541"/>
      <c r="X86" s="541"/>
      <c r="Y86" s="541"/>
      <c r="Z86" s="541"/>
      <c r="AA86" s="541"/>
      <c r="AB86" s="541"/>
      <c r="AC86" s="541"/>
      <c r="AD86" s="541"/>
      <c r="AE86" s="541"/>
      <c r="AF86" s="541"/>
      <c r="AG86" s="541"/>
      <c r="AH86" s="541"/>
      <c r="AI86" s="542"/>
      <c r="AK86" s="425"/>
      <c r="AL86" s="425"/>
      <c r="AM86" s="425"/>
      <c r="AN86" s="425"/>
      <c r="AO86" s="425"/>
      <c r="AP86" s="425"/>
      <c r="AQ86" s="42"/>
      <c r="AR86" s="43"/>
      <c r="AS86" s="43"/>
      <c r="AT86" s="43"/>
      <c r="AU86" s="43"/>
      <c r="AV86" s="43"/>
      <c r="AW86" s="43"/>
      <c r="AX86" s="43"/>
      <c r="AY86" s="43"/>
      <c r="AZ86" s="43"/>
    </row>
    <row r="87" spans="1:61" ht="14.1" customHeight="1">
      <c r="AK87" s="438"/>
      <c r="AL87" s="438"/>
      <c r="AM87" s="438"/>
      <c r="AN87" s="438"/>
      <c r="AO87" s="438"/>
      <c r="AP87" s="438"/>
      <c r="AQ87" s="119"/>
    </row>
    <row r="88" spans="1:61" ht="14.1" customHeight="1">
      <c r="AK88" s="437"/>
      <c r="AL88" s="437"/>
      <c r="AM88" s="437"/>
      <c r="AN88" s="437"/>
      <c r="AO88" s="437"/>
      <c r="AP88" s="437"/>
      <c r="AQ88" s="120"/>
    </row>
    <row r="89" spans="1:61" ht="14.1" customHeight="1">
      <c r="AK89" s="437"/>
      <c r="AL89" s="437"/>
      <c r="AM89" s="437"/>
      <c r="AN89" s="437"/>
      <c r="AO89" s="437"/>
      <c r="AP89" s="437"/>
      <c r="AQ89" s="120"/>
    </row>
    <row r="90" spans="1:61" ht="14.1" customHeight="1"/>
    <row r="91" spans="1:61" ht="14.1" customHeight="1"/>
    <row r="92" spans="1:61" ht="14.1" customHeight="1"/>
    <row r="93" spans="1:61" ht="14.1" customHeight="1"/>
    <row r="94" spans="1:61" ht="14.1" customHeight="1"/>
    <row r="95" spans="1:61" ht="14.1" customHeight="1"/>
    <row r="96" spans="1:61" ht="14.1" customHeight="1"/>
    <row r="97" ht="14.1" customHeight="1"/>
    <row r="98" ht="14.1" customHeight="1"/>
    <row r="99" ht="14.1" customHeight="1"/>
    <row r="100" ht="14.1" customHeight="1"/>
    <row r="101" ht="14.1" customHeight="1"/>
    <row r="102" ht="14.1" customHeight="1"/>
    <row r="103" ht="14.1" customHeight="1"/>
    <row r="104" ht="14.1" customHeight="1"/>
    <row r="105" ht="14.1" customHeight="1"/>
    <row r="106" ht="14.1" customHeight="1"/>
    <row r="107" ht="14.1" customHeight="1"/>
    <row r="108" ht="14.1" customHeight="1"/>
    <row r="109" ht="14.1" customHeight="1"/>
    <row r="110" ht="14.1" customHeight="1"/>
    <row r="111" ht="14.1" customHeight="1"/>
    <row r="112" ht="14.1" customHeight="1"/>
    <row r="113" ht="14.1" customHeight="1"/>
    <row r="114" ht="14.1" customHeight="1"/>
    <row r="115" ht="14.1" customHeight="1"/>
    <row r="116" ht="14.1" customHeight="1"/>
    <row r="117" ht="14.1" customHeight="1"/>
    <row r="118" ht="14.1" customHeight="1"/>
    <row r="119" ht="14.1" customHeight="1"/>
    <row r="120" ht="14.1" customHeight="1"/>
    <row r="121" ht="14.1" customHeight="1"/>
    <row r="122" ht="14.1" customHeight="1"/>
    <row r="123" ht="14.1" customHeight="1"/>
    <row r="124" ht="14.1" customHeight="1"/>
    <row r="125" ht="14.1" customHeight="1"/>
    <row r="126" ht="14.1" customHeight="1"/>
    <row r="127" ht="14.1" customHeight="1"/>
    <row r="128" ht="14.1" customHeight="1"/>
    <row r="129" ht="14.1" customHeight="1"/>
    <row r="130" ht="14.1" customHeight="1"/>
    <row r="131" ht="14.1" customHeight="1"/>
    <row r="132" ht="14.1" customHeight="1"/>
    <row r="133" ht="14.1" customHeight="1"/>
    <row r="134" ht="14.1" customHeight="1"/>
    <row r="135" ht="14.1" customHeight="1"/>
    <row r="136" ht="14.1" customHeight="1"/>
    <row r="137" ht="14.1" customHeight="1"/>
    <row r="138" ht="14.1" customHeight="1"/>
    <row r="139" ht="14.1" customHeight="1"/>
    <row r="140" ht="14.1" customHeight="1"/>
    <row r="141" ht="14.1" customHeight="1"/>
    <row r="142" ht="14.1" customHeight="1"/>
    <row r="143" ht="14.1" customHeight="1"/>
    <row r="144" ht="14.1" customHeight="1"/>
    <row r="145" ht="14.1" customHeight="1"/>
    <row r="146" ht="14.1" customHeight="1"/>
    <row r="147" ht="14.1" customHeight="1"/>
    <row r="148" ht="14.1" customHeight="1"/>
    <row r="149" ht="14.1" customHeight="1"/>
    <row r="150" ht="14.1" customHeight="1"/>
    <row r="151" ht="14.1" customHeight="1"/>
    <row r="152" ht="14.1" customHeight="1"/>
    <row r="153" ht="14.1" customHeight="1"/>
    <row r="154" ht="14.1" customHeight="1"/>
    <row r="155" ht="14.1" customHeight="1"/>
    <row r="156" ht="14.1" customHeight="1"/>
    <row r="157" ht="14.1" customHeight="1"/>
    <row r="158" ht="14.1" customHeight="1"/>
    <row r="159" ht="14.1" customHeight="1"/>
    <row r="160" ht="14.1" customHeight="1"/>
    <row r="161" ht="14.1" customHeight="1"/>
    <row r="162" ht="14.1" customHeight="1"/>
    <row r="163" ht="14.1" customHeight="1"/>
    <row r="164" ht="14.1" customHeight="1"/>
    <row r="165" ht="14.1" customHeight="1"/>
    <row r="166" ht="14.1" customHeight="1"/>
    <row r="167" ht="14.1" customHeight="1"/>
    <row r="168" ht="14.1" customHeight="1"/>
    <row r="169" ht="14.1" customHeight="1"/>
    <row r="170" ht="14.1" customHeight="1"/>
    <row r="171" ht="14.1" customHeight="1"/>
    <row r="172" ht="14.1" customHeight="1"/>
    <row r="173" ht="14.1" customHeight="1"/>
    <row r="174" ht="14.1" customHeight="1"/>
    <row r="175" ht="14.1" customHeight="1"/>
    <row r="176" ht="14.1" customHeight="1"/>
    <row r="177" ht="14.1" customHeight="1"/>
    <row r="178" ht="14.1" customHeight="1"/>
    <row r="179" ht="14.1" customHeight="1"/>
    <row r="180" ht="14.1" customHeight="1"/>
    <row r="181" ht="14.1" customHeight="1"/>
    <row r="182" ht="14.1" customHeight="1"/>
    <row r="183" ht="14.1" customHeight="1"/>
    <row r="184" ht="14.1" customHeight="1"/>
    <row r="185" ht="14.1" customHeight="1"/>
    <row r="186" ht="14.1" customHeight="1"/>
    <row r="187" ht="14.1" customHeight="1"/>
    <row r="188" ht="14.1" customHeight="1"/>
    <row r="189" ht="14.1" customHeight="1"/>
    <row r="190" ht="14.1" customHeight="1"/>
    <row r="191" ht="14.1" customHeight="1"/>
    <row r="192" ht="14.1" customHeight="1"/>
    <row r="193" ht="14.1" customHeight="1"/>
    <row r="194" ht="14.1" customHeight="1"/>
    <row r="195" ht="14.1" customHeight="1"/>
    <row r="196" ht="14.1" customHeight="1"/>
    <row r="197" ht="14.1" customHeight="1"/>
    <row r="198" ht="14.1" customHeight="1"/>
    <row r="199" ht="14.1" customHeight="1"/>
    <row r="200" ht="14.1" customHeight="1"/>
    <row r="201" ht="14.1" customHeight="1"/>
    <row r="202" ht="14.1" customHeight="1"/>
    <row r="203" ht="14.1" customHeight="1"/>
    <row r="204" ht="14.1" customHeight="1"/>
    <row r="205" ht="14.1" customHeight="1"/>
    <row r="206" ht="14.1" customHeight="1"/>
    <row r="207" ht="14.1" customHeight="1"/>
    <row r="208" ht="14.1" customHeight="1"/>
    <row r="209" ht="14.1" customHeight="1"/>
    <row r="210" ht="14.1" customHeight="1"/>
    <row r="211" ht="14.1" customHeight="1"/>
    <row r="212" ht="14.1" customHeight="1"/>
    <row r="213" ht="14.1" customHeight="1"/>
    <row r="214" ht="14.1" customHeight="1"/>
    <row r="215" ht="14.1" customHeight="1"/>
    <row r="216" ht="14.1" customHeight="1"/>
    <row r="217" ht="14.1" customHeight="1"/>
    <row r="218" ht="14.1" customHeight="1"/>
    <row r="219" ht="14.1" customHeight="1"/>
    <row r="220" ht="14.1" customHeight="1"/>
    <row r="221" ht="14.1" customHeight="1"/>
    <row r="222" ht="14.1" customHeight="1"/>
    <row r="223" ht="14.1" customHeight="1"/>
    <row r="224" ht="14.1" customHeight="1"/>
    <row r="225" ht="14.1" customHeight="1"/>
    <row r="226" ht="14.1" customHeight="1"/>
    <row r="227" ht="14.1" customHeight="1"/>
    <row r="228" ht="14.1" customHeight="1"/>
    <row r="229" ht="14.1" customHeight="1"/>
    <row r="230" ht="14.1" customHeight="1"/>
    <row r="231" ht="14.1" customHeight="1"/>
    <row r="232" ht="14.1" customHeight="1"/>
    <row r="233" ht="14.1" customHeight="1"/>
    <row r="234" ht="14.1" customHeight="1"/>
    <row r="235" ht="14.1" customHeight="1"/>
    <row r="236" ht="14.1" customHeight="1"/>
    <row r="237" ht="14.1" customHeight="1"/>
    <row r="238" ht="14.1" customHeight="1"/>
    <row r="239" ht="14.1" customHeight="1"/>
    <row r="240" ht="14.1" customHeight="1"/>
    <row r="241" ht="14.1" customHeight="1"/>
    <row r="242" ht="14.1" customHeight="1"/>
    <row r="243" ht="14.1" customHeight="1"/>
    <row r="244" ht="14.1" customHeight="1"/>
    <row r="245" ht="14.1" customHeight="1"/>
    <row r="246" ht="14.1" customHeight="1"/>
    <row r="247" ht="14.1" customHeight="1"/>
    <row r="248" ht="14.1" customHeight="1"/>
    <row r="249" ht="14.1" customHeight="1"/>
    <row r="250" ht="14.1" customHeight="1"/>
    <row r="251" ht="14.1" customHeight="1"/>
    <row r="252" ht="14.1" customHeight="1"/>
    <row r="253" ht="14.1" customHeight="1"/>
    <row r="254" ht="14.1" customHeight="1"/>
    <row r="255" ht="14.1" customHeight="1"/>
    <row r="256" ht="14.1" customHeight="1"/>
    <row r="257" ht="14.1" customHeight="1"/>
    <row r="258" ht="14.1" customHeight="1"/>
    <row r="259" ht="14.1" customHeight="1"/>
    <row r="260" ht="14.1" customHeight="1"/>
    <row r="261" ht="14.1" customHeight="1"/>
    <row r="262" ht="14.1" customHeight="1"/>
    <row r="263" ht="14.1" customHeight="1"/>
    <row r="264" ht="14.1" customHeight="1"/>
    <row r="265" ht="14.1" customHeight="1"/>
    <row r="266" ht="14.1" customHeight="1"/>
  </sheetData>
  <sheetProtection algorithmName="SHA-512" hashValue="0loLJCJhL4ad+e9W1BFBlntzNt2hf75qC+V2eugpQkoXMOcFlTwiL5DSpVRXAf1cyQ/kgBnOXO/4cSPzCUKn4A==" saltValue="4etb9yyOEqZ9UduJqdtb6g==" spinCount="100000" sheet="1" autoFilter="0"/>
  <mergeCells count="381">
    <mergeCell ref="A1:S3"/>
    <mergeCell ref="T1:Z3"/>
    <mergeCell ref="AD1:AI1"/>
    <mergeCell ref="AD2:AF4"/>
    <mergeCell ref="AG2:AI4"/>
    <mergeCell ref="A4:S5"/>
    <mergeCell ref="AK7:AP8"/>
    <mergeCell ref="AQ7:AQ8"/>
    <mergeCell ref="V8:X8"/>
    <mergeCell ref="A9:AI9"/>
    <mergeCell ref="AK9:AP9"/>
    <mergeCell ref="A10:H10"/>
    <mergeCell ref="I10:J10"/>
    <mergeCell ref="K10:L10"/>
    <mergeCell ref="M10:T10"/>
    <mergeCell ref="U10:V10"/>
    <mergeCell ref="O7:P8"/>
    <mergeCell ref="Q7:R8"/>
    <mergeCell ref="S7:T8"/>
    <mergeCell ref="V7:X7"/>
    <mergeCell ref="Y7:AA8"/>
    <mergeCell ref="AB7:AI8"/>
    <mergeCell ref="A7:E8"/>
    <mergeCell ref="F7:F8"/>
    <mergeCell ref="G7:I8"/>
    <mergeCell ref="J7:J8"/>
    <mergeCell ref="K7:M8"/>
    <mergeCell ref="N7:N8"/>
    <mergeCell ref="W10:X10"/>
    <mergeCell ref="Y10:AF10"/>
    <mergeCell ref="AG10:AH10"/>
    <mergeCell ref="AK10:AP10"/>
    <mergeCell ref="A11:H11"/>
    <mergeCell ref="I11:J11"/>
    <mergeCell ref="K11:L11"/>
    <mergeCell ref="M11:T11"/>
    <mergeCell ref="U11:V11"/>
    <mergeCell ref="W11:X11"/>
    <mergeCell ref="Y11:AF11"/>
    <mergeCell ref="AG11:AH11"/>
    <mergeCell ref="AK11:AP11"/>
    <mergeCell ref="A12:H12"/>
    <mergeCell ref="I12:J12"/>
    <mergeCell ref="K12:L12"/>
    <mergeCell ref="M12:T12"/>
    <mergeCell ref="U12:V12"/>
    <mergeCell ref="W12:X12"/>
    <mergeCell ref="Y12:AF12"/>
    <mergeCell ref="AG12:AH12"/>
    <mergeCell ref="AK12:AP12"/>
    <mergeCell ref="A13:H13"/>
    <mergeCell ref="I13:J13"/>
    <mergeCell ref="K13:L13"/>
    <mergeCell ref="M13:T13"/>
    <mergeCell ref="U13:V13"/>
    <mergeCell ref="W13:X13"/>
    <mergeCell ref="Y13:AF13"/>
    <mergeCell ref="AG13:AH13"/>
    <mergeCell ref="AK13:AP13"/>
    <mergeCell ref="A14:AI14"/>
    <mergeCell ref="AK14:AP14"/>
    <mergeCell ref="B15:I15"/>
    <mergeCell ref="J15:L15"/>
    <mergeCell ref="M15:N15"/>
    <mergeCell ref="O15:V15"/>
    <mergeCell ref="W15:Y15"/>
    <mergeCell ref="Z15:AA15"/>
    <mergeCell ref="AB15:AG15"/>
    <mergeCell ref="A18:E18"/>
    <mergeCell ref="F18:AI18"/>
    <mergeCell ref="AK18:AP18"/>
    <mergeCell ref="B19:E19"/>
    <mergeCell ref="F19:AI19"/>
    <mergeCell ref="AK19:AP19"/>
    <mergeCell ref="AH15:AI15"/>
    <mergeCell ref="AK15:AP15"/>
    <mergeCell ref="A16:AI16"/>
    <mergeCell ref="AK16:AP16"/>
    <mergeCell ref="A17:E17"/>
    <mergeCell ref="F17:AI17"/>
    <mergeCell ref="AK17:AP17"/>
    <mergeCell ref="B20:E20"/>
    <mergeCell ref="F20:AI20"/>
    <mergeCell ref="AK20:AP20"/>
    <mergeCell ref="AR20:AR23"/>
    <mergeCell ref="B21:E21"/>
    <mergeCell ref="F21:AI21"/>
    <mergeCell ref="AK21:AP21"/>
    <mergeCell ref="B22:E22"/>
    <mergeCell ref="F22:AI22"/>
    <mergeCell ref="AK22:AP22"/>
    <mergeCell ref="BA23:BB23"/>
    <mergeCell ref="B24:E24"/>
    <mergeCell ref="F24:AI24"/>
    <mergeCell ref="AK24:AP24"/>
    <mergeCell ref="AY24:AZ24"/>
    <mergeCell ref="BA24:BB24"/>
    <mergeCell ref="AS22:AT22"/>
    <mergeCell ref="AU22:AV22"/>
    <mergeCell ref="AY22:AZ22"/>
    <mergeCell ref="BA22:BB22"/>
    <mergeCell ref="B23:E23"/>
    <mergeCell ref="F23:AI23"/>
    <mergeCell ref="AK23:AP23"/>
    <mergeCell ref="AS23:AT23"/>
    <mergeCell ref="AU23:AV23"/>
    <mergeCell ref="AY23:AZ23"/>
    <mergeCell ref="B27:E27"/>
    <mergeCell ref="F27:AI27"/>
    <mergeCell ref="AK27:AP27"/>
    <mergeCell ref="AS27:AT27"/>
    <mergeCell ref="AU27:AW27"/>
    <mergeCell ref="AY27:BB27"/>
    <mergeCell ref="B25:E25"/>
    <mergeCell ref="F25:AI25"/>
    <mergeCell ref="AK25:AP25"/>
    <mergeCell ref="AY25:AZ25"/>
    <mergeCell ref="BA25:BB25"/>
    <mergeCell ref="B26:E26"/>
    <mergeCell ref="F26:AI26"/>
    <mergeCell ref="AK26:AP26"/>
    <mergeCell ref="AS26:AW26"/>
    <mergeCell ref="BA28:BB28"/>
    <mergeCell ref="B29:E29"/>
    <mergeCell ref="F29:AI29"/>
    <mergeCell ref="AK29:AP29"/>
    <mergeCell ref="AS29:AT29"/>
    <mergeCell ref="AU29:AW29"/>
    <mergeCell ref="AY29:AZ29"/>
    <mergeCell ref="BA29:BB29"/>
    <mergeCell ref="B28:E28"/>
    <mergeCell ref="F28:AI28"/>
    <mergeCell ref="AK28:AP28"/>
    <mergeCell ref="AS28:AT28"/>
    <mergeCell ref="AU28:AW28"/>
    <mergeCell ref="AY28:AZ28"/>
    <mergeCell ref="A32:AI32"/>
    <mergeCell ref="AK32:AP32"/>
    <mergeCell ref="AS32:AT32"/>
    <mergeCell ref="AU32:AW32"/>
    <mergeCell ref="AY32:AZ32"/>
    <mergeCell ref="BA32:BB32"/>
    <mergeCell ref="BA30:BB30"/>
    <mergeCell ref="B31:E31"/>
    <mergeCell ref="F31:AI31"/>
    <mergeCell ref="AK31:AP31"/>
    <mergeCell ref="AS31:AT31"/>
    <mergeCell ref="AU31:AW31"/>
    <mergeCell ref="AY31:AZ31"/>
    <mergeCell ref="BA31:BB31"/>
    <mergeCell ref="B30:E30"/>
    <mergeCell ref="F30:AI30"/>
    <mergeCell ref="AK30:AP30"/>
    <mergeCell ref="AS30:AT30"/>
    <mergeCell ref="AU30:AW30"/>
    <mergeCell ref="AY30:AZ30"/>
    <mergeCell ref="BA33:BB33"/>
    <mergeCell ref="B34:E34"/>
    <mergeCell ref="F34:AI34"/>
    <mergeCell ref="AK34:AP34"/>
    <mergeCell ref="AS34:AT34"/>
    <mergeCell ref="AU34:AW34"/>
    <mergeCell ref="AY34:AZ34"/>
    <mergeCell ref="BA34:BB34"/>
    <mergeCell ref="B33:E33"/>
    <mergeCell ref="F33:AI33"/>
    <mergeCell ref="AK33:AP33"/>
    <mergeCell ref="AS33:AT33"/>
    <mergeCell ref="AU33:AW33"/>
    <mergeCell ref="AY33:AZ33"/>
    <mergeCell ref="AY35:AZ35"/>
    <mergeCell ref="BA35:BB35"/>
    <mergeCell ref="A36:E36"/>
    <mergeCell ref="F36:K36"/>
    <mergeCell ref="L36:O36"/>
    <mergeCell ref="P36:R36"/>
    <mergeCell ref="T36:V36"/>
    <mergeCell ref="W36:AB36"/>
    <mergeCell ref="AC36:AI36"/>
    <mergeCell ref="B35:E35"/>
    <mergeCell ref="F35:V35"/>
    <mergeCell ref="W35:AB35"/>
    <mergeCell ref="AC35:AI35"/>
    <mergeCell ref="AK35:AP35"/>
    <mergeCell ref="AS35:AT35"/>
    <mergeCell ref="AK36:AP36"/>
    <mergeCell ref="AS36:AT36"/>
    <mergeCell ref="AU36:AW36"/>
    <mergeCell ref="AU35:AW35"/>
    <mergeCell ref="A39:AI39"/>
    <mergeCell ref="AK39:AP39"/>
    <mergeCell ref="AS39:AT39"/>
    <mergeCell ref="AV39:AW39"/>
    <mergeCell ref="A38:E38"/>
    <mergeCell ref="F38:K38"/>
    <mergeCell ref="L38:O38"/>
    <mergeCell ref="P38:V38"/>
    <mergeCell ref="W38:AB38"/>
    <mergeCell ref="AC38:AI38"/>
    <mergeCell ref="AD40:AI40"/>
    <mergeCell ref="A37:E37"/>
    <mergeCell ref="F37:AI37"/>
    <mergeCell ref="AK40:AP40"/>
    <mergeCell ref="AS40:AT40"/>
    <mergeCell ref="AV40:AW40"/>
    <mergeCell ref="A41:D41"/>
    <mergeCell ref="E41:G41"/>
    <mergeCell ref="I41:K41"/>
    <mergeCell ref="L41:R41"/>
    <mergeCell ref="S41:V41"/>
    <mergeCell ref="W41:Y41"/>
    <mergeCell ref="AA41:AC41"/>
    <mergeCell ref="AD41:AI41"/>
    <mergeCell ref="AK41:AP41"/>
    <mergeCell ref="A40:D40"/>
    <mergeCell ref="E40:K40"/>
    <mergeCell ref="L40:R40"/>
    <mergeCell ref="S40:V40"/>
    <mergeCell ref="W40:AC40"/>
    <mergeCell ref="AK37:AP37"/>
    <mergeCell ref="AS37:AT37"/>
    <mergeCell ref="AU37:AW37"/>
    <mergeCell ref="AK38:AP38"/>
    <mergeCell ref="A42:D42"/>
    <mergeCell ref="E42:G42"/>
    <mergeCell ref="I42:K42"/>
    <mergeCell ref="L42:R42"/>
    <mergeCell ref="S42:V42"/>
    <mergeCell ref="W42:Y42"/>
    <mergeCell ref="AA42:AC42"/>
    <mergeCell ref="AK42:AP42"/>
    <mergeCell ref="AS42:AW42"/>
    <mergeCell ref="A43:D43"/>
    <mergeCell ref="E43:G43"/>
    <mergeCell ref="I43:K43"/>
    <mergeCell ref="L43:R43"/>
    <mergeCell ref="S43:V43"/>
    <mergeCell ref="W43:Y43"/>
    <mergeCell ref="AA43:AC43"/>
    <mergeCell ref="A44:D44"/>
    <mergeCell ref="E44:G44"/>
    <mergeCell ref="I44:K44"/>
    <mergeCell ref="L44:R44"/>
    <mergeCell ref="S44:V44"/>
    <mergeCell ref="W44:Y44"/>
    <mergeCell ref="AA44:AC44"/>
    <mergeCell ref="AD44:AI44"/>
    <mergeCell ref="AD42:AI42"/>
    <mergeCell ref="AK44:AP44"/>
    <mergeCell ref="R45:U45"/>
    <mergeCell ref="W45:X45"/>
    <mergeCell ref="Z45:AA45"/>
    <mergeCell ref="AC45:AD45"/>
    <mergeCell ref="AE45:AF45"/>
    <mergeCell ref="AK45:AP45"/>
    <mergeCell ref="AD43:AI43"/>
    <mergeCell ref="AK43:AP43"/>
    <mergeCell ref="B49:E49"/>
    <mergeCell ref="F49:AI49"/>
    <mergeCell ref="AK49:AP49"/>
    <mergeCell ref="B50:E50"/>
    <mergeCell ref="F50:AI50"/>
    <mergeCell ref="AK50:AP50"/>
    <mergeCell ref="A46:AI46"/>
    <mergeCell ref="AK46:AP46"/>
    <mergeCell ref="B47:E47"/>
    <mergeCell ref="F47:AI47"/>
    <mergeCell ref="AK47:AP47"/>
    <mergeCell ref="B48:E48"/>
    <mergeCell ref="F48:AI48"/>
    <mergeCell ref="AK48:AP48"/>
    <mergeCell ref="B53:E53"/>
    <mergeCell ref="F53:AI53"/>
    <mergeCell ref="AK53:AP53"/>
    <mergeCell ref="B54:E54"/>
    <mergeCell ref="F54:AI54"/>
    <mergeCell ref="AK54:AP54"/>
    <mergeCell ref="B51:E51"/>
    <mergeCell ref="F51:AI51"/>
    <mergeCell ref="AK51:AP51"/>
    <mergeCell ref="B52:E52"/>
    <mergeCell ref="F52:AI52"/>
    <mergeCell ref="AK52:AP52"/>
    <mergeCell ref="B57:E57"/>
    <mergeCell ref="F57:AI57"/>
    <mergeCell ref="AK57:AP57"/>
    <mergeCell ref="B58:E58"/>
    <mergeCell ref="F58:AI58"/>
    <mergeCell ref="AK58:AP58"/>
    <mergeCell ref="B55:E55"/>
    <mergeCell ref="F55:AI55"/>
    <mergeCell ref="AK55:AP55"/>
    <mergeCell ref="B56:E56"/>
    <mergeCell ref="F56:AI56"/>
    <mergeCell ref="AK56:AP56"/>
    <mergeCell ref="B61:E61"/>
    <mergeCell ref="F61:AI61"/>
    <mergeCell ref="AK61:AP61"/>
    <mergeCell ref="B62:E62"/>
    <mergeCell ref="F62:AI62"/>
    <mergeCell ref="AK62:AP62"/>
    <mergeCell ref="B59:E59"/>
    <mergeCell ref="F59:AI59"/>
    <mergeCell ref="AK59:AP59"/>
    <mergeCell ref="B60:E60"/>
    <mergeCell ref="F60:AI60"/>
    <mergeCell ref="AK60:AP60"/>
    <mergeCell ref="B65:E65"/>
    <mergeCell ref="F65:AI65"/>
    <mergeCell ref="AK65:AP65"/>
    <mergeCell ref="B66:E66"/>
    <mergeCell ref="F66:AI66"/>
    <mergeCell ref="AK66:AP66"/>
    <mergeCell ref="B63:E63"/>
    <mergeCell ref="F63:AI63"/>
    <mergeCell ref="AK63:AP63"/>
    <mergeCell ref="B64:E64"/>
    <mergeCell ref="F64:AI64"/>
    <mergeCell ref="AK64:AP64"/>
    <mergeCell ref="B69:E69"/>
    <mergeCell ref="F69:AI69"/>
    <mergeCell ref="AK69:AP69"/>
    <mergeCell ref="B70:E70"/>
    <mergeCell ref="F70:AI70"/>
    <mergeCell ref="AK70:AP70"/>
    <mergeCell ref="B67:E67"/>
    <mergeCell ref="F67:AI67"/>
    <mergeCell ref="AK67:AP67"/>
    <mergeCell ref="B68:E68"/>
    <mergeCell ref="F68:AI68"/>
    <mergeCell ref="AK68:AP68"/>
    <mergeCell ref="B73:E73"/>
    <mergeCell ref="F73:AI73"/>
    <mergeCell ref="AK73:AP73"/>
    <mergeCell ref="B74:E74"/>
    <mergeCell ref="F74:AI74"/>
    <mergeCell ref="AK74:AP74"/>
    <mergeCell ref="B71:E71"/>
    <mergeCell ref="F71:AI71"/>
    <mergeCell ref="AK71:AP71"/>
    <mergeCell ref="B72:E72"/>
    <mergeCell ref="F72:AI72"/>
    <mergeCell ref="AK72:AP72"/>
    <mergeCell ref="B77:E77"/>
    <mergeCell ref="F77:AI77"/>
    <mergeCell ref="AK77:AP77"/>
    <mergeCell ref="B78:E78"/>
    <mergeCell ref="F78:AI78"/>
    <mergeCell ref="AK78:AP78"/>
    <mergeCell ref="B75:E75"/>
    <mergeCell ref="F75:AI75"/>
    <mergeCell ref="AK75:AP75"/>
    <mergeCell ref="B76:E76"/>
    <mergeCell ref="F76:AI76"/>
    <mergeCell ref="AK76:AP76"/>
    <mergeCell ref="A81:AI81"/>
    <mergeCell ref="AK81:AP81"/>
    <mergeCell ref="B82:E82"/>
    <mergeCell ref="F82:AI82"/>
    <mergeCell ref="AK82:AP82"/>
    <mergeCell ref="B83:E83"/>
    <mergeCell ref="F83:AI83"/>
    <mergeCell ref="AK83:AP83"/>
    <mergeCell ref="B79:E79"/>
    <mergeCell ref="F79:AI79"/>
    <mergeCell ref="AK79:AP79"/>
    <mergeCell ref="B80:E80"/>
    <mergeCell ref="F80:AI80"/>
    <mergeCell ref="AK80:AP80"/>
    <mergeCell ref="B86:E86"/>
    <mergeCell ref="F86:AI86"/>
    <mergeCell ref="AK86:AP86"/>
    <mergeCell ref="AK87:AP87"/>
    <mergeCell ref="AK88:AP88"/>
    <mergeCell ref="AK89:AP89"/>
    <mergeCell ref="B84:E84"/>
    <mergeCell ref="F84:AI84"/>
    <mergeCell ref="AK84:AP84"/>
    <mergeCell ref="B85:E85"/>
    <mergeCell ref="F85:AI85"/>
    <mergeCell ref="AK85:AP85"/>
  </mergeCells>
  <phoneticPr fontId="2"/>
  <conditionalFormatting sqref="AQ20:AQ28 AQ30:AQ31 AQ9 AQ11:AQ12 AQ14 AQ33:AQ34">
    <cfRule type="containsBlanks" dxfId="227" priority="12">
      <formula>LEN(TRIM(AQ9))=0</formula>
    </cfRule>
  </conditionalFormatting>
  <conditionalFormatting sqref="BC11:CF11">
    <cfRule type="containsText" dxfId="226" priority="8" operator="containsText" text="青">
      <formula>NOT(ISERROR(SEARCH("青",BC11)))</formula>
    </cfRule>
    <cfRule type="containsText" dxfId="225" priority="9" operator="containsText" text="緑">
      <formula>NOT(ISERROR(SEARCH("緑",BC11)))</formula>
    </cfRule>
    <cfRule type="containsText" dxfId="224" priority="10" operator="containsText" text="黄">
      <formula>NOT(ISERROR(SEARCH("黄",BC11)))</formula>
    </cfRule>
    <cfRule type="containsText" dxfId="223" priority="11" operator="containsText" text="赤">
      <formula>NOT(ISERROR(SEARCH("赤",BC11)))</formula>
    </cfRule>
  </conditionalFormatting>
  <conditionalFormatting sqref="V7:X8">
    <cfRule type="containsBlanks" dxfId="222" priority="7">
      <formula>LEN(TRIM(V7))=0</formula>
    </cfRule>
  </conditionalFormatting>
  <conditionalFormatting sqref="AB7:AI8">
    <cfRule type="containsBlanks" dxfId="221" priority="6">
      <formula>LEN(TRIM(AB7))=0</formula>
    </cfRule>
  </conditionalFormatting>
  <conditionalFormatting sqref="A7:E8 G7:I8 K7:M8 O7:P8">
    <cfRule type="containsBlanks" dxfId="220" priority="5">
      <formula>LEN(TRIM(A7))=0</formula>
    </cfRule>
  </conditionalFormatting>
  <conditionalFormatting sqref="W15:Y15 AH15:AI15 J15:L15">
    <cfRule type="containsBlanks" dxfId="219" priority="4">
      <formula>LEN(TRIM(J15))=0</formula>
    </cfRule>
  </conditionalFormatting>
  <conditionalFormatting sqref="L41:R44">
    <cfRule type="cellIs" dxfId="218" priority="1" operator="equal">
      <formula>0</formula>
    </cfRule>
  </conditionalFormatting>
  <conditionalFormatting sqref="P36:R36 T36:V36 L38:O38 AC38:AI38 AC36:AI36">
    <cfRule type="containsBlanks" dxfId="217" priority="3">
      <formula>LEN(TRIM(L36))=0</formula>
    </cfRule>
  </conditionalFormatting>
  <conditionalFormatting sqref="W41:Y44 AA41:AI44">
    <cfRule type="cellIs" dxfId="216" priority="2" operator="equal">
      <formula>0</formula>
    </cfRule>
  </conditionalFormatting>
  <printOptions horizontalCentered="1" verticalCentered="1"/>
  <pageMargins left="0.70866141732283472" right="0.59055118110236227" top="0.55118110236220474" bottom="0.55118110236220474" header="0.31496062992125984" footer="0.31496062992125984"/>
  <pageSetup paperSize="9" orientation="portrait" horizontalDpi="300" verticalDpi="300" r:id="rId1"/>
  <headerFooter scaleWithDoc="0" alignWithMargins="0">
    <oddFooter>&amp;C&amp;P&amp;Rヒトトヒト株式会社</oddFooter>
  </headerFooter>
  <rowBreaks count="1" manualBreakCount="1">
    <brk id="44" max="34" man="1"/>
  </rowBreaks>
  <drawing r:id="rId2"/>
  <extLst>
    <ext xmlns:x14="http://schemas.microsoft.com/office/spreadsheetml/2009/9/main" uri="{CCE6A557-97BC-4b89-ADB6-D9C93CAAB3DF}">
      <x14:dataValidations xmlns:xm="http://schemas.microsoft.com/office/excel/2006/main" count="6">
        <x14:dataValidation type="list" allowBlank="1" showInputMessage="1" showErrorMessage="1" xr:uid="{350E3AE9-AE64-4850-BD25-81D0072BC8BE}">
          <x14:formula1>
            <xm:f>初期値!$C$12:$C$27</xm:f>
          </x14:formula1>
          <xm:sqref>P36:R36 T36:V36</xm:sqref>
        </x14:dataValidation>
        <x14:dataValidation type="list" allowBlank="1" showInputMessage="1" showErrorMessage="1" xr:uid="{72F0658F-C07B-454C-AC1F-6D8AD1257354}">
          <x14:formula1>
            <xm:f>初期値!$G$12:$G$24</xm:f>
          </x14:formula1>
          <xm:sqref>V7:X8</xm:sqref>
        </x14:dataValidation>
        <x14:dataValidation type="list" allowBlank="1" showInputMessage="1" showErrorMessage="1" xr:uid="{C7A43F2C-1428-46D9-B11E-143AFDA6C6B9}">
          <x14:formula1>
            <xm:f>初期値!$E$12:$E$13</xm:f>
          </x14:formula1>
          <xm:sqref>L38:O38 AC38:AI38 AC36:AI36</xm:sqref>
        </x14:dataValidation>
        <x14:dataValidation type="list" allowBlank="1" showInputMessage="1" showErrorMessage="1" xr:uid="{D2CA4D46-FEB7-4695-A846-1506CD37AD6F}">
          <x14:formula1>
            <xm:f>初期値!$N$22:$N$23</xm:f>
          </x14:formula1>
          <xm:sqref>AW23</xm:sqref>
        </x14:dataValidation>
        <x14:dataValidation type="list" allowBlank="1" showInputMessage="1" showErrorMessage="1" xr:uid="{D2F3C0AA-F339-42F3-87EA-08F5F404EF66}">
          <x14:formula1>
            <xm:f>初期値!$P$12:$P$27</xm:f>
          </x14:formula1>
          <xm:sqref>BA24:BB24 BA22:BB22 BA28:BB28 BA30:BB30 BA32:BB32 BA34:BB34</xm:sqref>
        </x14:dataValidation>
        <x14:dataValidation type="list" allowBlank="1" showInputMessage="1" showErrorMessage="1" xr:uid="{B8AC8EC3-D86F-40CC-8146-2095C863A506}">
          <x14:formula1>
            <xm:f>初期値!$N$12:$N$19</xm:f>
          </x14:formula1>
          <xm:sqref>AU22:AV22</xm:sqref>
        </x14:dataValidation>
      </x14:dataValidations>
    </ext>
  </extLst>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9D00D3F-7C3A-480C-907F-4C2539CDF2D0}">
  <sheetPr codeName="Sheet21"/>
  <dimension ref="A1:CG266"/>
  <sheetViews>
    <sheetView topLeftCell="A33" zoomScaleNormal="100" zoomScaleSheetLayoutView="100" workbookViewId="0">
      <selection activeCell="AC38" sqref="AC38:AI38"/>
    </sheetView>
  </sheetViews>
  <sheetFormatPr defaultColWidth="8.875" defaultRowHeight="13.5"/>
  <cols>
    <col min="1" max="42" width="2.25" style="23" customWidth="1"/>
    <col min="43" max="43" width="6" style="23" bestFit="1" customWidth="1"/>
    <col min="44" max="44" width="4.5" style="23" bestFit="1" customWidth="1"/>
    <col min="45" max="45" width="6" style="23" bestFit="1" customWidth="1"/>
    <col min="46" max="46" width="4.5" style="23" bestFit="1" customWidth="1"/>
    <col min="47" max="47" width="9" style="23" bestFit="1" customWidth="1"/>
    <col min="48" max="48" width="8.5" style="23" bestFit="1" customWidth="1"/>
    <col min="49" max="49" width="7.5" style="23" bestFit="1" customWidth="1"/>
    <col min="50" max="50" width="6.5" style="23" bestFit="1" customWidth="1"/>
    <col min="51" max="51" width="7.5" style="23" bestFit="1" customWidth="1"/>
    <col min="52" max="52" width="2.125" style="23" customWidth="1"/>
    <col min="53" max="54" width="7.375" style="23" customWidth="1"/>
    <col min="55" max="63" width="3.625" style="23" bestFit="1" customWidth="1"/>
    <col min="64" max="84" width="4" style="23" bestFit="1" customWidth="1"/>
    <col min="85" max="16384" width="8.875" style="23"/>
  </cols>
  <sheetData>
    <row r="1" spans="1:85" ht="14.1" customHeight="1">
      <c r="A1" s="510" t="s">
        <v>551</v>
      </c>
      <c r="B1" s="510"/>
      <c r="C1" s="510"/>
      <c r="D1" s="510"/>
      <c r="E1" s="510"/>
      <c r="F1" s="510"/>
      <c r="G1" s="510"/>
      <c r="H1" s="510"/>
      <c r="I1" s="510"/>
      <c r="J1" s="510"/>
      <c r="K1" s="510"/>
      <c r="L1" s="510"/>
      <c r="M1" s="510"/>
      <c r="N1" s="510"/>
      <c r="O1" s="510"/>
      <c r="P1" s="510"/>
      <c r="Q1" s="510"/>
      <c r="R1" s="510"/>
      <c r="S1" s="510"/>
      <c r="T1" s="388"/>
      <c r="U1" s="388"/>
      <c r="V1" s="388"/>
      <c r="W1" s="388"/>
      <c r="X1" s="388"/>
      <c r="Y1" s="388"/>
      <c r="Z1" s="388"/>
      <c r="AA1" s="24"/>
      <c r="AB1" s="32"/>
      <c r="AD1" s="252" t="s">
        <v>167</v>
      </c>
      <c r="AE1" s="252"/>
      <c r="AF1" s="252"/>
      <c r="AG1" s="252"/>
      <c r="AH1" s="252"/>
      <c r="AI1" s="252"/>
      <c r="AM1" s="123">
        <v>14</v>
      </c>
      <c r="BB1"/>
    </row>
    <row r="2" spans="1:85" ht="14.1" customHeight="1">
      <c r="A2" s="510"/>
      <c r="B2" s="510"/>
      <c r="C2" s="510"/>
      <c r="D2" s="510"/>
      <c r="E2" s="510"/>
      <c r="F2" s="510"/>
      <c r="G2" s="510"/>
      <c r="H2" s="510"/>
      <c r="I2" s="510"/>
      <c r="J2" s="510"/>
      <c r="K2" s="510"/>
      <c r="L2" s="510"/>
      <c r="M2" s="510"/>
      <c r="N2" s="510"/>
      <c r="O2" s="510"/>
      <c r="P2" s="510"/>
      <c r="Q2" s="510"/>
      <c r="R2" s="510"/>
      <c r="S2" s="510"/>
      <c r="T2" s="388"/>
      <c r="U2" s="388"/>
      <c r="V2" s="388"/>
      <c r="W2" s="388"/>
      <c r="X2" s="388"/>
      <c r="Y2" s="388"/>
      <c r="Z2" s="388"/>
      <c r="AA2" s="25"/>
      <c r="AB2" s="31"/>
      <c r="AD2" s="253"/>
      <c r="AE2" s="253"/>
      <c r="AF2" s="253"/>
      <c r="AG2" s="253"/>
      <c r="AH2" s="253"/>
      <c r="AI2" s="253"/>
      <c r="BA2"/>
    </row>
    <row r="3" spans="1:85" ht="14.1" customHeight="1">
      <c r="A3" s="510"/>
      <c r="B3" s="510"/>
      <c r="C3" s="510"/>
      <c r="D3" s="510"/>
      <c r="E3" s="510"/>
      <c r="F3" s="510"/>
      <c r="G3" s="510"/>
      <c r="H3" s="510"/>
      <c r="I3" s="510"/>
      <c r="J3" s="510"/>
      <c r="K3" s="510"/>
      <c r="L3" s="510"/>
      <c r="M3" s="510"/>
      <c r="N3" s="510"/>
      <c r="O3" s="510"/>
      <c r="P3" s="510"/>
      <c r="Q3" s="510"/>
      <c r="R3" s="510"/>
      <c r="S3" s="510"/>
      <c r="T3" s="388"/>
      <c r="U3" s="388"/>
      <c r="V3" s="388"/>
      <c r="W3" s="388"/>
      <c r="X3" s="388"/>
      <c r="Y3" s="388"/>
      <c r="Z3" s="388"/>
      <c r="AA3" s="25"/>
      <c r="AB3" s="31"/>
      <c r="AD3" s="253"/>
      <c r="AE3" s="253"/>
      <c r="AF3" s="253"/>
      <c r="AG3" s="253"/>
      <c r="AH3" s="253"/>
      <c r="AI3" s="253"/>
      <c r="BA3"/>
    </row>
    <row r="4" spans="1:85" ht="14.1" customHeight="1">
      <c r="A4" s="395" t="s">
        <v>552</v>
      </c>
      <c r="B4" s="395"/>
      <c r="C4" s="395"/>
      <c r="D4" s="395"/>
      <c r="E4" s="395"/>
      <c r="F4" s="395"/>
      <c r="G4" s="395"/>
      <c r="H4" s="395"/>
      <c r="I4" s="395"/>
      <c r="J4" s="395"/>
      <c r="K4" s="395"/>
      <c r="L4" s="395"/>
      <c r="M4" s="395"/>
      <c r="N4" s="395"/>
      <c r="O4" s="395"/>
      <c r="P4" s="395"/>
      <c r="Q4" s="395"/>
      <c r="R4" s="395"/>
      <c r="S4" s="395"/>
      <c r="T4" s="155"/>
      <c r="U4" s="155"/>
      <c r="V4" s="155"/>
      <c r="W4" s="155"/>
      <c r="X4" s="155"/>
      <c r="Y4" s="155"/>
      <c r="Z4" s="155"/>
      <c r="AA4" s="26"/>
      <c r="AB4" s="31"/>
      <c r="AD4" s="253"/>
      <c r="AE4" s="253"/>
      <c r="AF4" s="253"/>
      <c r="AG4" s="253"/>
      <c r="AH4" s="253"/>
      <c r="AI4" s="253"/>
      <c r="BA4"/>
    </row>
    <row r="5" spans="1:85" ht="14.1" customHeight="1">
      <c r="A5" s="395"/>
      <c r="B5" s="395"/>
      <c r="C5" s="395"/>
      <c r="D5" s="395"/>
      <c r="E5" s="395"/>
      <c r="F5" s="395"/>
      <c r="G5" s="395"/>
      <c r="H5" s="395"/>
      <c r="I5" s="395"/>
      <c r="J5" s="395"/>
      <c r="K5" s="395"/>
      <c r="L5" s="395"/>
      <c r="M5" s="395"/>
      <c r="N5" s="395"/>
      <c r="O5" s="395"/>
      <c r="P5" s="395"/>
      <c r="Q5" s="395"/>
      <c r="R5" s="395"/>
      <c r="S5" s="395"/>
      <c r="T5" s="155"/>
      <c r="U5" s="155"/>
      <c r="V5" s="155"/>
      <c r="W5" s="155"/>
      <c r="X5" s="155"/>
      <c r="Y5" s="155"/>
      <c r="Z5" s="155"/>
      <c r="AA5" s="26"/>
      <c r="AB5" s="31"/>
      <c r="AC5" s="31"/>
      <c r="AD5" s="31"/>
      <c r="AE5" s="31"/>
      <c r="AF5" s="31"/>
      <c r="AG5" s="31"/>
      <c r="AH5" s="31"/>
      <c r="AI5" s="31"/>
      <c r="BA5"/>
    </row>
    <row r="6" spans="1:85" ht="14.1" customHeight="1" thickBot="1">
      <c r="A6" s="27"/>
      <c r="B6" s="27"/>
      <c r="C6" s="27"/>
      <c r="D6" s="27"/>
      <c r="E6" s="27"/>
      <c r="F6" s="27"/>
      <c r="G6" s="27"/>
      <c r="H6" s="27"/>
      <c r="I6" s="27"/>
      <c r="BA6"/>
    </row>
    <row r="7" spans="1:85" ht="12" customHeight="1">
      <c r="A7" s="255">
        <f>DATE(初期値!A2,初期値!A3,AM1)</f>
        <v>46187</v>
      </c>
      <c r="B7" s="256"/>
      <c r="C7" s="256"/>
      <c r="D7" s="256"/>
      <c r="E7" s="256"/>
      <c r="F7" s="259" t="s">
        <v>169</v>
      </c>
      <c r="G7" s="236">
        <f>$A$7</f>
        <v>46187</v>
      </c>
      <c r="H7" s="236"/>
      <c r="I7" s="236"/>
      <c r="J7" s="239" t="s">
        <v>170</v>
      </c>
      <c r="K7" s="261">
        <f>$A$7</f>
        <v>46187</v>
      </c>
      <c r="L7" s="261"/>
      <c r="M7" s="261"/>
      <c r="N7" s="239" t="s">
        <v>3</v>
      </c>
      <c r="O7" s="520">
        <f>$A$7</f>
        <v>46187</v>
      </c>
      <c r="P7" s="520"/>
      <c r="Q7" s="239" t="s">
        <v>292</v>
      </c>
      <c r="R7" s="240"/>
      <c r="S7" s="522" t="s">
        <v>553</v>
      </c>
      <c r="T7" s="244"/>
      <c r="U7" s="29" t="s">
        <v>554</v>
      </c>
      <c r="V7" s="518" t="s">
        <v>37</v>
      </c>
      <c r="W7" s="518"/>
      <c r="X7" s="518"/>
      <c r="Y7" s="511" t="s">
        <v>555</v>
      </c>
      <c r="Z7" s="512"/>
      <c r="AA7" s="513"/>
      <c r="AB7" s="244" t="str">
        <f>L43</f>
        <v>片山薫</v>
      </c>
      <c r="AC7" s="244"/>
      <c r="AD7" s="244"/>
      <c r="AE7" s="244"/>
      <c r="AF7" s="244"/>
      <c r="AG7" s="244"/>
      <c r="AH7" s="244"/>
      <c r="AI7" s="245"/>
      <c r="AK7" s="425" t="s">
        <v>556</v>
      </c>
      <c r="AL7" s="425"/>
      <c r="AM7" s="425"/>
      <c r="AN7" s="425"/>
      <c r="AO7" s="425"/>
      <c r="AP7" s="425"/>
      <c r="AQ7" s="439" t="s">
        <v>557</v>
      </c>
      <c r="AR7" s="43"/>
      <c r="AS7" s="43"/>
      <c r="AT7" s="43"/>
      <c r="AU7" s="43"/>
      <c r="AV7" s="43"/>
      <c r="AW7" s="43"/>
      <c r="AX7" s="43"/>
      <c r="AY7" s="43"/>
      <c r="AZ7" s="43"/>
      <c r="BA7"/>
    </row>
    <row r="8" spans="1:85" ht="12" customHeight="1" thickBot="1">
      <c r="A8" s="257"/>
      <c r="B8" s="258"/>
      <c r="C8" s="258"/>
      <c r="D8" s="258"/>
      <c r="E8" s="258"/>
      <c r="F8" s="260"/>
      <c r="G8" s="237"/>
      <c r="H8" s="237"/>
      <c r="I8" s="237"/>
      <c r="J8" s="242"/>
      <c r="K8" s="262"/>
      <c r="L8" s="262"/>
      <c r="M8" s="262"/>
      <c r="N8" s="242"/>
      <c r="O8" s="521"/>
      <c r="P8" s="521"/>
      <c r="Q8" s="242"/>
      <c r="R8" s="243"/>
      <c r="S8" s="523"/>
      <c r="T8" s="246"/>
      <c r="U8" s="33" t="s">
        <v>558</v>
      </c>
      <c r="V8" s="519" t="s">
        <v>63</v>
      </c>
      <c r="W8" s="519"/>
      <c r="X8" s="519"/>
      <c r="Y8" s="514"/>
      <c r="Z8" s="515"/>
      <c r="AA8" s="516"/>
      <c r="AB8" s="246"/>
      <c r="AC8" s="246"/>
      <c r="AD8" s="246"/>
      <c r="AE8" s="246"/>
      <c r="AF8" s="246"/>
      <c r="AG8" s="246"/>
      <c r="AH8" s="246"/>
      <c r="AI8" s="247"/>
      <c r="AK8" s="425"/>
      <c r="AL8" s="425"/>
      <c r="AM8" s="425"/>
      <c r="AN8" s="425"/>
      <c r="AO8" s="425"/>
      <c r="AP8" s="425"/>
      <c r="AQ8" s="439"/>
      <c r="AR8" s="43"/>
      <c r="AS8" s="43"/>
      <c r="AT8" s="43"/>
      <c r="AU8" s="43"/>
      <c r="AV8" s="43"/>
      <c r="AW8" s="43"/>
      <c r="AX8" s="43"/>
      <c r="AY8" s="43"/>
      <c r="AZ8" s="43"/>
      <c r="BA8"/>
    </row>
    <row r="9" spans="1:85" ht="18" customHeight="1">
      <c r="A9" s="507" t="s">
        <v>559</v>
      </c>
      <c r="B9" s="508"/>
      <c r="C9" s="508"/>
      <c r="D9" s="508"/>
      <c r="E9" s="508"/>
      <c r="F9" s="508"/>
      <c r="G9" s="508"/>
      <c r="H9" s="508"/>
      <c r="I9" s="508"/>
      <c r="J9" s="508"/>
      <c r="K9" s="508"/>
      <c r="L9" s="508"/>
      <c r="M9" s="508"/>
      <c r="N9" s="508"/>
      <c r="O9" s="508"/>
      <c r="P9" s="508"/>
      <c r="Q9" s="508"/>
      <c r="R9" s="508"/>
      <c r="S9" s="508"/>
      <c r="T9" s="508"/>
      <c r="U9" s="508"/>
      <c r="V9" s="508"/>
      <c r="W9" s="508"/>
      <c r="X9" s="508"/>
      <c r="Y9" s="508"/>
      <c r="Z9" s="508"/>
      <c r="AA9" s="508"/>
      <c r="AB9" s="508"/>
      <c r="AC9" s="508"/>
      <c r="AD9" s="508"/>
      <c r="AE9" s="508"/>
      <c r="AF9" s="508"/>
      <c r="AG9" s="508"/>
      <c r="AH9" s="508"/>
      <c r="AI9" s="509"/>
      <c r="AK9" s="440" t="s">
        <v>560</v>
      </c>
      <c r="AL9" s="440"/>
      <c r="AM9" s="440"/>
      <c r="AN9" s="440"/>
      <c r="AO9" s="440"/>
      <c r="AP9" s="440"/>
      <c r="AQ9" s="42">
        <v>7</v>
      </c>
      <c r="AR9" s="43"/>
      <c r="AS9" s="44" t="s">
        <v>561</v>
      </c>
      <c r="AT9" s="44" t="s">
        <v>562</v>
      </c>
      <c r="AU9" s="44" t="s">
        <v>563</v>
      </c>
      <c r="AV9" s="44" t="s">
        <v>564</v>
      </c>
      <c r="AW9" s="45" t="s">
        <v>565</v>
      </c>
      <c r="AX9" s="45" t="s">
        <v>566</v>
      </c>
      <c r="AY9" s="44" t="s">
        <v>567</v>
      </c>
      <c r="AZ9" s="43"/>
      <c r="BB9" s="49" t="s">
        <v>568</v>
      </c>
      <c r="BC9" s="43"/>
      <c r="BD9" s="43"/>
      <c r="BE9" s="43"/>
      <c r="BF9" s="43"/>
      <c r="BG9" s="43"/>
      <c r="BH9" s="43"/>
      <c r="BI9" s="43"/>
      <c r="BJ9" s="43"/>
      <c r="BK9" s="43"/>
      <c r="BL9" s="43"/>
      <c r="BM9" s="43"/>
      <c r="BN9" s="43"/>
      <c r="BO9" s="43"/>
      <c r="BP9" s="43"/>
      <c r="BQ9" s="43"/>
      <c r="BR9" s="43"/>
      <c r="BS9" s="43"/>
      <c r="BT9" s="43"/>
      <c r="BU9" s="43"/>
      <c r="BV9" s="43"/>
      <c r="BW9" s="43"/>
      <c r="BX9" s="43"/>
      <c r="BY9" s="43"/>
      <c r="BZ9" s="43"/>
      <c r="CA9" s="43"/>
      <c r="CB9" s="43"/>
      <c r="CC9" s="43"/>
      <c r="CD9" s="43"/>
      <c r="CE9" s="43"/>
      <c r="CF9" s="43"/>
      <c r="CG9" s="43"/>
    </row>
    <row r="10" spans="1:85" ht="18" customHeight="1">
      <c r="A10" s="265" t="s">
        <v>569</v>
      </c>
      <c r="B10" s="266"/>
      <c r="C10" s="266"/>
      <c r="D10" s="266"/>
      <c r="E10" s="266"/>
      <c r="F10" s="266"/>
      <c r="G10" s="266"/>
      <c r="H10" s="266"/>
      <c r="I10" s="264">
        <f>AQ14</f>
        <v>2</v>
      </c>
      <c r="J10" s="264"/>
      <c r="K10" s="267" t="s">
        <v>176</v>
      </c>
      <c r="L10" s="268"/>
      <c r="M10" s="269" t="s">
        <v>570</v>
      </c>
      <c r="N10" s="266"/>
      <c r="O10" s="266"/>
      <c r="P10" s="266"/>
      <c r="Q10" s="266"/>
      <c r="R10" s="266"/>
      <c r="S10" s="266"/>
      <c r="T10" s="266"/>
      <c r="U10" s="264">
        <f>AQ37</f>
        <v>0</v>
      </c>
      <c r="V10" s="264"/>
      <c r="W10" s="267" t="s">
        <v>176</v>
      </c>
      <c r="X10" s="268"/>
      <c r="Y10" s="269" t="s">
        <v>571</v>
      </c>
      <c r="Z10" s="266"/>
      <c r="AA10" s="266"/>
      <c r="AB10" s="266"/>
      <c r="AC10" s="266"/>
      <c r="AD10" s="266"/>
      <c r="AE10" s="266"/>
      <c r="AF10" s="266"/>
      <c r="AG10" s="264">
        <f>AQ26+AQ25</f>
        <v>0</v>
      </c>
      <c r="AH10" s="264"/>
      <c r="AI10" s="28" t="s">
        <v>176</v>
      </c>
      <c r="AK10" s="440" t="s">
        <v>572</v>
      </c>
      <c r="AL10" s="440"/>
      <c r="AM10" s="440"/>
      <c r="AN10" s="440"/>
      <c r="AO10" s="440"/>
      <c r="AP10" s="440"/>
      <c r="AQ10" s="42"/>
      <c r="AR10" s="43"/>
      <c r="AS10" s="46">
        <v>1</v>
      </c>
      <c r="AT10" s="46"/>
      <c r="AU10" s="46" t="s">
        <v>119</v>
      </c>
      <c r="AV10" s="47" t="s">
        <v>573</v>
      </c>
      <c r="AW10" s="47" t="s">
        <v>574</v>
      </c>
      <c r="AX10" s="47">
        <v>0.33333333333333331</v>
      </c>
      <c r="AY10" s="47">
        <v>0.83333333333333337</v>
      </c>
      <c r="AZ10" s="43"/>
      <c r="BB10" s="49" t="s">
        <v>95</v>
      </c>
      <c r="BC10" s="120">
        <v>1</v>
      </c>
      <c r="BD10" s="120">
        <v>2</v>
      </c>
      <c r="BE10" s="120">
        <v>3</v>
      </c>
      <c r="BF10" s="120">
        <v>4</v>
      </c>
      <c r="BG10" s="120">
        <v>5</v>
      </c>
      <c r="BH10" s="120">
        <v>6</v>
      </c>
      <c r="BI10" s="120">
        <v>7</v>
      </c>
      <c r="BJ10" s="120">
        <v>8</v>
      </c>
      <c r="BK10" s="120">
        <v>9</v>
      </c>
      <c r="BL10" s="120">
        <v>10</v>
      </c>
      <c r="BM10" s="120">
        <v>11</v>
      </c>
      <c r="BN10" s="120">
        <v>12</v>
      </c>
      <c r="BO10" s="120">
        <v>13</v>
      </c>
      <c r="BP10" s="120">
        <v>14</v>
      </c>
      <c r="BQ10" s="120">
        <v>15</v>
      </c>
      <c r="BR10" s="120">
        <v>16</v>
      </c>
      <c r="BS10" s="120">
        <v>17</v>
      </c>
      <c r="BT10" s="120">
        <v>18</v>
      </c>
      <c r="BU10" s="120">
        <v>19</v>
      </c>
      <c r="BV10" s="120">
        <v>20</v>
      </c>
      <c r="BW10" s="120">
        <v>21</v>
      </c>
      <c r="BX10" s="120">
        <v>22</v>
      </c>
      <c r="BY10" s="120">
        <v>23</v>
      </c>
      <c r="BZ10" s="120">
        <v>24</v>
      </c>
      <c r="CA10" s="120">
        <v>25</v>
      </c>
      <c r="CB10" s="120">
        <v>26</v>
      </c>
      <c r="CC10" s="120">
        <v>27</v>
      </c>
      <c r="CD10" s="120">
        <v>28</v>
      </c>
      <c r="CE10" s="120">
        <v>29</v>
      </c>
      <c r="CF10" s="120">
        <v>30</v>
      </c>
      <c r="CG10" s="43"/>
    </row>
    <row r="11" spans="1:85" ht="18" customHeight="1">
      <c r="A11" s="265" t="s">
        <v>575</v>
      </c>
      <c r="B11" s="266"/>
      <c r="C11" s="266"/>
      <c r="D11" s="266"/>
      <c r="E11" s="266"/>
      <c r="F11" s="266"/>
      <c r="G11" s="266"/>
      <c r="H11" s="266"/>
      <c r="I11" s="264">
        <f>AQ27</f>
        <v>0</v>
      </c>
      <c r="J11" s="264"/>
      <c r="K11" s="267" t="s">
        <v>176</v>
      </c>
      <c r="L11" s="268"/>
      <c r="M11" s="269" t="s">
        <v>576</v>
      </c>
      <c r="N11" s="266"/>
      <c r="O11" s="266"/>
      <c r="P11" s="266"/>
      <c r="Q11" s="266"/>
      <c r="R11" s="266"/>
      <c r="S11" s="266"/>
      <c r="T11" s="266"/>
      <c r="U11" s="264">
        <f>AQ36</f>
        <v>0</v>
      </c>
      <c r="V11" s="264"/>
      <c r="W11" s="267" t="s">
        <v>176</v>
      </c>
      <c r="X11" s="268"/>
      <c r="Y11" s="269" t="s">
        <v>577</v>
      </c>
      <c r="Z11" s="266"/>
      <c r="AA11" s="266"/>
      <c r="AB11" s="266"/>
      <c r="AC11" s="266"/>
      <c r="AD11" s="266"/>
      <c r="AE11" s="266"/>
      <c r="AF11" s="266"/>
      <c r="AG11" s="264">
        <f>AQ34</f>
        <v>0</v>
      </c>
      <c r="AH11" s="264"/>
      <c r="AI11" s="28" t="s">
        <v>176</v>
      </c>
      <c r="AK11" s="441" t="s">
        <v>578</v>
      </c>
      <c r="AL11" s="442"/>
      <c r="AM11" s="442"/>
      <c r="AN11" s="442"/>
      <c r="AO11" s="442"/>
      <c r="AP11" s="443"/>
      <c r="AQ11" s="42">
        <v>27</v>
      </c>
      <c r="AR11" s="43"/>
      <c r="AS11" s="46">
        <v>2</v>
      </c>
      <c r="AT11" s="46"/>
      <c r="AU11" s="46"/>
      <c r="AV11" s="47" t="s">
        <v>579</v>
      </c>
      <c r="AW11" s="47" t="s">
        <v>580</v>
      </c>
      <c r="AX11" s="47">
        <v>0.33333333333333331</v>
      </c>
      <c r="AY11" s="47">
        <v>0.58333333333333337</v>
      </c>
      <c r="AZ11" s="43"/>
      <c r="BB11" s="121" t="s">
        <v>581</v>
      </c>
      <c r="BC11" s="138" t="s">
        <v>582</v>
      </c>
      <c r="BD11" s="138" t="s">
        <v>583</v>
      </c>
      <c r="BE11" s="138" t="s">
        <v>584</v>
      </c>
      <c r="BF11" s="138" t="s">
        <v>585</v>
      </c>
      <c r="BG11" s="139" t="s">
        <v>584</v>
      </c>
      <c r="BH11" s="138" t="s">
        <v>582</v>
      </c>
      <c r="BI11" s="138" t="s">
        <v>585</v>
      </c>
      <c r="BJ11" s="138" t="s">
        <v>583</v>
      </c>
      <c r="BK11" s="138" t="s">
        <v>584</v>
      </c>
      <c r="BL11" s="138" t="s">
        <v>583</v>
      </c>
      <c r="BM11" s="138" t="s">
        <v>585</v>
      </c>
      <c r="BN11" s="138" t="s">
        <v>582</v>
      </c>
      <c r="BO11" s="138" t="s">
        <v>584</v>
      </c>
      <c r="BP11" s="138" t="s">
        <v>585</v>
      </c>
      <c r="BQ11" s="138" t="s">
        <v>583</v>
      </c>
      <c r="BR11" s="138" t="s">
        <v>585</v>
      </c>
      <c r="BS11" s="138" t="s">
        <v>584</v>
      </c>
      <c r="BT11" s="138" t="s">
        <v>582</v>
      </c>
      <c r="BU11" s="138" t="s">
        <v>583</v>
      </c>
      <c r="BV11" s="138" t="s">
        <v>585</v>
      </c>
      <c r="BW11" s="138" t="s">
        <v>582</v>
      </c>
      <c r="BX11" s="138" t="s">
        <v>584</v>
      </c>
      <c r="BY11" s="138" t="s">
        <v>585</v>
      </c>
      <c r="BZ11" s="138" t="s">
        <v>583</v>
      </c>
      <c r="CA11" s="138" t="s">
        <v>582</v>
      </c>
      <c r="CB11" s="138" t="s">
        <v>585</v>
      </c>
      <c r="CC11" s="138" t="s">
        <v>584</v>
      </c>
      <c r="CD11" s="138" t="s">
        <v>582</v>
      </c>
      <c r="CE11" s="138" t="s">
        <v>585</v>
      </c>
      <c r="CF11" s="138" t="s">
        <v>583</v>
      </c>
      <c r="CG11" s="43"/>
    </row>
    <row r="12" spans="1:85" ht="18" customHeight="1">
      <c r="A12" s="265" t="s">
        <v>586</v>
      </c>
      <c r="B12" s="266"/>
      <c r="C12" s="266"/>
      <c r="D12" s="266"/>
      <c r="E12" s="266"/>
      <c r="F12" s="266"/>
      <c r="G12" s="266"/>
      <c r="H12" s="266"/>
      <c r="I12" s="264">
        <f>AQ33</f>
        <v>0</v>
      </c>
      <c r="J12" s="264"/>
      <c r="K12" s="267" t="s">
        <v>176</v>
      </c>
      <c r="L12" s="268"/>
      <c r="M12" s="269" t="s">
        <v>587</v>
      </c>
      <c r="N12" s="266"/>
      <c r="O12" s="266"/>
      <c r="P12" s="266"/>
      <c r="Q12" s="266"/>
      <c r="R12" s="266"/>
      <c r="S12" s="266"/>
      <c r="T12" s="266"/>
      <c r="U12" s="264">
        <f>AQ24</f>
        <v>0</v>
      </c>
      <c r="V12" s="264"/>
      <c r="W12" s="267" t="s">
        <v>176</v>
      </c>
      <c r="X12" s="268"/>
      <c r="Y12" s="269" t="s">
        <v>588</v>
      </c>
      <c r="Z12" s="266"/>
      <c r="AA12" s="266"/>
      <c r="AB12" s="266"/>
      <c r="AC12" s="266"/>
      <c r="AD12" s="266"/>
      <c r="AE12" s="266"/>
      <c r="AF12" s="266"/>
      <c r="AG12" s="264">
        <f>AQ20+AQ21+AQ22+AQ23</f>
        <v>0</v>
      </c>
      <c r="AH12" s="264"/>
      <c r="AI12" s="28" t="s">
        <v>176</v>
      </c>
      <c r="AK12" s="441" t="s">
        <v>589</v>
      </c>
      <c r="AL12" s="442"/>
      <c r="AM12" s="442"/>
      <c r="AN12" s="442"/>
      <c r="AO12" s="442"/>
      <c r="AP12" s="443"/>
      <c r="AQ12" s="42">
        <v>10</v>
      </c>
      <c r="AR12" s="43"/>
      <c r="AS12" s="46">
        <v>3</v>
      </c>
      <c r="AT12" s="46"/>
      <c r="AU12" s="46"/>
      <c r="AV12" s="47" t="s">
        <v>590</v>
      </c>
      <c r="AW12" s="47" t="s">
        <v>574</v>
      </c>
      <c r="AX12" s="47">
        <v>0.58333333333333337</v>
      </c>
      <c r="AY12" s="47">
        <v>0.83333333333333337</v>
      </c>
      <c r="AZ12" s="43"/>
      <c r="BB12" s="49"/>
      <c r="BC12" s="43"/>
      <c r="BD12" s="43"/>
      <c r="BE12" s="43"/>
      <c r="BF12" s="43"/>
      <c r="BG12" s="43"/>
      <c r="BH12" s="43"/>
      <c r="BI12" s="43"/>
      <c r="BJ12" s="43"/>
      <c r="BK12" s="43"/>
      <c r="BL12" s="43"/>
      <c r="BM12" s="43"/>
      <c r="BN12" s="43"/>
      <c r="BO12" s="43"/>
      <c r="BP12" s="43"/>
      <c r="BQ12" s="43"/>
      <c r="BR12" s="43"/>
      <c r="BS12" s="43"/>
      <c r="BT12" s="43"/>
      <c r="BU12" s="43"/>
      <c r="BV12" s="43"/>
      <c r="BW12" s="43"/>
      <c r="BX12" s="43"/>
      <c r="BY12" s="43"/>
      <c r="BZ12" s="43"/>
      <c r="CA12" s="43"/>
      <c r="CB12" s="43"/>
      <c r="CC12" s="43"/>
      <c r="CD12" s="43"/>
      <c r="CE12" s="43"/>
      <c r="CF12" s="43"/>
      <c r="CG12" s="43"/>
    </row>
    <row r="13" spans="1:85" ht="18" customHeight="1" thickBot="1">
      <c r="A13" s="517" t="s">
        <v>591</v>
      </c>
      <c r="B13" s="277"/>
      <c r="C13" s="277"/>
      <c r="D13" s="277"/>
      <c r="E13" s="277"/>
      <c r="F13" s="277"/>
      <c r="G13" s="277"/>
      <c r="H13" s="277"/>
      <c r="I13" s="272">
        <f>AQ30+AQ31</f>
        <v>0</v>
      </c>
      <c r="J13" s="272"/>
      <c r="K13" s="273" t="s">
        <v>176</v>
      </c>
      <c r="L13" s="274"/>
      <c r="M13" s="276" t="s">
        <v>592</v>
      </c>
      <c r="N13" s="277"/>
      <c r="O13" s="277"/>
      <c r="P13" s="277"/>
      <c r="Q13" s="277"/>
      <c r="R13" s="277"/>
      <c r="S13" s="277"/>
      <c r="T13" s="277"/>
      <c r="U13" s="272">
        <f>AQ28</f>
        <v>0</v>
      </c>
      <c r="V13" s="272"/>
      <c r="W13" s="273" t="s">
        <v>176</v>
      </c>
      <c r="X13" s="274"/>
      <c r="Y13" s="276" t="s">
        <v>593</v>
      </c>
      <c r="Z13" s="277"/>
      <c r="AA13" s="277"/>
      <c r="AB13" s="277"/>
      <c r="AC13" s="277"/>
      <c r="AD13" s="277"/>
      <c r="AE13" s="277"/>
      <c r="AF13" s="277"/>
      <c r="AG13" s="272">
        <f>AQ13</f>
        <v>0</v>
      </c>
      <c r="AH13" s="272"/>
      <c r="AI13" s="34" t="s">
        <v>176</v>
      </c>
      <c r="AK13" s="425" t="s">
        <v>594</v>
      </c>
      <c r="AL13" s="425"/>
      <c r="AM13" s="425"/>
      <c r="AN13" s="425"/>
      <c r="AO13" s="425"/>
      <c r="AP13" s="425"/>
      <c r="AQ13" s="42"/>
      <c r="AR13" s="43"/>
      <c r="AS13" s="46">
        <v>4</v>
      </c>
      <c r="AT13" s="46"/>
      <c r="AU13" s="46" t="s">
        <v>76</v>
      </c>
      <c r="AV13" s="47" t="s">
        <v>595</v>
      </c>
      <c r="AW13" s="47" t="s">
        <v>596</v>
      </c>
      <c r="AX13" s="47">
        <v>0.33333333333333331</v>
      </c>
      <c r="AY13" s="47">
        <v>0.83333333333333337</v>
      </c>
      <c r="AZ13" s="43"/>
      <c r="BB13" s="121" t="s">
        <v>597</v>
      </c>
      <c r="BC13" s="140" t="s">
        <v>20</v>
      </c>
      <c r="BD13" s="140" t="s">
        <v>119</v>
      </c>
      <c r="BE13" s="140" t="s">
        <v>20</v>
      </c>
      <c r="BF13" s="140" t="s">
        <v>20</v>
      </c>
      <c r="BG13" s="140" t="s">
        <v>20</v>
      </c>
      <c r="BH13" s="140" t="s">
        <v>20</v>
      </c>
      <c r="BI13" s="140" t="s">
        <v>80</v>
      </c>
      <c r="BJ13" s="140" t="s">
        <v>20</v>
      </c>
      <c r="BK13" s="140" t="s">
        <v>20</v>
      </c>
      <c r="BL13" s="140" t="s">
        <v>20</v>
      </c>
      <c r="BM13" s="140" t="s">
        <v>20</v>
      </c>
      <c r="BN13" s="140" t="s">
        <v>20</v>
      </c>
      <c r="BO13" s="140" t="s">
        <v>119</v>
      </c>
      <c r="BP13" s="140" t="s">
        <v>119</v>
      </c>
      <c r="BQ13" s="140" t="s">
        <v>20</v>
      </c>
      <c r="BR13" s="140" t="s">
        <v>119</v>
      </c>
      <c r="BS13" s="140" t="s">
        <v>20</v>
      </c>
      <c r="BT13" s="140" t="s">
        <v>20</v>
      </c>
      <c r="BU13" s="140" t="s">
        <v>20</v>
      </c>
      <c r="BV13" s="140" t="s">
        <v>119</v>
      </c>
      <c r="BW13" s="140" t="s">
        <v>119</v>
      </c>
      <c r="BX13" s="140" t="s">
        <v>20</v>
      </c>
      <c r="BY13" s="140" t="s">
        <v>119</v>
      </c>
      <c r="BZ13" s="140" t="s">
        <v>20</v>
      </c>
      <c r="CA13" s="140" t="s">
        <v>119</v>
      </c>
      <c r="CB13" s="140" t="s">
        <v>20</v>
      </c>
      <c r="CC13" s="140" t="s">
        <v>20</v>
      </c>
      <c r="CD13" s="140" t="s">
        <v>119</v>
      </c>
      <c r="CE13" s="140" t="s">
        <v>20</v>
      </c>
      <c r="CF13" s="140" t="s">
        <v>119</v>
      </c>
      <c r="CG13" s="43"/>
    </row>
    <row r="14" spans="1:85" ht="18" customHeight="1" thickBot="1">
      <c r="A14" s="452" t="s">
        <v>598</v>
      </c>
      <c r="B14" s="453"/>
      <c r="C14" s="453"/>
      <c r="D14" s="453"/>
      <c r="E14" s="453"/>
      <c r="F14" s="453"/>
      <c r="G14" s="453"/>
      <c r="H14" s="453"/>
      <c r="I14" s="453"/>
      <c r="J14" s="453"/>
      <c r="K14" s="453"/>
      <c r="L14" s="453"/>
      <c r="M14" s="453"/>
      <c r="N14" s="453"/>
      <c r="O14" s="453"/>
      <c r="P14" s="453"/>
      <c r="Q14" s="453"/>
      <c r="R14" s="453"/>
      <c r="S14" s="453"/>
      <c r="T14" s="453"/>
      <c r="U14" s="453"/>
      <c r="V14" s="453"/>
      <c r="W14" s="453"/>
      <c r="X14" s="453"/>
      <c r="Y14" s="453"/>
      <c r="Z14" s="453"/>
      <c r="AA14" s="453"/>
      <c r="AB14" s="453"/>
      <c r="AC14" s="453"/>
      <c r="AD14" s="453"/>
      <c r="AE14" s="453"/>
      <c r="AF14" s="453"/>
      <c r="AG14" s="453"/>
      <c r="AH14" s="453"/>
      <c r="AI14" s="454"/>
      <c r="AK14" s="440" t="s">
        <v>599</v>
      </c>
      <c r="AL14" s="440"/>
      <c r="AM14" s="440"/>
      <c r="AN14" s="440"/>
      <c r="AO14" s="440"/>
      <c r="AP14" s="440"/>
      <c r="AQ14" s="42">
        <v>2</v>
      </c>
      <c r="AR14" s="43"/>
      <c r="AS14" s="46">
        <v>5</v>
      </c>
      <c r="AT14" s="46"/>
      <c r="AU14" s="46"/>
      <c r="AV14" s="47" t="s">
        <v>600</v>
      </c>
      <c r="AW14" s="47" t="s">
        <v>596</v>
      </c>
      <c r="AX14" s="47">
        <v>0.33333333333333331</v>
      </c>
      <c r="AY14" s="47">
        <v>0.83333333333333337</v>
      </c>
      <c r="AZ14" s="43"/>
      <c r="BB14" s="121" t="s">
        <v>601</v>
      </c>
      <c r="BC14" s="162" t="s">
        <v>28</v>
      </c>
      <c r="BD14" s="162" t="s">
        <v>602</v>
      </c>
      <c r="BE14" s="162" t="s">
        <v>602</v>
      </c>
      <c r="BF14" s="162" t="s">
        <v>28</v>
      </c>
      <c r="BG14" s="162" t="s">
        <v>602</v>
      </c>
      <c r="BH14" s="162" t="s">
        <v>602</v>
      </c>
      <c r="BI14" s="162" t="s">
        <v>28</v>
      </c>
      <c r="BJ14" s="162" t="s">
        <v>28</v>
      </c>
      <c r="BK14" s="162" t="s">
        <v>602</v>
      </c>
      <c r="BL14" s="162" t="s">
        <v>28</v>
      </c>
      <c r="BM14" s="162" t="s">
        <v>602</v>
      </c>
      <c r="BN14" s="162" t="s">
        <v>28</v>
      </c>
      <c r="BO14" s="162" t="s">
        <v>28</v>
      </c>
      <c r="BP14" s="162" t="s">
        <v>76</v>
      </c>
      <c r="BQ14" s="162" t="s">
        <v>28</v>
      </c>
      <c r="BR14" s="162" t="s">
        <v>602</v>
      </c>
      <c r="BS14" s="162" t="s">
        <v>28</v>
      </c>
      <c r="BT14" s="162" t="s">
        <v>602</v>
      </c>
      <c r="BU14" s="162" t="s">
        <v>28</v>
      </c>
      <c r="BV14" s="162" t="s">
        <v>602</v>
      </c>
      <c r="BW14" s="162" t="s">
        <v>28</v>
      </c>
      <c r="BX14" s="162" t="s">
        <v>28</v>
      </c>
      <c r="BY14" s="162" t="s">
        <v>602</v>
      </c>
      <c r="BZ14" s="162" t="s">
        <v>28</v>
      </c>
      <c r="CA14" s="162" t="s">
        <v>602</v>
      </c>
      <c r="CB14" s="162" t="s">
        <v>28</v>
      </c>
      <c r="CC14" s="162" t="s">
        <v>28</v>
      </c>
      <c r="CD14" s="162" t="s">
        <v>76</v>
      </c>
      <c r="CE14" s="162" t="s">
        <v>28</v>
      </c>
      <c r="CF14" s="162" t="s">
        <v>602</v>
      </c>
      <c r="CG14" s="43"/>
    </row>
    <row r="15" spans="1:85" ht="18" customHeight="1" thickBot="1">
      <c r="A15" s="30" t="s">
        <v>189</v>
      </c>
      <c r="B15" s="264" t="s">
        <v>603</v>
      </c>
      <c r="C15" s="264"/>
      <c r="D15" s="264"/>
      <c r="E15" s="264"/>
      <c r="F15" s="264"/>
      <c r="G15" s="264"/>
      <c r="H15" s="264"/>
      <c r="I15" s="264"/>
      <c r="J15" s="278">
        <f>AQ9+AQ10</f>
        <v>7</v>
      </c>
      <c r="K15" s="278"/>
      <c r="L15" s="278"/>
      <c r="M15" s="264" t="s">
        <v>176</v>
      </c>
      <c r="N15" s="264"/>
      <c r="O15" s="264" t="s">
        <v>604</v>
      </c>
      <c r="P15" s="264"/>
      <c r="Q15" s="264"/>
      <c r="R15" s="264"/>
      <c r="S15" s="264"/>
      <c r="T15" s="264"/>
      <c r="U15" s="264"/>
      <c r="V15" s="264"/>
      <c r="W15" s="278">
        <f>AQ11+AQ12</f>
        <v>37</v>
      </c>
      <c r="X15" s="278"/>
      <c r="Y15" s="278"/>
      <c r="Z15" s="264" t="s">
        <v>176</v>
      </c>
      <c r="AA15" s="264"/>
      <c r="AB15" s="503" t="s">
        <v>605</v>
      </c>
      <c r="AC15" s="503"/>
      <c r="AD15" s="503"/>
      <c r="AE15" s="503"/>
      <c r="AF15" s="503"/>
      <c r="AG15" s="503"/>
      <c r="AH15" s="281" t="s">
        <v>585</v>
      </c>
      <c r="AI15" s="282"/>
      <c r="AK15" s="425" t="s">
        <v>606</v>
      </c>
      <c r="AL15" s="425"/>
      <c r="AM15" s="425"/>
      <c r="AN15" s="425"/>
      <c r="AO15" s="425"/>
      <c r="AP15" s="425"/>
      <c r="AQ15" s="42"/>
      <c r="AR15" s="43"/>
      <c r="AS15" s="46">
        <v>6</v>
      </c>
      <c r="AT15" s="46"/>
      <c r="AU15" s="46"/>
      <c r="AV15" s="47" t="s">
        <v>607</v>
      </c>
      <c r="AW15" s="47" t="s">
        <v>596</v>
      </c>
      <c r="AX15" s="47">
        <v>0.33333333333333331</v>
      </c>
      <c r="AY15" s="47">
        <v>0.83333333333333337</v>
      </c>
      <c r="AZ15" s="43"/>
      <c r="BB15" s="121" t="s">
        <v>31</v>
      </c>
      <c r="BC15" s="163" t="s">
        <v>119</v>
      </c>
      <c r="BD15" s="164"/>
      <c r="BE15" s="165" t="s">
        <v>28</v>
      </c>
      <c r="BF15" s="165" t="s">
        <v>119</v>
      </c>
      <c r="BG15" s="164"/>
      <c r="BH15" s="164"/>
      <c r="BI15" s="164"/>
      <c r="BJ15" s="164"/>
      <c r="BK15" s="165" t="s">
        <v>119</v>
      </c>
      <c r="BL15" s="165" t="s">
        <v>602</v>
      </c>
      <c r="BM15" s="165" t="s">
        <v>119</v>
      </c>
      <c r="BN15" s="165" t="s">
        <v>602</v>
      </c>
      <c r="BO15" s="164"/>
      <c r="BP15" s="164"/>
      <c r="BQ15" s="165" t="s">
        <v>608</v>
      </c>
      <c r="BR15" s="165" t="s">
        <v>20</v>
      </c>
      <c r="BS15" s="165" t="s">
        <v>602</v>
      </c>
      <c r="BT15" s="165" t="s">
        <v>119</v>
      </c>
      <c r="BU15" s="165" t="s">
        <v>602</v>
      </c>
      <c r="BV15" s="164"/>
      <c r="BW15" s="164"/>
      <c r="BX15" s="165" t="s">
        <v>119</v>
      </c>
      <c r="BY15" s="165" t="s">
        <v>20</v>
      </c>
      <c r="BZ15" s="165" t="s">
        <v>602</v>
      </c>
      <c r="CA15" s="165" t="s">
        <v>20</v>
      </c>
      <c r="CB15" s="165" t="s">
        <v>602</v>
      </c>
      <c r="CC15" s="165" t="s">
        <v>602</v>
      </c>
      <c r="CD15" s="164"/>
      <c r="CE15" s="165" t="s">
        <v>119</v>
      </c>
      <c r="CF15" s="165" t="s">
        <v>20</v>
      </c>
      <c r="CG15" s="43"/>
    </row>
    <row r="16" spans="1:85" ht="18" customHeight="1">
      <c r="A16" s="504" t="s">
        <v>609</v>
      </c>
      <c r="B16" s="505"/>
      <c r="C16" s="505"/>
      <c r="D16" s="505"/>
      <c r="E16" s="505"/>
      <c r="F16" s="505"/>
      <c r="G16" s="505"/>
      <c r="H16" s="505"/>
      <c r="I16" s="505"/>
      <c r="J16" s="505"/>
      <c r="K16" s="505"/>
      <c r="L16" s="505"/>
      <c r="M16" s="505"/>
      <c r="N16" s="505"/>
      <c r="O16" s="505"/>
      <c r="P16" s="505"/>
      <c r="Q16" s="505"/>
      <c r="R16" s="505"/>
      <c r="S16" s="505"/>
      <c r="T16" s="505"/>
      <c r="U16" s="505"/>
      <c r="V16" s="505"/>
      <c r="W16" s="505"/>
      <c r="X16" s="505"/>
      <c r="Y16" s="505"/>
      <c r="Z16" s="505"/>
      <c r="AA16" s="505"/>
      <c r="AB16" s="505"/>
      <c r="AC16" s="505"/>
      <c r="AD16" s="505"/>
      <c r="AE16" s="505"/>
      <c r="AF16" s="505"/>
      <c r="AG16" s="505"/>
      <c r="AH16" s="505"/>
      <c r="AI16" s="506"/>
      <c r="AK16" s="425" t="s">
        <v>610</v>
      </c>
      <c r="AL16" s="425"/>
      <c r="AM16" s="425"/>
      <c r="AN16" s="425"/>
      <c r="AO16" s="425"/>
      <c r="AP16" s="425"/>
      <c r="AQ16" s="42"/>
      <c r="AR16" s="43"/>
      <c r="AS16" s="46">
        <v>7</v>
      </c>
      <c r="AT16" s="46"/>
      <c r="AU16" s="46" t="s">
        <v>67</v>
      </c>
      <c r="AV16" s="47" t="s">
        <v>611</v>
      </c>
      <c r="AW16" s="47" t="s">
        <v>612</v>
      </c>
      <c r="AX16" s="47">
        <v>0.83333333333333337</v>
      </c>
      <c r="AY16" s="47" t="s">
        <v>613</v>
      </c>
      <c r="AZ16" s="43"/>
      <c r="BB16" s="121" t="s">
        <v>614</v>
      </c>
      <c r="BC16" s="142" t="s">
        <v>20</v>
      </c>
      <c r="BD16" s="140" t="s">
        <v>67</v>
      </c>
      <c r="BE16" s="142" t="s">
        <v>42</v>
      </c>
      <c r="BF16" s="142" t="s">
        <v>20</v>
      </c>
      <c r="BG16" s="142" t="s">
        <v>42</v>
      </c>
      <c r="BH16" s="142" t="s">
        <v>61</v>
      </c>
      <c r="BI16" s="142" t="s">
        <v>67</v>
      </c>
      <c r="BJ16" s="142" t="s">
        <v>67</v>
      </c>
      <c r="BK16" s="142" t="s">
        <v>42</v>
      </c>
      <c r="BL16" s="142" t="s">
        <v>42</v>
      </c>
      <c r="BM16" s="142" t="s">
        <v>67</v>
      </c>
      <c r="BN16" s="142" t="s">
        <v>67</v>
      </c>
      <c r="BO16" s="142" t="s">
        <v>42</v>
      </c>
      <c r="BP16" s="142" t="s">
        <v>67</v>
      </c>
      <c r="BQ16" s="142" t="s">
        <v>20</v>
      </c>
      <c r="BR16" s="142" t="s">
        <v>71</v>
      </c>
      <c r="BS16" s="142" t="s">
        <v>67</v>
      </c>
      <c r="BT16" s="142" t="s">
        <v>67</v>
      </c>
      <c r="BU16" s="142" t="s">
        <v>61</v>
      </c>
      <c r="BV16" s="142" t="s">
        <v>42</v>
      </c>
      <c r="BW16" s="142" t="s">
        <v>49</v>
      </c>
      <c r="BX16" s="142" t="s">
        <v>20</v>
      </c>
      <c r="BY16" s="142" t="s">
        <v>71</v>
      </c>
      <c r="BZ16" s="142" t="s">
        <v>42</v>
      </c>
      <c r="CA16" s="142" t="s">
        <v>20</v>
      </c>
      <c r="CB16" s="142" t="s">
        <v>61</v>
      </c>
      <c r="CC16" s="142" t="s">
        <v>42</v>
      </c>
      <c r="CD16" s="142" t="s">
        <v>49</v>
      </c>
      <c r="CE16" s="142" t="s">
        <v>20</v>
      </c>
      <c r="CF16" s="143" t="s">
        <v>71</v>
      </c>
      <c r="CG16" s="43"/>
    </row>
    <row r="17" spans="1:85" ht="18" customHeight="1">
      <c r="A17" s="396" t="s">
        <v>615</v>
      </c>
      <c r="B17" s="397"/>
      <c r="C17" s="397"/>
      <c r="D17" s="397"/>
      <c r="E17" s="397"/>
      <c r="F17" s="398" t="s">
        <v>616</v>
      </c>
      <c r="G17" s="398"/>
      <c r="H17" s="398"/>
      <c r="I17" s="398"/>
      <c r="J17" s="398"/>
      <c r="K17" s="398"/>
      <c r="L17" s="398"/>
      <c r="M17" s="398"/>
      <c r="N17" s="398"/>
      <c r="O17" s="398"/>
      <c r="P17" s="398"/>
      <c r="Q17" s="398"/>
      <c r="R17" s="398"/>
      <c r="S17" s="398"/>
      <c r="T17" s="398"/>
      <c r="U17" s="398"/>
      <c r="V17" s="398"/>
      <c r="W17" s="398"/>
      <c r="X17" s="398"/>
      <c r="Y17" s="398"/>
      <c r="Z17" s="398"/>
      <c r="AA17" s="398"/>
      <c r="AB17" s="398"/>
      <c r="AC17" s="398"/>
      <c r="AD17" s="398"/>
      <c r="AE17" s="398"/>
      <c r="AF17" s="398"/>
      <c r="AG17" s="398"/>
      <c r="AH17" s="398"/>
      <c r="AI17" s="399"/>
      <c r="AK17" s="425" t="s">
        <v>617</v>
      </c>
      <c r="AL17" s="425"/>
      <c r="AM17" s="425"/>
      <c r="AN17" s="425"/>
      <c r="AO17" s="425"/>
      <c r="AP17" s="425"/>
      <c r="AQ17" s="42"/>
      <c r="AR17" s="43"/>
      <c r="AS17" s="46">
        <v>8</v>
      </c>
      <c r="AT17" s="46"/>
      <c r="AU17" s="46" t="s">
        <v>49</v>
      </c>
      <c r="AV17" s="47" t="s">
        <v>618</v>
      </c>
      <c r="AW17" s="47" t="s">
        <v>612</v>
      </c>
      <c r="AX17" s="47">
        <v>0.83333333333333337</v>
      </c>
      <c r="AY17" s="47" t="s">
        <v>613</v>
      </c>
      <c r="AZ17" s="43"/>
      <c r="BB17" s="121" t="s">
        <v>619</v>
      </c>
      <c r="BC17" s="141" t="s">
        <v>67</v>
      </c>
      <c r="BD17" s="140" t="s">
        <v>42</v>
      </c>
      <c r="BE17" s="141" t="s">
        <v>71</v>
      </c>
      <c r="BF17" s="140" t="s">
        <v>67</v>
      </c>
      <c r="BG17" s="140" t="s">
        <v>61</v>
      </c>
      <c r="BH17" s="140" t="s">
        <v>42</v>
      </c>
      <c r="BI17" s="140" t="s">
        <v>49</v>
      </c>
      <c r="BJ17" s="140" t="s">
        <v>61</v>
      </c>
      <c r="BK17" s="140" t="s">
        <v>71</v>
      </c>
      <c r="BL17" s="140" t="s">
        <v>67</v>
      </c>
      <c r="BM17" s="140" t="s">
        <v>49</v>
      </c>
      <c r="BN17" s="140" t="s">
        <v>49</v>
      </c>
      <c r="BO17" s="140" t="s">
        <v>61</v>
      </c>
      <c r="BP17" s="140" t="s">
        <v>49</v>
      </c>
      <c r="BQ17" s="140" t="s">
        <v>67</v>
      </c>
      <c r="BR17" s="140" t="s">
        <v>42</v>
      </c>
      <c r="BS17" s="140" t="s">
        <v>42</v>
      </c>
      <c r="BT17" s="140" t="s">
        <v>49</v>
      </c>
      <c r="BU17" s="140" t="s">
        <v>42</v>
      </c>
      <c r="BV17" s="140" t="s">
        <v>61</v>
      </c>
      <c r="BW17" s="140" t="s">
        <v>71</v>
      </c>
      <c r="BX17" s="140" t="s">
        <v>67</v>
      </c>
      <c r="BY17" s="140" t="s">
        <v>42</v>
      </c>
      <c r="BZ17" s="140" t="s">
        <v>67</v>
      </c>
      <c r="CA17" s="140" t="s">
        <v>67</v>
      </c>
      <c r="CB17" s="140" t="s">
        <v>49</v>
      </c>
      <c r="CC17" s="140" t="s">
        <v>61</v>
      </c>
      <c r="CD17" s="140" t="s">
        <v>71</v>
      </c>
      <c r="CE17" s="140" t="s">
        <v>67</v>
      </c>
      <c r="CF17" s="140" t="s">
        <v>42</v>
      </c>
      <c r="CG17" s="43"/>
    </row>
    <row r="18" spans="1:85" ht="18" customHeight="1">
      <c r="A18" s="501" t="s">
        <v>620</v>
      </c>
      <c r="B18" s="502"/>
      <c r="C18" s="502"/>
      <c r="D18" s="502"/>
      <c r="E18" s="502"/>
      <c r="F18" s="400" t="s">
        <v>616</v>
      </c>
      <c r="G18" s="400"/>
      <c r="H18" s="400"/>
      <c r="I18" s="400"/>
      <c r="J18" s="400"/>
      <c r="K18" s="400"/>
      <c r="L18" s="400"/>
      <c r="M18" s="400"/>
      <c r="N18" s="400"/>
      <c r="O18" s="400"/>
      <c r="P18" s="400"/>
      <c r="Q18" s="400"/>
      <c r="R18" s="400"/>
      <c r="S18" s="400"/>
      <c r="T18" s="400"/>
      <c r="U18" s="400"/>
      <c r="V18" s="400"/>
      <c r="W18" s="400"/>
      <c r="X18" s="400"/>
      <c r="Y18" s="400"/>
      <c r="Z18" s="400"/>
      <c r="AA18" s="400"/>
      <c r="AB18" s="400"/>
      <c r="AC18" s="400"/>
      <c r="AD18" s="400"/>
      <c r="AE18" s="400"/>
      <c r="AF18" s="400"/>
      <c r="AG18" s="400"/>
      <c r="AH18" s="400"/>
      <c r="AI18" s="401"/>
      <c r="AK18" s="425" t="s">
        <v>621</v>
      </c>
      <c r="AL18" s="425"/>
      <c r="AM18" s="425"/>
      <c r="AN18" s="425"/>
      <c r="AO18" s="425"/>
      <c r="AP18" s="425"/>
      <c r="AQ18" s="42"/>
      <c r="AR18" s="43"/>
      <c r="AS18" s="46">
        <v>9</v>
      </c>
      <c r="AT18" s="46"/>
      <c r="AU18" s="46"/>
      <c r="AV18" s="47" t="s">
        <v>622</v>
      </c>
      <c r="AW18" s="47" t="s">
        <v>612</v>
      </c>
      <c r="AX18" s="47">
        <v>0.83333333333333337</v>
      </c>
      <c r="AY18" s="47" t="s">
        <v>613</v>
      </c>
      <c r="AZ18" s="43"/>
    </row>
    <row r="19" spans="1:85" ht="18" customHeight="1" thickBot="1">
      <c r="A19" s="35" t="s">
        <v>189</v>
      </c>
      <c r="B19" s="405">
        <v>0.56944444444444442</v>
      </c>
      <c r="C19" s="405"/>
      <c r="D19" s="405"/>
      <c r="E19" s="405"/>
      <c r="F19" s="402" t="s">
        <v>714</v>
      </c>
      <c r="G19" s="402"/>
      <c r="H19" s="402"/>
      <c r="I19" s="402"/>
      <c r="J19" s="402"/>
      <c r="K19" s="402"/>
      <c r="L19" s="402"/>
      <c r="M19" s="402"/>
      <c r="N19" s="402"/>
      <c r="O19" s="402"/>
      <c r="P19" s="402"/>
      <c r="Q19" s="402"/>
      <c r="R19" s="402"/>
      <c r="S19" s="402"/>
      <c r="T19" s="402"/>
      <c r="U19" s="402"/>
      <c r="V19" s="402"/>
      <c r="W19" s="402"/>
      <c r="X19" s="402"/>
      <c r="Y19" s="402"/>
      <c r="Z19" s="402"/>
      <c r="AA19" s="402"/>
      <c r="AB19" s="402"/>
      <c r="AC19" s="402"/>
      <c r="AD19" s="402"/>
      <c r="AE19" s="402"/>
      <c r="AF19" s="402"/>
      <c r="AG19" s="402"/>
      <c r="AH19" s="402"/>
      <c r="AI19" s="403"/>
      <c r="AK19" s="524" t="s">
        <v>623</v>
      </c>
      <c r="AL19" s="524"/>
      <c r="AM19" s="524"/>
      <c r="AN19" s="524"/>
      <c r="AO19" s="524"/>
      <c r="AP19" s="524"/>
      <c r="AQ19" s="58"/>
      <c r="AR19" s="43"/>
      <c r="AS19" s="46">
        <v>10</v>
      </c>
      <c r="AT19" s="46"/>
      <c r="AU19" s="46"/>
      <c r="AV19" s="47" t="s">
        <v>111</v>
      </c>
      <c r="AW19" s="47" t="s">
        <v>612</v>
      </c>
      <c r="AX19" s="47">
        <v>0.83333333333333337</v>
      </c>
      <c r="AY19" s="47" t="s">
        <v>613</v>
      </c>
      <c r="AZ19" s="43"/>
    </row>
    <row r="20" spans="1:85" ht="18" customHeight="1">
      <c r="A20" s="36" t="s">
        <v>189</v>
      </c>
      <c r="B20" s="404">
        <v>0.8979166666666667</v>
      </c>
      <c r="C20" s="404"/>
      <c r="D20" s="404"/>
      <c r="E20" s="404"/>
      <c r="F20" s="288" t="s">
        <v>714</v>
      </c>
      <c r="G20" s="288"/>
      <c r="H20" s="288"/>
      <c r="I20" s="288"/>
      <c r="J20" s="288"/>
      <c r="K20" s="288"/>
      <c r="L20" s="288"/>
      <c r="M20" s="288"/>
      <c r="N20" s="288"/>
      <c r="O20" s="288"/>
      <c r="P20" s="288"/>
      <c r="Q20" s="288"/>
      <c r="R20" s="288"/>
      <c r="S20" s="288"/>
      <c r="T20" s="288"/>
      <c r="U20" s="288"/>
      <c r="V20" s="288"/>
      <c r="W20" s="288"/>
      <c r="X20" s="288"/>
      <c r="Y20" s="288"/>
      <c r="Z20" s="288"/>
      <c r="AA20" s="288"/>
      <c r="AB20" s="288"/>
      <c r="AC20" s="288"/>
      <c r="AD20" s="288"/>
      <c r="AE20" s="288"/>
      <c r="AF20" s="288"/>
      <c r="AG20" s="288"/>
      <c r="AH20" s="288"/>
      <c r="AI20" s="289"/>
      <c r="AK20" s="447" t="s">
        <v>624</v>
      </c>
      <c r="AL20" s="448"/>
      <c r="AM20" s="448"/>
      <c r="AN20" s="448"/>
      <c r="AO20" s="448"/>
      <c r="AP20" s="448"/>
      <c r="AQ20" s="62"/>
      <c r="AR20" s="426" t="s">
        <v>625</v>
      </c>
      <c r="AS20" s="146">
        <v>11</v>
      </c>
      <c r="AT20" s="46"/>
      <c r="AU20" s="46"/>
      <c r="AV20" s="47" t="s">
        <v>111</v>
      </c>
      <c r="AW20" s="47" t="s">
        <v>612</v>
      </c>
      <c r="AX20" s="47">
        <v>0.83333333333333337</v>
      </c>
      <c r="AY20" s="47" t="s">
        <v>613</v>
      </c>
      <c r="AZ20" s="43"/>
    </row>
    <row r="21" spans="1:85" ht="18" customHeight="1" thickBot="1">
      <c r="A21" s="36" t="s">
        <v>189</v>
      </c>
      <c r="B21" s="404">
        <v>0.28749999999999998</v>
      </c>
      <c r="C21" s="404"/>
      <c r="D21" s="404"/>
      <c r="E21" s="404"/>
      <c r="F21" s="288" t="s">
        <v>689</v>
      </c>
      <c r="G21" s="288"/>
      <c r="H21" s="288"/>
      <c r="I21" s="288"/>
      <c r="J21" s="288"/>
      <c r="K21" s="288"/>
      <c r="L21" s="288"/>
      <c r="M21" s="288"/>
      <c r="N21" s="288"/>
      <c r="O21" s="288"/>
      <c r="P21" s="288"/>
      <c r="Q21" s="288"/>
      <c r="R21" s="288"/>
      <c r="S21" s="288"/>
      <c r="T21" s="288"/>
      <c r="U21" s="288"/>
      <c r="V21" s="288"/>
      <c r="W21" s="288"/>
      <c r="X21" s="288"/>
      <c r="Y21" s="288"/>
      <c r="Z21" s="288"/>
      <c r="AA21" s="288"/>
      <c r="AB21" s="288"/>
      <c r="AC21" s="288"/>
      <c r="AD21" s="288"/>
      <c r="AE21" s="288"/>
      <c r="AF21" s="288"/>
      <c r="AG21" s="288"/>
      <c r="AH21" s="288"/>
      <c r="AI21" s="289"/>
      <c r="AK21" s="429" t="s">
        <v>626</v>
      </c>
      <c r="AL21" s="430"/>
      <c r="AM21" s="430"/>
      <c r="AN21" s="430"/>
      <c r="AO21" s="430"/>
      <c r="AP21" s="430"/>
      <c r="AQ21" s="63"/>
      <c r="AR21" s="427"/>
      <c r="AW21" s="43"/>
      <c r="AX21" s="43"/>
      <c r="AY21" s="43"/>
      <c r="AZ21" s="43"/>
    </row>
    <row r="22" spans="1:85" ht="18" customHeight="1">
      <c r="A22" s="36"/>
      <c r="B22" s="404"/>
      <c r="C22" s="404"/>
      <c r="D22" s="404"/>
      <c r="E22" s="404"/>
      <c r="F22" s="288"/>
      <c r="G22" s="288"/>
      <c r="H22" s="288"/>
      <c r="I22" s="288"/>
      <c r="J22" s="288"/>
      <c r="K22" s="288"/>
      <c r="L22" s="288"/>
      <c r="M22" s="288"/>
      <c r="N22" s="288"/>
      <c r="O22" s="288"/>
      <c r="P22" s="288"/>
      <c r="Q22" s="288"/>
      <c r="R22" s="288"/>
      <c r="S22" s="288"/>
      <c r="T22" s="288"/>
      <c r="U22" s="288"/>
      <c r="V22" s="288"/>
      <c r="W22" s="288"/>
      <c r="X22" s="288"/>
      <c r="Y22" s="288"/>
      <c r="Z22" s="288"/>
      <c r="AA22" s="288"/>
      <c r="AB22" s="288"/>
      <c r="AC22" s="288"/>
      <c r="AD22" s="288"/>
      <c r="AE22" s="288"/>
      <c r="AF22" s="288"/>
      <c r="AG22" s="288"/>
      <c r="AH22" s="288"/>
      <c r="AI22" s="289"/>
      <c r="AK22" s="429" t="s">
        <v>627</v>
      </c>
      <c r="AL22" s="430"/>
      <c r="AM22" s="430"/>
      <c r="AN22" s="430"/>
      <c r="AO22" s="430"/>
      <c r="AP22" s="430"/>
      <c r="AQ22" s="63"/>
      <c r="AR22" s="427"/>
      <c r="AS22" s="433" t="s">
        <v>628</v>
      </c>
      <c r="AT22" s="434"/>
      <c r="AU22" s="435"/>
      <c r="AV22" s="435"/>
      <c r="AW22" s="60" t="s">
        <v>74</v>
      </c>
      <c r="AY22" s="413" t="s">
        <v>629</v>
      </c>
      <c r="AZ22" s="413"/>
      <c r="BA22" s="412"/>
      <c r="BB22" s="412"/>
    </row>
    <row r="23" spans="1:85" ht="18" customHeight="1" thickBot="1">
      <c r="A23" s="36"/>
      <c r="B23" s="404"/>
      <c r="C23" s="404"/>
      <c r="D23" s="404"/>
      <c r="E23" s="404"/>
      <c r="F23" s="288"/>
      <c r="G23" s="288"/>
      <c r="H23" s="288"/>
      <c r="I23" s="288"/>
      <c r="J23" s="288"/>
      <c r="K23" s="288"/>
      <c r="L23" s="288"/>
      <c r="M23" s="288"/>
      <c r="N23" s="288"/>
      <c r="O23" s="288"/>
      <c r="P23" s="288"/>
      <c r="Q23" s="288"/>
      <c r="R23" s="288"/>
      <c r="S23" s="288"/>
      <c r="T23" s="288"/>
      <c r="U23" s="288"/>
      <c r="V23" s="288"/>
      <c r="W23" s="288"/>
      <c r="X23" s="288"/>
      <c r="Y23" s="288"/>
      <c r="Z23" s="288"/>
      <c r="AA23" s="288"/>
      <c r="AB23" s="288"/>
      <c r="AC23" s="288"/>
      <c r="AD23" s="288"/>
      <c r="AE23" s="288"/>
      <c r="AF23" s="288"/>
      <c r="AG23" s="288"/>
      <c r="AH23" s="288"/>
      <c r="AI23" s="289"/>
      <c r="AK23" s="431" t="s">
        <v>630</v>
      </c>
      <c r="AL23" s="432"/>
      <c r="AM23" s="432"/>
      <c r="AN23" s="432"/>
      <c r="AO23" s="432"/>
      <c r="AP23" s="432"/>
      <c r="AQ23" s="64"/>
      <c r="AR23" s="428"/>
      <c r="AS23" s="536" t="s">
        <v>631</v>
      </c>
      <c r="AT23" s="246"/>
      <c r="AU23" s="537"/>
      <c r="AV23" s="537"/>
      <c r="AW23" s="56" t="s">
        <v>632</v>
      </c>
      <c r="AY23" s="413" t="s">
        <v>633</v>
      </c>
      <c r="AZ23" s="413"/>
      <c r="BA23" s="412"/>
      <c r="BB23" s="412"/>
    </row>
    <row r="24" spans="1:85" ht="18" customHeight="1" thickBot="1">
      <c r="A24" s="36"/>
      <c r="B24" s="404"/>
      <c r="C24" s="404"/>
      <c r="D24" s="404"/>
      <c r="E24" s="404"/>
      <c r="F24" s="288"/>
      <c r="G24" s="288"/>
      <c r="H24" s="288"/>
      <c r="I24" s="288"/>
      <c r="J24" s="288"/>
      <c r="K24" s="288"/>
      <c r="L24" s="288"/>
      <c r="M24" s="288"/>
      <c r="N24" s="288"/>
      <c r="O24" s="288"/>
      <c r="P24" s="288"/>
      <c r="Q24" s="288"/>
      <c r="R24" s="288"/>
      <c r="S24" s="288"/>
      <c r="T24" s="288"/>
      <c r="U24" s="288"/>
      <c r="V24" s="288"/>
      <c r="W24" s="288"/>
      <c r="X24" s="288"/>
      <c r="Y24" s="288"/>
      <c r="Z24" s="288"/>
      <c r="AA24" s="288"/>
      <c r="AB24" s="288"/>
      <c r="AC24" s="288"/>
      <c r="AD24" s="288"/>
      <c r="AE24" s="288"/>
      <c r="AF24" s="288"/>
      <c r="AG24" s="288"/>
      <c r="AH24" s="288"/>
      <c r="AI24" s="289"/>
      <c r="AK24" s="527" t="s">
        <v>634</v>
      </c>
      <c r="AL24" s="528"/>
      <c r="AM24" s="528"/>
      <c r="AN24" s="528"/>
      <c r="AO24" s="528"/>
      <c r="AP24" s="528"/>
      <c r="AQ24" s="65"/>
      <c r="AR24" s="43"/>
      <c r="AY24" s="413" t="s">
        <v>635</v>
      </c>
      <c r="AZ24" s="413"/>
      <c r="BA24" s="412"/>
      <c r="BB24" s="412"/>
    </row>
    <row r="25" spans="1:85" ht="18" customHeight="1">
      <c r="A25" s="36"/>
      <c r="B25" s="404"/>
      <c r="C25" s="404"/>
      <c r="D25" s="404"/>
      <c r="E25" s="404"/>
      <c r="F25" s="288"/>
      <c r="G25" s="288"/>
      <c r="H25" s="288"/>
      <c r="I25" s="288"/>
      <c r="J25" s="288"/>
      <c r="K25" s="288"/>
      <c r="L25" s="288"/>
      <c r="M25" s="288"/>
      <c r="N25" s="288"/>
      <c r="O25" s="288"/>
      <c r="P25" s="288"/>
      <c r="Q25" s="288"/>
      <c r="R25" s="288"/>
      <c r="S25" s="288"/>
      <c r="T25" s="288"/>
      <c r="U25" s="288"/>
      <c r="V25" s="288"/>
      <c r="W25" s="288"/>
      <c r="X25" s="288"/>
      <c r="Y25" s="288"/>
      <c r="Z25" s="288"/>
      <c r="AA25" s="288"/>
      <c r="AB25" s="288"/>
      <c r="AC25" s="288"/>
      <c r="AD25" s="288"/>
      <c r="AE25" s="288"/>
      <c r="AF25" s="288"/>
      <c r="AG25" s="288"/>
      <c r="AH25" s="288"/>
      <c r="AI25" s="289"/>
      <c r="AK25" s="529" t="s">
        <v>636</v>
      </c>
      <c r="AL25" s="529"/>
      <c r="AM25" s="529"/>
      <c r="AN25" s="529"/>
      <c r="AO25" s="529"/>
      <c r="AP25" s="529"/>
      <c r="AQ25" s="66"/>
      <c r="AR25" s="43"/>
      <c r="AY25" s="413" t="s">
        <v>637</v>
      </c>
      <c r="AZ25" s="413"/>
      <c r="BA25" s="412"/>
      <c r="BB25" s="412"/>
    </row>
    <row r="26" spans="1:85" ht="18" customHeight="1">
      <c r="A26" s="36"/>
      <c r="B26" s="404"/>
      <c r="C26" s="404"/>
      <c r="D26" s="404"/>
      <c r="E26" s="404"/>
      <c r="F26" s="288"/>
      <c r="G26" s="288"/>
      <c r="H26" s="288"/>
      <c r="I26" s="288"/>
      <c r="J26" s="288"/>
      <c r="K26" s="288"/>
      <c r="L26" s="288"/>
      <c r="M26" s="288"/>
      <c r="N26" s="288"/>
      <c r="O26" s="288"/>
      <c r="P26" s="288"/>
      <c r="Q26" s="288"/>
      <c r="R26" s="288"/>
      <c r="S26" s="288"/>
      <c r="T26" s="288"/>
      <c r="U26" s="288"/>
      <c r="V26" s="288"/>
      <c r="W26" s="288"/>
      <c r="X26" s="288"/>
      <c r="Y26" s="288"/>
      <c r="Z26" s="288"/>
      <c r="AA26" s="288"/>
      <c r="AB26" s="288"/>
      <c r="AC26" s="288"/>
      <c r="AD26" s="288"/>
      <c r="AE26" s="288"/>
      <c r="AF26" s="288"/>
      <c r="AG26" s="288"/>
      <c r="AH26" s="288"/>
      <c r="AI26" s="289"/>
      <c r="AK26" s="436" t="s">
        <v>638</v>
      </c>
      <c r="AL26" s="436"/>
      <c r="AM26" s="436"/>
      <c r="AN26" s="436"/>
      <c r="AO26" s="436"/>
      <c r="AP26" s="436"/>
      <c r="AQ26" s="67"/>
      <c r="AR26" s="43"/>
      <c r="AS26" s="548" t="s">
        <v>639</v>
      </c>
      <c r="AT26" s="549"/>
      <c r="AU26" s="549"/>
      <c r="AV26" s="549"/>
      <c r="AW26" s="550"/>
      <c r="AY26" s="147"/>
      <c r="AZ26" s="147"/>
      <c r="BA26" s="147"/>
      <c r="BB26" s="147"/>
    </row>
    <row r="27" spans="1:85" ht="18" customHeight="1">
      <c r="A27" s="36"/>
      <c r="B27" s="404"/>
      <c r="C27" s="404"/>
      <c r="D27" s="404"/>
      <c r="E27" s="404"/>
      <c r="F27" s="288"/>
      <c r="G27" s="288"/>
      <c r="H27" s="288"/>
      <c r="I27" s="288"/>
      <c r="J27" s="288"/>
      <c r="K27" s="288"/>
      <c r="L27" s="288"/>
      <c r="M27" s="288"/>
      <c r="N27" s="288"/>
      <c r="O27" s="288"/>
      <c r="P27" s="288"/>
      <c r="Q27" s="288"/>
      <c r="R27" s="288"/>
      <c r="S27" s="288"/>
      <c r="T27" s="288"/>
      <c r="U27" s="288"/>
      <c r="V27" s="288"/>
      <c r="W27" s="288"/>
      <c r="X27" s="288"/>
      <c r="Y27" s="288"/>
      <c r="Z27" s="288"/>
      <c r="AA27" s="288"/>
      <c r="AB27" s="288"/>
      <c r="AC27" s="288"/>
      <c r="AD27" s="288"/>
      <c r="AE27" s="288"/>
      <c r="AF27" s="288"/>
      <c r="AG27" s="288"/>
      <c r="AH27" s="288"/>
      <c r="AI27" s="289"/>
      <c r="AK27" s="436" t="s">
        <v>640</v>
      </c>
      <c r="AL27" s="436"/>
      <c r="AM27" s="436"/>
      <c r="AN27" s="436"/>
      <c r="AO27" s="436"/>
      <c r="AP27" s="436"/>
      <c r="AQ27" s="67"/>
      <c r="AR27" s="43"/>
      <c r="AS27" s="458" t="s">
        <v>641</v>
      </c>
      <c r="AT27" s="460"/>
      <c r="AU27" s="458" t="s">
        <v>642</v>
      </c>
      <c r="AV27" s="459"/>
      <c r="AW27" s="460"/>
      <c r="AY27" s="411" t="s">
        <v>643</v>
      </c>
      <c r="AZ27" s="411"/>
      <c r="BA27" s="411"/>
      <c r="BB27" s="411"/>
    </row>
    <row r="28" spans="1:85" ht="18" customHeight="1" thickBot="1">
      <c r="A28" s="36"/>
      <c r="B28" s="404"/>
      <c r="C28" s="404"/>
      <c r="D28" s="404"/>
      <c r="E28" s="404"/>
      <c r="F28" s="288"/>
      <c r="G28" s="288"/>
      <c r="H28" s="288"/>
      <c r="I28" s="288"/>
      <c r="J28" s="288"/>
      <c r="K28" s="288"/>
      <c r="L28" s="288"/>
      <c r="M28" s="288"/>
      <c r="N28" s="288"/>
      <c r="O28" s="288"/>
      <c r="P28" s="288"/>
      <c r="Q28" s="288"/>
      <c r="R28" s="288"/>
      <c r="S28" s="288"/>
      <c r="T28" s="288"/>
      <c r="U28" s="288"/>
      <c r="V28" s="288"/>
      <c r="W28" s="288"/>
      <c r="X28" s="288"/>
      <c r="Y28" s="288"/>
      <c r="Z28" s="288"/>
      <c r="AA28" s="288"/>
      <c r="AB28" s="288"/>
      <c r="AC28" s="288"/>
      <c r="AD28" s="288"/>
      <c r="AE28" s="288"/>
      <c r="AF28" s="288"/>
      <c r="AG28" s="288"/>
      <c r="AH28" s="288"/>
      <c r="AI28" s="289"/>
      <c r="AK28" s="436" t="s">
        <v>644</v>
      </c>
      <c r="AL28" s="436"/>
      <c r="AM28" s="436"/>
      <c r="AN28" s="436"/>
      <c r="AO28" s="436"/>
      <c r="AP28" s="436"/>
      <c r="AQ28" s="67"/>
      <c r="AR28" s="43"/>
      <c r="AS28" s="538" t="s">
        <v>645</v>
      </c>
      <c r="AT28" s="539"/>
      <c r="AU28" s="533" t="s">
        <v>646</v>
      </c>
      <c r="AV28" s="534"/>
      <c r="AW28" s="535"/>
      <c r="AY28" s="413" t="s">
        <v>647</v>
      </c>
      <c r="AZ28" s="413"/>
      <c r="BA28" s="412"/>
      <c r="BB28" s="412"/>
    </row>
    <row r="29" spans="1:85" ht="18" customHeight="1" thickBot="1">
      <c r="A29" s="36"/>
      <c r="B29" s="404"/>
      <c r="C29" s="404"/>
      <c r="D29" s="404"/>
      <c r="E29" s="404"/>
      <c r="F29" s="288"/>
      <c r="G29" s="288"/>
      <c r="H29" s="288"/>
      <c r="I29" s="288"/>
      <c r="J29" s="288"/>
      <c r="K29" s="288"/>
      <c r="L29" s="288"/>
      <c r="M29" s="288"/>
      <c r="N29" s="288"/>
      <c r="O29" s="288"/>
      <c r="P29" s="288"/>
      <c r="Q29" s="288"/>
      <c r="R29" s="288"/>
      <c r="S29" s="288"/>
      <c r="T29" s="288"/>
      <c r="U29" s="288"/>
      <c r="V29" s="288"/>
      <c r="W29" s="288"/>
      <c r="X29" s="288"/>
      <c r="Y29" s="288"/>
      <c r="Z29" s="288"/>
      <c r="AA29" s="288"/>
      <c r="AB29" s="288"/>
      <c r="AC29" s="288"/>
      <c r="AD29" s="288"/>
      <c r="AE29" s="288"/>
      <c r="AF29" s="288"/>
      <c r="AG29" s="288"/>
      <c r="AH29" s="288"/>
      <c r="AI29" s="289"/>
      <c r="AK29" s="524"/>
      <c r="AL29" s="524"/>
      <c r="AM29" s="524"/>
      <c r="AN29" s="524"/>
      <c r="AO29" s="524"/>
      <c r="AP29" s="524"/>
      <c r="AQ29" s="58"/>
      <c r="AR29" s="43"/>
      <c r="AS29" s="551">
        <v>1.0798611111111112</v>
      </c>
      <c r="AT29" s="552"/>
      <c r="AU29" s="434" t="s">
        <v>835</v>
      </c>
      <c r="AV29" s="434"/>
      <c r="AW29" s="553"/>
      <c r="AY29" s="413" t="s">
        <v>633</v>
      </c>
      <c r="AZ29" s="413"/>
      <c r="BA29" s="412"/>
      <c r="BB29" s="412"/>
    </row>
    <row r="30" spans="1:85" ht="18" customHeight="1">
      <c r="A30" s="36"/>
      <c r="B30" s="404"/>
      <c r="C30" s="404"/>
      <c r="D30" s="404"/>
      <c r="E30" s="404"/>
      <c r="F30" s="288"/>
      <c r="G30" s="288"/>
      <c r="H30" s="288"/>
      <c r="I30" s="288"/>
      <c r="J30" s="288"/>
      <c r="K30" s="288"/>
      <c r="L30" s="288"/>
      <c r="M30" s="288"/>
      <c r="N30" s="288"/>
      <c r="O30" s="288"/>
      <c r="P30" s="288"/>
      <c r="Q30" s="288"/>
      <c r="R30" s="288"/>
      <c r="S30" s="288"/>
      <c r="T30" s="288"/>
      <c r="U30" s="288"/>
      <c r="V30" s="288"/>
      <c r="W30" s="288"/>
      <c r="X30" s="288"/>
      <c r="Y30" s="288"/>
      <c r="Z30" s="288"/>
      <c r="AA30" s="288"/>
      <c r="AB30" s="288"/>
      <c r="AC30" s="288"/>
      <c r="AD30" s="288"/>
      <c r="AE30" s="288"/>
      <c r="AF30" s="288"/>
      <c r="AG30" s="288"/>
      <c r="AH30" s="288"/>
      <c r="AI30" s="289"/>
      <c r="AK30" s="449" t="s">
        <v>648</v>
      </c>
      <c r="AL30" s="450"/>
      <c r="AM30" s="450"/>
      <c r="AN30" s="450"/>
      <c r="AO30" s="450"/>
      <c r="AP30" s="450"/>
      <c r="AQ30" s="62"/>
      <c r="AR30" s="43"/>
      <c r="AS30" s="554">
        <v>1.0798611111111112</v>
      </c>
      <c r="AT30" s="532"/>
      <c r="AU30" s="439" t="s">
        <v>836</v>
      </c>
      <c r="AV30" s="439"/>
      <c r="AW30" s="555"/>
      <c r="AY30" s="413" t="s">
        <v>649</v>
      </c>
      <c r="AZ30" s="413"/>
      <c r="BA30" s="412"/>
      <c r="BB30" s="412"/>
    </row>
    <row r="31" spans="1:85" ht="18" customHeight="1" thickBot="1">
      <c r="A31" s="37"/>
      <c r="B31" s="466"/>
      <c r="C31" s="466"/>
      <c r="D31" s="466"/>
      <c r="E31" s="466"/>
      <c r="F31" s="467"/>
      <c r="G31" s="467"/>
      <c r="H31" s="467"/>
      <c r="I31" s="467"/>
      <c r="J31" s="467"/>
      <c r="K31" s="467"/>
      <c r="L31" s="467"/>
      <c r="M31" s="467"/>
      <c r="N31" s="467"/>
      <c r="O31" s="467"/>
      <c r="P31" s="467"/>
      <c r="Q31" s="467"/>
      <c r="R31" s="467"/>
      <c r="S31" s="467"/>
      <c r="T31" s="467"/>
      <c r="U31" s="467"/>
      <c r="V31" s="467"/>
      <c r="W31" s="467"/>
      <c r="X31" s="467"/>
      <c r="Y31" s="467"/>
      <c r="Z31" s="467"/>
      <c r="AA31" s="467"/>
      <c r="AB31" s="467"/>
      <c r="AC31" s="467"/>
      <c r="AD31" s="467"/>
      <c r="AE31" s="467"/>
      <c r="AF31" s="467"/>
      <c r="AG31" s="467"/>
      <c r="AH31" s="467"/>
      <c r="AI31" s="468"/>
      <c r="AK31" s="451" t="s">
        <v>650</v>
      </c>
      <c r="AL31" s="416"/>
      <c r="AM31" s="416"/>
      <c r="AN31" s="416"/>
      <c r="AO31" s="416"/>
      <c r="AP31" s="416"/>
      <c r="AQ31" s="64"/>
      <c r="AR31" s="48"/>
      <c r="AS31" s="556"/>
      <c r="AT31" s="557"/>
      <c r="AU31" s="424"/>
      <c r="AV31" s="424"/>
      <c r="AW31" s="491"/>
      <c r="AY31" s="413" t="s">
        <v>637</v>
      </c>
      <c r="AZ31" s="413"/>
      <c r="BA31" s="412"/>
      <c r="BB31" s="412"/>
    </row>
    <row r="32" spans="1:85" ht="18" customHeight="1" thickBot="1">
      <c r="A32" s="406" t="s">
        <v>651</v>
      </c>
      <c r="B32" s="407"/>
      <c r="C32" s="407"/>
      <c r="D32" s="407"/>
      <c r="E32" s="407"/>
      <c r="F32" s="407"/>
      <c r="G32" s="407"/>
      <c r="H32" s="407"/>
      <c r="I32" s="407"/>
      <c r="J32" s="407"/>
      <c r="K32" s="407"/>
      <c r="L32" s="407"/>
      <c r="M32" s="407"/>
      <c r="N32" s="407"/>
      <c r="O32" s="407"/>
      <c r="P32" s="407"/>
      <c r="Q32" s="407"/>
      <c r="R32" s="407"/>
      <c r="S32" s="407"/>
      <c r="T32" s="407"/>
      <c r="U32" s="407"/>
      <c r="V32" s="407"/>
      <c r="W32" s="407"/>
      <c r="X32" s="407"/>
      <c r="Y32" s="407"/>
      <c r="Z32" s="407"/>
      <c r="AA32" s="407"/>
      <c r="AB32" s="407"/>
      <c r="AC32" s="407"/>
      <c r="AD32" s="407"/>
      <c r="AE32" s="407"/>
      <c r="AF32" s="407"/>
      <c r="AG32" s="407"/>
      <c r="AH32" s="407"/>
      <c r="AI32" s="408"/>
      <c r="AK32" s="531"/>
      <c r="AL32" s="531"/>
      <c r="AM32" s="531"/>
      <c r="AN32" s="531"/>
      <c r="AO32" s="531"/>
      <c r="AP32" s="531"/>
      <c r="AQ32" s="61"/>
      <c r="AR32" s="48"/>
      <c r="AS32" s="558"/>
      <c r="AT32" s="558"/>
      <c r="AU32" s="559"/>
      <c r="AV32" s="559"/>
      <c r="AW32" s="559"/>
      <c r="AY32" s="413" t="s">
        <v>652</v>
      </c>
      <c r="AZ32" s="413"/>
      <c r="BA32" s="412"/>
      <c r="BB32" s="412"/>
    </row>
    <row r="33" spans="1:80" ht="18" customHeight="1">
      <c r="A33" s="39"/>
      <c r="B33" s="546" t="s">
        <v>653</v>
      </c>
      <c r="C33" s="546"/>
      <c r="D33" s="546"/>
      <c r="E33" s="546"/>
      <c r="F33" s="417" t="str" cm="1">
        <f t="array" ref="F33">_xlfn.TEXTJOIN("/",TRUE,IF(AS29:AS31&lt;&gt;"",TEXT(AS29:AS31,"h:mm")&amp;" "&amp;AU29:AU31,""))</f>
        <v>1:55 45階ルーフトップテラス１/1:55 45階ルーフトップテラス２</v>
      </c>
      <c r="G33" s="418"/>
      <c r="H33" s="418"/>
      <c r="I33" s="418"/>
      <c r="J33" s="418"/>
      <c r="K33" s="418"/>
      <c r="L33" s="418"/>
      <c r="M33" s="418"/>
      <c r="N33" s="418"/>
      <c r="O33" s="418"/>
      <c r="P33" s="418"/>
      <c r="Q33" s="418"/>
      <c r="R33" s="418"/>
      <c r="S33" s="418"/>
      <c r="T33" s="418"/>
      <c r="U33" s="418"/>
      <c r="V33" s="418"/>
      <c r="W33" s="418"/>
      <c r="X33" s="418"/>
      <c r="Y33" s="418"/>
      <c r="Z33" s="418"/>
      <c r="AA33" s="418"/>
      <c r="AB33" s="418"/>
      <c r="AC33" s="418"/>
      <c r="AD33" s="418"/>
      <c r="AE33" s="418"/>
      <c r="AF33" s="418"/>
      <c r="AG33" s="418"/>
      <c r="AH33" s="418"/>
      <c r="AI33" s="419"/>
      <c r="AK33" s="449" t="s">
        <v>654</v>
      </c>
      <c r="AL33" s="450"/>
      <c r="AM33" s="450"/>
      <c r="AN33" s="450"/>
      <c r="AO33" s="450"/>
      <c r="AP33" s="450"/>
      <c r="AQ33" s="60"/>
      <c r="AR33" s="48"/>
      <c r="AS33" s="532"/>
      <c r="AT33" s="532"/>
      <c r="AU33" s="439"/>
      <c r="AV33" s="439"/>
      <c r="AW33" s="439"/>
      <c r="AY33" s="413" t="s">
        <v>655</v>
      </c>
      <c r="AZ33" s="413"/>
      <c r="BA33" s="412"/>
      <c r="BB33" s="412"/>
    </row>
    <row r="34" spans="1:80" ht="18" customHeight="1" thickBot="1">
      <c r="A34" s="39"/>
      <c r="B34" s="546" t="s">
        <v>656</v>
      </c>
      <c r="C34" s="546"/>
      <c r="D34" s="546"/>
      <c r="E34" s="546"/>
      <c r="F34" s="420" t="s">
        <v>79</v>
      </c>
      <c r="G34" s="420"/>
      <c r="H34" s="420"/>
      <c r="I34" s="420"/>
      <c r="J34" s="420"/>
      <c r="K34" s="420"/>
      <c r="L34" s="420"/>
      <c r="M34" s="420"/>
      <c r="N34" s="420"/>
      <c r="O34" s="420"/>
      <c r="P34" s="420"/>
      <c r="Q34" s="420"/>
      <c r="R34" s="420"/>
      <c r="S34" s="420"/>
      <c r="T34" s="420"/>
      <c r="U34" s="420"/>
      <c r="V34" s="420"/>
      <c r="W34" s="420"/>
      <c r="X34" s="420"/>
      <c r="Y34" s="420"/>
      <c r="Z34" s="420"/>
      <c r="AA34" s="420"/>
      <c r="AB34" s="420"/>
      <c r="AC34" s="421"/>
      <c r="AD34" s="421"/>
      <c r="AE34" s="421"/>
      <c r="AF34" s="421"/>
      <c r="AG34" s="421"/>
      <c r="AH34" s="421"/>
      <c r="AI34" s="422"/>
      <c r="AK34" s="451" t="s">
        <v>657</v>
      </c>
      <c r="AL34" s="416"/>
      <c r="AM34" s="416"/>
      <c r="AN34" s="416"/>
      <c r="AO34" s="416"/>
      <c r="AP34" s="416"/>
      <c r="AQ34" s="56"/>
      <c r="AR34" s="48"/>
      <c r="AS34" s="532"/>
      <c r="AT34" s="532"/>
      <c r="AU34" s="439"/>
      <c r="AV34" s="439"/>
      <c r="AW34" s="439"/>
      <c r="AY34" s="413" t="s">
        <v>658</v>
      </c>
      <c r="AZ34" s="413"/>
      <c r="BA34" s="412"/>
      <c r="BB34" s="412"/>
    </row>
    <row r="35" spans="1:80" ht="18" customHeight="1" thickBot="1">
      <c r="A35" s="57"/>
      <c r="B35" s="547" t="s">
        <v>659</v>
      </c>
      <c r="C35" s="547"/>
      <c r="D35" s="547"/>
      <c r="E35" s="547"/>
      <c r="F35" s="389" t="s">
        <v>660</v>
      </c>
      <c r="G35" s="389"/>
      <c r="H35" s="389"/>
      <c r="I35" s="389"/>
      <c r="J35" s="389"/>
      <c r="K35" s="389"/>
      <c r="L35" s="389"/>
      <c r="M35" s="389"/>
      <c r="N35" s="389"/>
      <c r="O35" s="389"/>
      <c r="P35" s="389"/>
      <c r="Q35" s="389"/>
      <c r="R35" s="389"/>
      <c r="S35" s="389"/>
      <c r="T35" s="389"/>
      <c r="U35" s="389"/>
      <c r="V35" s="389"/>
      <c r="W35" s="390" t="s">
        <v>661</v>
      </c>
      <c r="X35" s="391"/>
      <c r="Y35" s="391"/>
      <c r="Z35" s="391"/>
      <c r="AA35" s="391"/>
      <c r="AB35" s="391"/>
      <c r="AC35" s="392" t="s">
        <v>662</v>
      </c>
      <c r="AD35" s="393"/>
      <c r="AE35" s="393"/>
      <c r="AF35" s="393"/>
      <c r="AG35" s="393"/>
      <c r="AH35" s="393"/>
      <c r="AI35" s="394"/>
      <c r="AK35" s="531"/>
      <c r="AL35" s="531"/>
      <c r="AM35" s="531"/>
      <c r="AN35" s="531"/>
      <c r="AO35" s="531"/>
      <c r="AP35" s="531"/>
      <c r="AQ35" s="61"/>
      <c r="AR35" s="48"/>
      <c r="AS35" s="532"/>
      <c r="AT35" s="532"/>
      <c r="AU35" s="439"/>
      <c r="AV35" s="439"/>
      <c r="AW35" s="439"/>
      <c r="AY35" s="413" t="s">
        <v>663</v>
      </c>
      <c r="AZ35" s="413"/>
      <c r="BA35" s="412"/>
      <c r="BB35" s="412"/>
    </row>
    <row r="36" spans="1:80" ht="18" customHeight="1" thickBot="1">
      <c r="A36" s="492" t="s">
        <v>664</v>
      </c>
      <c r="B36" s="493"/>
      <c r="C36" s="493"/>
      <c r="D36" s="493"/>
      <c r="E36" s="493"/>
      <c r="F36" s="498">
        <v>4.1666666666666664E-2</v>
      </c>
      <c r="G36" s="439"/>
      <c r="H36" s="439"/>
      <c r="I36" s="439"/>
      <c r="J36" s="439"/>
      <c r="K36" s="439"/>
      <c r="L36" s="499" t="s">
        <v>665</v>
      </c>
      <c r="M36" s="489"/>
      <c r="N36" s="489"/>
      <c r="O36" s="500"/>
      <c r="P36" s="410" t="s">
        <v>72</v>
      </c>
      <c r="Q36" s="410"/>
      <c r="R36" s="410"/>
      <c r="S36" s="55" t="s">
        <v>666</v>
      </c>
      <c r="T36" s="410" t="s">
        <v>50</v>
      </c>
      <c r="U36" s="410"/>
      <c r="V36" s="530"/>
      <c r="W36" s="489" t="s">
        <v>667</v>
      </c>
      <c r="X36" s="489"/>
      <c r="Y36" s="489"/>
      <c r="Z36" s="489"/>
      <c r="AA36" s="489"/>
      <c r="AB36" s="489"/>
      <c r="AC36" s="490" t="s">
        <v>722</v>
      </c>
      <c r="AD36" s="487"/>
      <c r="AE36" s="487"/>
      <c r="AF36" s="487"/>
      <c r="AG36" s="487"/>
      <c r="AH36" s="487"/>
      <c r="AI36" s="488"/>
      <c r="AK36" s="525" t="s">
        <v>668</v>
      </c>
      <c r="AL36" s="526"/>
      <c r="AM36" s="526"/>
      <c r="AN36" s="526"/>
      <c r="AO36" s="526"/>
      <c r="AP36" s="526"/>
      <c r="AQ36" s="117"/>
      <c r="AR36" s="48"/>
      <c r="AS36" s="532"/>
      <c r="AT36" s="532"/>
      <c r="AU36" s="439"/>
      <c r="AV36" s="439"/>
      <c r="AW36" s="439"/>
      <c r="BH36" s="50"/>
      <c r="BI36" s="51"/>
    </row>
    <row r="37" spans="1:80" ht="18" customHeight="1" thickBot="1">
      <c r="A37" s="494" t="s">
        <v>669</v>
      </c>
      <c r="B37" s="495"/>
      <c r="C37" s="495"/>
      <c r="D37" s="495"/>
      <c r="E37" s="495"/>
      <c r="F37" s="487"/>
      <c r="G37" s="487"/>
      <c r="H37" s="487"/>
      <c r="I37" s="487"/>
      <c r="J37" s="487"/>
      <c r="K37" s="487"/>
      <c r="L37" s="487"/>
      <c r="M37" s="487"/>
      <c r="N37" s="487"/>
      <c r="O37" s="487"/>
      <c r="P37" s="487"/>
      <c r="Q37" s="487"/>
      <c r="R37" s="487"/>
      <c r="S37" s="487"/>
      <c r="T37" s="487"/>
      <c r="U37" s="487"/>
      <c r="V37" s="487"/>
      <c r="W37" s="487"/>
      <c r="X37" s="487"/>
      <c r="Y37" s="487"/>
      <c r="Z37" s="487"/>
      <c r="AA37" s="487"/>
      <c r="AB37" s="487"/>
      <c r="AC37" s="487"/>
      <c r="AD37" s="487"/>
      <c r="AE37" s="487"/>
      <c r="AF37" s="487"/>
      <c r="AG37" s="487"/>
      <c r="AH37" s="487"/>
      <c r="AI37" s="488"/>
      <c r="AK37" s="544" t="s">
        <v>240</v>
      </c>
      <c r="AL37" s="545"/>
      <c r="AM37" s="545"/>
      <c r="AN37" s="545"/>
      <c r="AO37" s="545"/>
      <c r="AP37" s="545"/>
      <c r="AQ37" s="122"/>
      <c r="AR37" s="48"/>
      <c r="AS37" s="532"/>
      <c r="AT37" s="532"/>
      <c r="AU37" s="439"/>
      <c r="AV37" s="439"/>
      <c r="AW37" s="439"/>
      <c r="BH37" s="50"/>
      <c r="BI37" s="51"/>
    </row>
    <row r="38" spans="1:80" ht="18" customHeight="1" thickBot="1">
      <c r="A38" s="496" t="s">
        <v>670</v>
      </c>
      <c r="B38" s="497"/>
      <c r="C38" s="497"/>
      <c r="D38" s="497"/>
      <c r="E38" s="497"/>
      <c r="F38" s="416" t="s">
        <v>667</v>
      </c>
      <c r="G38" s="416"/>
      <c r="H38" s="416"/>
      <c r="I38" s="416"/>
      <c r="J38" s="416"/>
      <c r="K38" s="416"/>
      <c r="L38" s="424" t="s">
        <v>722</v>
      </c>
      <c r="M38" s="424"/>
      <c r="N38" s="424"/>
      <c r="O38" s="424"/>
      <c r="P38" s="416" t="s">
        <v>671</v>
      </c>
      <c r="Q38" s="416"/>
      <c r="R38" s="416"/>
      <c r="S38" s="416"/>
      <c r="T38" s="416"/>
      <c r="U38" s="416"/>
      <c r="V38" s="416"/>
      <c r="W38" s="416" t="s">
        <v>667</v>
      </c>
      <c r="X38" s="416"/>
      <c r="Y38" s="416"/>
      <c r="Z38" s="416"/>
      <c r="AA38" s="416"/>
      <c r="AB38" s="416"/>
      <c r="AC38" s="424" t="s">
        <v>722</v>
      </c>
      <c r="AD38" s="424"/>
      <c r="AE38" s="424"/>
      <c r="AF38" s="424"/>
      <c r="AG38" s="424"/>
      <c r="AH38" s="424"/>
      <c r="AI38" s="491"/>
      <c r="AK38" s="543"/>
      <c r="AL38" s="543"/>
      <c r="AM38" s="543"/>
      <c r="AN38" s="543"/>
      <c r="AO38" s="543"/>
      <c r="AP38" s="543"/>
      <c r="AQ38" s="59"/>
      <c r="AR38" s="48"/>
      <c r="BC38" s="50"/>
      <c r="BD38" s="51"/>
    </row>
    <row r="39" spans="1:80" ht="18" customHeight="1">
      <c r="A39" s="452" t="s">
        <v>672</v>
      </c>
      <c r="B39" s="453"/>
      <c r="C39" s="453"/>
      <c r="D39" s="453"/>
      <c r="E39" s="453"/>
      <c r="F39" s="453"/>
      <c r="G39" s="453"/>
      <c r="H39" s="453"/>
      <c r="I39" s="453"/>
      <c r="J39" s="453"/>
      <c r="K39" s="453"/>
      <c r="L39" s="453"/>
      <c r="M39" s="453"/>
      <c r="N39" s="453"/>
      <c r="O39" s="453"/>
      <c r="P39" s="453"/>
      <c r="Q39" s="453"/>
      <c r="R39" s="453"/>
      <c r="S39" s="453"/>
      <c r="T39" s="453"/>
      <c r="U39" s="453"/>
      <c r="V39" s="453"/>
      <c r="W39" s="453"/>
      <c r="X39" s="453"/>
      <c r="Y39" s="453"/>
      <c r="Z39" s="453"/>
      <c r="AA39" s="453"/>
      <c r="AB39" s="453"/>
      <c r="AC39" s="453"/>
      <c r="AD39" s="453"/>
      <c r="AE39" s="453"/>
      <c r="AF39" s="453"/>
      <c r="AG39" s="453"/>
      <c r="AH39" s="453"/>
      <c r="AI39" s="454"/>
      <c r="AK39" s="444" t="s">
        <v>673</v>
      </c>
      <c r="AL39" s="444"/>
      <c r="AM39" s="444"/>
      <c r="AN39" s="444"/>
      <c r="AO39" s="444"/>
      <c r="AP39" s="444"/>
      <c r="AQ39" s="42"/>
      <c r="AR39" s="48"/>
      <c r="AS39" s="423" t="s">
        <v>526</v>
      </c>
      <c r="AT39" s="423"/>
      <c r="AU39" s="148">
        <v>31</v>
      </c>
      <c r="AV39" s="423" t="s">
        <v>528</v>
      </c>
      <c r="AW39" s="423"/>
      <c r="BC39" s="50"/>
      <c r="BD39" s="51"/>
    </row>
    <row r="40" spans="1:80" ht="18" customHeight="1">
      <c r="A40" s="464" t="s">
        <v>674</v>
      </c>
      <c r="B40" s="459"/>
      <c r="C40" s="459"/>
      <c r="D40" s="459"/>
      <c r="E40" s="470" t="s">
        <v>675</v>
      </c>
      <c r="F40" s="471"/>
      <c r="G40" s="471"/>
      <c r="H40" s="471"/>
      <c r="I40" s="471"/>
      <c r="J40" s="471"/>
      <c r="K40" s="472"/>
      <c r="L40" s="458" t="s">
        <v>676</v>
      </c>
      <c r="M40" s="459"/>
      <c r="N40" s="459"/>
      <c r="O40" s="459"/>
      <c r="P40" s="459"/>
      <c r="Q40" s="459"/>
      <c r="R40" s="460"/>
      <c r="S40" s="458" t="s">
        <v>677</v>
      </c>
      <c r="T40" s="459"/>
      <c r="U40" s="459"/>
      <c r="V40" s="459"/>
      <c r="W40" s="470" t="s">
        <v>675</v>
      </c>
      <c r="X40" s="471"/>
      <c r="Y40" s="471"/>
      <c r="Z40" s="471"/>
      <c r="AA40" s="471"/>
      <c r="AB40" s="471"/>
      <c r="AC40" s="472"/>
      <c r="AD40" s="458" t="s">
        <v>678</v>
      </c>
      <c r="AE40" s="459"/>
      <c r="AF40" s="459"/>
      <c r="AG40" s="459"/>
      <c r="AH40" s="459"/>
      <c r="AI40" s="463"/>
      <c r="AK40" s="444" t="s">
        <v>679</v>
      </c>
      <c r="AL40" s="444"/>
      <c r="AM40" s="444"/>
      <c r="AN40" s="444"/>
      <c r="AO40" s="444"/>
      <c r="AP40" s="444"/>
      <c r="AQ40" s="42"/>
      <c r="AR40" s="48"/>
      <c r="AS40" s="423" t="s">
        <v>527</v>
      </c>
      <c r="AT40" s="423"/>
      <c r="AU40" s="148">
        <v>31</v>
      </c>
      <c r="AV40" s="560">
        <v>0.72</v>
      </c>
      <c r="AW40" s="560"/>
      <c r="BC40" s="50"/>
      <c r="BD40" s="51"/>
    </row>
    <row r="41" spans="1:80" ht="18" customHeight="1">
      <c r="A41" s="464" t="s">
        <v>16</v>
      </c>
      <c r="B41" s="459"/>
      <c r="C41" s="459"/>
      <c r="D41" s="459"/>
      <c r="E41" s="469">
        <f>AX10</f>
        <v>0.33333333333333331</v>
      </c>
      <c r="F41" s="456"/>
      <c r="G41" s="456"/>
      <c r="H41" s="144" t="s">
        <v>680</v>
      </c>
      <c r="I41" s="456">
        <f>AY10</f>
        <v>0.83333333333333337</v>
      </c>
      <c r="J41" s="456"/>
      <c r="K41" s="457"/>
      <c r="L41" s="458" t="str">
        <f>AU10</f>
        <v>藤井隆幸</v>
      </c>
      <c r="M41" s="459"/>
      <c r="N41" s="459"/>
      <c r="O41" s="459"/>
      <c r="P41" s="459"/>
      <c r="Q41" s="459"/>
      <c r="R41" s="460"/>
      <c r="S41" s="409"/>
      <c r="T41" s="410"/>
      <c r="U41" s="410"/>
      <c r="V41" s="410"/>
      <c r="W41" s="414"/>
      <c r="X41" s="415"/>
      <c r="Y41" s="415"/>
      <c r="Z41" s="40"/>
      <c r="AA41" s="415"/>
      <c r="AB41" s="415"/>
      <c r="AC41" s="461"/>
      <c r="AD41" s="409"/>
      <c r="AE41" s="410"/>
      <c r="AF41" s="410"/>
      <c r="AG41" s="410"/>
      <c r="AH41" s="410"/>
      <c r="AI41" s="462"/>
      <c r="AK41" s="444" t="s">
        <v>681</v>
      </c>
      <c r="AL41" s="444"/>
      <c r="AM41" s="444"/>
      <c r="AN41" s="444"/>
      <c r="AO41" s="444"/>
      <c r="AP41" s="444"/>
      <c r="AQ41" s="42"/>
      <c r="AR41" s="48"/>
      <c r="BC41" s="50"/>
      <c r="BD41" s="51"/>
    </row>
    <row r="42" spans="1:80" ht="18" customHeight="1">
      <c r="A42" s="464" t="s">
        <v>24</v>
      </c>
      <c r="B42" s="459"/>
      <c r="C42" s="459"/>
      <c r="D42" s="459"/>
      <c r="E42" s="469">
        <f>AX13</f>
        <v>0.33333333333333331</v>
      </c>
      <c r="F42" s="456"/>
      <c r="G42" s="456"/>
      <c r="H42" s="144" t="s">
        <v>680</v>
      </c>
      <c r="I42" s="456">
        <f>AY12</f>
        <v>0.83333333333333337</v>
      </c>
      <c r="J42" s="456"/>
      <c r="K42" s="457"/>
      <c r="L42" s="458" t="str">
        <f>AU13</f>
        <v>辻嵐</v>
      </c>
      <c r="M42" s="459"/>
      <c r="N42" s="459"/>
      <c r="O42" s="459"/>
      <c r="P42" s="459"/>
      <c r="Q42" s="459"/>
      <c r="R42" s="460"/>
      <c r="S42" s="409"/>
      <c r="T42" s="410"/>
      <c r="U42" s="410"/>
      <c r="V42" s="410"/>
      <c r="W42" s="414"/>
      <c r="X42" s="415"/>
      <c r="Y42" s="415"/>
      <c r="Z42" s="136"/>
      <c r="AA42" s="415"/>
      <c r="AB42" s="415"/>
      <c r="AC42" s="461"/>
      <c r="AD42" s="409">
        <f>AU15</f>
        <v>0</v>
      </c>
      <c r="AE42" s="410"/>
      <c r="AF42" s="410"/>
      <c r="AG42" s="410"/>
      <c r="AH42" s="410"/>
      <c r="AI42" s="462"/>
      <c r="AK42" s="445" t="s">
        <v>682</v>
      </c>
      <c r="AL42" s="445"/>
      <c r="AM42" s="445"/>
      <c r="AN42" s="445"/>
      <c r="AO42" s="445"/>
      <c r="AP42" s="445"/>
      <c r="AQ42" s="42"/>
      <c r="AR42" s="48"/>
      <c r="AS42" s="561" t="s">
        <v>683</v>
      </c>
      <c r="AT42" s="561"/>
      <c r="AU42" s="561"/>
      <c r="AV42" s="561"/>
      <c r="AW42" s="561"/>
      <c r="BC42" s="50"/>
      <c r="BD42" s="51"/>
    </row>
    <row r="43" spans="1:80" ht="18" customHeight="1">
      <c r="A43" s="464" t="s">
        <v>38</v>
      </c>
      <c r="B43" s="459"/>
      <c r="C43" s="459"/>
      <c r="D43" s="459"/>
      <c r="E43" s="469">
        <f>AX16</f>
        <v>0.83333333333333337</v>
      </c>
      <c r="F43" s="456"/>
      <c r="G43" s="456"/>
      <c r="H43" s="144" t="s">
        <v>680</v>
      </c>
      <c r="I43" s="456" t="str">
        <f>AY16</f>
        <v>翌8:00</v>
      </c>
      <c r="J43" s="456"/>
      <c r="K43" s="457"/>
      <c r="L43" s="458" t="str">
        <f>AU16</f>
        <v>片山薫</v>
      </c>
      <c r="M43" s="459"/>
      <c r="N43" s="459"/>
      <c r="O43" s="459"/>
      <c r="P43" s="459"/>
      <c r="Q43" s="459"/>
      <c r="R43" s="460"/>
      <c r="S43" s="409"/>
      <c r="T43" s="410"/>
      <c r="U43" s="410"/>
      <c r="V43" s="410"/>
      <c r="W43" s="414"/>
      <c r="X43" s="415"/>
      <c r="Y43" s="415"/>
      <c r="Z43" s="136"/>
      <c r="AA43" s="415"/>
      <c r="AB43" s="415"/>
      <c r="AC43" s="461"/>
      <c r="AD43" s="486">
        <f>AU18</f>
        <v>0</v>
      </c>
      <c r="AE43" s="410"/>
      <c r="AF43" s="410"/>
      <c r="AG43" s="410"/>
      <c r="AH43" s="410"/>
      <c r="AI43" s="462"/>
      <c r="AK43" s="444" t="s">
        <v>684</v>
      </c>
      <c r="AL43" s="444"/>
      <c r="AM43" s="444"/>
      <c r="AN43" s="444"/>
      <c r="AO43" s="444"/>
      <c r="AP43" s="444"/>
      <c r="AQ43" s="42"/>
      <c r="AR43" s="43"/>
      <c r="AW43"/>
      <c r="AX43"/>
      <c r="AY43"/>
      <c r="AZ43"/>
      <c r="BA43"/>
      <c r="BB43"/>
      <c r="BC43" s="50"/>
      <c r="BD43" s="51"/>
      <c r="BE43"/>
      <c r="BF43"/>
      <c r="BG43"/>
      <c r="BH43"/>
      <c r="BI43"/>
      <c r="BJ43"/>
      <c r="BK43"/>
      <c r="BL43"/>
      <c r="BM43"/>
      <c r="BN43"/>
      <c r="BO43"/>
      <c r="BP43"/>
      <c r="BQ43"/>
      <c r="BR43"/>
      <c r="BS43"/>
      <c r="BT43"/>
      <c r="BU43"/>
      <c r="BV43"/>
      <c r="BW43"/>
      <c r="BX43"/>
      <c r="BY43"/>
      <c r="BZ43"/>
      <c r="CA43"/>
      <c r="CB43"/>
    </row>
    <row r="44" spans="1:80" ht="18" customHeight="1" thickBot="1">
      <c r="A44" s="473" t="s">
        <v>45</v>
      </c>
      <c r="B44" s="474"/>
      <c r="C44" s="474"/>
      <c r="D44" s="474"/>
      <c r="E44" s="475">
        <f>AX17</f>
        <v>0.83333333333333337</v>
      </c>
      <c r="F44" s="476"/>
      <c r="G44" s="476"/>
      <c r="H44" s="145" t="s">
        <v>680</v>
      </c>
      <c r="I44" s="476" t="str">
        <f>AY17</f>
        <v>翌8:00</v>
      </c>
      <c r="J44" s="476"/>
      <c r="K44" s="477"/>
      <c r="L44" s="478" t="str">
        <f>AU17</f>
        <v>末廣信行</v>
      </c>
      <c r="M44" s="478"/>
      <c r="N44" s="478"/>
      <c r="O44" s="478"/>
      <c r="P44" s="478"/>
      <c r="Q44" s="478"/>
      <c r="R44" s="478"/>
      <c r="S44" s="479"/>
      <c r="T44" s="480"/>
      <c r="U44" s="480"/>
      <c r="V44" s="480"/>
      <c r="W44" s="481"/>
      <c r="X44" s="482"/>
      <c r="Y44" s="482"/>
      <c r="Z44" s="137"/>
      <c r="AA44" s="482"/>
      <c r="AB44" s="482"/>
      <c r="AC44" s="483"/>
      <c r="AD44" s="484">
        <f>AU19</f>
        <v>0</v>
      </c>
      <c r="AE44" s="480"/>
      <c r="AF44" s="480"/>
      <c r="AG44" s="480"/>
      <c r="AH44" s="480"/>
      <c r="AI44" s="485"/>
      <c r="AK44" s="446" t="s">
        <v>685</v>
      </c>
      <c r="AL44" s="446"/>
      <c r="AM44" s="446"/>
      <c r="AN44" s="446"/>
      <c r="AO44" s="446"/>
      <c r="AP44" s="446"/>
      <c r="AQ44" s="42"/>
      <c r="AR44" s="43"/>
      <c r="BC44" s="50"/>
      <c r="BD44" s="51"/>
    </row>
    <row r="45" spans="1:80" ht="18" customHeight="1" thickBot="1">
      <c r="A45" s="27"/>
      <c r="B45" s="27"/>
      <c r="C45" s="27"/>
      <c r="D45" s="27"/>
      <c r="E45" s="27"/>
      <c r="F45" s="27"/>
      <c r="G45" s="27"/>
      <c r="H45" s="27"/>
      <c r="I45" s="27"/>
      <c r="R45" s="307">
        <f>A7</f>
        <v>46187</v>
      </c>
      <c r="S45" s="308"/>
      <c r="T45" s="308"/>
      <c r="U45" s="308"/>
      <c r="V45" s="23" t="s">
        <v>169</v>
      </c>
      <c r="W45" s="309">
        <f>G7</f>
        <v>46187</v>
      </c>
      <c r="X45" s="308"/>
      <c r="Y45" s="23" t="s">
        <v>170</v>
      </c>
      <c r="Z45" s="310">
        <f>K7</f>
        <v>46187</v>
      </c>
      <c r="AA45" s="308"/>
      <c r="AB45" s="23" t="s">
        <v>3</v>
      </c>
      <c r="AC45" s="455">
        <f>O7</f>
        <v>46187</v>
      </c>
      <c r="AD45" s="308"/>
      <c r="AE45" s="308" t="s">
        <v>292</v>
      </c>
      <c r="AF45" s="308"/>
      <c r="AK45" s="425" t="s">
        <v>686</v>
      </c>
      <c r="AL45" s="425"/>
      <c r="AM45" s="425"/>
      <c r="AN45" s="425"/>
      <c r="AO45" s="425"/>
      <c r="AP45" s="425"/>
      <c r="AQ45" s="42"/>
      <c r="AR45" s="43"/>
      <c r="BC45" s="50"/>
      <c r="BD45" s="51"/>
    </row>
    <row r="46" spans="1:80" customFormat="1" ht="18" customHeight="1">
      <c r="A46" s="452" t="s">
        <v>598</v>
      </c>
      <c r="B46" s="453"/>
      <c r="C46" s="453"/>
      <c r="D46" s="453"/>
      <c r="E46" s="453"/>
      <c r="F46" s="453"/>
      <c r="G46" s="453"/>
      <c r="H46" s="453"/>
      <c r="I46" s="453"/>
      <c r="J46" s="453"/>
      <c r="K46" s="453"/>
      <c r="L46" s="453"/>
      <c r="M46" s="453"/>
      <c r="N46" s="453"/>
      <c r="O46" s="453"/>
      <c r="P46" s="453"/>
      <c r="Q46" s="453"/>
      <c r="R46" s="453"/>
      <c r="S46" s="453"/>
      <c r="T46" s="453"/>
      <c r="U46" s="453"/>
      <c r="V46" s="453"/>
      <c r="W46" s="453"/>
      <c r="X46" s="453"/>
      <c r="Y46" s="453"/>
      <c r="Z46" s="453"/>
      <c r="AA46" s="453"/>
      <c r="AB46" s="453"/>
      <c r="AC46" s="453"/>
      <c r="AD46" s="453"/>
      <c r="AE46" s="453"/>
      <c r="AF46" s="453"/>
      <c r="AG46" s="453"/>
      <c r="AH46" s="453"/>
      <c r="AI46" s="454"/>
      <c r="AK46" s="425" t="s">
        <v>687</v>
      </c>
      <c r="AL46" s="425"/>
      <c r="AM46" s="425"/>
      <c r="AN46" s="425"/>
      <c r="AO46" s="425"/>
      <c r="AP46" s="425"/>
      <c r="AQ46" s="42"/>
      <c r="AR46" s="43"/>
      <c r="AW46" s="23"/>
      <c r="AX46" s="23"/>
      <c r="AY46" s="23"/>
      <c r="AZ46" s="23"/>
      <c r="BA46" s="23"/>
      <c r="BB46" s="23"/>
      <c r="BC46" s="50"/>
      <c r="BD46" s="51"/>
      <c r="BE46" s="23"/>
      <c r="BF46" s="23"/>
      <c r="BG46" s="23"/>
      <c r="BH46" s="23"/>
      <c r="BI46" s="23"/>
      <c r="BJ46" s="23"/>
      <c r="BK46" s="23"/>
      <c r="BL46" s="23"/>
      <c r="BM46" s="23"/>
      <c r="BN46" s="23"/>
      <c r="BO46" s="23"/>
      <c r="BP46" s="23"/>
      <c r="BQ46" s="23"/>
      <c r="BR46" s="23"/>
      <c r="BS46" s="23"/>
      <c r="BT46" s="23"/>
      <c r="BU46" s="23"/>
      <c r="BV46" s="23"/>
      <c r="BW46" s="23"/>
      <c r="BX46" s="23"/>
      <c r="BY46" s="23"/>
      <c r="BZ46" s="23"/>
      <c r="CA46" s="23"/>
      <c r="CB46" s="23"/>
    </row>
    <row r="47" spans="1:80" ht="18" customHeight="1">
      <c r="A47" s="36"/>
      <c r="B47" s="404"/>
      <c r="C47" s="404"/>
      <c r="D47" s="404"/>
      <c r="E47" s="404"/>
      <c r="F47" s="288"/>
      <c r="G47" s="288"/>
      <c r="H47" s="288"/>
      <c r="I47" s="288"/>
      <c r="J47" s="288"/>
      <c r="K47" s="288"/>
      <c r="L47" s="288"/>
      <c r="M47" s="288"/>
      <c r="N47" s="288"/>
      <c r="O47" s="288"/>
      <c r="P47" s="288"/>
      <c r="Q47" s="288"/>
      <c r="R47" s="288"/>
      <c r="S47" s="288"/>
      <c r="T47" s="288"/>
      <c r="U47" s="288"/>
      <c r="V47" s="288"/>
      <c r="W47" s="288"/>
      <c r="X47" s="288"/>
      <c r="Y47" s="288"/>
      <c r="Z47" s="288"/>
      <c r="AA47" s="288"/>
      <c r="AB47" s="288"/>
      <c r="AC47" s="288"/>
      <c r="AD47" s="288"/>
      <c r="AE47" s="288"/>
      <c r="AF47" s="288"/>
      <c r="AG47" s="288"/>
      <c r="AH47" s="288"/>
      <c r="AI47" s="289"/>
      <c r="AK47" s="425" t="s">
        <v>688</v>
      </c>
      <c r="AL47" s="425"/>
      <c r="AM47" s="425"/>
      <c r="AN47" s="425"/>
      <c r="AO47" s="425"/>
      <c r="AP47" s="425"/>
      <c r="AQ47" s="42"/>
      <c r="AR47" s="43"/>
      <c r="AS47" s="120" t="s">
        <v>189</v>
      </c>
      <c r="AT47" s="43" t="s">
        <v>689</v>
      </c>
      <c r="AU47" s="43"/>
      <c r="BC47" s="50"/>
      <c r="BD47" s="51"/>
    </row>
    <row r="48" spans="1:80" ht="18" customHeight="1">
      <c r="A48" s="36"/>
      <c r="B48" s="404"/>
      <c r="C48" s="404"/>
      <c r="D48" s="404"/>
      <c r="E48" s="404"/>
      <c r="F48" s="288"/>
      <c r="G48" s="288"/>
      <c r="H48" s="288"/>
      <c r="I48" s="288"/>
      <c r="J48" s="288"/>
      <c r="K48" s="288"/>
      <c r="L48" s="288"/>
      <c r="M48" s="288"/>
      <c r="N48" s="288"/>
      <c r="O48" s="288"/>
      <c r="P48" s="288"/>
      <c r="Q48" s="288"/>
      <c r="R48" s="288"/>
      <c r="S48" s="288"/>
      <c r="T48" s="288"/>
      <c r="U48" s="288"/>
      <c r="V48" s="288"/>
      <c r="W48" s="288"/>
      <c r="X48" s="288"/>
      <c r="Y48" s="288"/>
      <c r="Z48" s="288"/>
      <c r="AA48" s="288"/>
      <c r="AB48" s="288"/>
      <c r="AC48" s="288"/>
      <c r="AD48" s="288"/>
      <c r="AE48" s="288"/>
      <c r="AF48" s="288"/>
      <c r="AG48" s="288"/>
      <c r="AH48" s="288"/>
      <c r="AI48" s="289"/>
      <c r="AK48" s="425" t="s">
        <v>690</v>
      </c>
      <c r="AL48" s="425"/>
      <c r="AM48" s="425"/>
      <c r="AN48" s="425"/>
      <c r="AO48" s="425"/>
      <c r="AP48" s="425"/>
      <c r="AQ48" s="42"/>
      <c r="AR48" s="43"/>
      <c r="AS48" s="43"/>
      <c r="AT48" s="43"/>
      <c r="AU48" s="43"/>
      <c r="BC48" s="50"/>
      <c r="BD48" s="51"/>
    </row>
    <row r="49" spans="1:61" ht="18" customHeight="1">
      <c r="A49" s="36"/>
      <c r="B49" s="404"/>
      <c r="C49" s="404"/>
      <c r="D49" s="404"/>
      <c r="E49" s="404"/>
      <c r="F49" s="288"/>
      <c r="G49" s="288"/>
      <c r="H49" s="288"/>
      <c r="I49" s="288"/>
      <c r="J49" s="288"/>
      <c r="K49" s="288"/>
      <c r="L49" s="288"/>
      <c r="M49" s="288"/>
      <c r="N49" s="288"/>
      <c r="O49" s="288"/>
      <c r="P49" s="288"/>
      <c r="Q49" s="288"/>
      <c r="R49" s="288"/>
      <c r="S49" s="288"/>
      <c r="T49" s="288"/>
      <c r="U49" s="288"/>
      <c r="V49" s="288"/>
      <c r="W49" s="288"/>
      <c r="X49" s="288"/>
      <c r="Y49" s="288"/>
      <c r="Z49" s="288"/>
      <c r="AA49" s="288"/>
      <c r="AB49" s="288"/>
      <c r="AC49" s="288"/>
      <c r="AD49" s="288"/>
      <c r="AE49" s="288"/>
      <c r="AF49" s="288"/>
      <c r="AG49" s="288"/>
      <c r="AH49" s="288"/>
      <c r="AI49" s="289"/>
      <c r="AK49" s="425" t="s">
        <v>691</v>
      </c>
      <c r="AL49" s="425"/>
      <c r="AM49" s="425"/>
      <c r="AN49" s="425"/>
      <c r="AO49" s="425"/>
      <c r="AP49" s="425"/>
      <c r="AQ49" s="42"/>
      <c r="AR49" s="43"/>
      <c r="AS49" s="43"/>
      <c r="AT49" s="43"/>
      <c r="AU49" s="43"/>
      <c r="BC49" s="50"/>
      <c r="BD49" s="51"/>
    </row>
    <row r="50" spans="1:61" ht="18" customHeight="1">
      <c r="A50" s="36"/>
      <c r="B50" s="404"/>
      <c r="C50" s="404"/>
      <c r="D50" s="404"/>
      <c r="E50" s="404"/>
      <c r="F50" s="288"/>
      <c r="G50" s="288"/>
      <c r="H50" s="288"/>
      <c r="I50" s="288"/>
      <c r="J50" s="288"/>
      <c r="K50" s="288"/>
      <c r="L50" s="288"/>
      <c r="M50" s="288"/>
      <c r="N50" s="288"/>
      <c r="O50" s="288"/>
      <c r="P50" s="288"/>
      <c r="Q50" s="288"/>
      <c r="R50" s="288"/>
      <c r="S50" s="288"/>
      <c r="T50" s="288"/>
      <c r="U50" s="288"/>
      <c r="V50" s="288"/>
      <c r="W50" s="288"/>
      <c r="X50" s="288"/>
      <c r="Y50" s="288"/>
      <c r="Z50" s="288"/>
      <c r="AA50" s="288"/>
      <c r="AB50" s="288"/>
      <c r="AC50" s="288"/>
      <c r="AD50" s="288"/>
      <c r="AE50" s="288"/>
      <c r="AF50" s="288"/>
      <c r="AG50" s="288"/>
      <c r="AH50" s="288"/>
      <c r="AI50" s="289"/>
      <c r="AK50" s="425" t="s">
        <v>692</v>
      </c>
      <c r="AL50" s="425"/>
      <c r="AM50" s="425"/>
      <c r="AN50" s="425"/>
      <c r="AO50" s="425"/>
      <c r="AP50" s="425"/>
      <c r="AQ50" s="42"/>
      <c r="AR50" s="43"/>
      <c r="AS50" s="43"/>
      <c r="AT50" s="43"/>
      <c r="AU50" s="43"/>
      <c r="BC50" s="50"/>
      <c r="BD50" s="51"/>
    </row>
    <row r="51" spans="1:61" ht="18" customHeight="1">
      <c r="A51" s="36"/>
      <c r="B51" s="404"/>
      <c r="C51" s="404"/>
      <c r="D51" s="404"/>
      <c r="E51" s="404"/>
      <c r="F51" s="288"/>
      <c r="G51" s="288"/>
      <c r="H51" s="288"/>
      <c r="I51" s="288"/>
      <c r="J51" s="288"/>
      <c r="K51" s="288"/>
      <c r="L51" s="288"/>
      <c r="M51" s="288"/>
      <c r="N51" s="288"/>
      <c r="O51" s="288"/>
      <c r="P51" s="288"/>
      <c r="Q51" s="288"/>
      <c r="R51" s="288"/>
      <c r="S51" s="288"/>
      <c r="T51" s="288"/>
      <c r="U51" s="288"/>
      <c r="V51" s="288"/>
      <c r="W51" s="288"/>
      <c r="X51" s="288"/>
      <c r="Y51" s="288"/>
      <c r="Z51" s="288"/>
      <c r="AA51" s="288"/>
      <c r="AB51" s="288"/>
      <c r="AC51" s="288"/>
      <c r="AD51" s="288"/>
      <c r="AE51" s="288"/>
      <c r="AF51" s="288"/>
      <c r="AG51" s="288"/>
      <c r="AH51" s="288"/>
      <c r="AI51" s="289"/>
      <c r="AK51" s="425" t="s">
        <v>693</v>
      </c>
      <c r="AL51" s="425"/>
      <c r="AM51" s="425"/>
      <c r="AN51" s="425"/>
      <c r="AO51" s="425"/>
      <c r="AP51" s="425"/>
      <c r="AQ51" s="42"/>
      <c r="AR51" s="43"/>
      <c r="AS51" s="43"/>
      <c r="AT51" s="43"/>
      <c r="AU51" s="43"/>
      <c r="BC51" s="50"/>
      <c r="BD51" s="51"/>
    </row>
    <row r="52" spans="1:61" ht="18" customHeight="1">
      <c r="A52" s="36"/>
      <c r="B52" s="404"/>
      <c r="C52" s="404"/>
      <c r="D52" s="404"/>
      <c r="E52" s="404"/>
      <c r="F52" s="288"/>
      <c r="G52" s="288"/>
      <c r="H52" s="288"/>
      <c r="I52" s="288"/>
      <c r="J52" s="288"/>
      <c r="K52" s="288"/>
      <c r="L52" s="288"/>
      <c r="M52" s="288"/>
      <c r="N52" s="288"/>
      <c r="O52" s="288"/>
      <c r="P52" s="288"/>
      <c r="Q52" s="288"/>
      <c r="R52" s="288"/>
      <c r="S52" s="288"/>
      <c r="T52" s="288"/>
      <c r="U52" s="288"/>
      <c r="V52" s="288"/>
      <c r="W52" s="288"/>
      <c r="X52" s="288"/>
      <c r="Y52" s="288"/>
      <c r="Z52" s="288"/>
      <c r="AA52" s="288"/>
      <c r="AB52" s="288"/>
      <c r="AC52" s="288"/>
      <c r="AD52" s="288"/>
      <c r="AE52" s="288"/>
      <c r="AF52" s="288"/>
      <c r="AG52" s="288"/>
      <c r="AH52" s="288"/>
      <c r="AI52" s="289"/>
      <c r="AK52" s="425" t="s">
        <v>694</v>
      </c>
      <c r="AL52" s="425"/>
      <c r="AM52" s="425"/>
      <c r="AN52" s="425"/>
      <c r="AO52" s="425"/>
      <c r="AP52" s="425"/>
      <c r="AQ52" s="42"/>
      <c r="AR52" s="43"/>
      <c r="AS52" s="43"/>
      <c r="AV52" s="43"/>
      <c r="AW52" s="43"/>
      <c r="AX52" s="43"/>
      <c r="AY52" s="43"/>
      <c r="AZ52" s="43"/>
      <c r="BA52" s="43"/>
      <c r="BH52" s="52"/>
      <c r="BI52" s="51"/>
    </row>
    <row r="53" spans="1:61" ht="18" customHeight="1">
      <c r="A53" s="36"/>
      <c r="B53" s="404"/>
      <c r="C53" s="404"/>
      <c r="D53" s="404"/>
      <c r="E53" s="404"/>
      <c r="F53" s="288"/>
      <c r="G53" s="288"/>
      <c r="H53" s="288"/>
      <c r="I53" s="288"/>
      <c r="J53" s="288"/>
      <c r="K53" s="288"/>
      <c r="L53" s="288"/>
      <c r="M53" s="288"/>
      <c r="N53" s="288"/>
      <c r="O53" s="288"/>
      <c r="P53" s="288"/>
      <c r="Q53" s="288"/>
      <c r="R53" s="288"/>
      <c r="S53" s="288"/>
      <c r="T53" s="288"/>
      <c r="U53" s="288"/>
      <c r="V53" s="288"/>
      <c r="W53" s="288"/>
      <c r="X53" s="288"/>
      <c r="Y53" s="288"/>
      <c r="Z53" s="288"/>
      <c r="AA53" s="288"/>
      <c r="AB53" s="288"/>
      <c r="AC53" s="288"/>
      <c r="AD53" s="288"/>
      <c r="AE53" s="288"/>
      <c r="AF53" s="288"/>
      <c r="AG53" s="288"/>
      <c r="AH53" s="288"/>
      <c r="AI53" s="289"/>
      <c r="AK53" s="425" t="s">
        <v>695</v>
      </c>
      <c r="AL53" s="425"/>
      <c r="AM53" s="425"/>
      <c r="AN53" s="425"/>
      <c r="AO53" s="425"/>
      <c r="AP53" s="425"/>
      <c r="AQ53" s="42"/>
      <c r="AR53" s="43"/>
      <c r="AS53" s="43"/>
      <c r="AT53" s="43"/>
      <c r="AU53" s="43"/>
      <c r="AV53" s="43"/>
      <c r="AW53" s="43"/>
      <c r="AX53" s="43"/>
      <c r="AY53" s="43"/>
      <c r="AZ53" s="43"/>
      <c r="BH53" s="50"/>
      <c r="BI53" s="51"/>
    </row>
    <row r="54" spans="1:61" ht="18" customHeight="1">
      <c r="A54" s="36"/>
      <c r="B54" s="404"/>
      <c r="C54" s="404"/>
      <c r="D54" s="404"/>
      <c r="E54" s="404"/>
      <c r="F54" s="288"/>
      <c r="G54" s="288"/>
      <c r="H54" s="288"/>
      <c r="I54" s="288"/>
      <c r="J54" s="288"/>
      <c r="K54" s="288"/>
      <c r="L54" s="288"/>
      <c r="M54" s="288"/>
      <c r="N54" s="288"/>
      <c r="O54" s="288"/>
      <c r="P54" s="288"/>
      <c r="Q54" s="288"/>
      <c r="R54" s="288"/>
      <c r="S54" s="288"/>
      <c r="T54" s="288"/>
      <c r="U54" s="288"/>
      <c r="V54" s="288"/>
      <c r="W54" s="288"/>
      <c r="X54" s="288"/>
      <c r="Y54" s="288"/>
      <c r="Z54" s="288"/>
      <c r="AA54" s="288"/>
      <c r="AB54" s="288"/>
      <c r="AC54" s="288"/>
      <c r="AD54" s="288"/>
      <c r="AE54" s="288"/>
      <c r="AF54" s="288"/>
      <c r="AG54" s="288"/>
      <c r="AH54" s="288"/>
      <c r="AI54" s="289"/>
      <c r="AK54" s="425" t="s">
        <v>696</v>
      </c>
      <c r="AL54" s="425"/>
      <c r="AM54" s="425"/>
      <c r="AN54" s="425"/>
      <c r="AO54" s="425"/>
      <c r="AP54" s="425"/>
      <c r="AQ54" s="42"/>
      <c r="AR54" s="43"/>
      <c r="AS54" s="43"/>
      <c r="AT54" s="43"/>
      <c r="AU54" s="43"/>
      <c r="AV54" s="43"/>
      <c r="AW54" s="43"/>
      <c r="AX54" s="43"/>
      <c r="AY54" s="43"/>
      <c r="AZ54" s="43"/>
      <c r="BH54" s="50"/>
      <c r="BI54" s="51"/>
    </row>
    <row r="55" spans="1:61" ht="18" customHeight="1">
      <c r="A55" s="36"/>
      <c r="B55" s="404"/>
      <c r="C55" s="404"/>
      <c r="D55" s="404"/>
      <c r="E55" s="404"/>
      <c r="F55" s="288"/>
      <c r="G55" s="288"/>
      <c r="H55" s="288"/>
      <c r="I55" s="288"/>
      <c r="J55" s="288"/>
      <c r="K55" s="288"/>
      <c r="L55" s="288"/>
      <c r="M55" s="288"/>
      <c r="N55" s="288"/>
      <c r="O55" s="288"/>
      <c r="P55" s="288"/>
      <c r="Q55" s="288"/>
      <c r="R55" s="288"/>
      <c r="S55" s="288"/>
      <c r="T55" s="288"/>
      <c r="U55" s="288"/>
      <c r="V55" s="288"/>
      <c r="W55" s="288"/>
      <c r="X55" s="288"/>
      <c r="Y55" s="288"/>
      <c r="Z55" s="288"/>
      <c r="AA55" s="288"/>
      <c r="AB55" s="288"/>
      <c r="AC55" s="288"/>
      <c r="AD55" s="288"/>
      <c r="AE55" s="288"/>
      <c r="AF55" s="288"/>
      <c r="AG55" s="288"/>
      <c r="AH55" s="288"/>
      <c r="AI55" s="289"/>
      <c r="AK55" s="425" t="s">
        <v>697</v>
      </c>
      <c r="AL55" s="425"/>
      <c r="AM55" s="425"/>
      <c r="AN55" s="425"/>
      <c r="AO55" s="425"/>
      <c r="AP55" s="425"/>
      <c r="AQ55" s="42"/>
      <c r="AR55" s="43"/>
      <c r="AS55" s="43"/>
      <c r="AT55" s="43"/>
      <c r="AU55" s="43"/>
      <c r="AV55" s="43"/>
      <c r="AW55" s="43"/>
      <c r="AX55" s="43"/>
      <c r="AY55" s="43"/>
      <c r="AZ55" s="43"/>
      <c r="BH55" s="50"/>
      <c r="BI55" s="51"/>
    </row>
    <row r="56" spans="1:61" ht="18" customHeight="1">
      <c r="A56" s="36"/>
      <c r="B56" s="404"/>
      <c r="C56" s="404"/>
      <c r="D56" s="404"/>
      <c r="E56" s="404"/>
      <c r="F56" s="288"/>
      <c r="G56" s="288"/>
      <c r="H56" s="288"/>
      <c r="I56" s="288"/>
      <c r="J56" s="288"/>
      <c r="K56" s="288"/>
      <c r="L56" s="288"/>
      <c r="M56" s="288"/>
      <c r="N56" s="288"/>
      <c r="O56" s="288"/>
      <c r="P56" s="288"/>
      <c r="Q56" s="288"/>
      <c r="R56" s="288"/>
      <c r="S56" s="288"/>
      <c r="T56" s="288"/>
      <c r="U56" s="288"/>
      <c r="V56" s="288"/>
      <c r="W56" s="288"/>
      <c r="X56" s="288"/>
      <c r="Y56" s="288"/>
      <c r="Z56" s="288"/>
      <c r="AA56" s="288"/>
      <c r="AB56" s="288"/>
      <c r="AC56" s="288"/>
      <c r="AD56" s="288"/>
      <c r="AE56" s="288"/>
      <c r="AF56" s="288"/>
      <c r="AG56" s="288"/>
      <c r="AH56" s="288"/>
      <c r="AI56" s="289"/>
      <c r="AK56" s="425" t="s">
        <v>698</v>
      </c>
      <c r="AL56" s="425"/>
      <c r="AM56" s="425"/>
      <c r="AN56" s="425"/>
      <c r="AO56" s="425"/>
      <c r="AP56" s="425"/>
      <c r="AQ56" s="42"/>
      <c r="AR56" s="43"/>
      <c r="AS56" s="43"/>
      <c r="AT56" s="43"/>
      <c r="AU56" s="43"/>
      <c r="AV56" s="43"/>
      <c r="AW56" s="43"/>
      <c r="AX56" s="43"/>
      <c r="AY56" s="43"/>
      <c r="AZ56" s="43"/>
      <c r="BH56" s="52"/>
      <c r="BI56" s="51"/>
    </row>
    <row r="57" spans="1:61" ht="18" customHeight="1">
      <c r="A57" s="36"/>
      <c r="B57" s="404"/>
      <c r="C57" s="404"/>
      <c r="D57" s="404"/>
      <c r="E57" s="404"/>
      <c r="F57" s="288"/>
      <c r="G57" s="288"/>
      <c r="H57" s="288"/>
      <c r="I57" s="288"/>
      <c r="J57" s="288"/>
      <c r="K57" s="288"/>
      <c r="L57" s="288"/>
      <c r="M57" s="288"/>
      <c r="N57" s="288"/>
      <c r="O57" s="288"/>
      <c r="P57" s="288"/>
      <c r="Q57" s="288"/>
      <c r="R57" s="288"/>
      <c r="S57" s="288"/>
      <c r="T57" s="288"/>
      <c r="U57" s="288"/>
      <c r="V57" s="288"/>
      <c r="W57" s="288"/>
      <c r="X57" s="288"/>
      <c r="Y57" s="288"/>
      <c r="Z57" s="288"/>
      <c r="AA57" s="288"/>
      <c r="AB57" s="288"/>
      <c r="AC57" s="288"/>
      <c r="AD57" s="288"/>
      <c r="AE57" s="288"/>
      <c r="AF57" s="288"/>
      <c r="AG57" s="288"/>
      <c r="AH57" s="288"/>
      <c r="AI57" s="289"/>
      <c r="AK57" s="425" t="s">
        <v>699</v>
      </c>
      <c r="AL57" s="425"/>
      <c r="AM57" s="425"/>
      <c r="AN57" s="425"/>
      <c r="AO57" s="425"/>
      <c r="AP57" s="425"/>
      <c r="AQ57" s="42"/>
      <c r="AR57" s="43"/>
      <c r="AS57" s="43"/>
      <c r="AT57" s="43"/>
      <c r="AU57" s="43"/>
      <c r="AV57" s="43"/>
      <c r="AW57" s="43"/>
      <c r="AX57" s="43"/>
      <c r="AY57" s="43"/>
      <c r="AZ57" s="43"/>
      <c r="BH57" s="50"/>
      <c r="BI57" s="51"/>
    </row>
    <row r="58" spans="1:61" ht="18" customHeight="1">
      <c r="A58" s="36"/>
      <c r="B58" s="404"/>
      <c r="C58" s="404"/>
      <c r="D58" s="404"/>
      <c r="E58" s="404"/>
      <c r="F58" s="288"/>
      <c r="G58" s="288"/>
      <c r="H58" s="288"/>
      <c r="I58" s="288"/>
      <c r="J58" s="288"/>
      <c r="K58" s="288"/>
      <c r="L58" s="288"/>
      <c r="M58" s="288"/>
      <c r="N58" s="288"/>
      <c r="O58" s="288"/>
      <c r="P58" s="288"/>
      <c r="Q58" s="288"/>
      <c r="R58" s="288"/>
      <c r="S58" s="288"/>
      <c r="T58" s="288"/>
      <c r="U58" s="288"/>
      <c r="V58" s="288"/>
      <c r="W58" s="288"/>
      <c r="X58" s="288"/>
      <c r="Y58" s="288"/>
      <c r="Z58" s="288"/>
      <c r="AA58" s="288"/>
      <c r="AB58" s="288"/>
      <c r="AC58" s="288"/>
      <c r="AD58" s="288"/>
      <c r="AE58" s="288"/>
      <c r="AF58" s="288"/>
      <c r="AG58" s="288"/>
      <c r="AH58" s="288"/>
      <c r="AI58" s="289"/>
      <c r="AK58" s="425" t="s">
        <v>700</v>
      </c>
      <c r="AL58" s="425"/>
      <c r="AM58" s="425"/>
      <c r="AN58" s="425"/>
      <c r="AO58" s="425"/>
      <c r="AP58" s="425"/>
      <c r="AQ58" s="42"/>
      <c r="AR58" s="43"/>
      <c r="AS58" s="43"/>
      <c r="AT58" s="43"/>
      <c r="AU58" s="43"/>
      <c r="AV58" s="43"/>
      <c r="AW58" s="43"/>
      <c r="AX58" s="43"/>
      <c r="AY58" s="43"/>
      <c r="AZ58" s="43"/>
      <c r="BH58" s="50"/>
      <c r="BI58" s="51"/>
    </row>
    <row r="59" spans="1:61" ht="18" customHeight="1">
      <c r="A59" s="36"/>
      <c r="B59" s="404"/>
      <c r="C59" s="404"/>
      <c r="D59" s="404"/>
      <c r="E59" s="404"/>
      <c r="F59" s="288"/>
      <c r="G59" s="288"/>
      <c r="H59" s="288"/>
      <c r="I59" s="288"/>
      <c r="J59" s="288"/>
      <c r="K59" s="288"/>
      <c r="L59" s="288"/>
      <c r="M59" s="288"/>
      <c r="N59" s="288"/>
      <c r="O59" s="288"/>
      <c r="P59" s="288"/>
      <c r="Q59" s="288"/>
      <c r="R59" s="288"/>
      <c r="S59" s="288"/>
      <c r="T59" s="288"/>
      <c r="U59" s="288"/>
      <c r="V59" s="288"/>
      <c r="W59" s="288"/>
      <c r="X59" s="288"/>
      <c r="Y59" s="288"/>
      <c r="Z59" s="288"/>
      <c r="AA59" s="288"/>
      <c r="AB59" s="288"/>
      <c r="AC59" s="288"/>
      <c r="AD59" s="288"/>
      <c r="AE59" s="288"/>
      <c r="AF59" s="288"/>
      <c r="AG59" s="288"/>
      <c r="AH59" s="288"/>
      <c r="AI59" s="289"/>
      <c r="AK59" s="425" t="s">
        <v>701</v>
      </c>
      <c r="AL59" s="425"/>
      <c r="AM59" s="425"/>
      <c r="AN59" s="425"/>
      <c r="AO59" s="425"/>
      <c r="AP59" s="425"/>
      <c r="AQ59" s="42"/>
      <c r="AR59" s="43"/>
      <c r="AS59" s="43"/>
      <c r="AT59" s="43"/>
      <c r="AU59" s="43"/>
      <c r="AV59" s="43"/>
      <c r="AW59" s="43"/>
      <c r="AX59" s="43"/>
      <c r="AY59" s="43"/>
      <c r="AZ59" s="43"/>
      <c r="BH59" s="50"/>
      <c r="BI59" s="51"/>
    </row>
    <row r="60" spans="1:61" ht="18" customHeight="1">
      <c r="A60" s="36"/>
      <c r="B60" s="404"/>
      <c r="C60" s="404"/>
      <c r="D60" s="404"/>
      <c r="E60" s="404"/>
      <c r="F60" s="288"/>
      <c r="G60" s="288"/>
      <c r="H60" s="288"/>
      <c r="I60" s="288"/>
      <c r="J60" s="288"/>
      <c r="K60" s="288"/>
      <c r="L60" s="288"/>
      <c r="M60" s="288"/>
      <c r="N60" s="288"/>
      <c r="O60" s="288"/>
      <c r="P60" s="288"/>
      <c r="Q60" s="288"/>
      <c r="R60" s="288"/>
      <c r="S60" s="288"/>
      <c r="T60" s="288"/>
      <c r="U60" s="288"/>
      <c r="V60" s="288"/>
      <c r="W60" s="288"/>
      <c r="X60" s="288"/>
      <c r="Y60" s="288"/>
      <c r="Z60" s="288"/>
      <c r="AA60" s="288"/>
      <c r="AB60" s="288"/>
      <c r="AC60" s="288"/>
      <c r="AD60" s="288"/>
      <c r="AE60" s="288"/>
      <c r="AF60" s="288"/>
      <c r="AG60" s="288"/>
      <c r="AH60" s="288"/>
      <c r="AI60" s="289"/>
      <c r="AK60" s="425" t="s">
        <v>702</v>
      </c>
      <c r="AL60" s="425"/>
      <c r="AM60" s="425"/>
      <c r="AN60" s="425"/>
      <c r="AO60" s="425"/>
      <c r="AP60" s="425"/>
      <c r="AQ60" s="42"/>
      <c r="AR60" s="43"/>
      <c r="AS60" s="43"/>
      <c r="AT60" s="43"/>
      <c r="AU60" s="43"/>
      <c r="AV60" s="43"/>
      <c r="AW60" s="43"/>
      <c r="AX60" s="43"/>
      <c r="AY60" s="43"/>
      <c r="AZ60" s="43"/>
      <c r="BH60" s="52"/>
      <c r="BI60" s="51"/>
    </row>
    <row r="61" spans="1:61" ht="18" customHeight="1">
      <c r="A61" s="36"/>
      <c r="B61" s="404"/>
      <c r="C61" s="404"/>
      <c r="D61" s="404"/>
      <c r="E61" s="404"/>
      <c r="F61" s="288"/>
      <c r="G61" s="288"/>
      <c r="H61" s="288"/>
      <c r="I61" s="288"/>
      <c r="J61" s="288"/>
      <c r="K61" s="288"/>
      <c r="L61" s="288"/>
      <c r="M61" s="288"/>
      <c r="N61" s="288"/>
      <c r="O61" s="288"/>
      <c r="P61" s="288"/>
      <c r="Q61" s="288"/>
      <c r="R61" s="288"/>
      <c r="S61" s="288"/>
      <c r="T61" s="288"/>
      <c r="U61" s="288"/>
      <c r="V61" s="288"/>
      <c r="W61" s="288"/>
      <c r="X61" s="288"/>
      <c r="Y61" s="288"/>
      <c r="Z61" s="288"/>
      <c r="AA61" s="288"/>
      <c r="AB61" s="288"/>
      <c r="AC61" s="288"/>
      <c r="AD61" s="288"/>
      <c r="AE61" s="288"/>
      <c r="AF61" s="288"/>
      <c r="AG61" s="288"/>
      <c r="AH61" s="288"/>
      <c r="AI61" s="289"/>
      <c r="AK61" s="425" t="s">
        <v>703</v>
      </c>
      <c r="AL61" s="425"/>
      <c r="AM61" s="425"/>
      <c r="AN61" s="425"/>
      <c r="AO61" s="425"/>
      <c r="AP61" s="425"/>
      <c r="AQ61" s="42"/>
      <c r="AR61" s="43"/>
      <c r="AS61" s="43"/>
      <c r="AT61" s="43"/>
      <c r="AU61" s="43"/>
      <c r="AV61" s="43"/>
      <c r="AW61" s="43"/>
      <c r="AX61" s="43"/>
      <c r="AY61" s="43"/>
      <c r="AZ61" s="43"/>
      <c r="BH61" s="50"/>
      <c r="BI61" s="51"/>
    </row>
    <row r="62" spans="1:61" ht="18" customHeight="1">
      <c r="A62" s="36"/>
      <c r="B62" s="404"/>
      <c r="C62" s="404"/>
      <c r="D62" s="404"/>
      <c r="E62" s="404"/>
      <c r="F62" s="288"/>
      <c r="G62" s="288"/>
      <c r="H62" s="288"/>
      <c r="I62" s="288"/>
      <c r="J62" s="288"/>
      <c r="K62" s="288"/>
      <c r="L62" s="288"/>
      <c r="M62" s="288"/>
      <c r="N62" s="288"/>
      <c r="O62" s="288"/>
      <c r="P62" s="288"/>
      <c r="Q62" s="288"/>
      <c r="R62" s="288"/>
      <c r="S62" s="288"/>
      <c r="T62" s="288"/>
      <c r="U62" s="288"/>
      <c r="V62" s="288"/>
      <c r="W62" s="288"/>
      <c r="X62" s="288"/>
      <c r="Y62" s="288"/>
      <c r="Z62" s="288"/>
      <c r="AA62" s="288"/>
      <c r="AB62" s="288"/>
      <c r="AC62" s="288"/>
      <c r="AD62" s="288"/>
      <c r="AE62" s="288"/>
      <c r="AF62" s="288"/>
      <c r="AG62" s="288"/>
      <c r="AH62" s="288"/>
      <c r="AI62" s="289"/>
      <c r="AK62" s="425"/>
      <c r="AL62" s="425"/>
      <c r="AM62" s="425"/>
      <c r="AN62" s="425"/>
      <c r="AO62" s="425"/>
      <c r="AP62" s="425"/>
      <c r="AQ62" s="42"/>
      <c r="AR62" s="43"/>
      <c r="AS62" s="43"/>
      <c r="AT62" s="43"/>
      <c r="AU62" s="43"/>
      <c r="AV62" s="43"/>
      <c r="AW62" s="43"/>
      <c r="AX62" s="43"/>
      <c r="AY62" s="43"/>
      <c r="AZ62" s="43"/>
      <c r="BH62" s="50"/>
      <c r="BI62" s="51"/>
    </row>
    <row r="63" spans="1:61" ht="18" customHeight="1">
      <c r="A63" s="36"/>
      <c r="B63" s="404"/>
      <c r="C63" s="404"/>
      <c r="D63" s="404"/>
      <c r="E63" s="404"/>
      <c r="F63" s="288"/>
      <c r="G63" s="288"/>
      <c r="H63" s="288"/>
      <c r="I63" s="288"/>
      <c r="J63" s="288"/>
      <c r="K63" s="288"/>
      <c r="L63" s="288"/>
      <c r="M63" s="288"/>
      <c r="N63" s="288"/>
      <c r="O63" s="288"/>
      <c r="P63" s="288"/>
      <c r="Q63" s="288"/>
      <c r="R63" s="288"/>
      <c r="S63" s="288"/>
      <c r="T63" s="288"/>
      <c r="U63" s="288"/>
      <c r="V63" s="288"/>
      <c r="W63" s="288"/>
      <c r="X63" s="288"/>
      <c r="Y63" s="288"/>
      <c r="Z63" s="288"/>
      <c r="AA63" s="288"/>
      <c r="AB63" s="288"/>
      <c r="AC63" s="288"/>
      <c r="AD63" s="288"/>
      <c r="AE63" s="288"/>
      <c r="AF63" s="288"/>
      <c r="AG63" s="288"/>
      <c r="AH63" s="288"/>
      <c r="AI63" s="289"/>
      <c r="AK63" s="425"/>
      <c r="AL63" s="425"/>
      <c r="AM63" s="425"/>
      <c r="AN63" s="425"/>
      <c r="AO63" s="425"/>
      <c r="AP63" s="425"/>
      <c r="AQ63" s="42"/>
      <c r="AR63" s="43"/>
      <c r="AS63" s="43"/>
      <c r="AT63" s="43"/>
      <c r="AU63" s="43"/>
      <c r="AV63" s="43"/>
      <c r="AW63" s="43"/>
      <c r="AX63" s="43"/>
      <c r="AY63" s="43"/>
      <c r="AZ63" s="43"/>
      <c r="BH63" s="52"/>
      <c r="BI63" s="51"/>
    </row>
    <row r="64" spans="1:61" ht="18" customHeight="1">
      <c r="A64" s="36"/>
      <c r="B64" s="404"/>
      <c r="C64" s="404"/>
      <c r="D64" s="404"/>
      <c r="E64" s="404"/>
      <c r="F64" s="288"/>
      <c r="G64" s="288"/>
      <c r="H64" s="288"/>
      <c r="I64" s="288"/>
      <c r="J64" s="288"/>
      <c r="K64" s="288"/>
      <c r="L64" s="288"/>
      <c r="M64" s="288"/>
      <c r="N64" s="288"/>
      <c r="O64" s="288"/>
      <c r="P64" s="288"/>
      <c r="Q64" s="288"/>
      <c r="R64" s="288"/>
      <c r="S64" s="288"/>
      <c r="T64" s="288"/>
      <c r="U64" s="288"/>
      <c r="V64" s="288"/>
      <c r="W64" s="288"/>
      <c r="X64" s="288"/>
      <c r="Y64" s="288"/>
      <c r="Z64" s="288"/>
      <c r="AA64" s="288"/>
      <c r="AB64" s="288"/>
      <c r="AC64" s="288"/>
      <c r="AD64" s="288"/>
      <c r="AE64" s="288"/>
      <c r="AF64" s="288"/>
      <c r="AG64" s="288"/>
      <c r="AH64" s="288"/>
      <c r="AI64" s="289"/>
      <c r="AK64" s="425"/>
      <c r="AL64" s="425"/>
      <c r="AM64" s="425"/>
      <c r="AN64" s="425"/>
      <c r="AO64" s="425"/>
      <c r="AP64" s="425"/>
      <c r="AQ64" s="42"/>
      <c r="AR64" s="43"/>
      <c r="AS64" s="43"/>
      <c r="AT64" s="43"/>
      <c r="AU64" s="43"/>
      <c r="AV64" s="43"/>
      <c r="AW64" s="43"/>
      <c r="AX64" s="43"/>
      <c r="AY64" s="43"/>
      <c r="AZ64" s="43"/>
      <c r="BH64" s="52"/>
      <c r="BI64" s="51"/>
    </row>
    <row r="65" spans="1:61" ht="18" customHeight="1">
      <c r="A65" s="36"/>
      <c r="B65" s="404"/>
      <c r="C65" s="404"/>
      <c r="D65" s="404"/>
      <c r="E65" s="404"/>
      <c r="F65" s="288"/>
      <c r="G65" s="288"/>
      <c r="H65" s="288"/>
      <c r="I65" s="288"/>
      <c r="J65" s="288"/>
      <c r="K65" s="288"/>
      <c r="L65" s="288"/>
      <c r="M65" s="288"/>
      <c r="N65" s="288"/>
      <c r="O65" s="288"/>
      <c r="P65" s="288"/>
      <c r="Q65" s="288"/>
      <c r="R65" s="288"/>
      <c r="S65" s="288"/>
      <c r="T65" s="288"/>
      <c r="U65" s="288"/>
      <c r="V65" s="288"/>
      <c r="W65" s="288"/>
      <c r="X65" s="288"/>
      <c r="Y65" s="288"/>
      <c r="Z65" s="288"/>
      <c r="AA65" s="288"/>
      <c r="AB65" s="288"/>
      <c r="AC65" s="288"/>
      <c r="AD65" s="288"/>
      <c r="AE65" s="288"/>
      <c r="AF65" s="288"/>
      <c r="AG65" s="288"/>
      <c r="AH65" s="288"/>
      <c r="AI65" s="289"/>
      <c r="AK65" s="425"/>
      <c r="AL65" s="425"/>
      <c r="AM65" s="425"/>
      <c r="AN65" s="425"/>
      <c r="AO65" s="425"/>
      <c r="AP65" s="425"/>
      <c r="AQ65" s="42"/>
      <c r="AR65" s="43"/>
      <c r="AS65" s="43"/>
      <c r="AT65" s="43"/>
      <c r="AU65" s="43"/>
      <c r="AV65" s="43"/>
      <c r="AW65" s="43"/>
      <c r="AX65" s="43"/>
      <c r="AY65" s="43"/>
      <c r="AZ65" s="43"/>
      <c r="BH65" s="50"/>
      <c r="BI65" s="51"/>
    </row>
    <row r="66" spans="1:61" ht="18" customHeight="1">
      <c r="A66" s="36"/>
      <c r="B66" s="404"/>
      <c r="C66" s="404"/>
      <c r="D66" s="404"/>
      <c r="E66" s="404"/>
      <c r="F66" s="288"/>
      <c r="G66" s="288"/>
      <c r="H66" s="288"/>
      <c r="I66" s="288"/>
      <c r="J66" s="288"/>
      <c r="K66" s="288"/>
      <c r="L66" s="288"/>
      <c r="M66" s="288"/>
      <c r="N66" s="288"/>
      <c r="O66" s="288"/>
      <c r="P66" s="288"/>
      <c r="Q66" s="288"/>
      <c r="R66" s="288"/>
      <c r="S66" s="288"/>
      <c r="T66" s="288"/>
      <c r="U66" s="288"/>
      <c r="V66" s="288"/>
      <c r="W66" s="288"/>
      <c r="X66" s="288"/>
      <c r="Y66" s="288"/>
      <c r="Z66" s="288"/>
      <c r="AA66" s="288"/>
      <c r="AB66" s="288"/>
      <c r="AC66" s="288"/>
      <c r="AD66" s="288"/>
      <c r="AE66" s="288"/>
      <c r="AF66" s="288"/>
      <c r="AG66" s="288"/>
      <c r="AH66" s="288"/>
      <c r="AI66" s="289"/>
      <c r="AK66" s="425"/>
      <c r="AL66" s="425"/>
      <c r="AM66" s="425"/>
      <c r="AN66" s="425"/>
      <c r="AO66" s="425"/>
      <c r="AP66" s="425"/>
      <c r="AQ66" s="42"/>
      <c r="AR66" s="43"/>
      <c r="AS66" s="43"/>
      <c r="AT66" s="43"/>
      <c r="AU66" s="43"/>
      <c r="AV66" s="43"/>
      <c r="AW66" s="43"/>
      <c r="AX66" s="43"/>
      <c r="AY66" s="43"/>
      <c r="AZ66" s="43"/>
      <c r="BH66" s="50"/>
      <c r="BI66" s="51"/>
    </row>
    <row r="67" spans="1:61" ht="18" customHeight="1">
      <c r="A67" s="36"/>
      <c r="B67" s="404"/>
      <c r="C67" s="404"/>
      <c r="D67" s="404"/>
      <c r="E67" s="404"/>
      <c r="F67" s="288"/>
      <c r="G67" s="288"/>
      <c r="H67" s="288"/>
      <c r="I67" s="288"/>
      <c r="J67" s="288"/>
      <c r="K67" s="288"/>
      <c r="L67" s="288"/>
      <c r="M67" s="288"/>
      <c r="N67" s="288"/>
      <c r="O67" s="288"/>
      <c r="P67" s="288"/>
      <c r="Q67" s="288"/>
      <c r="R67" s="288"/>
      <c r="S67" s="288"/>
      <c r="T67" s="288"/>
      <c r="U67" s="288"/>
      <c r="V67" s="288"/>
      <c r="W67" s="288"/>
      <c r="X67" s="288"/>
      <c r="Y67" s="288"/>
      <c r="Z67" s="288"/>
      <c r="AA67" s="288"/>
      <c r="AB67" s="288"/>
      <c r="AC67" s="288"/>
      <c r="AD67" s="288"/>
      <c r="AE67" s="288"/>
      <c r="AF67" s="288"/>
      <c r="AG67" s="288"/>
      <c r="AH67" s="288"/>
      <c r="AI67" s="289"/>
      <c r="AK67" s="425"/>
      <c r="AL67" s="425"/>
      <c r="AM67" s="425"/>
      <c r="AN67" s="425"/>
      <c r="AO67" s="425"/>
      <c r="AP67" s="425"/>
      <c r="AQ67" s="67"/>
      <c r="AR67" s="43"/>
      <c r="AS67" s="43"/>
      <c r="AT67" s="43"/>
      <c r="AU67" s="43"/>
      <c r="AV67" s="43"/>
      <c r="AW67" s="43"/>
      <c r="AX67" s="43"/>
      <c r="AY67" s="43"/>
      <c r="AZ67" s="43"/>
      <c r="BH67" s="50"/>
      <c r="BI67" s="51"/>
    </row>
    <row r="68" spans="1:61" ht="18" customHeight="1">
      <c r="A68" s="36"/>
      <c r="B68" s="404"/>
      <c r="C68" s="404"/>
      <c r="D68" s="404"/>
      <c r="E68" s="404"/>
      <c r="F68" s="288"/>
      <c r="G68" s="288"/>
      <c r="H68" s="288"/>
      <c r="I68" s="288"/>
      <c r="J68" s="288"/>
      <c r="K68" s="288"/>
      <c r="L68" s="288"/>
      <c r="M68" s="288"/>
      <c r="N68" s="288"/>
      <c r="O68" s="288"/>
      <c r="P68" s="288"/>
      <c r="Q68" s="288"/>
      <c r="R68" s="288"/>
      <c r="S68" s="288"/>
      <c r="T68" s="288"/>
      <c r="U68" s="288"/>
      <c r="V68" s="288"/>
      <c r="W68" s="288"/>
      <c r="X68" s="288"/>
      <c r="Y68" s="288"/>
      <c r="Z68" s="288"/>
      <c r="AA68" s="288"/>
      <c r="AB68" s="288"/>
      <c r="AC68" s="288"/>
      <c r="AD68" s="288"/>
      <c r="AE68" s="288"/>
      <c r="AF68" s="288"/>
      <c r="AG68" s="288"/>
      <c r="AH68" s="288"/>
      <c r="AI68" s="289"/>
      <c r="AK68" s="425"/>
      <c r="AL68" s="425"/>
      <c r="AM68" s="425"/>
      <c r="AN68" s="425"/>
      <c r="AO68" s="425"/>
      <c r="AP68" s="425"/>
      <c r="AQ68" s="67"/>
      <c r="AR68" s="43"/>
      <c r="AS68" s="43"/>
      <c r="AT68" s="43"/>
      <c r="AU68" s="43"/>
      <c r="AV68" s="43"/>
      <c r="AW68" s="43"/>
      <c r="AX68" s="43"/>
      <c r="AY68" s="43"/>
      <c r="AZ68" s="43"/>
      <c r="BH68" s="50"/>
      <c r="BI68" s="51"/>
    </row>
    <row r="69" spans="1:61" ht="18" customHeight="1">
      <c r="A69" s="36"/>
      <c r="B69" s="404"/>
      <c r="C69" s="404"/>
      <c r="D69" s="404"/>
      <c r="E69" s="404"/>
      <c r="F69" s="288"/>
      <c r="G69" s="288"/>
      <c r="H69" s="288"/>
      <c r="I69" s="288"/>
      <c r="J69" s="288"/>
      <c r="K69" s="288"/>
      <c r="L69" s="288"/>
      <c r="M69" s="288"/>
      <c r="N69" s="288"/>
      <c r="O69" s="288"/>
      <c r="P69" s="288"/>
      <c r="Q69" s="288"/>
      <c r="R69" s="288"/>
      <c r="S69" s="288"/>
      <c r="T69" s="288"/>
      <c r="U69" s="288"/>
      <c r="V69" s="288"/>
      <c r="W69" s="288"/>
      <c r="X69" s="288"/>
      <c r="Y69" s="288"/>
      <c r="Z69" s="288"/>
      <c r="AA69" s="288"/>
      <c r="AB69" s="288"/>
      <c r="AC69" s="288"/>
      <c r="AD69" s="288"/>
      <c r="AE69" s="288"/>
      <c r="AF69" s="288"/>
      <c r="AG69" s="288"/>
      <c r="AH69" s="288"/>
      <c r="AI69" s="289"/>
      <c r="AK69" s="425"/>
      <c r="AL69" s="425"/>
      <c r="AM69" s="425"/>
      <c r="AN69" s="425"/>
      <c r="AO69" s="425"/>
      <c r="AP69" s="425"/>
      <c r="AQ69" s="42"/>
      <c r="AR69" s="43"/>
      <c r="AS69" s="43"/>
      <c r="AT69" s="43"/>
      <c r="AU69" s="43"/>
      <c r="AV69" s="43"/>
      <c r="AW69" s="43"/>
      <c r="AX69" s="43"/>
      <c r="AY69" s="43"/>
      <c r="AZ69" s="43"/>
      <c r="BH69" s="50"/>
      <c r="BI69" s="51"/>
    </row>
    <row r="70" spans="1:61" ht="18" customHeight="1">
      <c r="A70" s="36"/>
      <c r="B70" s="404"/>
      <c r="C70" s="404"/>
      <c r="D70" s="404"/>
      <c r="E70" s="404"/>
      <c r="F70" s="288"/>
      <c r="G70" s="288"/>
      <c r="H70" s="288"/>
      <c r="I70" s="288"/>
      <c r="J70" s="288"/>
      <c r="K70" s="288"/>
      <c r="L70" s="288"/>
      <c r="M70" s="288"/>
      <c r="N70" s="288"/>
      <c r="O70" s="288"/>
      <c r="P70" s="288"/>
      <c r="Q70" s="288"/>
      <c r="R70" s="288"/>
      <c r="S70" s="288"/>
      <c r="T70" s="288"/>
      <c r="U70" s="288"/>
      <c r="V70" s="288"/>
      <c r="W70" s="288"/>
      <c r="X70" s="288"/>
      <c r="Y70" s="288"/>
      <c r="Z70" s="288"/>
      <c r="AA70" s="288"/>
      <c r="AB70" s="288"/>
      <c r="AC70" s="288"/>
      <c r="AD70" s="288"/>
      <c r="AE70" s="288"/>
      <c r="AF70" s="288"/>
      <c r="AG70" s="288"/>
      <c r="AH70" s="288"/>
      <c r="AI70" s="289"/>
      <c r="AK70" s="425"/>
      <c r="AL70" s="425"/>
      <c r="AM70" s="425"/>
      <c r="AN70" s="425"/>
      <c r="AO70" s="425"/>
      <c r="AP70" s="425"/>
      <c r="AQ70" s="42"/>
      <c r="AR70" s="43"/>
      <c r="AS70" s="43"/>
      <c r="AT70" s="43"/>
      <c r="AU70" s="43"/>
      <c r="AV70" s="43"/>
      <c r="AW70" s="43"/>
      <c r="AX70" s="43"/>
      <c r="AY70" s="43"/>
      <c r="AZ70" s="43"/>
      <c r="BH70" s="50"/>
      <c r="BI70" s="51"/>
    </row>
    <row r="71" spans="1:61" ht="18" customHeight="1">
      <c r="A71" s="36"/>
      <c r="B71" s="404"/>
      <c r="C71" s="404"/>
      <c r="D71" s="404"/>
      <c r="E71" s="404"/>
      <c r="F71" s="288"/>
      <c r="G71" s="288"/>
      <c r="H71" s="288"/>
      <c r="I71" s="288"/>
      <c r="J71" s="288"/>
      <c r="K71" s="288"/>
      <c r="L71" s="288"/>
      <c r="M71" s="288"/>
      <c r="N71" s="288"/>
      <c r="O71" s="288"/>
      <c r="P71" s="288"/>
      <c r="Q71" s="288"/>
      <c r="R71" s="288"/>
      <c r="S71" s="288"/>
      <c r="T71" s="288"/>
      <c r="U71" s="288"/>
      <c r="V71" s="288"/>
      <c r="W71" s="288"/>
      <c r="X71" s="288"/>
      <c r="Y71" s="288"/>
      <c r="Z71" s="288"/>
      <c r="AA71" s="288"/>
      <c r="AB71" s="288"/>
      <c r="AC71" s="288"/>
      <c r="AD71" s="288"/>
      <c r="AE71" s="288"/>
      <c r="AF71" s="288"/>
      <c r="AG71" s="288"/>
      <c r="AH71" s="288"/>
      <c r="AI71" s="289"/>
      <c r="AK71" s="425"/>
      <c r="AL71" s="425"/>
      <c r="AM71" s="425"/>
      <c r="AN71" s="425"/>
      <c r="AO71" s="425"/>
      <c r="AP71" s="425"/>
      <c r="AQ71" s="42"/>
      <c r="AR71" s="43"/>
      <c r="AS71" s="43"/>
      <c r="AT71" s="43"/>
      <c r="AU71" s="43"/>
      <c r="AV71" s="43"/>
      <c r="AW71" s="43"/>
      <c r="AX71" s="43"/>
      <c r="AY71" s="43"/>
      <c r="AZ71" s="43"/>
      <c r="BH71" s="52"/>
      <c r="BI71" s="51"/>
    </row>
    <row r="72" spans="1:61" ht="18" customHeight="1">
      <c r="A72" s="36"/>
      <c r="B72" s="404"/>
      <c r="C72" s="404"/>
      <c r="D72" s="404"/>
      <c r="E72" s="404"/>
      <c r="F72" s="288"/>
      <c r="G72" s="288"/>
      <c r="H72" s="288"/>
      <c r="I72" s="288"/>
      <c r="J72" s="288"/>
      <c r="K72" s="288"/>
      <c r="L72" s="288"/>
      <c r="M72" s="288"/>
      <c r="N72" s="288"/>
      <c r="O72" s="288"/>
      <c r="P72" s="288"/>
      <c r="Q72" s="288"/>
      <c r="R72" s="288"/>
      <c r="S72" s="288"/>
      <c r="T72" s="288"/>
      <c r="U72" s="288"/>
      <c r="V72" s="288"/>
      <c r="W72" s="288"/>
      <c r="X72" s="288"/>
      <c r="Y72" s="288"/>
      <c r="Z72" s="288"/>
      <c r="AA72" s="288"/>
      <c r="AB72" s="288"/>
      <c r="AC72" s="288"/>
      <c r="AD72" s="288"/>
      <c r="AE72" s="288"/>
      <c r="AF72" s="288"/>
      <c r="AG72" s="288"/>
      <c r="AH72" s="288"/>
      <c r="AI72" s="289"/>
      <c r="AK72" s="425"/>
      <c r="AL72" s="425"/>
      <c r="AM72" s="425"/>
      <c r="AN72" s="425"/>
      <c r="AO72" s="425"/>
      <c r="AP72" s="425"/>
      <c r="AQ72" s="42"/>
      <c r="AR72" s="43"/>
      <c r="AS72" s="43"/>
      <c r="AT72" s="43"/>
      <c r="AU72" s="43"/>
      <c r="AV72" s="43"/>
      <c r="AW72" s="43"/>
      <c r="AX72" s="43"/>
      <c r="AY72" s="43"/>
      <c r="AZ72" s="43"/>
      <c r="BH72" s="53"/>
      <c r="BI72" s="51"/>
    </row>
    <row r="73" spans="1:61" ht="18" customHeight="1">
      <c r="A73" s="36"/>
      <c r="B73" s="404"/>
      <c r="C73" s="404"/>
      <c r="D73" s="404"/>
      <c r="E73" s="404"/>
      <c r="F73" s="288"/>
      <c r="G73" s="288"/>
      <c r="H73" s="288"/>
      <c r="I73" s="288"/>
      <c r="J73" s="288"/>
      <c r="K73" s="288"/>
      <c r="L73" s="288"/>
      <c r="M73" s="288"/>
      <c r="N73" s="288"/>
      <c r="O73" s="288"/>
      <c r="P73" s="288"/>
      <c r="Q73" s="288"/>
      <c r="R73" s="288"/>
      <c r="S73" s="288"/>
      <c r="T73" s="288"/>
      <c r="U73" s="288"/>
      <c r="V73" s="288"/>
      <c r="W73" s="288"/>
      <c r="X73" s="288"/>
      <c r="Y73" s="288"/>
      <c r="Z73" s="288"/>
      <c r="AA73" s="288"/>
      <c r="AB73" s="288"/>
      <c r="AC73" s="288"/>
      <c r="AD73" s="288"/>
      <c r="AE73" s="288"/>
      <c r="AF73" s="288"/>
      <c r="AG73" s="288"/>
      <c r="AH73" s="288"/>
      <c r="AI73" s="289"/>
      <c r="AK73" s="425"/>
      <c r="AL73" s="425"/>
      <c r="AM73" s="425"/>
      <c r="AN73" s="425"/>
      <c r="AO73" s="425"/>
      <c r="AP73" s="425"/>
      <c r="AQ73" s="42"/>
      <c r="AR73" s="43"/>
      <c r="AS73" s="43"/>
      <c r="AT73" s="43"/>
      <c r="AU73" s="43"/>
      <c r="AV73" s="43"/>
      <c r="AW73" s="43"/>
      <c r="AX73" s="43"/>
      <c r="AY73" s="43"/>
      <c r="AZ73" s="43"/>
      <c r="BH73" s="54"/>
      <c r="BI73" s="51"/>
    </row>
    <row r="74" spans="1:61" ht="18" customHeight="1">
      <c r="A74" s="36"/>
      <c r="B74" s="404"/>
      <c r="C74" s="404"/>
      <c r="D74" s="404"/>
      <c r="E74" s="404"/>
      <c r="F74" s="288"/>
      <c r="G74" s="288"/>
      <c r="H74" s="288"/>
      <c r="I74" s="288"/>
      <c r="J74" s="288"/>
      <c r="K74" s="288"/>
      <c r="L74" s="288"/>
      <c r="M74" s="288"/>
      <c r="N74" s="288"/>
      <c r="O74" s="288"/>
      <c r="P74" s="288"/>
      <c r="Q74" s="288"/>
      <c r="R74" s="288"/>
      <c r="S74" s="288"/>
      <c r="T74" s="288"/>
      <c r="U74" s="288"/>
      <c r="V74" s="288"/>
      <c r="W74" s="288"/>
      <c r="X74" s="288"/>
      <c r="Y74" s="288"/>
      <c r="Z74" s="288"/>
      <c r="AA74" s="288"/>
      <c r="AB74" s="288"/>
      <c r="AC74" s="288"/>
      <c r="AD74" s="288"/>
      <c r="AE74" s="288"/>
      <c r="AF74" s="288"/>
      <c r="AG74" s="288"/>
      <c r="AH74" s="288"/>
      <c r="AI74" s="289"/>
      <c r="AK74" s="425"/>
      <c r="AL74" s="425"/>
      <c r="AM74" s="425"/>
      <c r="AN74" s="425"/>
      <c r="AO74" s="425"/>
      <c r="AP74" s="425"/>
      <c r="AQ74" s="42"/>
      <c r="AR74" s="43"/>
      <c r="AS74" s="43"/>
      <c r="AT74" s="43"/>
      <c r="AU74" s="43"/>
      <c r="AV74" s="43"/>
      <c r="AW74" s="43"/>
      <c r="AX74" s="43"/>
      <c r="AY74" s="43"/>
      <c r="AZ74" s="43"/>
      <c r="BH74" s="54"/>
      <c r="BI74" s="51"/>
    </row>
    <row r="75" spans="1:61" ht="18" customHeight="1">
      <c r="A75" s="36"/>
      <c r="B75" s="404"/>
      <c r="C75" s="404"/>
      <c r="D75" s="404"/>
      <c r="E75" s="404"/>
      <c r="F75" s="288"/>
      <c r="G75" s="288"/>
      <c r="H75" s="288"/>
      <c r="I75" s="288"/>
      <c r="J75" s="288"/>
      <c r="K75" s="288"/>
      <c r="L75" s="288"/>
      <c r="M75" s="288"/>
      <c r="N75" s="288"/>
      <c r="O75" s="288"/>
      <c r="P75" s="288"/>
      <c r="Q75" s="288"/>
      <c r="R75" s="288"/>
      <c r="S75" s="288"/>
      <c r="T75" s="288"/>
      <c r="U75" s="288"/>
      <c r="V75" s="288"/>
      <c r="W75" s="288"/>
      <c r="X75" s="288"/>
      <c r="Y75" s="288"/>
      <c r="Z75" s="288"/>
      <c r="AA75" s="288"/>
      <c r="AB75" s="288"/>
      <c r="AC75" s="288"/>
      <c r="AD75" s="288"/>
      <c r="AE75" s="288"/>
      <c r="AF75" s="288"/>
      <c r="AG75" s="288"/>
      <c r="AH75" s="288"/>
      <c r="AI75" s="289"/>
      <c r="AK75" s="425"/>
      <c r="AL75" s="425"/>
      <c r="AM75" s="425"/>
      <c r="AN75" s="425"/>
      <c r="AO75" s="425"/>
      <c r="AP75" s="425"/>
      <c r="AQ75" s="42"/>
      <c r="AR75" s="43"/>
      <c r="AS75" s="43"/>
      <c r="AT75" s="43"/>
      <c r="AU75" s="43"/>
      <c r="AV75" s="43"/>
      <c r="AW75" s="43"/>
      <c r="AX75" s="43"/>
      <c r="AY75" s="43"/>
      <c r="AZ75" s="43"/>
      <c r="BH75" s="53"/>
      <c r="BI75" s="51"/>
    </row>
    <row r="76" spans="1:61" ht="18" customHeight="1">
      <c r="A76" s="36"/>
      <c r="B76" s="404"/>
      <c r="C76" s="404"/>
      <c r="D76" s="404"/>
      <c r="E76" s="404"/>
      <c r="F76" s="288"/>
      <c r="G76" s="288"/>
      <c r="H76" s="288"/>
      <c r="I76" s="288"/>
      <c r="J76" s="288"/>
      <c r="K76" s="288"/>
      <c r="L76" s="288"/>
      <c r="M76" s="288"/>
      <c r="N76" s="288"/>
      <c r="O76" s="288"/>
      <c r="P76" s="288"/>
      <c r="Q76" s="288"/>
      <c r="R76" s="288"/>
      <c r="S76" s="288"/>
      <c r="T76" s="288"/>
      <c r="U76" s="288"/>
      <c r="V76" s="288"/>
      <c r="W76" s="288"/>
      <c r="X76" s="288"/>
      <c r="Y76" s="288"/>
      <c r="Z76" s="288"/>
      <c r="AA76" s="288"/>
      <c r="AB76" s="288"/>
      <c r="AC76" s="288"/>
      <c r="AD76" s="288"/>
      <c r="AE76" s="288"/>
      <c r="AF76" s="288"/>
      <c r="AG76" s="288"/>
      <c r="AH76" s="288"/>
      <c r="AI76" s="289"/>
      <c r="AK76" s="425"/>
      <c r="AL76" s="425"/>
      <c r="AM76" s="425"/>
      <c r="AN76" s="425"/>
      <c r="AO76" s="425"/>
      <c r="AP76" s="425"/>
      <c r="AQ76" s="42"/>
      <c r="AR76" s="43"/>
      <c r="AS76" s="43"/>
      <c r="AT76" s="43"/>
      <c r="AU76" s="43"/>
      <c r="AV76" s="43"/>
      <c r="AW76" s="43"/>
      <c r="AX76" s="43"/>
      <c r="AY76" s="43"/>
      <c r="AZ76" s="43"/>
      <c r="BH76" s="53"/>
      <c r="BI76" s="51"/>
    </row>
    <row r="77" spans="1:61" ht="18" customHeight="1">
      <c r="A77" s="36"/>
      <c r="B77" s="404"/>
      <c r="C77" s="404"/>
      <c r="D77" s="404"/>
      <c r="E77" s="404"/>
      <c r="F77" s="288"/>
      <c r="G77" s="288"/>
      <c r="H77" s="288"/>
      <c r="I77" s="288"/>
      <c r="J77" s="288"/>
      <c r="K77" s="288"/>
      <c r="L77" s="288"/>
      <c r="M77" s="288"/>
      <c r="N77" s="288"/>
      <c r="O77" s="288"/>
      <c r="P77" s="288"/>
      <c r="Q77" s="288"/>
      <c r="R77" s="288"/>
      <c r="S77" s="288"/>
      <c r="T77" s="288"/>
      <c r="U77" s="288"/>
      <c r="V77" s="288"/>
      <c r="W77" s="288"/>
      <c r="X77" s="288"/>
      <c r="Y77" s="288"/>
      <c r="Z77" s="288"/>
      <c r="AA77" s="288"/>
      <c r="AB77" s="288"/>
      <c r="AC77" s="288"/>
      <c r="AD77" s="288"/>
      <c r="AE77" s="288"/>
      <c r="AF77" s="288"/>
      <c r="AG77" s="288"/>
      <c r="AH77" s="288"/>
      <c r="AI77" s="289"/>
      <c r="AK77" s="425"/>
      <c r="AL77" s="425"/>
      <c r="AM77" s="425"/>
      <c r="AN77" s="425"/>
      <c r="AO77" s="425"/>
      <c r="AP77" s="425"/>
      <c r="AQ77" s="42"/>
      <c r="AR77" s="43"/>
      <c r="AS77" s="43"/>
      <c r="AT77" s="43"/>
      <c r="AU77" s="43"/>
      <c r="AV77" s="43"/>
      <c r="AW77" s="43"/>
      <c r="AX77" s="43"/>
      <c r="AY77" s="43"/>
      <c r="AZ77" s="43"/>
      <c r="BH77" s="54"/>
      <c r="BI77" s="51"/>
    </row>
    <row r="78" spans="1:61" ht="18" customHeight="1">
      <c r="A78" s="36"/>
      <c r="B78" s="404"/>
      <c r="C78" s="404"/>
      <c r="D78" s="404"/>
      <c r="E78" s="404"/>
      <c r="F78" s="288"/>
      <c r="G78" s="288"/>
      <c r="H78" s="288"/>
      <c r="I78" s="288"/>
      <c r="J78" s="288"/>
      <c r="K78" s="288"/>
      <c r="L78" s="288"/>
      <c r="M78" s="288"/>
      <c r="N78" s="288"/>
      <c r="O78" s="288"/>
      <c r="P78" s="288"/>
      <c r="Q78" s="288"/>
      <c r="R78" s="288"/>
      <c r="S78" s="288"/>
      <c r="T78" s="288"/>
      <c r="U78" s="288"/>
      <c r="V78" s="288"/>
      <c r="W78" s="288"/>
      <c r="X78" s="288"/>
      <c r="Y78" s="288"/>
      <c r="Z78" s="288"/>
      <c r="AA78" s="288"/>
      <c r="AB78" s="288"/>
      <c r="AC78" s="288"/>
      <c r="AD78" s="288"/>
      <c r="AE78" s="288"/>
      <c r="AF78" s="288"/>
      <c r="AG78" s="288"/>
      <c r="AH78" s="288"/>
      <c r="AI78" s="289"/>
      <c r="AK78" s="425"/>
      <c r="AL78" s="425"/>
      <c r="AM78" s="425"/>
      <c r="AN78" s="425"/>
      <c r="AO78" s="425"/>
      <c r="AP78" s="425"/>
      <c r="AQ78" s="42"/>
      <c r="AR78" s="43"/>
      <c r="AS78" s="43"/>
      <c r="AT78" s="43"/>
      <c r="AU78" s="43"/>
      <c r="AV78" s="43"/>
      <c r="AW78" s="43"/>
      <c r="AX78" s="43"/>
      <c r="AY78" s="43"/>
      <c r="AZ78" s="43"/>
      <c r="BH78" s="54"/>
      <c r="BI78" s="51"/>
    </row>
    <row r="79" spans="1:61" ht="18" customHeight="1">
      <c r="A79" s="36"/>
      <c r="B79" s="404"/>
      <c r="C79" s="404"/>
      <c r="D79" s="404"/>
      <c r="E79" s="404"/>
      <c r="F79" s="288"/>
      <c r="G79" s="288"/>
      <c r="H79" s="288"/>
      <c r="I79" s="288"/>
      <c r="J79" s="288"/>
      <c r="K79" s="288"/>
      <c r="L79" s="288"/>
      <c r="M79" s="288"/>
      <c r="N79" s="288"/>
      <c r="O79" s="288"/>
      <c r="P79" s="288"/>
      <c r="Q79" s="288"/>
      <c r="R79" s="288"/>
      <c r="S79" s="288"/>
      <c r="T79" s="288"/>
      <c r="U79" s="288"/>
      <c r="V79" s="288"/>
      <c r="W79" s="288"/>
      <c r="X79" s="288"/>
      <c r="Y79" s="288"/>
      <c r="Z79" s="288"/>
      <c r="AA79" s="288"/>
      <c r="AB79" s="288"/>
      <c r="AC79" s="288"/>
      <c r="AD79" s="288"/>
      <c r="AE79" s="288"/>
      <c r="AF79" s="288"/>
      <c r="AG79" s="288"/>
      <c r="AH79" s="288"/>
      <c r="AI79" s="289"/>
      <c r="AK79" s="425"/>
      <c r="AL79" s="425"/>
      <c r="AM79" s="425"/>
      <c r="AN79" s="425"/>
      <c r="AO79" s="425"/>
      <c r="AP79" s="425"/>
      <c r="AQ79" s="42"/>
      <c r="AR79" s="43"/>
      <c r="AS79" s="43"/>
      <c r="AT79" s="43"/>
      <c r="AU79" s="43"/>
      <c r="AV79" s="43"/>
      <c r="AW79" s="43"/>
      <c r="AX79" s="43"/>
      <c r="AY79" s="43"/>
      <c r="AZ79" s="43"/>
      <c r="BH79" s="54"/>
      <c r="BI79" s="51"/>
    </row>
    <row r="80" spans="1:61" ht="18" customHeight="1">
      <c r="A80" s="37"/>
      <c r="B80" s="466"/>
      <c r="C80" s="466"/>
      <c r="D80" s="466"/>
      <c r="E80" s="466"/>
      <c r="F80" s="467"/>
      <c r="G80" s="467"/>
      <c r="H80" s="467"/>
      <c r="I80" s="467"/>
      <c r="J80" s="467"/>
      <c r="K80" s="467"/>
      <c r="L80" s="467"/>
      <c r="M80" s="467"/>
      <c r="N80" s="467"/>
      <c r="O80" s="467"/>
      <c r="P80" s="467"/>
      <c r="Q80" s="467"/>
      <c r="R80" s="467"/>
      <c r="S80" s="467"/>
      <c r="T80" s="467"/>
      <c r="U80" s="467"/>
      <c r="V80" s="467"/>
      <c r="W80" s="467"/>
      <c r="X80" s="467"/>
      <c r="Y80" s="467"/>
      <c r="Z80" s="467"/>
      <c r="AA80" s="467"/>
      <c r="AB80" s="467"/>
      <c r="AC80" s="467"/>
      <c r="AD80" s="467"/>
      <c r="AE80" s="467"/>
      <c r="AF80" s="467"/>
      <c r="AG80" s="467"/>
      <c r="AH80" s="467"/>
      <c r="AI80" s="468"/>
      <c r="AK80" s="425"/>
      <c r="AL80" s="425"/>
      <c r="AM80" s="425"/>
      <c r="AN80" s="425"/>
      <c r="AO80" s="425"/>
      <c r="AP80" s="425"/>
      <c r="AQ80" s="42"/>
      <c r="AR80" s="43"/>
      <c r="AS80" s="43"/>
      <c r="AT80" s="43"/>
      <c r="AU80" s="43"/>
      <c r="AV80" s="43"/>
      <c r="AW80" s="43"/>
      <c r="AX80" s="43"/>
      <c r="AY80" s="43"/>
      <c r="AZ80" s="43"/>
      <c r="BH80" s="54"/>
      <c r="BI80" s="51"/>
    </row>
    <row r="81" spans="1:61" ht="18" customHeight="1">
      <c r="A81" s="406" t="s">
        <v>704</v>
      </c>
      <c r="B81" s="407"/>
      <c r="C81" s="407"/>
      <c r="D81" s="407"/>
      <c r="E81" s="407"/>
      <c r="F81" s="407"/>
      <c r="G81" s="407"/>
      <c r="H81" s="407"/>
      <c r="I81" s="407"/>
      <c r="J81" s="407"/>
      <c r="K81" s="407"/>
      <c r="L81" s="407"/>
      <c r="M81" s="407"/>
      <c r="N81" s="407"/>
      <c r="O81" s="407"/>
      <c r="P81" s="407"/>
      <c r="Q81" s="407"/>
      <c r="R81" s="407"/>
      <c r="S81" s="407"/>
      <c r="T81" s="407"/>
      <c r="U81" s="407"/>
      <c r="V81" s="407"/>
      <c r="W81" s="407"/>
      <c r="X81" s="407"/>
      <c r="Y81" s="407"/>
      <c r="Z81" s="407"/>
      <c r="AA81" s="407"/>
      <c r="AB81" s="407"/>
      <c r="AC81" s="407"/>
      <c r="AD81" s="407"/>
      <c r="AE81" s="407"/>
      <c r="AF81" s="407"/>
      <c r="AG81" s="407"/>
      <c r="AH81" s="407"/>
      <c r="AI81" s="408"/>
      <c r="AK81" s="425"/>
      <c r="AL81" s="425"/>
      <c r="AM81" s="425"/>
      <c r="AN81" s="425"/>
      <c r="AO81" s="425"/>
      <c r="AP81" s="425"/>
      <c r="AQ81" s="42"/>
      <c r="AR81" s="43"/>
      <c r="AS81" s="43"/>
      <c r="AT81" s="43"/>
      <c r="AU81" s="43"/>
      <c r="AV81" s="43"/>
      <c r="AW81" s="43"/>
      <c r="AX81" s="43"/>
      <c r="AY81" s="43"/>
      <c r="AZ81" s="43"/>
      <c r="BH81" s="53"/>
      <c r="BI81" s="51"/>
    </row>
    <row r="82" spans="1:61" ht="18" customHeight="1">
      <c r="A82" s="38"/>
      <c r="B82" s="465">
        <v>45644</v>
      </c>
      <c r="C82" s="465"/>
      <c r="D82" s="465"/>
      <c r="E82" s="465"/>
      <c r="F82" s="288" t="s">
        <v>837</v>
      </c>
      <c r="G82" s="288"/>
      <c r="H82" s="288"/>
      <c r="I82" s="288"/>
      <c r="J82" s="288"/>
      <c r="K82" s="288"/>
      <c r="L82" s="288"/>
      <c r="M82" s="288"/>
      <c r="N82" s="288"/>
      <c r="O82" s="288"/>
      <c r="P82" s="288"/>
      <c r="Q82" s="288"/>
      <c r="R82" s="288"/>
      <c r="S82" s="288"/>
      <c r="T82" s="288"/>
      <c r="U82" s="288"/>
      <c r="V82" s="288"/>
      <c r="W82" s="288"/>
      <c r="X82" s="288"/>
      <c r="Y82" s="288"/>
      <c r="Z82" s="288"/>
      <c r="AA82" s="288"/>
      <c r="AB82" s="288"/>
      <c r="AC82" s="288"/>
      <c r="AD82" s="288"/>
      <c r="AE82" s="288"/>
      <c r="AF82" s="288"/>
      <c r="AG82" s="288"/>
      <c r="AH82" s="288"/>
      <c r="AI82" s="289"/>
      <c r="AK82" s="425"/>
      <c r="AL82" s="425"/>
      <c r="AM82" s="425"/>
      <c r="AN82" s="425"/>
      <c r="AO82" s="425"/>
      <c r="AP82" s="425"/>
      <c r="AQ82" s="42"/>
      <c r="AR82" s="43"/>
      <c r="AS82" s="43"/>
      <c r="AT82" s="43"/>
      <c r="AU82" s="43"/>
      <c r="AV82" s="43"/>
      <c r="AW82" s="43"/>
      <c r="AX82" s="43"/>
      <c r="AY82" s="43"/>
      <c r="AZ82" s="43"/>
      <c r="BH82" s="53"/>
      <c r="BI82" s="51"/>
    </row>
    <row r="83" spans="1:61" ht="18" customHeight="1">
      <c r="A83" s="38"/>
      <c r="B83" s="465">
        <v>46160</v>
      </c>
      <c r="C83" s="465"/>
      <c r="D83" s="465"/>
      <c r="E83" s="465"/>
      <c r="F83" s="288" t="s">
        <v>838</v>
      </c>
      <c r="G83" s="288"/>
      <c r="H83" s="288"/>
      <c r="I83" s="288"/>
      <c r="J83" s="288"/>
      <c r="K83" s="288"/>
      <c r="L83" s="288"/>
      <c r="M83" s="288"/>
      <c r="N83" s="288"/>
      <c r="O83" s="288"/>
      <c r="P83" s="288"/>
      <c r="Q83" s="288"/>
      <c r="R83" s="288"/>
      <c r="S83" s="288"/>
      <c r="T83" s="288"/>
      <c r="U83" s="288"/>
      <c r="V83" s="288"/>
      <c r="W83" s="288"/>
      <c r="X83" s="288"/>
      <c r="Y83" s="288"/>
      <c r="Z83" s="288"/>
      <c r="AA83" s="288"/>
      <c r="AB83" s="288"/>
      <c r="AC83" s="288"/>
      <c r="AD83" s="288"/>
      <c r="AE83" s="288"/>
      <c r="AF83" s="288"/>
      <c r="AG83" s="288"/>
      <c r="AH83" s="288"/>
      <c r="AI83" s="289"/>
      <c r="AK83" s="425"/>
      <c r="AL83" s="425"/>
      <c r="AM83" s="425"/>
      <c r="AN83" s="425"/>
      <c r="AO83" s="425"/>
      <c r="AP83" s="425"/>
      <c r="AQ83" s="42"/>
      <c r="AR83" s="43"/>
      <c r="AS83" s="43"/>
      <c r="AT83" s="43"/>
      <c r="AU83" s="43"/>
      <c r="AV83" s="43"/>
      <c r="AW83" s="43"/>
      <c r="AX83" s="43"/>
      <c r="AY83" s="43"/>
      <c r="AZ83" s="43"/>
      <c r="BH83" s="53"/>
      <c r="BI83" s="51"/>
    </row>
    <row r="84" spans="1:61" ht="18" customHeight="1">
      <c r="A84" s="38"/>
      <c r="B84" s="465"/>
      <c r="C84" s="465"/>
      <c r="D84" s="465"/>
      <c r="E84" s="465"/>
      <c r="F84" s="288"/>
      <c r="G84" s="288"/>
      <c r="H84" s="288"/>
      <c r="I84" s="288"/>
      <c r="J84" s="288"/>
      <c r="K84" s="288"/>
      <c r="L84" s="288"/>
      <c r="M84" s="288"/>
      <c r="N84" s="288"/>
      <c r="O84" s="288"/>
      <c r="P84" s="288"/>
      <c r="Q84" s="288"/>
      <c r="R84" s="288"/>
      <c r="S84" s="288"/>
      <c r="T84" s="288"/>
      <c r="U84" s="288"/>
      <c r="V84" s="288"/>
      <c r="W84" s="288"/>
      <c r="X84" s="288"/>
      <c r="Y84" s="288"/>
      <c r="Z84" s="288"/>
      <c r="AA84" s="288"/>
      <c r="AB84" s="288"/>
      <c r="AC84" s="288"/>
      <c r="AD84" s="288"/>
      <c r="AE84" s="288"/>
      <c r="AF84" s="288"/>
      <c r="AG84" s="288"/>
      <c r="AH84" s="288"/>
      <c r="AI84" s="289"/>
      <c r="AK84" s="425"/>
      <c r="AL84" s="425"/>
      <c r="AM84" s="425"/>
      <c r="AN84" s="425"/>
      <c r="AO84" s="425"/>
      <c r="AP84" s="425"/>
      <c r="AQ84" s="42"/>
      <c r="AR84" s="43"/>
      <c r="AS84" s="43"/>
      <c r="AT84" s="43"/>
      <c r="AU84" s="43"/>
      <c r="AV84" s="43"/>
      <c r="AW84" s="43"/>
      <c r="AX84" s="43"/>
      <c r="AY84" s="43"/>
      <c r="AZ84" s="43"/>
    </row>
    <row r="85" spans="1:61" ht="18" customHeight="1">
      <c r="A85" s="38"/>
      <c r="B85" s="465"/>
      <c r="C85" s="465"/>
      <c r="D85" s="465"/>
      <c r="E85" s="465"/>
      <c r="F85" s="288"/>
      <c r="G85" s="288"/>
      <c r="H85" s="288"/>
      <c r="I85" s="288"/>
      <c r="J85" s="288"/>
      <c r="K85" s="288"/>
      <c r="L85" s="288"/>
      <c r="M85" s="288"/>
      <c r="N85" s="288"/>
      <c r="O85" s="288"/>
      <c r="P85" s="288"/>
      <c r="Q85" s="288"/>
      <c r="R85" s="288"/>
      <c r="S85" s="288"/>
      <c r="T85" s="288"/>
      <c r="U85" s="288"/>
      <c r="V85" s="288"/>
      <c r="W85" s="288"/>
      <c r="X85" s="288"/>
      <c r="Y85" s="288"/>
      <c r="Z85" s="288"/>
      <c r="AA85" s="288"/>
      <c r="AB85" s="288"/>
      <c r="AC85" s="288"/>
      <c r="AD85" s="288"/>
      <c r="AE85" s="288"/>
      <c r="AF85" s="288"/>
      <c r="AG85" s="288"/>
      <c r="AH85" s="288"/>
      <c r="AI85" s="289"/>
      <c r="AK85" s="425"/>
      <c r="AL85" s="425"/>
      <c r="AM85" s="425"/>
      <c r="AN85" s="425"/>
      <c r="AO85" s="425"/>
      <c r="AP85" s="425"/>
      <c r="AQ85" s="42"/>
      <c r="AR85" s="43"/>
      <c r="AS85" s="43"/>
      <c r="AT85" s="43"/>
      <c r="AU85" s="43"/>
      <c r="AV85" s="43"/>
      <c r="AW85" s="43"/>
      <c r="AX85" s="43"/>
      <c r="AY85" s="43"/>
      <c r="AZ85" s="43"/>
    </row>
    <row r="86" spans="1:61" ht="18" customHeight="1" thickBot="1">
      <c r="A86" s="41"/>
      <c r="B86" s="540"/>
      <c r="C86" s="540"/>
      <c r="D86" s="540"/>
      <c r="E86" s="540"/>
      <c r="F86" s="541"/>
      <c r="G86" s="541"/>
      <c r="H86" s="541"/>
      <c r="I86" s="541"/>
      <c r="J86" s="541"/>
      <c r="K86" s="541"/>
      <c r="L86" s="541"/>
      <c r="M86" s="541"/>
      <c r="N86" s="541"/>
      <c r="O86" s="541"/>
      <c r="P86" s="541"/>
      <c r="Q86" s="541"/>
      <c r="R86" s="541"/>
      <c r="S86" s="541"/>
      <c r="T86" s="541"/>
      <c r="U86" s="541"/>
      <c r="V86" s="541"/>
      <c r="W86" s="541"/>
      <c r="X86" s="541"/>
      <c r="Y86" s="541"/>
      <c r="Z86" s="541"/>
      <c r="AA86" s="541"/>
      <c r="AB86" s="541"/>
      <c r="AC86" s="541"/>
      <c r="AD86" s="541"/>
      <c r="AE86" s="541"/>
      <c r="AF86" s="541"/>
      <c r="AG86" s="541"/>
      <c r="AH86" s="541"/>
      <c r="AI86" s="542"/>
      <c r="AK86" s="425"/>
      <c r="AL86" s="425"/>
      <c r="AM86" s="425"/>
      <c r="AN86" s="425"/>
      <c r="AO86" s="425"/>
      <c r="AP86" s="425"/>
      <c r="AQ86" s="42"/>
      <c r="AR86" s="43"/>
      <c r="AS86" s="43"/>
      <c r="AT86" s="43"/>
      <c r="AU86" s="43"/>
      <c r="AV86" s="43"/>
      <c r="AW86" s="43"/>
      <c r="AX86" s="43"/>
      <c r="AY86" s="43"/>
      <c r="AZ86" s="43"/>
    </row>
    <row r="87" spans="1:61" ht="14.1" customHeight="1">
      <c r="AK87" s="438"/>
      <c r="AL87" s="438"/>
      <c r="AM87" s="438"/>
      <c r="AN87" s="438"/>
      <c r="AO87" s="438"/>
      <c r="AP87" s="438"/>
      <c r="AQ87" s="119"/>
    </row>
    <row r="88" spans="1:61" ht="14.1" customHeight="1">
      <c r="AK88" s="437"/>
      <c r="AL88" s="437"/>
      <c r="AM88" s="437"/>
      <c r="AN88" s="437"/>
      <c r="AO88" s="437"/>
      <c r="AP88" s="437"/>
      <c r="AQ88" s="120"/>
    </row>
    <row r="89" spans="1:61" ht="14.1" customHeight="1">
      <c r="AK89" s="437"/>
      <c r="AL89" s="437"/>
      <c r="AM89" s="437"/>
      <c r="AN89" s="437"/>
      <c r="AO89" s="437"/>
      <c r="AP89" s="437"/>
      <c r="AQ89" s="120"/>
    </row>
    <row r="90" spans="1:61" ht="14.1" customHeight="1"/>
    <row r="91" spans="1:61" ht="14.1" customHeight="1"/>
    <row r="92" spans="1:61" ht="14.1" customHeight="1"/>
    <row r="93" spans="1:61" ht="14.1" customHeight="1"/>
    <row r="94" spans="1:61" ht="14.1" customHeight="1"/>
    <row r="95" spans="1:61" ht="14.1" customHeight="1"/>
    <row r="96" spans="1:61" ht="14.1" customHeight="1"/>
    <row r="97" ht="14.1" customHeight="1"/>
    <row r="98" ht="14.1" customHeight="1"/>
    <row r="99" ht="14.1" customHeight="1"/>
    <row r="100" ht="14.1" customHeight="1"/>
    <row r="101" ht="14.1" customHeight="1"/>
    <row r="102" ht="14.1" customHeight="1"/>
    <row r="103" ht="14.1" customHeight="1"/>
    <row r="104" ht="14.1" customHeight="1"/>
    <row r="105" ht="14.1" customHeight="1"/>
    <row r="106" ht="14.1" customHeight="1"/>
    <row r="107" ht="14.1" customHeight="1"/>
    <row r="108" ht="14.1" customHeight="1"/>
    <row r="109" ht="14.1" customHeight="1"/>
    <row r="110" ht="14.1" customHeight="1"/>
    <row r="111" ht="14.1" customHeight="1"/>
    <row r="112" ht="14.1" customHeight="1"/>
    <row r="113" ht="14.1" customHeight="1"/>
    <row r="114" ht="14.1" customHeight="1"/>
    <row r="115" ht="14.1" customHeight="1"/>
    <row r="116" ht="14.1" customHeight="1"/>
    <row r="117" ht="14.1" customHeight="1"/>
    <row r="118" ht="14.1" customHeight="1"/>
    <row r="119" ht="14.1" customHeight="1"/>
    <row r="120" ht="14.1" customHeight="1"/>
    <row r="121" ht="14.1" customHeight="1"/>
    <row r="122" ht="14.1" customHeight="1"/>
    <row r="123" ht="14.1" customHeight="1"/>
    <row r="124" ht="14.1" customHeight="1"/>
    <row r="125" ht="14.1" customHeight="1"/>
    <row r="126" ht="14.1" customHeight="1"/>
    <row r="127" ht="14.1" customHeight="1"/>
    <row r="128" ht="14.1" customHeight="1"/>
    <row r="129" ht="14.1" customHeight="1"/>
    <row r="130" ht="14.1" customHeight="1"/>
    <row r="131" ht="14.1" customHeight="1"/>
    <row r="132" ht="14.1" customHeight="1"/>
    <row r="133" ht="14.1" customHeight="1"/>
    <row r="134" ht="14.1" customHeight="1"/>
    <row r="135" ht="14.1" customHeight="1"/>
    <row r="136" ht="14.1" customHeight="1"/>
    <row r="137" ht="14.1" customHeight="1"/>
    <row r="138" ht="14.1" customHeight="1"/>
    <row r="139" ht="14.1" customHeight="1"/>
    <row r="140" ht="14.1" customHeight="1"/>
    <row r="141" ht="14.1" customHeight="1"/>
    <row r="142" ht="14.1" customHeight="1"/>
    <row r="143" ht="14.1" customHeight="1"/>
    <row r="144" ht="14.1" customHeight="1"/>
    <row r="145" ht="14.1" customHeight="1"/>
    <row r="146" ht="14.1" customHeight="1"/>
    <row r="147" ht="14.1" customHeight="1"/>
    <row r="148" ht="14.1" customHeight="1"/>
    <row r="149" ht="14.1" customHeight="1"/>
    <row r="150" ht="14.1" customHeight="1"/>
    <row r="151" ht="14.1" customHeight="1"/>
    <row r="152" ht="14.1" customHeight="1"/>
    <row r="153" ht="14.1" customHeight="1"/>
    <row r="154" ht="14.1" customHeight="1"/>
    <row r="155" ht="14.1" customHeight="1"/>
    <row r="156" ht="14.1" customHeight="1"/>
    <row r="157" ht="14.1" customHeight="1"/>
    <row r="158" ht="14.1" customHeight="1"/>
    <row r="159" ht="14.1" customHeight="1"/>
    <row r="160" ht="14.1" customHeight="1"/>
    <row r="161" ht="14.1" customHeight="1"/>
    <row r="162" ht="14.1" customHeight="1"/>
    <row r="163" ht="14.1" customHeight="1"/>
    <row r="164" ht="14.1" customHeight="1"/>
    <row r="165" ht="14.1" customHeight="1"/>
    <row r="166" ht="14.1" customHeight="1"/>
    <row r="167" ht="14.1" customHeight="1"/>
    <row r="168" ht="14.1" customHeight="1"/>
    <row r="169" ht="14.1" customHeight="1"/>
    <row r="170" ht="14.1" customHeight="1"/>
    <row r="171" ht="14.1" customHeight="1"/>
    <row r="172" ht="14.1" customHeight="1"/>
    <row r="173" ht="14.1" customHeight="1"/>
    <row r="174" ht="14.1" customHeight="1"/>
    <row r="175" ht="14.1" customHeight="1"/>
    <row r="176" ht="14.1" customHeight="1"/>
    <row r="177" ht="14.1" customHeight="1"/>
    <row r="178" ht="14.1" customHeight="1"/>
    <row r="179" ht="14.1" customHeight="1"/>
    <row r="180" ht="14.1" customHeight="1"/>
    <row r="181" ht="14.1" customHeight="1"/>
    <row r="182" ht="14.1" customHeight="1"/>
    <row r="183" ht="14.1" customHeight="1"/>
    <row r="184" ht="14.1" customHeight="1"/>
    <row r="185" ht="14.1" customHeight="1"/>
    <row r="186" ht="14.1" customHeight="1"/>
    <row r="187" ht="14.1" customHeight="1"/>
    <row r="188" ht="14.1" customHeight="1"/>
    <row r="189" ht="14.1" customHeight="1"/>
    <row r="190" ht="14.1" customHeight="1"/>
    <row r="191" ht="14.1" customHeight="1"/>
    <row r="192" ht="14.1" customHeight="1"/>
    <row r="193" ht="14.1" customHeight="1"/>
    <row r="194" ht="14.1" customHeight="1"/>
    <row r="195" ht="14.1" customHeight="1"/>
    <row r="196" ht="14.1" customHeight="1"/>
    <row r="197" ht="14.1" customHeight="1"/>
    <row r="198" ht="14.1" customHeight="1"/>
    <row r="199" ht="14.1" customHeight="1"/>
    <row r="200" ht="14.1" customHeight="1"/>
    <row r="201" ht="14.1" customHeight="1"/>
    <row r="202" ht="14.1" customHeight="1"/>
    <row r="203" ht="14.1" customHeight="1"/>
    <row r="204" ht="14.1" customHeight="1"/>
    <row r="205" ht="14.1" customHeight="1"/>
    <row r="206" ht="14.1" customHeight="1"/>
    <row r="207" ht="14.1" customHeight="1"/>
    <row r="208" ht="14.1" customHeight="1"/>
    <row r="209" ht="14.1" customHeight="1"/>
    <row r="210" ht="14.1" customHeight="1"/>
    <row r="211" ht="14.1" customHeight="1"/>
    <row r="212" ht="14.1" customHeight="1"/>
    <row r="213" ht="14.1" customHeight="1"/>
    <row r="214" ht="14.1" customHeight="1"/>
    <row r="215" ht="14.1" customHeight="1"/>
    <row r="216" ht="14.1" customHeight="1"/>
    <row r="217" ht="14.1" customHeight="1"/>
    <row r="218" ht="14.1" customHeight="1"/>
    <row r="219" ht="14.1" customHeight="1"/>
    <row r="220" ht="14.1" customHeight="1"/>
    <row r="221" ht="14.1" customHeight="1"/>
    <row r="222" ht="14.1" customHeight="1"/>
    <row r="223" ht="14.1" customHeight="1"/>
    <row r="224" ht="14.1" customHeight="1"/>
    <row r="225" ht="14.1" customHeight="1"/>
    <row r="226" ht="14.1" customHeight="1"/>
    <row r="227" ht="14.1" customHeight="1"/>
    <row r="228" ht="14.1" customHeight="1"/>
    <row r="229" ht="14.1" customHeight="1"/>
    <row r="230" ht="14.1" customHeight="1"/>
    <row r="231" ht="14.1" customHeight="1"/>
    <row r="232" ht="14.1" customHeight="1"/>
    <row r="233" ht="14.1" customHeight="1"/>
    <row r="234" ht="14.1" customHeight="1"/>
    <row r="235" ht="14.1" customHeight="1"/>
    <row r="236" ht="14.1" customHeight="1"/>
    <row r="237" ht="14.1" customHeight="1"/>
    <row r="238" ht="14.1" customHeight="1"/>
    <row r="239" ht="14.1" customHeight="1"/>
    <row r="240" ht="14.1" customHeight="1"/>
    <row r="241" ht="14.1" customHeight="1"/>
    <row r="242" ht="14.1" customHeight="1"/>
    <row r="243" ht="14.1" customHeight="1"/>
    <row r="244" ht="14.1" customHeight="1"/>
    <row r="245" ht="14.1" customHeight="1"/>
    <row r="246" ht="14.1" customHeight="1"/>
    <row r="247" ht="14.1" customHeight="1"/>
    <row r="248" ht="14.1" customHeight="1"/>
    <row r="249" ht="14.1" customHeight="1"/>
    <row r="250" ht="14.1" customHeight="1"/>
    <row r="251" ht="14.1" customHeight="1"/>
    <row r="252" ht="14.1" customHeight="1"/>
    <row r="253" ht="14.1" customHeight="1"/>
    <row r="254" ht="14.1" customHeight="1"/>
    <row r="255" ht="14.1" customHeight="1"/>
    <row r="256" ht="14.1" customHeight="1"/>
    <row r="257" ht="14.1" customHeight="1"/>
    <row r="258" ht="14.1" customHeight="1"/>
    <row r="259" ht="14.1" customHeight="1"/>
    <row r="260" ht="14.1" customHeight="1"/>
    <row r="261" ht="14.1" customHeight="1"/>
    <row r="262" ht="14.1" customHeight="1"/>
    <row r="263" ht="14.1" customHeight="1"/>
    <row r="264" ht="14.1" customHeight="1"/>
    <row r="265" ht="14.1" customHeight="1"/>
    <row r="266" ht="14.1" customHeight="1"/>
  </sheetData>
  <sheetProtection algorithmName="SHA-512" hashValue="0loLJCJhL4ad+e9W1BFBlntzNt2hf75qC+V2eugpQkoXMOcFlTwiL5DSpVRXAf1cyQ/kgBnOXO/4cSPzCUKn4A==" saltValue="4etb9yyOEqZ9UduJqdtb6g==" spinCount="100000" sheet="1" autoFilter="0"/>
  <mergeCells count="381">
    <mergeCell ref="A1:S3"/>
    <mergeCell ref="T1:Z3"/>
    <mergeCell ref="AD1:AI1"/>
    <mergeCell ref="AD2:AF4"/>
    <mergeCell ref="AG2:AI4"/>
    <mergeCell ref="A4:S5"/>
    <mergeCell ref="AK7:AP8"/>
    <mergeCell ref="AQ7:AQ8"/>
    <mergeCell ref="V8:X8"/>
    <mergeCell ref="A9:AI9"/>
    <mergeCell ref="AK9:AP9"/>
    <mergeCell ref="A10:H10"/>
    <mergeCell ref="I10:J10"/>
    <mergeCell ref="K10:L10"/>
    <mergeCell ref="M10:T10"/>
    <mergeCell ref="U10:V10"/>
    <mergeCell ref="O7:P8"/>
    <mergeCell ref="Q7:R8"/>
    <mergeCell ref="S7:T8"/>
    <mergeCell ref="V7:X7"/>
    <mergeCell ref="Y7:AA8"/>
    <mergeCell ref="AB7:AI8"/>
    <mergeCell ref="A7:E8"/>
    <mergeCell ref="F7:F8"/>
    <mergeCell ref="G7:I8"/>
    <mergeCell ref="J7:J8"/>
    <mergeCell ref="K7:M8"/>
    <mergeCell ref="N7:N8"/>
    <mergeCell ref="W10:X10"/>
    <mergeCell ref="Y10:AF10"/>
    <mergeCell ref="AG10:AH10"/>
    <mergeCell ref="AK10:AP10"/>
    <mergeCell ref="A11:H11"/>
    <mergeCell ref="I11:J11"/>
    <mergeCell ref="K11:L11"/>
    <mergeCell ref="M11:T11"/>
    <mergeCell ref="U11:V11"/>
    <mergeCell ref="W11:X11"/>
    <mergeCell ref="Y11:AF11"/>
    <mergeCell ref="AG11:AH11"/>
    <mergeCell ref="AK11:AP11"/>
    <mergeCell ref="A12:H12"/>
    <mergeCell ref="I12:J12"/>
    <mergeCell ref="K12:L12"/>
    <mergeCell ref="M12:T12"/>
    <mergeCell ref="U12:V12"/>
    <mergeCell ref="W12:X12"/>
    <mergeCell ref="Y12:AF12"/>
    <mergeCell ref="AG12:AH12"/>
    <mergeCell ref="AK12:AP12"/>
    <mergeCell ref="A13:H13"/>
    <mergeCell ref="I13:J13"/>
    <mergeCell ref="K13:L13"/>
    <mergeCell ref="M13:T13"/>
    <mergeCell ref="U13:V13"/>
    <mergeCell ref="W13:X13"/>
    <mergeCell ref="Y13:AF13"/>
    <mergeCell ref="AG13:AH13"/>
    <mergeCell ref="AK13:AP13"/>
    <mergeCell ref="A14:AI14"/>
    <mergeCell ref="AK14:AP14"/>
    <mergeCell ref="B15:I15"/>
    <mergeCell ref="J15:L15"/>
    <mergeCell ref="M15:N15"/>
    <mergeCell ref="O15:V15"/>
    <mergeCell ref="W15:Y15"/>
    <mergeCell ref="Z15:AA15"/>
    <mergeCell ref="AB15:AG15"/>
    <mergeCell ref="A18:E18"/>
    <mergeCell ref="F18:AI18"/>
    <mergeCell ref="AK18:AP18"/>
    <mergeCell ref="B19:E19"/>
    <mergeCell ref="F19:AI19"/>
    <mergeCell ref="AK19:AP19"/>
    <mergeCell ref="AH15:AI15"/>
    <mergeCell ref="AK15:AP15"/>
    <mergeCell ref="A16:AI16"/>
    <mergeCell ref="AK16:AP16"/>
    <mergeCell ref="A17:E17"/>
    <mergeCell ref="F17:AI17"/>
    <mergeCell ref="AK17:AP17"/>
    <mergeCell ref="B20:E20"/>
    <mergeCell ref="F20:AI20"/>
    <mergeCell ref="AK20:AP20"/>
    <mergeCell ref="AR20:AR23"/>
    <mergeCell ref="B21:E21"/>
    <mergeCell ref="F21:AI21"/>
    <mergeCell ref="AK21:AP21"/>
    <mergeCell ref="B22:E22"/>
    <mergeCell ref="F22:AI22"/>
    <mergeCell ref="AK22:AP22"/>
    <mergeCell ref="BA23:BB23"/>
    <mergeCell ref="B24:E24"/>
    <mergeCell ref="F24:AI24"/>
    <mergeCell ref="AK24:AP24"/>
    <mergeCell ref="AY24:AZ24"/>
    <mergeCell ref="BA24:BB24"/>
    <mergeCell ref="AS22:AT22"/>
    <mergeCell ref="AU22:AV22"/>
    <mergeCell ref="AY22:AZ22"/>
    <mergeCell ref="BA22:BB22"/>
    <mergeCell ref="B23:E23"/>
    <mergeCell ref="F23:AI23"/>
    <mergeCell ref="AK23:AP23"/>
    <mergeCell ref="AS23:AT23"/>
    <mergeCell ref="AU23:AV23"/>
    <mergeCell ref="AY23:AZ23"/>
    <mergeCell ref="B27:E27"/>
    <mergeCell ref="F27:AI27"/>
    <mergeCell ref="AK27:AP27"/>
    <mergeCell ref="AS27:AT27"/>
    <mergeCell ref="AU27:AW27"/>
    <mergeCell ref="AY27:BB27"/>
    <mergeCell ref="B25:E25"/>
    <mergeCell ref="F25:AI25"/>
    <mergeCell ref="AK25:AP25"/>
    <mergeCell ref="AY25:AZ25"/>
    <mergeCell ref="BA25:BB25"/>
    <mergeCell ref="B26:E26"/>
    <mergeCell ref="F26:AI26"/>
    <mergeCell ref="AK26:AP26"/>
    <mergeCell ref="AS26:AW26"/>
    <mergeCell ref="BA28:BB28"/>
    <mergeCell ref="B29:E29"/>
    <mergeCell ref="F29:AI29"/>
    <mergeCell ref="AK29:AP29"/>
    <mergeCell ref="AS29:AT29"/>
    <mergeCell ref="AU29:AW29"/>
    <mergeCell ref="AY29:AZ29"/>
    <mergeCell ref="BA29:BB29"/>
    <mergeCell ref="B28:E28"/>
    <mergeCell ref="F28:AI28"/>
    <mergeCell ref="AK28:AP28"/>
    <mergeCell ref="AS28:AT28"/>
    <mergeCell ref="AU28:AW28"/>
    <mergeCell ref="AY28:AZ28"/>
    <mergeCell ref="A32:AI32"/>
    <mergeCell ref="AK32:AP32"/>
    <mergeCell ref="AS32:AT32"/>
    <mergeCell ref="AU32:AW32"/>
    <mergeCell ref="AY32:AZ32"/>
    <mergeCell ref="BA32:BB32"/>
    <mergeCell ref="BA30:BB30"/>
    <mergeCell ref="B31:E31"/>
    <mergeCell ref="F31:AI31"/>
    <mergeCell ref="AK31:AP31"/>
    <mergeCell ref="AS31:AT31"/>
    <mergeCell ref="AU31:AW31"/>
    <mergeCell ref="AY31:AZ31"/>
    <mergeCell ref="BA31:BB31"/>
    <mergeCell ref="B30:E30"/>
    <mergeCell ref="F30:AI30"/>
    <mergeCell ref="AK30:AP30"/>
    <mergeCell ref="AS30:AT30"/>
    <mergeCell ref="AU30:AW30"/>
    <mergeCell ref="AY30:AZ30"/>
    <mergeCell ref="BA33:BB33"/>
    <mergeCell ref="B34:E34"/>
    <mergeCell ref="F34:AI34"/>
    <mergeCell ref="AK34:AP34"/>
    <mergeCell ref="AS34:AT34"/>
    <mergeCell ref="AU34:AW34"/>
    <mergeCell ref="AY34:AZ34"/>
    <mergeCell ref="BA34:BB34"/>
    <mergeCell ref="B33:E33"/>
    <mergeCell ref="F33:AI33"/>
    <mergeCell ref="AK33:AP33"/>
    <mergeCell ref="AS33:AT33"/>
    <mergeCell ref="AU33:AW33"/>
    <mergeCell ref="AY33:AZ33"/>
    <mergeCell ref="AY35:AZ35"/>
    <mergeCell ref="BA35:BB35"/>
    <mergeCell ref="A36:E36"/>
    <mergeCell ref="F36:K36"/>
    <mergeCell ref="L36:O36"/>
    <mergeCell ref="P36:R36"/>
    <mergeCell ref="T36:V36"/>
    <mergeCell ref="W36:AB36"/>
    <mergeCell ref="AC36:AI36"/>
    <mergeCell ref="B35:E35"/>
    <mergeCell ref="F35:V35"/>
    <mergeCell ref="W35:AB35"/>
    <mergeCell ref="AC35:AI35"/>
    <mergeCell ref="AK35:AP35"/>
    <mergeCell ref="AS35:AT35"/>
    <mergeCell ref="AK36:AP36"/>
    <mergeCell ref="AS36:AT36"/>
    <mergeCell ref="AU36:AW36"/>
    <mergeCell ref="AU35:AW35"/>
    <mergeCell ref="A39:AI39"/>
    <mergeCell ref="AK39:AP39"/>
    <mergeCell ref="AS39:AT39"/>
    <mergeCell ref="AV39:AW39"/>
    <mergeCell ref="A38:E38"/>
    <mergeCell ref="F38:K38"/>
    <mergeCell ref="L38:O38"/>
    <mergeCell ref="P38:V38"/>
    <mergeCell ref="W38:AB38"/>
    <mergeCell ref="AC38:AI38"/>
    <mergeCell ref="AD40:AI40"/>
    <mergeCell ref="A37:E37"/>
    <mergeCell ref="F37:AI37"/>
    <mergeCell ref="AK40:AP40"/>
    <mergeCell ref="AS40:AT40"/>
    <mergeCell ref="AV40:AW40"/>
    <mergeCell ref="A41:D41"/>
    <mergeCell ref="E41:G41"/>
    <mergeCell ref="I41:K41"/>
    <mergeCell ref="L41:R41"/>
    <mergeCell ref="S41:V41"/>
    <mergeCell ref="W41:Y41"/>
    <mergeCell ref="AA41:AC41"/>
    <mergeCell ref="AD41:AI41"/>
    <mergeCell ref="AK41:AP41"/>
    <mergeCell ref="A40:D40"/>
    <mergeCell ref="E40:K40"/>
    <mergeCell ref="L40:R40"/>
    <mergeCell ref="S40:V40"/>
    <mergeCell ref="W40:AC40"/>
    <mergeCell ref="AK37:AP37"/>
    <mergeCell ref="AS37:AT37"/>
    <mergeCell ref="AU37:AW37"/>
    <mergeCell ref="AK38:AP38"/>
    <mergeCell ref="A42:D42"/>
    <mergeCell ref="E42:G42"/>
    <mergeCell ref="I42:K42"/>
    <mergeCell ref="L42:R42"/>
    <mergeCell ref="S42:V42"/>
    <mergeCell ref="W42:Y42"/>
    <mergeCell ref="AA42:AC42"/>
    <mergeCell ref="AK42:AP42"/>
    <mergeCell ref="AS42:AW42"/>
    <mergeCell ref="A43:D43"/>
    <mergeCell ref="E43:G43"/>
    <mergeCell ref="I43:K43"/>
    <mergeCell ref="L43:R43"/>
    <mergeCell ref="S43:V43"/>
    <mergeCell ref="W43:Y43"/>
    <mergeCell ref="AA43:AC43"/>
    <mergeCell ref="A44:D44"/>
    <mergeCell ref="E44:G44"/>
    <mergeCell ref="I44:K44"/>
    <mergeCell ref="L44:R44"/>
    <mergeCell ref="S44:V44"/>
    <mergeCell ref="W44:Y44"/>
    <mergeCell ref="AA44:AC44"/>
    <mergeCell ref="AD44:AI44"/>
    <mergeCell ref="AD42:AI42"/>
    <mergeCell ref="AK44:AP44"/>
    <mergeCell ref="R45:U45"/>
    <mergeCell ref="W45:X45"/>
    <mergeCell ref="Z45:AA45"/>
    <mergeCell ref="AC45:AD45"/>
    <mergeCell ref="AE45:AF45"/>
    <mergeCell ref="AK45:AP45"/>
    <mergeCell ref="AD43:AI43"/>
    <mergeCell ref="AK43:AP43"/>
    <mergeCell ref="B49:E49"/>
    <mergeCell ref="F49:AI49"/>
    <mergeCell ref="AK49:AP49"/>
    <mergeCell ref="B50:E50"/>
    <mergeCell ref="F50:AI50"/>
    <mergeCell ref="AK50:AP50"/>
    <mergeCell ref="A46:AI46"/>
    <mergeCell ref="AK46:AP46"/>
    <mergeCell ref="B47:E47"/>
    <mergeCell ref="F47:AI47"/>
    <mergeCell ref="AK47:AP47"/>
    <mergeCell ref="B48:E48"/>
    <mergeCell ref="F48:AI48"/>
    <mergeCell ref="AK48:AP48"/>
    <mergeCell ref="B53:E53"/>
    <mergeCell ref="F53:AI53"/>
    <mergeCell ref="AK53:AP53"/>
    <mergeCell ref="B54:E54"/>
    <mergeCell ref="F54:AI54"/>
    <mergeCell ref="AK54:AP54"/>
    <mergeCell ref="B51:E51"/>
    <mergeCell ref="F51:AI51"/>
    <mergeCell ref="AK51:AP51"/>
    <mergeCell ref="B52:E52"/>
    <mergeCell ref="F52:AI52"/>
    <mergeCell ref="AK52:AP52"/>
    <mergeCell ref="B57:E57"/>
    <mergeCell ref="F57:AI57"/>
    <mergeCell ref="AK57:AP57"/>
    <mergeCell ref="B58:E58"/>
    <mergeCell ref="F58:AI58"/>
    <mergeCell ref="AK58:AP58"/>
    <mergeCell ref="B55:E55"/>
    <mergeCell ref="F55:AI55"/>
    <mergeCell ref="AK55:AP55"/>
    <mergeCell ref="B56:E56"/>
    <mergeCell ref="F56:AI56"/>
    <mergeCell ref="AK56:AP56"/>
    <mergeCell ref="B61:E61"/>
    <mergeCell ref="F61:AI61"/>
    <mergeCell ref="AK61:AP61"/>
    <mergeCell ref="B62:E62"/>
    <mergeCell ref="F62:AI62"/>
    <mergeCell ref="AK62:AP62"/>
    <mergeCell ref="B59:E59"/>
    <mergeCell ref="F59:AI59"/>
    <mergeCell ref="AK59:AP59"/>
    <mergeCell ref="B60:E60"/>
    <mergeCell ref="F60:AI60"/>
    <mergeCell ref="AK60:AP60"/>
    <mergeCell ref="B65:E65"/>
    <mergeCell ref="F65:AI65"/>
    <mergeCell ref="AK65:AP65"/>
    <mergeCell ref="B66:E66"/>
    <mergeCell ref="F66:AI66"/>
    <mergeCell ref="AK66:AP66"/>
    <mergeCell ref="B63:E63"/>
    <mergeCell ref="F63:AI63"/>
    <mergeCell ref="AK63:AP63"/>
    <mergeCell ref="B64:E64"/>
    <mergeCell ref="F64:AI64"/>
    <mergeCell ref="AK64:AP64"/>
    <mergeCell ref="B69:E69"/>
    <mergeCell ref="F69:AI69"/>
    <mergeCell ref="AK69:AP69"/>
    <mergeCell ref="B70:E70"/>
    <mergeCell ref="F70:AI70"/>
    <mergeCell ref="AK70:AP70"/>
    <mergeCell ref="B67:E67"/>
    <mergeCell ref="F67:AI67"/>
    <mergeCell ref="AK67:AP67"/>
    <mergeCell ref="B68:E68"/>
    <mergeCell ref="F68:AI68"/>
    <mergeCell ref="AK68:AP68"/>
    <mergeCell ref="B73:E73"/>
    <mergeCell ref="F73:AI73"/>
    <mergeCell ref="AK73:AP73"/>
    <mergeCell ref="B74:E74"/>
    <mergeCell ref="F74:AI74"/>
    <mergeCell ref="AK74:AP74"/>
    <mergeCell ref="B71:E71"/>
    <mergeCell ref="F71:AI71"/>
    <mergeCell ref="AK71:AP71"/>
    <mergeCell ref="B72:E72"/>
    <mergeCell ref="F72:AI72"/>
    <mergeCell ref="AK72:AP72"/>
    <mergeCell ref="B77:E77"/>
    <mergeCell ref="F77:AI77"/>
    <mergeCell ref="AK77:AP77"/>
    <mergeCell ref="B78:E78"/>
    <mergeCell ref="F78:AI78"/>
    <mergeCell ref="AK78:AP78"/>
    <mergeCell ref="B75:E75"/>
    <mergeCell ref="F75:AI75"/>
    <mergeCell ref="AK75:AP75"/>
    <mergeCell ref="B76:E76"/>
    <mergeCell ref="F76:AI76"/>
    <mergeCell ref="AK76:AP76"/>
    <mergeCell ref="A81:AI81"/>
    <mergeCell ref="AK81:AP81"/>
    <mergeCell ref="B82:E82"/>
    <mergeCell ref="F82:AI82"/>
    <mergeCell ref="AK82:AP82"/>
    <mergeCell ref="B83:E83"/>
    <mergeCell ref="F83:AI83"/>
    <mergeCell ref="AK83:AP83"/>
    <mergeCell ref="B79:E79"/>
    <mergeCell ref="F79:AI79"/>
    <mergeCell ref="AK79:AP79"/>
    <mergeCell ref="B80:E80"/>
    <mergeCell ref="F80:AI80"/>
    <mergeCell ref="AK80:AP80"/>
    <mergeCell ref="B86:E86"/>
    <mergeCell ref="F86:AI86"/>
    <mergeCell ref="AK86:AP86"/>
    <mergeCell ref="AK87:AP87"/>
    <mergeCell ref="AK88:AP88"/>
    <mergeCell ref="AK89:AP89"/>
    <mergeCell ref="B84:E84"/>
    <mergeCell ref="F84:AI84"/>
    <mergeCell ref="AK84:AP84"/>
    <mergeCell ref="B85:E85"/>
    <mergeCell ref="F85:AI85"/>
    <mergeCell ref="AK85:AP85"/>
  </mergeCells>
  <phoneticPr fontId="2"/>
  <conditionalFormatting sqref="AQ20:AQ28 AQ30:AQ31 AQ9 AQ11:AQ12 AQ14 AQ33:AQ34">
    <cfRule type="containsBlanks" dxfId="215" priority="12">
      <formula>LEN(TRIM(AQ9))=0</formula>
    </cfRule>
  </conditionalFormatting>
  <conditionalFormatting sqref="BC11:CF11">
    <cfRule type="containsText" dxfId="214" priority="8" operator="containsText" text="青">
      <formula>NOT(ISERROR(SEARCH("青",BC11)))</formula>
    </cfRule>
    <cfRule type="containsText" dxfId="213" priority="9" operator="containsText" text="緑">
      <formula>NOT(ISERROR(SEARCH("緑",BC11)))</formula>
    </cfRule>
    <cfRule type="containsText" dxfId="212" priority="10" operator="containsText" text="黄">
      <formula>NOT(ISERROR(SEARCH("黄",BC11)))</formula>
    </cfRule>
    <cfRule type="containsText" dxfId="211" priority="11" operator="containsText" text="赤">
      <formula>NOT(ISERROR(SEARCH("赤",BC11)))</formula>
    </cfRule>
  </conditionalFormatting>
  <conditionalFormatting sqref="V7:X8">
    <cfRule type="containsBlanks" dxfId="210" priority="7">
      <formula>LEN(TRIM(V7))=0</formula>
    </cfRule>
  </conditionalFormatting>
  <conditionalFormatting sqref="AB7:AI8">
    <cfRule type="containsBlanks" dxfId="209" priority="6">
      <formula>LEN(TRIM(AB7))=0</formula>
    </cfRule>
  </conditionalFormatting>
  <conditionalFormatting sqref="A7:E8 G7:I8 K7:M8 O7:P8">
    <cfRule type="containsBlanks" dxfId="208" priority="5">
      <formula>LEN(TRIM(A7))=0</formula>
    </cfRule>
  </conditionalFormatting>
  <conditionalFormatting sqref="W15:Y15 AH15:AI15 J15:L15">
    <cfRule type="containsBlanks" dxfId="207" priority="4">
      <formula>LEN(TRIM(J15))=0</formula>
    </cfRule>
  </conditionalFormatting>
  <conditionalFormatting sqref="L41:R44">
    <cfRule type="cellIs" dxfId="206" priority="1" operator="equal">
      <formula>0</formula>
    </cfRule>
  </conditionalFormatting>
  <conditionalFormatting sqref="P36:R36 T36:V36 L38:O38 AC38:AI38 AC36:AI36">
    <cfRule type="containsBlanks" dxfId="205" priority="3">
      <formula>LEN(TRIM(L36))=0</formula>
    </cfRule>
  </conditionalFormatting>
  <conditionalFormatting sqref="W41:Y44 AA41:AI44">
    <cfRule type="cellIs" dxfId="204" priority="2" operator="equal">
      <formula>0</formula>
    </cfRule>
  </conditionalFormatting>
  <printOptions horizontalCentered="1" verticalCentered="1"/>
  <pageMargins left="0.70866141732283472" right="0.59055118110236227" top="0.55118110236220474" bottom="0.55118110236220474" header="0.31496062992125984" footer="0.31496062992125984"/>
  <pageSetup paperSize="9" orientation="portrait" horizontalDpi="300" verticalDpi="300" r:id="rId1"/>
  <headerFooter scaleWithDoc="0" alignWithMargins="0">
    <oddFooter>&amp;C&amp;P&amp;Rヒトトヒト株式会社</oddFooter>
  </headerFooter>
  <rowBreaks count="1" manualBreakCount="1">
    <brk id="44" max="34" man="1"/>
  </rowBreaks>
  <drawing r:id="rId2"/>
  <extLst>
    <ext xmlns:x14="http://schemas.microsoft.com/office/spreadsheetml/2009/9/main" uri="{CCE6A557-97BC-4b89-ADB6-D9C93CAAB3DF}">
      <x14:dataValidations xmlns:xm="http://schemas.microsoft.com/office/excel/2006/main" count="6">
        <x14:dataValidation type="list" allowBlank="1" showInputMessage="1" showErrorMessage="1" xr:uid="{8B3A7B4B-5F38-454F-BB20-ED04A0CE79B8}">
          <x14:formula1>
            <xm:f>初期値!$C$12:$C$27</xm:f>
          </x14:formula1>
          <xm:sqref>P36:R36 T36:V36</xm:sqref>
        </x14:dataValidation>
        <x14:dataValidation type="list" allowBlank="1" showInputMessage="1" showErrorMessage="1" xr:uid="{7480E305-BE72-42F1-98B6-348A4360189D}">
          <x14:formula1>
            <xm:f>初期値!$G$12:$G$24</xm:f>
          </x14:formula1>
          <xm:sqref>V7:X8</xm:sqref>
        </x14:dataValidation>
        <x14:dataValidation type="list" allowBlank="1" showInputMessage="1" showErrorMessage="1" xr:uid="{8EBFC8E5-A337-4A19-B3EE-8E09ACE59426}">
          <x14:formula1>
            <xm:f>初期値!$E$12:$E$13</xm:f>
          </x14:formula1>
          <xm:sqref>L38:O38 AC38:AI38 AC36:AI36</xm:sqref>
        </x14:dataValidation>
        <x14:dataValidation type="list" allowBlank="1" showInputMessage="1" showErrorMessage="1" xr:uid="{0583B5BF-4BE8-41D7-B851-D7E3014BAEFD}">
          <x14:formula1>
            <xm:f>初期値!$N$22:$N$23</xm:f>
          </x14:formula1>
          <xm:sqref>AW23</xm:sqref>
        </x14:dataValidation>
        <x14:dataValidation type="list" allowBlank="1" showInputMessage="1" showErrorMessage="1" xr:uid="{B1019169-5591-4FA6-A1C3-04BB7B82B3FF}">
          <x14:formula1>
            <xm:f>初期値!$P$12:$P$27</xm:f>
          </x14:formula1>
          <xm:sqref>BA24:BB24 BA22:BB22 BA28:BB28 BA30:BB30 BA32:BB32 BA34:BB34</xm:sqref>
        </x14:dataValidation>
        <x14:dataValidation type="list" allowBlank="1" showInputMessage="1" showErrorMessage="1" xr:uid="{9602AE5F-C50F-44DE-B6DE-08339D83E7AA}">
          <x14:formula1>
            <xm:f>初期値!$N$12:$N$19</xm:f>
          </x14:formula1>
          <xm:sqref>AU22:AV22</xm:sqref>
        </x14:dataValidation>
      </x14:dataValidations>
    </ext>
  </extLst>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453AA04-2068-46C4-9593-446342D622D3}">
  <sheetPr codeName="Sheet22"/>
  <dimension ref="A1:CG266"/>
  <sheetViews>
    <sheetView topLeftCell="A9" zoomScaleNormal="100" zoomScaleSheetLayoutView="100" workbookViewId="0">
      <selection activeCell="A24" sqref="A24:AI24"/>
    </sheetView>
  </sheetViews>
  <sheetFormatPr defaultColWidth="8.875" defaultRowHeight="13.5"/>
  <cols>
    <col min="1" max="42" width="2.25" style="23" customWidth="1"/>
    <col min="43" max="43" width="6" style="23" bestFit="1" customWidth="1"/>
    <col min="44" max="44" width="4.5" style="23" bestFit="1" customWidth="1"/>
    <col min="45" max="45" width="6" style="23" bestFit="1" customWidth="1"/>
    <col min="46" max="46" width="4.5" style="23" bestFit="1" customWidth="1"/>
    <col min="47" max="47" width="9" style="23" bestFit="1" customWidth="1"/>
    <col min="48" max="48" width="8.5" style="23" bestFit="1" customWidth="1"/>
    <col min="49" max="49" width="7.5" style="23" bestFit="1" customWidth="1"/>
    <col min="50" max="50" width="6.5" style="23" bestFit="1" customWidth="1"/>
    <col min="51" max="51" width="7.5" style="23" bestFit="1" customWidth="1"/>
    <col min="52" max="52" width="2.125" style="23" customWidth="1"/>
    <col min="53" max="54" width="7.375" style="23" customWidth="1"/>
    <col min="55" max="63" width="3.625" style="23" bestFit="1" customWidth="1"/>
    <col min="64" max="84" width="4" style="23" bestFit="1" customWidth="1"/>
    <col min="85" max="16384" width="8.875" style="23"/>
  </cols>
  <sheetData>
    <row r="1" spans="1:85" ht="14.1" customHeight="1">
      <c r="A1" s="510" t="s">
        <v>551</v>
      </c>
      <c r="B1" s="510"/>
      <c r="C1" s="510"/>
      <c r="D1" s="510"/>
      <c r="E1" s="510"/>
      <c r="F1" s="510"/>
      <c r="G1" s="510"/>
      <c r="H1" s="510"/>
      <c r="I1" s="510"/>
      <c r="J1" s="510"/>
      <c r="K1" s="510"/>
      <c r="L1" s="510"/>
      <c r="M1" s="510"/>
      <c r="N1" s="510"/>
      <c r="O1" s="510"/>
      <c r="P1" s="510"/>
      <c r="Q1" s="510"/>
      <c r="R1" s="510"/>
      <c r="S1" s="510"/>
      <c r="T1" s="388"/>
      <c r="U1" s="388"/>
      <c r="V1" s="388"/>
      <c r="W1" s="388"/>
      <c r="X1" s="388"/>
      <c r="Y1" s="388"/>
      <c r="Z1" s="388"/>
      <c r="AA1" s="24"/>
      <c r="AB1" s="32"/>
      <c r="AD1" s="252" t="s">
        <v>167</v>
      </c>
      <c r="AE1" s="252"/>
      <c r="AF1" s="252"/>
      <c r="AG1" s="252"/>
      <c r="AH1" s="252"/>
      <c r="AI1" s="252"/>
      <c r="AM1" s="123">
        <v>15</v>
      </c>
      <c r="BB1"/>
    </row>
    <row r="2" spans="1:85" ht="14.1" customHeight="1">
      <c r="A2" s="510"/>
      <c r="B2" s="510"/>
      <c r="C2" s="510"/>
      <c r="D2" s="510"/>
      <c r="E2" s="510"/>
      <c r="F2" s="510"/>
      <c r="G2" s="510"/>
      <c r="H2" s="510"/>
      <c r="I2" s="510"/>
      <c r="J2" s="510"/>
      <c r="K2" s="510"/>
      <c r="L2" s="510"/>
      <c r="M2" s="510"/>
      <c r="N2" s="510"/>
      <c r="O2" s="510"/>
      <c r="P2" s="510"/>
      <c r="Q2" s="510"/>
      <c r="R2" s="510"/>
      <c r="S2" s="510"/>
      <c r="T2" s="388"/>
      <c r="U2" s="388"/>
      <c r="V2" s="388"/>
      <c r="W2" s="388"/>
      <c r="X2" s="388"/>
      <c r="Y2" s="388"/>
      <c r="Z2" s="388"/>
      <c r="AA2" s="25"/>
      <c r="AB2" s="31"/>
      <c r="AD2" s="253"/>
      <c r="AE2" s="253"/>
      <c r="AF2" s="253"/>
      <c r="AG2" s="253"/>
      <c r="AH2" s="253"/>
      <c r="AI2" s="253"/>
      <c r="BA2"/>
    </row>
    <row r="3" spans="1:85" ht="14.1" customHeight="1">
      <c r="A3" s="510"/>
      <c r="B3" s="510"/>
      <c r="C3" s="510"/>
      <c r="D3" s="510"/>
      <c r="E3" s="510"/>
      <c r="F3" s="510"/>
      <c r="G3" s="510"/>
      <c r="H3" s="510"/>
      <c r="I3" s="510"/>
      <c r="J3" s="510"/>
      <c r="K3" s="510"/>
      <c r="L3" s="510"/>
      <c r="M3" s="510"/>
      <c r="N3" s="510"/>
      <c r="O3" s="510"/>
      <c r="P3" s="510"/>
      <c r="Q3" s="510"/>
      <c r="R3" s="510"/>
      <c r="S3" s="510"/>
      <c r="T3" s="388"/>
      <c r="U3" s="388"/>
      <c r="V3" s="388"/>
      <c r="W3" s="388"/>
      <c r="X3" s="388"/>
      <c r="Y3" s="388"/>
      <c r="Z3" s="388"/>
      <c r="AA3" s="25"/>
      <c r="AB3" s="31"/>
      <c r="AD3" s="253"/>
      <c r="AE3" s="253"/>
      <c r="AF3" s="253"/>
      <c r="AG3" s="253"/>
      <c r="AH3" s="253"/>
      <c r="AI3" s="253"/>
      <c r="BA3"/>
    </row>
    <row r="4" spans="1:85" ht="14.1" customHeight="1">
      <c r="A4" s="395" t="s">
        <v>552</v>
      </c>
      <c r="B4" s="395"/>
      <c r="C4" s="395"/>
      <c r="D4" s="395"/>
      <c r="E4" s="395"/>
      <c r="F4" s="395"/>
      <c r="G4" s="395"/>
      <c r="H4" s="395"/>
      <c r="I4" s="395"/>
      <c r="J4" s="395"/>
      <c r="K4" s="395"/>
      <c r="L4" s="395"/>
      <c r="M4" s="395"/>
      <c r="N4" s="395"/>
      <c r="O4" s="395"/>
      <c r="P4" s="395"/>
      <c r="Q4" s="395"/>
      <c r="R4" s="395"/>
      <c r="S4" s="395"/>
      <c r="T4" s="155"/>
      <c r="U4" s="155"/>
      <c r="V4" s="155"/>
      <c r="W4" s="155"/>
      <c r="X4" s="155"/>
      <c r="Y4" s="155"/>
      <c r="Z4" s="155"/>
      <c r="AA4" s="26"/>
      <c r="AB4" s="31"/>
      <c r="AD4" s="253"/>
      <c r="AE4" s="253"/>
      <c r="AF4" s="253"/>
      <c r="AG4" s="253"/>
      <c r="AH4" s="253"/>
      <c r="AI4" s="253"/>
      <c r="BA4"/>
    </row>
    <row r="5" spans="1:85" ht="14.1" customHeight="1">
      <c r="A5" s="395"/>
      <c r="B5" s="395"/>
      <c r="C5" s="395"/>
      <c r="D5" s="395"/>
      <c r="E5" s="395"/>
      <c r="F5" s="395"/>
      <c r="G5" s="395"/>
      <c r="H5" s="395"/>
      <c r="I5" s="395"/>
      <c r="J5" s="395"/>
      <c r="K5" s="395"/>
      <c r="L5" s="395"/>
      <c r="M5" s="395"/>
      <c r="N5" s="395"/>
      <c r="O5" s="395"/>
      <c r="P5" s="395"/>
      <c r="Q5" s="395"/>
      <c r="R5" s="395"/>
      <c r="S5" s="395"/>
      <c r="T5" s="155"/>
      <c r="U5" s="155"/>
      <c r="V5" s="155"/>
      <c r="W5" s="155"/>
      <c r="X5" s="155"/>
      <c r="Y5" s="155"/>
      <c r="Z5" s="155"/>
      <c r="AA5" s="26"/>
      <c r="AB5" s="31"/>
      <c r="AC5" s="31"/>
      <c r="AD5" s="31"/>
      <c r="AE5" s="31"/>
      <c r="AF5" s="31"/>
      <c r="AG5" s="31"/>
      <c r="AH5" s="31"/>
      <c r="AI5" s="31"/>
      <c r="BA5"/>
    </row>
    <row r="6" spans="1:85" ht="14.1" customHeight="1" thickBot="1">
      <c r="A6" s="27"/>
      <c r="B6" s="27"/>
      <c r="C6" s="27"/>
      <c r="D6" s="27"/>
      <c r="E6" s="27"/>
      <c r="F6" s="27"/>
      <c r="G6" s="27"/>
      <c r="H6" s="27"/>
      <c r="I6" s="27"/>
      <c r="BA6"/>
    </row>
    <row r="7" spans="1:85" ht="12" customHeight="1">
      <c r="A7" s="255">
        <f>DATE(初期値!A2,初期値!A3,AM1)</f>
        <v>46188</v>
      </c>
      <c r="B7" s="256"/>
      <c r="C7" s="256"/>
      <c r="D7" s="256"/>
      <c r="E7" s="256"/>
      <c r="F7" s="259" t="s">
        <v>169</v>
      </c>
      <c r="G7" s="236">
        <f>$A$7</f>
        <v>46188</v>
      </c>
      <c r="H7" s="236"/>
      <c r="I7" s="236"/>
      <c r="J7" s="239" t="s">
        <v>170</v>
      </c>
      <c r="K7" s="261">
        <f>$A$7</f>
        <v>46188</v>
      </c>
      <c r="L7" s="261"/>
      <c r="M7" s="261"/>
      <c r="N7" s="239" t="s">
        <v>3</v>
      </c>
      <c r="O7" s="520">
        <f>$A$7</f>
        <v>46188</v>
      </c>
      <c r="P7" s="520"/>
      <c r="Q7" s="239" t="s">
        <v>292</v>
      </c>
      <c r="R7" s="240"/>
      <c r="S7" s="522" t="s">
        <v>553</v>
      </c>
      <c r="T7" s="244"/>
      <c r="U7" s="29" t="s">
        <v>554</v>
      </c>
      <c r="V7" s="518" t="s">
        <v>37</v>
      </c>
      <c r="W7" s="518"/>
      <c r="X7" s="518"/>
      <c r="Y7" s="511" t="s">
        <v>555</v>
      </c>
      <c r="Z7" s="512"/>
      <c r="AA7" s="513"/>
      <c r="AB7" s="244" t="str">
        <f>L43</f>
        <v>三角龍彦</v>
      </c>
      <c r="AC7" s="244"/>
      <c r="AD7" s="244"/>
      <c r="AE7" s="244"/>
      <c r="AF7" s="244"/>
      <c r="AG7" s="244"/>
      <c r="AH7" s="244"/>
      <c r="AI7" s="245"/>
      <c r="AK7" s="425" t="s">
        <v>556</v>
      </c>
      <c r="AL7" s="425"/>
      <c r="AM7" s="425"/>
      <c r="AN7" s="425"/>
      <c r="AO7" s="425"/>
      <c r="AP7" s="425"/>
      <c r="AQ7" s="439" t="s">
        <v>557</v>
      </c>
      <c r="AR7" s="43"/>
      <c r="AS7" s="43"/>
      <c r="AT7" s="43"/>
      <c r="AU7" s="43"/>
      <c r="AV7" s="43"/>
      <c r="AW7" s="43"/>
      <c r="AX7" s="43"/>
      <c r="AY7" s="43"/>
      <c r="AZ7" s="43"/>
      <c r="BA7"/>
    </row>
    <row r="8" spans="1:85" ht="12" customHeight="1" thickBot="1">
      <c r="A8" s="257"/>
      <c r="B8" s="258"/>
      <c r="C8" s="258"/>
      <c r="D8" s="258"/>
      <c r="E8" s="258"/>
      <c r="F8" s="260"/>
      <c r="G8" s="237"/>
      <c r="H8" s="237"/>
      <c r="I8" s="237"/>
      <c r="J8" s="242"/>
      <c r="K8" s="262"/>
      <c r="L8" s="262"/>
      <c r="M8" s="262"/>
      <c r="N8" s="242"/>
      <c r="O8" s="521"/>
      <c r="P8" s="521"/>
      <c r="Q8" s="242"/>
      <c r="R8" s="243"/>
      <c r="S8" s="523"/>
      <c r="T8" s="246"/>
      <c r="U8" s="33" t="s">
        <v>558</v>
      </c>
      <c r="V8" s="519" t="s">
        <v>37</v>
      </c>
      <c r="W8" s="519"/>
      <c r="X8" s="519"/>
      <c r="Y8" s="514"/>
      <c r="Z8" s="515"/>
      <c r="AA8" s="516"/>
      <c r="AB8" s="246"/>
      <c r="AC8" s="246"/>
      <c r="AD8" s="246"/>
      <c r="AE8" s="246"/>
      <c r="AF8" s="246"/>
      <c r="AG8" s="246"/>
      <c r="AH8" s="246"/>
      <c r="AI8" s="247"/>
      <c r="AK8" s="425"/>
      <c r="AL8" s="425"/>
      <c r="AM8" s="425"/>
      <c r="AN8" s="425"/>
      <c r="AO8" s="425"/>
      <c r="AP8" s="425"/>
      <c r="AQ8" s="439"/>
      <c r="AR8" s="43"/>
      <c r="AS8" s="43"/>
      <c r="AT8" s="43"/>
      <c r="AU8" s="43"/>
      <c r="AV8" s="43"/>
      <c r="AW8" s="43"/>
      <c r="AX8" s="43"/>
      <c r="AY8" s="43"/>
      <c r="AZ8" s="43"/>
      <c r="BA8"/>
    </row>
    <row r="9" spans="1:85" ht="18" customHeight="1">
      <c r="A9" s="507" t="s">
        <v>559</v>
      </c>
      <c r="B9" s="508"/>
      <c r="C9" s="508"/>
      <c r="D9" s="508"/>
      <c r="E9" s="508"/>
      <c r="F9" s="508"/>
      <c r="G9" s="508"/>
      <c r="H9" s="508"/>
      <c r="I9" s="508"/>
      <c r="J9" s="508"/>
      <c r="K9" s="508"/>
      <c r="L9" s="508"/>
      <c r="M9" s="508"/>
      <c r="N9" s="508"/>
      <c r="O9" s="508"/>
      <c r="P9" s="508"/>
      <c r="Q9" s="508"/>
      <c r="R9" s="508"/>
      <c r="S9" s="508"/>
      <c r="T9" s="508"/>
      <c r="U9" s="508"/>
      <c r="V9" s="508"/>
      <c r="W9" s="508"/>
      <c r="X9" s="508"/>
      <c r="Y9" s="508"/>
      <c r="Z9" s="508"/>
      <c r="AA9" s="508"/>
      <c r="AB9" s="508"/>
      <c r="AC9" s="508"/>
      <c r="AD9" s="508"/>
      <c r="AE9" s="508"/>
      <c r="AF9" s="508"/>
      <c r="AG9" s="508"/>
      <c r="AH9" s="508"/>
      <c r="AI9" s="509"/>
      <c r="AK9" s="440" t="s">
        <v>560</v>
      </c>
      <c r="AL9" s="440"/>
      <c r="AM9" s="440"/>
      <c r="AN9" s="440"/>
      <c r="AO9" s="440"/>
      <c r="AP9" s="440"/>
      <c r="AQ9" s="42">
        <v>80</v>
      </c>
      <c r="AR9" s="43"/>
      <c r="AS9" s="44" t="s">
        <v>561</v>
      </c>
      <c r="AT9" s="44" t="s">
        <v>562</v>
      </c>
      <c r="AU9" s="44" t="s">
        <v>563</v>
      </c>
      <c r="AV9" s="44" t="s">
        <v>564</v>
      </c>
      <c r="AW9" s="45" t="s">
        <v>565</v>
      </c>
      <c r="AX9" s="45" t="s">
        <v>566</v>
      </c>
      <c r="AY9" s="44" t="s">
        <v>567</v>
      </c>
      <c r="AZ9" s="43"/>
      <c r="BB9" s="49" t="s">
        <v>568</v>
      </c>
      <c r="BC9" s="43"/>
      <c r="BD9" s="43"/>
      <c r="BE9" s="43"/>
      <c r="BF9" s="43"/>
      <c r="BG9" s="43"/>
      <c r="BH9" s="43"/>
      <c r="BI9" s="43"/>
      <c r="BJ9" s="43"/>
      <c r="BK9" s="43"/>
      <c r="BL9" s="43"/>
      <c r="BM9" s="43"/>
      <c r="BN9" s="43"/>
      <c r="BO9" s="43"/>
      <c r="BP9" s="43"/>
      <c r="BQ9" s="43"/>
      <c r="BR9" s="43"/>
      <c r="BS9" s="43"/>
      <c r="BT9" s="43"/>
      <c r="BU9" s="43"/>
      <c r="BV9" s="43"/>
      <c r="BW9" s="43"/>
      <c r="BX9" s="43"/>
      <c r="BY9" s="43"/>
      <c r="BZ9" s="43"/>
      <c r="CA9" s="43"/>
      <c r="CB9" s="43"/>
      <c r="CC9" s="43"/>
      <c r="CD9" s="43"/>
      <c r="CE9" s="43"/>
      <c r="CF9" s="43"/>
      <c r="CG9" s="43"/>
    </row>
    <row r="10" spans="1:85" ht="18" customHeight="1">
      <c r="A10" s="265" t="s">
        <v>569</v>
      </c>
      <c r="B10" s="266"/>
      <c r="C10" s="266"/>
      <c r="D10" s="266"/>
      <c r="E10" s="266"/>
      <c r="F10" s="266"/>
      <c r="G10" s="266"/>
      <c r="H10" s="266"/>
      <c r="I10" s="264">
        <f>AQ14</f>
        <v>4</v>
      </c>
      <c r="J10" s="264"/>
      <c r="K10" s="267" t="s">
        <v>176</v>
      </c>
      <c r="L10" s="268"/>
      <c r="M10" s="269" t="s">
        <v>570</v>
      </c>
      <c r="N10" s="266"/>
      <c r="O10" s="266"/>
      <c r="P10" s="266"/>
      <c r="Q10" s="266"/>
      <c r="R10" s="266"/>
      <c r="S10" s="266"/>
      <c r="T10" s="266"/>
      <c r="U10" s="264">
        <f>AQ37</f>
        <v>0</v>
      </c>
      <c r="V10" s="264"/>
      <c r="W10" s="267" t="s">
        <v>176</v>
      </c>
      <c r="X10" s="268"/>
      <c r="Y10" s="269" t="s">
        <v>571</v>
      </c>
      <c r="Z10" s="266"/>
      <c r="AA10" s="266"/>
      <c r="AB10" s="266"/>
      <c r="AC10" s="266"/>
      <c r="AD10" s="266"/>
      <c r="AE10" s="266"/>
      <c r="AF10" s="266"/>
      <c r="AG10" s="264">
        <f>AQ26+AQ25</f>
        <v>0</v>
      </c>
      <c r="AH10" s="264"/>
      <c r="AI10" s="28" t="s">
        <v>176</v>
      </c>
      <c r="AK10" s="440" t="s">
        <v>572</v>
      </c>
      <c r="AL10" s="440"/>
      <c r="AM10" s="440"/>
      <c r="AN10" s="440"/>
      <c r="AO10" s="440"/>
      <c r="AP10" s="440"/>
      <c r="AQ10" s="42"/>
      <c r="AR10" s="43"/>
      <c r="AS10" s="46">
        <v>1</v>
      </c>
      <c r="AT10" s="46"/>
      <c r="AU10" s="46" t="s">
        <v>20</v>
      </c>
      <c r="AV10" s="47" t="s">
        <v>707</v>
      </c>
      <c r="AW10" s="47" t="s">
        <v>574</v>
      </c>
      <c r="AX10" s="47">
        <v>0.33333333333333331</v>
      </c>
      <c r="AY10" s="47">
        <v>0.83333333333333337</v>
      </c>
      <c r="AZ10" s="43"/>
      <c r="BB10" s="49" t="s">
        <v>95</v>
      </c>
      <c r="BC10" s="120">
        <v>1</v>
      </c>
      <c r="BD10" s="120">
        <v>2</v>
      </c>
      <c r="BE10" s="120">
        <v>3</v>
      </c>
      <c r="BF10" s="120">
        <v>4</v>
      </c>
      <c r="BG10" s="120">
        <v>5</v>
      </c>
      <c r="BH10" s="120">
        <v>6</v>
      </c>
      <c r="BI10" s="120">
        <v>7</v>
      </c>
      <c r="BJ10" s="120">
        <v>8</v>
      </c>
      <c r="BK10" s="120">
        <v>9</v>
      </c>
      <c r="BL10" s="120">
        <v>10</v>
      </c>
      <c r="BM10" s="120">
        <v>11</v>
      </c>
      <c r="BN10" s="120">
        <v>12</v>
      </c>
      <c r="BO10" s="120">
        <v>13</v>
      </c>
      <c r="BP10" s="120">
        <v>14</v>
      </c>
      <c r="BQ10" s="120">
        <v>15</v>
      </c>
      <c r="BR10" s="120">
        <v>16</v>
      </c>
      <c r="BS10" s="120">
        <v>17</v>
      </c>
      <c r="BT10" s="120">
        <v>18</v>
      </c>
      <c r="BU10" s="120">
        <v>19</v>
      </c>
      <c r="BV10" s="120">
        <v>20</v>
      </c>
      <c r="BW10" s="120">
        <v>21</v>
      </c>
      <c r="BX10" s="120">
        <v>22</v>
      </c>
      <c r="BY10" s="120">
        <v>23</v>
      </c>
      <c r="BZ10" s="120">
        <v>24</v>
      </c>
      <c r="CA10" s="120">
        <v>25</v>
      </c>
      <c r="CB10" s="120">
        <v>26</v>
      </c>
      <c r="CC10" s="120">
        <v>27</v>
      </c>
      <c r="CD10" s="120">
        <v>28</v>
      </c>
      <c r="CE10" s="120">
        <v>29</v>
      </c>
      <c r="CF10" s="120">
        <v>30</v>
      </c>
      <c r="CG10" s="43"/>
    </row>
    <row r="11" spans="1:85" ht="18" customHeight="1">
      <c r="A11" s="265" t="s">
        <v>575</v>
      </c>
      <c r="B11" s="266"/>
      <c r="C11" s="266"/>
      <c r="D11" s="266"/>
      <c r="E11" s="266"/>
      <c r="F11" s="266"/>
      <c r="G11" s="266"/>
      <c r="H11" s="266"/>
      <c r="I11" s="264">
        <f>AQ27</f>
        <v>0</v>
      </c>
      <c r="J11" s="264"/>
      <c r="K11" s="267" t="s">
        <v>176</v>
      </c>
      <c r="L11" s="268"/>
      <c r="M11" s="269" t="s">
        <v>576</v>
      </c>
      <c r="N11" s="266"/>
      <c r="O11" s="266"/>
      <c r="P11" s="266"/>
      <c r="Q11" s="266"/>
      <c r="R11" s="266"/>
      <c r="S11" s="266"/>
      <c r="T11" s="266"/>
      <c r="U11" s="264">
        <f>AQ36</f>
        <v>0</v>
      </c>
      <c r="V11" s="264"/>
      <c r="W11" s="267" t="s">
        <v>176</v>
      </c>
      <c r="X11" s="268"/>
      <c r="Y11" s="269" t="s">
        <v>577</v>
      </c>
      <c r="Z11" s="266"/>
      <c r="AA11" s="266"/>
      <c r="AB11" s="266"/>
      <c r="AC11" s="266"/>
      <c r="AD11" s="266"/>
      <c r="AE11" s="266"/>
      <c r="AF11" s="266"/>
      <c r="AG11" s="264">
        <f>AQ34</f>
        <v>0</v>
      </c>
      <c r="AH11" s="264"/>
      <c r="AI11" s="28" t="s">
        <v>176</v>
      </c>
      <c r="AK11" s="441" t="s">
        <v>578</v>
      </c>
      <c r="AL11" s="442"/>
      <c r="AM11" s="442"/>
      <c r="AN11" s="442"/>
      <c r="AO11" s="442"/>
      <c r="AP11" s="443"/>
      <c r="AQ11" s="42">
        <v>25</v>
      </c>
      <c r="AR11" s="43"/>
      <c r="AS11" s="46">
        <v>2</v>
      </c>
      <c r="AT11" s="46"/>
      <c r="AU11" s="46"/>
      <c r="AV11" s="47" t="s">
        <v>579</v>
      </c>
      <c r="AW11" s="47" t="s">
        <v>580</v>
      </c>
      <c r="AX11" s="47">
        <v>0.33333333333333331</v>
      </c>
      <c r="AY11" s="47">
        <v>0.58333333333333337</v>
      </c>
      <c r="AZ11" s="43"/>
      <c r="BB11" s="121" t="s">
        <v>581</v>
      </c>
      <c r="BC11" s="138" t="s">
        <v>582</v>
      </c>
      <c r="BD11" s="138" t="s">
        <v>583</v>
      </c>
      <c r="BE11" s="138" t="s">
        <v>584</v>
      </c>
      <c r="BF11" s="138" t="s">
        <v>585</v>
      </c>
      <c r="BG11" s="139" t="s">
        <v>584</v>
      </c>
      <c r="BH11" s="138" t="s">
        <v>582</v>
      </c>
      <c r="BI11" s="138" t="s">
        <v>585</v>
      </c>
      <c r="BJ11" s="138" t="s">
        <v>583</v>
      </c>
      <c r="BK11" s="138" t="s">
        <v>584</v>
      </c>
      <c r="BL11" s="138" t="s">
        <v>583</v>
      </c>
      <c r="BM11" s="138" t="s">
        <v>585</v>
      </c>
      <c r="BN11" s="138" t="s">
        <v>582</v>
      </c>
      <c r="BO11" s="138" t="s">
        <v>584</v>
      </c>
      <c r="BP11" s="138" t="s">
        <v>585</v>
      </c>
      <c r="BQ11" s="138" t="s">
        <v>583</v>
      </c>
      <c r="BR11" s="138" t="s">
        <v>585</v>
      </c>
      <c r="BS11" s="138" t="s">
        <v>584</v>
      </c>
      <c r="BT11" s="138" t="s">
        <v>582</v>
      </c>
      <c r="BU11" s="138" t="s">
        <v>583</v>
      </c>
      <c r="BV11" s="138" t="s">
        <v>585</v>
      </c>
      <c r="BW11" s="138" t="s">
        <v>582</v>
      </c>
      <c r="BX11" s="138" t="s">
        <v>584</v>
      </c>
      <c r="BY11" s="138" t="s">
        <v>585</v>
      </c>
      <c r="BZ11" s="138" t="s">
        <v>583</v>
      </c>
      <c r="CA11" s="138" t="s">
        <v>582</v>
      </c>
      <c r="CB11" s="138" t="s">
        <v>585</v>
      </c>
      <c r="CC11" s="138" t="s">
        <v>584</v>
      </c>
      <c r="CD11" s="138" t="s">
        <v>582</v>
      </c>
      <c r="CE11" s="138" t="s">
        <v>585</v>
      </c>
      <c r="CF11" s="138" t="s">
        <v>583</v>
      </c>
      <c r="CG11" s="43"/>
    </row>
    <row r="12" spans="1:85" ht="18" customHeight="1">
      <c r="A12" s="265" t="s">
        <v>586</v>
      </c>
      <c r="B12" s="266"/>
      <c r="C12" s="266"/>
      <c r="D12" s="266"/>
      <c r="E12" s="266"/>
      <c r="F12" s="266"/>
      <c r="G12" s="266"/>
      <c r="H12" s="266"/>
      <c r="I12" s="264">
        <f>AQ33</f>
        <v>0</v>
      </c>
      <c r="J12" s="264"/>
      <c r="K12" s="267" t="s">
        <v>176</v>
      </c>
      <c r="L12" s="268"/>
      <c r="M12" s="269" t="s">
        <v>587</v>
      </c>
      <c r="N12" s="266"/>
      <c r="O12" s="266"/>
      <c r="P12" s="266"/>
      <c r="Q12" s="266"/>
      <c r="R12" s="266"/>
      <c r="S12" s="266"/>
      <c r="T12" s="266"/>
      <c r="U12" s="264">
        <f>AQ24</f>
        <v>0</v>
      </c>
      <c r="V12" s="264"/>
      <c r="W12" s="267" t="s">
        <v>176</v>
      </c>
      <c r="X12" s="268"/>
      <c r="Y12" s="269" t="s">
        <v>588</v>
      </c>
      <c r="Z12" s="266"/>
      <c r="AA12" s="266"/>
      <c r="AB12" s="266"/>
      <c r="AC12" s="266"/>
      <c r="AD12" s="266"/>
      <c r="AE12" s="266"/>
      <c r="AF12" s="266"/>
      <c r="AG12" s="264">
        <f>AQ20+AQ21+AQ22+AQ23</f>
        <v>0</v>
      </c>
      <c r="AH12" s="264"/>
      <c r="AI12" s="28" t="s">
        <v>176</v>
      </c>
      <c r="AK12" s="441" t="s">
        <v>589</v>
      </c>
      <c r="AL12" s="442"/>
      <c r="AM12" s="442"/>
      <c r="AN12" s="442"/>
      <c r="AO12" s="442"/>
      <c r="AP12" s="443"/>
      <c r="AQ12" s="42">
        <v>9</v>
      </c>
      <c r="AR12" s="43"/>
      <c r="AS12" s="46">
        <v>3</v>
      </c>
      <c r="AT12" s="46"/>
      <c r="AU12" s="46"/>
      <c r="AV12" s="47" t="s">
        <v>590</v>
      </c>
      <c r="AW12" s="47" t="s">
        <v>574</v>
      </c>
      <c r="AX12" s="47">
        <v>0.58333333333333337</v>
      </c>
      <c r="AY12" s="47">
        <v>0.83333333333333337</v>
      </c>
      <c r="AZ12" s="43"/>
      <c r="BB12" s="49"/>
      <c r="BC12" s="43"/>
      <c r="BD12" s="43"/>
      <c r="BE12" s="43"/>
      <c r="BF12" s="43"/>
      <c r="BG12" s="43"/>
      <c r="BH12" s="43"/>
      <c r="BI12" s="43"/>
      <c r="BJ12" s="43"/>
      <c r="BK12" s="43"/>
      <c r="BL12" s="43"/>
      <c r="BM12" s="43"/>
      <c r="BN12" s="43"/>
      <c r="BO12" s="43"/>
      <c r="BP12" s="43"/>
      <c r="BQ12" s="43"/>
      <c r="BR12" s="43"/>
      <c r="BS12" s="43"/>
      <c r="BT12" s="43"/>
      <c r="BU12" s="43"/>
      <c r="BV12" s="43"/>
      <c r="BW12" s="43"/>
      <c r="BX12" s="43"/>
      <c r="BY12" s="43"/>
      <c r="BZ12" s="43"/>
      <c r="CA12" s="43"/>
      <c r="CB12" s="43"/>
      <c r="CC12" s="43"/>
      <c r="CD12" s="43"/>
      <c r="CE12" s="43"/>
      <c r="CF12" s="43"/>
      <c r="CG12" s="43"/>
    </row>
    <row r="13" spans="1:85" ht="18" customHeight="1" thickBot="1">
      <c r="A13" s="517" t="s">
        <v>591</v>
      </c>
      <c r="B13" s="277"/>
      <c r="C13" s="277"/>
      <c r="D13" s="277"/>
      <c r="E13" s="277"/>
      <c r="F13" s="277"/>
      <c r="G13" s="277"/>
      <c r="H13" s="277"/>
      <c r="I13" s="272">
        <f>AQ30+AQ31</f>
        <v>0</v>
      </c>
      <c r="J13" s="272"/>
      <c r="K13" s="273" t="s">
        <v>176</v>
      </c>
      <c r="L13" s="274"/>
      <c r="M13" s="276" t="s">
        <v>592</v>
      </c>
      <c r="N13" s="277"/>
      <c r="O13" s="277"/>
      <c r="P13" s="277"/>
      <c r="Q13" s="277"/>
      <c r="R13" s="277"/>
      <c r="S13" s="277"/>
      <c r="T13" s="277"/>
      <c r="U13" s="272">
        <f>AQ28</f>
        <v>0</v>
      </c>
      <c r="V13" s="272"/>
      <c r="W13" s="273" t="s">
        <v>176</v>
      </c>
      <c r="X13" s="274"/>
      <c r="Y13" s="276" t="s">
        <v>593</v>
      </c>
      <c r="Z13" s="277"/>
      <c r="AA13" s="277"/>
      <c r="AB13" s="277"/>
      <c r="AC13" s="277"/>
      <c r="AD13" s="277"/>
      <c r="AE13" s="277"/>
      <c r="AF13" s="277"/>
      <c r="AG13" s="272">
        <f>AQ13</f>
        <v>1</v>
      </c>
      <c r="AH13" s="272"/>
      <c r="AI13" s="34" t="s">
        <v>176</v>
      </c>
      <c r="AK13" s="425" t="s">
        <v>594</v>
      </c>
      <c r="AL13" s="425"/>
      <c r="AM13" s="425"/>
      <c r="AN13" s="425"/>
      <c r="AO13" s="425"/>
      <c r="AP13" s="425"/>
      <c r="AQ13" s="42">
        <v>1</v>
      </c>
      <c r="AR13" s="43"/>
      <c r="AS13" s="46">
        <v>4</v>
      </c>
      <c r="AT13" s="46"/>
      <c r="AU13" s="46" t="s">
        <v>28</v>
      </c>
      <c r="AV13" s="47" t="s">
        <v>595</v>
      </c>
      <c r="AW13" s="47" t="s">
        <v>596</v>
      </c>
      <c r="AX13" s="47">
        <v>0.33333333333333331</v>
      </c>
      <c r="AY13" s="47">
        <v>0.83333333333333337</v>
      </c>
      <c r="AZ13" s="43"/>
      <c r="BB13" s="121" t="s">
        <v>597</v>
      </c>
      <c r="BC13" s="140" t="s">
        <v>20</v>
      </c>
      <c r="BD13" s="140" t="s">
        <v>119</v>
      </c>
      <c r="BE13" s="140" t="s">
        <v>20</v>
      </c>
      <c r="BF13" s="140" t="s">
        <v>20</v>
      </c>
      <c r="BG13" s="140" t="s">
        <v>20</v>
      </c>
      <c r="BH13" s="140" t="s">
        <v>20</v>
      </c>
      <c r="BI13" s="140" t="s">
        <v>80</v>
      </c>
      <c r="BJ13" s="140" t="s">
        <v>20</v>
      </c>
      <c r="BK13" s="140" t="s">
        <v>20</v>
      </c>
      <c r="BL13" s="140" t="s">
        <v>20</v>
      </c>
      <c r="BM13" s="140" t="s">
        <v>20</v>
      </c>
      <c r="BN13" s="140" t="s">
        <v>20</v>
      </c>
      <c r="BO13" s="140" t="s">
        <v>119</v>
      </c>
      <c r="BP13" s="140" t="s">
        <v>119</v>
      </c>
      <c r="BQ13" s="140" t="s">
        <v>20</v>
      </c>
      <c r="BR13" s="140" t="s">
        <v>119</v>
      </c>
      <c r="BS13" s="140" t="s">
        <v>20</v>
      </c>
      <c r="BT13" s="140" t="s">
        <v>20</v>
      </c>
      <c r="BU13" s="140" t="s">
        <v>20</v>
      </c>
      <c r="BV13" s="140" t="s">
        <v>119</v>
      </c>
      <c r="BW13" s="140" t="s">
        <v>119</v>
      </c>
      <c r="BX13" s="140" t="s">
        <v>20</v>
      </c>
      <c r="BY13" s="140" t="s">
        <v>119</v>
      </c>
      <c r="BZ13" s="140" t="s">
        <v>20</v>
      </c>
      <c r="CA13" s="140" t="s">
        <v>119</v>
      </c>
      <c r="CB13" s="140" t="s">
        <v>20</v>
      </c>
      <c r="CC13" s="140" t="s">
        <v>20</v>
      </c>
      <c r="CD13" s="140" t="s">
        <v>119</v>
      </c>
      <c r="CE13" s="140" t="s">
        <v>20</v>
      </c>
      <c r="CF13" s="140" t="s">
        <v>119</v>
      </c>
      <c r="CG13" s="43"/>
    </row>
    <row r="14" spans="1:85" ht="18" customHeight="1" thickBot="1">
      <c r="A14" s="452" t="s">
        <v>598</v>
      </c>
      <c r="B14" s="453"/>
      <c r="C14" s="453"/>
      <c r="D14" s="453"/>
      <c r="E14" s="453"/>
      <c r="F14" s="453"/>
      <c r="G14" s="453"/>
      <c r="H14" s="453"/>
      <c r="I14" s="453"/>
      <c r="J14" s="453"/>
      <c r="K14" s="453"/>
      <c r="L14" s="453"/>
      <c r="M14" s="453"/>
      <c r="N14" s="453"/>
      <c r="O14" s="453"/>
      <c r="P14" s="453"/>
      <c r="Q14" s="453"/>
      <c r="R14" s="453"/>
      <c r="S14" s="453"/>
      <c r="T14" s="453"/>
      <c r="U14" s="453"/>
      <c r="V14" s="453"/>
      <c r="W14" s="453"/>
      <c r="X14" s="453"/>
      <c r="Y14" s="453"/>
      <c r="Z14" s="453"/>
      <c r="AA14" s="453"/>
      <c r="AB14" s="453"/>
      <c r="AC14" s="453"/>
      <c r="AD14" s="453"/>
      <c r="AE14" s="453"/>
      <c r="AF14" s="453"/>
      <c r="AG14" s="453"/>
      <c r="AH14" s="453"/>
      <c r="AI14" s="454"/>
      <c r="AK14" s="440" t="s">
        <v>599</v>
      </c>
      <c r="AL14" s="440"/>
      <c r="AM14" s="440"/>
      <c r="AN14" s="440"/>
      <c r="AO14" s="440"/>
      <c r="AP14" s="440"/>
      <c r="AQ14" s="42">
        <v>4</v>
      </c>
      <c r="AR14" s="43"/>
      <c r="AS14" s="46">
        <v>5</v>
      </c>
      <c r="AT14" s="46"/>
      <c r="AU14" s="46" t="s">
        <v>608</v>
      </c>
      <c r="AV14" s="47" t="s">
        <v>600</v>
      </c>
      <c r="AW14" s="47" t="s">
        <v>596</v>
      </c>
      <c r="AX14" s="47">
        <v>0.33333333333333331</v>
      </c>
      <c r="AY14" s="47">
        <v>0.83333333333333337</v>
      </c>
      <c r="AZ14" s="43"/>
      <c r="BB14" s="121" t="s">
        <v>601</v>
      </c>
      <c r="BC14" s="162" t="s">
        <v>28</v>
      </c>
      <c r="BD14" s="162" t="s">
        <v>602</v>
      </c>
      <c r="BE14" s="162" t="s">
        <v>602</v>
      </c>
      <c r="BF14" s="162" t="s">
        <v>28</v>
      </c>
      <c r="BG14" s="162" t="s">
        <v>602</v>
      </c>
      <c r="BH14" s="162" t="s">
        <v>602</v>
      </c>
      <c r="BI14" s="162" t="s">
        <v>28</v>
      </c>
      <c r="BJ14" s="162" t="s">
        <v>28</v>
      </c>
      <c r="BK14" s="162" t="s">
        <v>602</v>
      </c>
      <c r="BL14" s="162" t="s">
        <v>28</v>
      </c>
      <c r="BM14" s="162" t="s">
        <v>602</v>
      </c>
      <c r="BN14" s="162" t="s">
        <v>28</v>
      </c>
      <c r="BO14" s="162" t="s">
        <v>28</v>
      </c>
      <c r="BP14" s="162" t="s">
        <v>76</v>
      </c>
      <c r="BQ14" s="162" t="s">
        <v>28</v>
      </c>
      <c r="BR14" s="162" t="s">
        <v>602</v>
      </c>
      <c r="BS14" s="162" t="s">
        <v>28</v>
      </c>
      <c r="BT14" s="162" t="s">
        <v>602</v>
      </c>
      <c r="BU14" s="162" t="s">
        <v>28</v>
      </c>
      <c r="BV14" s="162" t="s">
        <v>602</v>
      </c>
      <c r="BW14" s="162" t="s">
        <v>28</v>
      </c>
      <c r="BX14" s="162" t="s">
        <v>28</v>
      </c>
      <c r="BY14" s="162" t="s">
        <v>602</v>
      </c>
      <c r="BZ14" s="162" t="s">
        <v>28</v>
      </c>
      <c r="CA14" s="162" t="s">
        <v>602</v>
      </c>
      <c r="CB14" s="162" t="s">
        <v>28</v>
      </c>
      <c r="CC14" s="162" t="s">
        <v>28</v>
      </c>
      <c r="CD14" s="162" t="s">
        <v>76</v>
      </c>
      <c r="CE14" s="162" t="s">
        <v>28</v>
      </c>
      <c r="CF14" s="162" t="s">
        <v>602</v>
      </c>
      <c r="CG14" s="43"/>
    </row>
    <row r="15" spans="1:85" ht="18" customHeight="1" thickBot="1">
      <c r="A15" s="30" t="s">
        <v>189</v>
      </c>
      <c r="B15" s="264" t="s">
        <v>603</v>
      </c>
      <c r="C15" s="264"/>
      <c r="D15" s="264"/>
      <c r="E15" s="264"/>
      <c r="F15" s="264"/>
      <c r="G15" s="264"/>
      <c r="H15" s="264"/>
      <c r="I15" s="264"/>
      <c r="J15" s="278">
        <f>AQ9+AQ10</f>
        <v>80</v>
      </c>
      <c r="K15" s="278"/>
      <c r="L15" s="278"/>
      <c r="M15" s="264" t="s">
        <v>176</v>
      </c>
      <c r="N15" s="264"/>
      <c r="O15" s="264" t="s">
        <v>604</v>
      </c>
      <c r="P15" s="264"/>
      <c r="Q15" s="264"/>
      <c r="R15" s="264"/>
      <c r="S15" s="264"/>
      <c r="T15" s="264"/>
      <c r="U15" s="264"/>
      <c r="V15" s="264"/>
      <c r="W15" s="278">
        <f>AQ11+AQ12</f>
        <v>34</v>
      </c>
      <c r="X15" s="278"/>
      <c r="Y15" s="278"/>
      <c r="Z15" s="264" t="s">
        <v>176</v>
      </c>
      <c r="AA15" s="264"/>
      <c r="AB15" s="503" t="s">
        <v>605</v>
      </c>
      <c r="AC15" s="503"/>
      <c r="AD15" s="503"/>
      <c r="AE15" s="503"/>
      <c r="AF15" s="503"/>
      <c r="AG15" s="503"/>
      <c r="AH15" s="281" t="s">
        <v>583</v>
      </c>
      <c r="AI15" s="282"/>
      <c r="AK15" s="425" t="s">
        <v>606</v>
      </c>
      <c r="AL15" s="425"/>
      <c r="AM15" s="425"/>
      <c r="AN15" s="425"/>
      <c r="AO15" s="425"/>
      <c r="AP15" s="425"/>
      <c r="AQ15" s="42"/>
      <c r="AR15" s="43"/>
      <c r="AS15" s="46">
        <v>6</v>
      </c>
      <c r="AT15" s="46"/>
      <c r="AU15" s="46"/>
      <c r="AV15" s="47" t="s">
        <v>607</v>
      </c>
      <c r="AW15" s="47" t="s">
        <v>596</v>
      </c>
      <c r="AX15" s="47">
        <v>0.33333333333333331</v>
      </c>
      <c r="AY15" s="47">
        <v>0.83333333333333337</v>
      </c>
      <c r="AZ15" s="43"/>
      <c r="BB15" s="121" t="s">
        <v>31</v>
      </c>
      <c r="BC15" s="163" t="s">
        <v>119</v>
      </c>
      <c r="BD15" s="164"/>
      <c r="BE15" s="165" t="s">
        <v>28</v>
      </c>
      <c r="BF15" s="165" t="s">
        <v>119</v>
      </c>
      <c r="BG15" s="164"/>
      <c r="BH15" s="164"/>
      <c r="BI15" s="164"/>
      <c r="BJ15" s="164"/>
      <c r="BK15" s="165" t="s">
        <v>119</v>
      </c>
      <c r="BL15" s="165" t="s">
        <v>602</v>
      </c>
      <c r="BM15" s="165" t="s">
        <v>119</v>
      </c>
      <c r="BN15" s="165" t="s">
        <v>602</v>
      </c>
      <c r="BO15" s="164"/>
      <c r="BP15" s="164"/>
      <c r="BQ15" s="165" t="s">
        <v>608</v>
      </c>
      <c r="BR15" s="165" t="s">
        <v>20</v>
      </c>
      <c r="BS15" s="165" t="s">
        <v>602</v>
      </c>
      <c r="BT15" s="165" t="s">
        <v>119</v>
      </c>
      <c r="BU15" s="165" t="s">
        <v>602</v>
      </c>
      <c r="BV15" s="164"/>
      <c r="BW15" s="164"/>
      <c r="BX15" s="165" t="s">
        <v>119</v>
      </c>
      <c r="BY15" s="165" t="s">
        <v>20</v>
      </c>
      <c r="BZ15" s="165" t="s">
        <v>602</v>
      </c>
      <c r="CA15" s="165" t="s">
        <v>20</v>
      </c>
      <c r="CB15" s="165" t="s">
        <v>602</v>
      </c>
      <c r="CC15" s="165" t="s">
        <v>602</v>
      </c>
      <c r="CD15" s="164"/>
      <c r="CE15" s="165" t="s">
        <v>119</v>
      </c>
      <c r="CF15" s="165" t="s">
        <v>20</v>
      </c>
      <c r="CG15" s="43"/>
    </row>
    <row r="16" spans="1:85" ht="18" customHeight="1">
      <c r="A16" s="504" t="s">
        <v>609</v>
      </c>
      <c r="B16" s="505"/>
      <c r="C16" s="505"/>
      <c r="D16" s="505"/>
      <c r="E16" s="505"/>
      <c r="F16" s="505"/>
      <c r="G16" s="505"/>
      <c r="H16" s="505"/>
      <c r="I16" s="505"/>
      <c r="J16" s="505"/>
      <c r="K16" s="505"/>
      <c r="L16" s="505"/>
      <c r="M16" s="505"/>
      <c r="N16" s="505"/>
      <c r="O16" s="505"/>
      <c r="P16" s="505"/>
      <c r="Q16" s="505"/>
      <c r="R16" s="505"/>
      <c r="S16" s="505"/>
      <c r="T16" s="505"/>
      <c r="U16" s="505"/>
      <c r="V16" s="505"/>
      <c r="W16" s="505"/>
      <c r="X16" s="505"/>
      <c r="Y16" s="505"/>
      <c r="Z16" s="505"/>
      <c r="AA16" s="505"/>
      <c r="AB16" s="505"/>
      <c r="AC16" s="505"/>
      <c r="AD16" s="505"/>
      <c r="AE16" s="505"/>
      <c r="AF16" s="505"/>
      <c r="AG16" s="505"/>
      <c r="AH16" s="505"/>
      <c r="AI16" s="506"/>
      <c r="AK16" s="425" t="s">
        <v>610</v>
      </c>
      <c r="AL16" s="425"/>
      <c r="AM16" s="425"/>
      <c r="AN16" s="425"/>
      <c r="AO16" s="425"/>
      <c r="AP16" s="425"/>
      <c r="AQ16" s="42"/>
      <c r="AR16" s="43"/>
      <c r="AS16" s="46">
        <v>7</v>
      </c>
      <c r="AT16" s="46"/>
      <c r="AU16" s="46" t="s">
        <v>20</v>
      </c>
      <c r="AV16" s="47" t="s">
        <v>611</v>
      </c>
      <c r="AW16" s="47" t="s">
        <v>612</v>
      </c>
      <c r="AX16" s="47">
        <v>0.83333333333333337</v>
      </c>
      <c r="AY16" s="47" t="s">
        <v>613</v>
      </c>
      <c r="AZ16" s="43"/>
      <c r="BB16" s="121" t="s">
        <v>614</v>
      </c>
      <c r="BC16" s="142" t="s">
        <v>20</v>
      </c>
      <c r="BD16" s="140" t="s">
        <v>67</v>
      </c>
      <c r="BE16" s="142" t="s">
        <v>42</v>
      </c>
      <c r="BF16" s="142" t="s">
        <v>20</v>
      </c>
      <c r="BG16" s="142" t="s">
        <v>42</v>
      </c>
      <c r="BH16" s="142" t="s">
        <v>61</v>
      </c>
      <c r="BI16" s="142" t="s">
        <v>67</v>
      </c>
      <c r="BJ16" s="142" t="s">
        <v>67</v>
      </c>
      <c r="BK16" s="142" t="s">
        <v>42</v>
      </c>
      <c r="BL16" s="142" t="s">
        <v>42</v>
      </c>
      <c r="BM16" s="142" t="s">
        <v>67</v>
      </c>
      <c r="BN16" s="142" t="s">
        <v>67</v>
      </c>
      <c r="BO16" s="142" t="s">
        <v>42</v>
      </c>
      <c r="BP16" s="142" t="s">
        <v>67</v>
      </c>
      <c r="BQ16" s="142" t="s">
        <v>20</v>
      </c>
      <c r="BR16" s="142" t="s">
        <v>71</v>
      </c>
      <c r="BS16" s="142" t="s">
        <v>67</v>
      </c>
      <c r="BT16" s="142" t="s">
        <v>67</v>
      </c>
      <c r="BU16" s="142" t="s">
        <v>61</v>
      </c>
      <c r="BV16" s="142" t="s">
        <v>42</v>
      </c>
      <c r="BW16" s="142" t="s">
        <v>49</v>
      </c>
      <c r="BX16" s="142" t="s">
        <v>20</v>
      </c>
      <c r="BY16" s="142" t="s">
        <v>71</v>
      </c>
      <c r="BZ16" s="142" t="s">
        <v>42</v>
      </c>
      <c r="CA16" s="142" t="s">
        <v>20</v>
      </c>
      <c r="CB16" s="142" t="s">
        <v>61</v>
      </c>
      <c r="CC16" s="142" t="s">
        <v>42</v>
      </c>
      <c r="CD16" s="142" t="s">
        <v>49</v>
      </c>
      <c r="CE16" s="142" t="s">
        <v>20</v>
      </c>
      <c r="CF16" s="143" t="s">
        <v>71</v>
      </c>
      <c r="CG16" s="43"/>
    </row>
    <row r="17" spans="1:85" ht="18" customHeight="1">
      <c r="A17" s="396" t="s">
        <v>615</v>
      </c>
      <c r="B17" s="397"/>
      <c r="C17" s="397"/>
      <c r="D17" s="397"/>
      <c r="E17" s="397"/>
      <c r="F17" s="398" t="s">
        <v>616</v>
      </c>
      <c r="G17" s="398"/>
      <c r="H17" s="398"/>
      <c r="I17" s="398"/>
      <c r="J17" s="398"/>
      <c r="K17" s="398"/>
      <c r="L17" s="398"/>
      <c r="M17" s="398"/>
      <c r="N17" s="398"/>
      <c r="O17" s="398"/>
      <c r="P17" s="398"/>
      <c r="Q17" s="398"/>
      <c r="R17" s="398"/>
      <c r="S17" s="398"/>
      <c r="T17" s="398"/>
      <c r="U17" s="398"/>
      <c r="V17" s="398"/>
      <c r="W17" s="398"/>
      <c r="X17" s="398"/>
      <c r="Y17" s="398"/>
      <c r="Z17" s="398"/>
      <c r="AA17" s="398"/>
      <c r="AB17" s="398"/>
      <c r="AC17" s="398"/>
      <c r="AD17" s="398"/>
      <c r="AE17" s="398"/>
      <c r="AF17" s="398"/>
      <c r="AG17" s="398"/>
      <c r="AH17" s="398"/>
      <c r="AI17" s="399"/>
      <c r="AK17" s="425" t="s">
        <v>617</v>
      </c>
      <c r="AL17" s="425"/>
      <c r="AM17" s="425"/>
      <c r="AN17" s="425"/>
      <c r="AO17" s="425"/>
      <c r="AP17" s="425"/>
      <c r="AQ17" s="42"/>
      <c r="AR17" s="43"/>
      <c r="AS17" s="46">
        <v>8</v>
      </c>
      <c r="AT17" s="46"/>
      <c r="AU17" s="46" t="s">
        <v>67</v>
      </c>
      <c r="AV17" s="47" t="s">
        <v>618</v>
      </c>
      <c r="AW17" s="47" t="s">
        <v>612</v>
      </c>
      <c r="AX17" s="47">
        <v>0.83333333333333337</v>
      </c>
      <c r="AY17" s="47" t="s">
        <v>613</v>
      </c>
      <c r="AZ17" s="43"/>
      <c r="BB17" s="121" t="s">
        <v>619</v>
      </c>
      <c r="BC17" s="141" t="s">
        <v>67</v>
      </c>
      <c r="BD17" s="140" t="s">
        <v>42</v>
      </c>
      <c r="BE17" s="141" t="s">
        <v>71</v>
      </c>
      <c r="BF17" s="140" t="s">
        <v>67</v>
      </c>
      <c r="BG17" s="140" t="s">
        <v>61</v>
      </c>
      <c r="BH17" s="140" t="s">
        <v>42</v>
      </c>
      <c r="BI17" s="140" t="s">
        <v>49</v>
      </c>
      <c r="BJ17" s="140" t="s">
        <v>61</v>
      </c>
      <c r="BK17" s="140" t="s">
        <v>71</v>
      </c>
      <c r="BL17" s="140" t="s">
        <v>67</v>
      </c>
      <c r="BM17" s="140" t="s">
        <v>49</v>
      </c>
      <c r="BN17" s="140" t="s">
        <v>49</v>
      </c>
      <c r="BO17" s="140" t="s">
        <v>61</v>
      </c>
      <c r="BP17" s="140" t="s">
        <v>49</v>
      </c>
      <c r="BQ17" s="140" t="s">
        <v>67</v>
      </c>
      <c r="BR17" s="140" t="s">
        <v>42</v>
      </c>
      <c r="BS17" s="140" t="s">
        <v>42</v>
      </c>
      <c r="BT17" s="140" t="s">
        <v>49</v>
      </c>
      <c r="BU17" s="140" t="s">
        <v>42</v>
      </c>
      <c r="BV17" s="140" t="s">
        <v>61</v>
      </c>
      <c r="BW17" s="140" t="s">
        <v>71</v>
      </c>
      <c r="BX17" s="140" t="s">
        <v>67</v>
      </c>
      <c r="BY17" s="140" t="s">
        <v>42</v>
      </c>
      <c r="BZ17" s="140" t="s">
        <v>67</v>
      </c>
      <c r="CA17" s="140" t="s">
        <v>67</v>
      </c>
      <c r="CB17" s="140" t="s">
        <v>49</v>
      </c>
      <c r="CC17" s="140" t="s">
        <v>61</v>
      </c>
      <c r="CD17" s="140" t="s">
        <v>71</v>
      </c>
      <c r="CE17" s="140" t="s">
        <v>67</v>
      </c>
      <c r="CF17" s="140" t="s">
        <v>42</v>
      </c>
      <c r="CG17" s="43"/>
    </row>
    <row r="18" spans="1:85" ht="18" customHeight="1">
      <c r="A18" s="501" t="s">
        <v>620</v>
      </c>
      <c r="B18" s="502"/>
      <c r="C18" s="502"/>
      <c r="D18" s="502"/>
      <c r="E18" s="502"/>
      <c r="F18" s="400" t="s">
        <v>616</v>
      </c>
      <c r="G18" s="400"/>
      <c r="H18" s="400"/>
      <c r="I18" s="400"/>
      <c r="J18" s="400"/>
      <c r="K18" s="400"/>
      <c r="L18" s="400"/>
      <c r="M18" s="400"/>
      <c r="N18" s="400"/>
      <c r="O18" s="400"/>
      <c r="P18" s="400"/>
      <c r="Q18" s="400"/>
      <c r="R18" s="400"/>
      <c r="S18" s="400"/>
      <c r="T18" s="400"/>
      <c r="U18" s="400"/>
      <c r="V18" s="400"/>
      <c r="W18" s="400"/>
      <c r="X18" s="400"/>
      <c r="Y18" s="400"/>
      <c r="Z18" s="400"/>
      <c r="AA18" s="400"/>
      <c r="AB18" s="400"/>
      <c r="AC18" s="400"/>
      <c r="AD18" s="400"/>
      <c r="AE18" s="400"/>
      <c r="AF18" s="400"/>
      <c r="AG18" s="400"/>
      <c r="AH18" s="400"/>
      <c r="AI18" s="401"/>
      <c r="AK18" s="425" t="s">
        <v>621</v>
      </c>
      <c r="AL18" s="425"/>
      <c r="AM18" s="425"/>
      <c r="AN18" s="425"/>
      <c r="AO18" s="425"/>
      <c r="AP18" s="425"/>
      <c r="AQ18" s="42"/>
      <c r="AR18" s="43"/>
      <c r="AS18" s="46">
        <v>9</v>
      </c>
      <c r="AT18" s="46"/>
      <c r="AU18" s="46"/>
      <c r="AV18" s="47" t="s">
        <v>622</v>
      </c>
      <c r="AW18" s="47" t="s">
        <v>612</v>
      </c>
      <c r="AX18" s="47">
        <v>0.83333333333333337</v>
      </c>
      <c r="AY18" s="47" t="s">
        <v>613</v>
      </c>
      <c r="AZ18" s="43"/>
    </row>
    <row r="19" spans="1:85" ht="18" customHeight="1" thickBot="1">
      <c r="A19" s="35" t="s">
        <v>189</v>
      </c>
      <c r="B19" s="405">
        <v>0.39583333333333331</v>
      </c>
      <c r="C19" s="405"/>
      <c r="D19" s="405"/>
      <c r="E19" s="405"/>
      <c r="F19" s="563" t="s">
        <v>839</v>
      </c>
      <c r="G19" s="402"/>
      <c r="H19" s="402"/>
      <c r="I19" s="402"/>
      <c r="J19" s="402"/>
      <c r="K19" s="402"/>
      <c r="L19" s="402"/>
      <c r="M19" s="402"/>
      <c r="N19" s="402"/>
      <c r="O19" s="402"/>
      <c r="P19" s="402"/>
      <c r="Q19" s="402"/>
      <c r="R19" s="402"/>
      <c r="S19" s="402"/>
      <c r="T19" s="402"/>
      <c r="U19" s="402"/>
      <c r="V19" s="402"/>
      <c r="W19" s="402"/>
      <c r="X19" s="402"/>
      <c r="Y19" s="402"/>
      <c r="Z19" s="402"/>
      <c r="AA19" s="402"/>
      <c r="AB19" s="402"/>
      <c r="AC19" s="402"/>
      <c r="AD19" s="402"/>
      <c r="AE19" s="402"/>
      <c r="AF19" s="402"/>
      <c r="AG19" s="402"/>
      <c r="AH19" s="402"/>
      <c r="AI19" s="403"/>
      <c r="AK19" s="524" t="s">
        <v>623</v>
      </c>
      <c r="AL19" s="524"/>
      <c r="AM19" s="524"/>
      <c r="AN19" s="524"/>
      <c r="AO19" s="524"/>
      <c r="AP19" s="524"/>
      <c r="AQ19" s="58"/>
      <c r="AR19" s="43"/>
      <c r="AS19" s="46">
        <v>10</v>
      </c>
      <c r="AT19" s="46"/>
      <c r="AU19" s="46"/>
      <c r="AV19" s="47" t="s">
        <v>111</v>
      </c>
      <c r="AW19" s="47" t="s">
        <v>612</v>
      </c>
      <c r="AX19" s="47">
        <v>0.83333333333333337</v>
      </c>
      <c r="AY19" s="47" t="s">
        <v>613</v>
      </c>
      <c r="AZ19" s="43"/>
    </row>
    <row r="20" spans="1:85" ht="18" customHeight="1">
      <c r="A20" s="36" t="s">
        <v>189</v>
      </c>
      <c r="B20" s="404">
        <v>0.56944444444444442</v>
      </c>
      <c r="C20" s="404"/>
      <c r="D20" s="404"/>
      <c r="E20" s="404"/>
      <c r="F20" s="288" t="s">
        <v>840</v>
      </c>
      <c r="G20" s="288"/>
      <c r="H20" s="288"/>
      <c r="I20" s="288"/>
      <c r="J20" s="288"/>
      <c r="K20" s="288"/>
      <c r="L20" s="288"/>
      <c r="M20" s="288"/>
      <c r="N20" s="288"/>
      <c r="O20" s="288"/>
      <c r="P20" s="288"/>
      <c r="Q20" s="288"/>
      <c r="R20" s="288"/>
      <c r="S20" s="288"/>
      <c r="T20" s="288"/>
      <c r="U20" s="288"/>
      <c r="V20" s="288"/>
      <c r="W20" s="288"/>
      <c r="X20" s="288"/>
      <c r="Y20" s="288"/>
      <c r="Z20" s="288"/>
      <c r="AA20" s="288"/>
      <c r="AB20" s="288"/>
      <c r="AC20" s="288"/>
      <c r="AD20" s="288"/>
      <c r="AE20" s="288"/>
      <c r="AF20" s="288"/>
      <c r="AG20" s="288"/>
      <c r="AH20" s="288"/>
      <c r="AI20" s="289"/>
      <c r="AK20" s="447" t="s">
        <v>624</v>
      </c>
      <c r="AL20" s="448"/>
      <c r="AM20" s="448"/>
      <c r="AN20" s="448"/>
      <c r="AO20" s="448"/>
      <c r="AP20" s="448"/>
      <c r="AQ20" s="62"/>
      <c r="AR20" s="426" t="s">
        <v>625</v>
      </c>
      <c r="AS20" s="146">
        <v>11</v>
      </c>
      <c r="AT20" s="46"/>
      <c r="AU20" s="46"/>
      <c r="AV20" s="47" t="s">
        <v>111</v>
      </c>
      <c r="AW20" s="47" t="s">
        <v>612</v>
      </c>
      <c r="AX20" s="47">
        <v>0.83333333333333337</v>
      </c>
      <c r="AY20" s="47" t="s">
        <v>613</v>
      </c>
      <c r="AZ20" s="43"/>
    </row>
    <row r="21" spans="1:85" ht="18" customHeight="1" thickBot="1">
      <c r="A21" s="36" t="s">
        <v>189</v>
      </c>
      <c r="B21" s="404">
        <v>0.77083333333333337</v>
      </c>
      <c r="C21" s="404"/>
      <c r="D21" s="404"/>
      <c r="E21" s="404"/>
      <c r="F21" s="288" t="s">
        <v>841</v>
      </c>
      <c r="G21" s="288"/>
      <c r="H21" s="288"/>
      <c r="I21" s="288"/>
      <c r="J21" s="288"/>
      <c r="K21" s="288"/>
      <c r="L21" s="288"/>
      <c r="M21" s="288"/>
      <c r="N21" s="288"/>
      <c r="O21" s="288"/>
      <c r="P21" s="288"/>
      <c r="Q21" s="288"/>
      <c r="R21" s="288"/>
      <c r="S21" s="288"/>
      <c r="T21" s="288"/>
      <c r="U21" s="288"/>
      <c r="V21" s="288"/>
      <c r="W21" s="288"/>
      <c r="X21" s="288"/>
      <c r="Y21" s="288"/>
      <c r="Z21" s="288"/>
      <c r="AA21" s="288"/>
      <c r="AB21" s="288"/>
      <c r="AC21" s="288"/>
      <c r="AD21" s="288"/>
      <c r="AE21" s="288"/>
      <c r="AF21" s="288"/>
      <c r="AG21" s="288"/>
      <c r="AH21" s="288"/>
      <c r="AI21" s="289"/>
      <c r="AK21" s="429" t="s">
        <v>626</v>
      </c>
      <c r="AL21" s="430"/>
      <c r="AM21" s="430"/>
      <c r="AN21" s="430"/>
      <c r="AO21" s="430"/>
      <c r="AP21" s="430"/>
      <c r="AQ21" s="63"/>
      <c r="AR21" s="427"/>
      <c r="AW21" s="43"/>
      <c r="AX21" s="43"/>
      <c r="AY21" s="43"/>
      <c r="AZ21" s="43"/>
    </row>
    <row r="22" spans="1:85" ht="18" customHeight="1">
      <c r="A22" s="36"/>
      <c r="B22" s="404"/>
      <c r="C22" s="404"/>
      <c r="D22" s="404"/>
      <c r="E22" s="404"/>
      <c r="F22" s="288" t="s">
        <v>842</v>
      </c>
      <c r="G22" s="288"/>
      <c r="H22" s="288"/>
      <c r="I22" s="288"/>
      <c r="J22" s="288"/>
      <c r="K22" s="288"/>
      <c r="L22" s="288"/>
      <c r="M22" s="288"/>
      <c r="N22" s="288"/>
      <c r="O22" s="288"/>
      <c r="P22" s="288"/>
      <c r="Q22" s="288"/>
      <c r="R22" s="288"/>
      <c r="S22" s="288"/>
      <c r="T22" s="288"/>
      <c r="U22" s="288"/>
      <c r="V22" s="288"/>
      <c r="W22" s="288"/>
      <c r="X22" s="288"/>
      <c r="Y22" s="288"/>
      <c r="Z22" s="288"/>
      <c r="AA22" s="288"/>
      <c r="AB22" s="288"/>
      <c r="AC22" s="288"/>
      <c r="AD22" s="288"/>
      <c r="AE22" s="288"/>
      <c r="AF22" s="288"/>
      <c r="AG22" s="288"/>
      <c r="AH22" s="288"/>
      <c r="AI22" s="289"/>
      <c r="AK22" s="429" t="s">
        <v>627</v>
      </c>
      <c r="AL22" s="430"/>
      <c r="AM22" s="430"/>
      <c r="AN22" s="430"/>
      <c r="AO22" s="430"/>
      <c r="AP22" s="430"/>
      <c r="AQ22" s="63"/>
      <c r="AR22" s="427"/>
      <c r="AS22" s="433" t="s">
        <v>628</v>
      </c>
      <c r="AT22" s="434"/>
      <c r="AU22" s="435"/>
      <c r="AV22" s="435"/>
      <c r="AW22" s="60" t="s">
        <v>74</v>
      </c>
      <c r="AY22" s="413" t="s">
        <v>629</v>
      </c>
      <c r="AZ22" s="413"/>
      <c r="BA22" s="412"/>
      <c r="BB22" s="412"/>
    </row>
    <row r="23" spans="1:85" ht="18" customHeight="1" thickBot="1">
      <c r="A23" s="36" t="s">
        <v>189</v>
      </c>
      <c r="B23" s="404">
        <v>0.88888888888888884</v>
      </c>
      <c r="C23" s="404"/>
      <c r="D23" s="404"/>
      <c r="E23" s="404"/>
      <c r="F23" s="288" t="s">
        <v>843</v>
      </c>
      <c r="G23" s="288"/>
      <c r="H23" s="288"/>
      <c r="I23" s="288"/>
      <c r="J23" s="288"/>
      <c r="K23" s="288"/>
      <c r="L23" s="288"/>
      <c r="M23" s="288"/>
      <c r="N23" s="288"/>
      <c r="O23" s="288"/>
      <c r="P23" s="288"/>
      <c r="Q23" s="288"/>
      <c r="R23" s="288"/>
      <c r="S23" s="288"/>
      <c r="T23" s="288"/>
      <c r="U23" s="288"/>
      <c r="V23" s="288"/>
      <c r="W23" s="288"/>
      <c r="X23" s="288"/>
      <c r="Y23" s="288"/>
      <c r="Z23" s="288"/>
      <c r="AA23" s="288"/>
      <c r="AB23" s="288"/>
      <c r="AC23" s="288"/>
      <c r="AD23" s="288"/>
      <c r="AE23" s="288"/>
      <c r="AF23" s="288"/>
      <c r="AG23" s="288"/>
      <c r="AH23" s="288"/>
      <c r="AI23" s="289"/>
      <c r="AK23" s="431" t="s">
        <v>630</v>
      </c>
      <c r="AL23" s="432"/>
      <c r="AM23" s="432"/>
      <c r="AN23" s="432"/>
      <c r="AO23" s="432"/>
      <c r="AP23" s="432"/>
      <c r="AQ23" s="64"/>
      <c r="AR23" s="428"/>
      <c r="AS23" s="536" t="s">
        <v>631</v>
      </c>
      <c r="AT23" s="246"/>
      <c r="AU23" s="537"/>
      <c r="AV23" s="537"/>
      <c r="AW23" s="56" t="s">
        <v>632</v>
      </c>
      <c r="AY23" s="413" t="s">
        <v>633</v>
      </c>
      <c r="AZ23" s="413"/>
      <c r="BA23" s="412"/>
      <c r="BB23" s="412"/>
    </row>
    <row r="24" spans="1:85" ht="18" customHeight="1" thickBot="1">
      <c r="A24" s="36" t="s">
        <v>189</v>
      </c>
      <c r="B24" s="404">
        <v>0.91041666666666665</v>
      </c>
      <c r="C24" s="404"/>
      <c r="D24" s="404"/>
      <c r="E24" s="404"/>
      <c r="F24" s="288" t="s">
        <v>714</v>
      </c>
      <c r="G24" s="288"/>
      <c r="H24" s="288"/>
      <c r="I24" s="288"/>
      <c r="J24" s="288"/>
      <c r="K24" s="288"/>
      <c r="L24" s="288"/>
      <c r="M24" s="288"/>
      <c r="N24" s="288"/>
      <c r="O24" s="288"/>
      <c r="P24" s="288"/>
      <c r="Q24" s="288"/>
      <c r="R24" s="288"/>
      <c r="S24" s="288"/>
      <c r="T24" s="288"/>
      <c r="U24" s="288"/>
      <c r="V24" s="288"/>
      <c r="W24" s="288"/>
      <c r="X24" s="288"/>
      <c r="Y24" s="288"/>
      <c r="Z24" s="288"/>
      <c r="AA24" s="288"/>
      <c r="AB24" s="288"/>
      <c r="AC24" s="288"/>
      <c r="AD24" s="288"/>
      <c r="AE24" s="288"/>
      <c r="AF24" s="288"/>
      <c r="AG24" s="288"/>
      <c r="AH24" s="288"/>
      <c r="AI24" s="289"/>
      <c r="AK24" s="527" t="s">
        <v>634</v>
      </c>
      <c r="AL24" s="528"/>
      <c r="AM24" s="528"/>
      <c r="AN24" s="528"/>
      <c r="AO24" s="528"/>
      <c r="AP24" s="528"/>
      <c r="AQ24" s="65"/>
      <c r="AR24" s="43"/>
      <c r="AY24" s="413" t="s">
        <v>635</v>
      </c>
      <c r="AZ24" s="413"/>
      <c r="BA24" s="412"/>
      <c r="BB24" s="412"/>
    </row>
    <row r="25" spans="1:85" ht="18" customHeight="1">
      <c r="A25" s="36" t="s">
        <v>189</v>
      </c>
      <c r="B25" s="404">
        <v>0.11805555555555555</v>
      </c>
      <c r="C25" s="404"/>
      <c r="D25" s="404"/>
      <c r="E25" s="404"/>
      <c r="F25" s="288" t="s">
        <v>844</v>
      </c>
      <c r="G25" s="288"/>
      <c r="H25" s="288"/>
      <c r="I25" s="288"/>
      <c r="J25" s="288"/>
      <c r="K25" s="288"/>
      <c r="L25" s="288"/>
      <c r="M25" s="288"/>
      <c r="N25" s="288"/>
      <c r="O25" s="288"/>
      <c r="P25" s="288"/>
      <c r="Q25" s="288"/>
      <c r="R25" s="288"/>
      <c r="S25" s="288"/>
      <c r="T25" s="288"/>
      <c r="U25" s="288"/>
      <c r="V25" s="288"/>
      <c r="W25" s="288"/>
      <c r="X25" s="288"/>
      <c r="Y25" s="288"/>
      <c r="Z25" s="288"/>
      <c r="AA25" s="288"/>
      <c r="AB25" s="288"/>
      <c r="AC25" s="288"/>
      <c r="AD25" s="288"/>
      <c r="AE25" s="288"/>
      <c r="AF25" s="288"/>
      <c r="AG25" s="288"/>
      <c r="AH25" s="288"/>
      <c r="AI25" s="289"/>
      <c r="AK25" s="529" t="s">
        <v>636</v>
      </c>
      <c r="AL25" s="529"/>
      <c r="AM25" s="529"/>
      <c r="AN25" s="529"/>
      <c r="AO25" s="529"/>
      <c r="AP25" s="529"/>
      <c r="AQ25" s="66"/>
      <c r="AR25" s="43"/>
      <c r="AY25" s="413" t="s">
        <v>637</v>
      </c>
      <c r="AZ25" s="413"/>
      <c r="BA25" s="412"/>
      <c r="BB25" s="412"/>
    </row>
    <row r="26" spans="1:85" ht="18" customHeight="1">
      <c r="A26" s="36"/>
      <c r="B26" s="404"/>
      <c r="C26" s="404"/>
      <c r="D26" s="404"/>
      <c r="E26" s="404"/>
      <c r="F26" s="288"/>
      <c r="G26" s="288"/>
      <c r="H26" s="288"/>
      <c r="I26" s="288"/>
      <c r="J26" s="288"/>
      <c r="K26" s="288"/>
      <c r="L26" s="288"/>
      <c r="M26" s="288"/>
      <c r="N26" s="288"/>
      <c r="O26" s="288"/>
      <c r="P26" s="288"/>
      <c r="Q26" s="288"/>
      <c r="R26" s="288"/>
      <c r="S26" s="288"/>
      <c r="T26" s="288"/>
      <c r="U26" s="288"/>
      <c r="V26" s="288"/>
      <c r="W26" s="288"/>
      <c r="X26" s="288"/>
      <c r="Y26" s="288"/>
      <c r="Z26" s="288"/>
      <c r="AA26" s="288"/>
      <c r="AB26" s="288"/>
      <c r="AC26" s="288"/>
      <c r="AD26" s="288"/>
      <c r="AE26" s="288"/>
      <c r="AF26" s="288"/>
      <c r="AG26" s="288"/>
      <c r="AH26" s="288"/>
      <c r="AI26" s="289"/>
      <c r="AK26" s="436" t="s">
        <v>638</v>
      </c>
      <c r="AL26" s="436"/>
      <c r="AM26" s="436"/>
      <c r="AN26" s="436"/>
      <c r="AO26" s="436"/>
      <c r="AP26" s="436"/>
      <c r="AQ26" s="67"/>
      <c r="AR26" s="43"/>
      <c r="AS26" s="548" t="s">
        <v>639</v>
      </c>
      <c r="AT26" s="549"/>
      <c r="AU26" s="549"/>
      <c r="AV26" s="549"/>
      <c r="AW26" s="550"/>
      <c r="AY26" s="147"/>
      <c r="AZ26" s="147"/>
      <c r="BA26" s="147"/>
      <c r="BB26" s="147"/>
    </row>
    <row r="27" spans="1:85" ht="18" customHeight="1">
      <c r="A27" s="36"/>
      <c r="B27" s="404"/>
      <c r="C27" s="404"/>
      <c r="D27" s="404"/>
      <c r="E27" s="404"/>
      <c r="F27" s="288"/>
      <c r="G27" s="288"/>
      <c r="H27" s="288"/>
      <c r="I27" s="288"/>
      <c r="J27" s="288"/>
      <c r="K27" s="288"/>
      <c r="L27" s="288"/>
      <c r="M27" s="288"/>
      <c r="N27" s="288"/>
      <c r="O27" s="288"/>
      <c r="P27" s="288"/>
      <c r="Q27" s="288"/>
      <c r="R27" s="288"/>
      <c r="S27" s="288"/>
      <c r="T27" s="288"/>
      <c r="U27" s="288"/>
      <c r="V27" s="288"/>
      <c r="W27" s="288"/>
      <c r="X27" s="288"/>
      <c r="Y27" s="288"/>
      <c r="Z27" s="288"/>
      <c r="AA27" s="288"/>
      <c r="AB27" s="288"/>
      <c r="AC27" s="288"/>
      <c r="AD27" s="288"/>
      <c r="AE27" s="288"/>
      <c r="AF27" s="288"/>
      <c r="AG27" s="288"/>
      <c r="AH27" s="288"/>
      <c r="AI27" s="289"/>
      <c r="AK27" s="436" t="s">
        <v>640</v>
      </c>
      <c r="AL27" s="436"/>
      <c r="AM27" s="436"/>
      <c r="AN27" s="436"/>
      <c r="AO27" s="436"/>
      <c r="AP27" s="436"/>
      <c r="AQ27" s="67"/>
      <c r="AR27" s="43"/>
      <c r="AS27" s="458" t="s">
        <v>641</v>
      </c>
      <c r="AT27" s="460"/>
      <c r="AU27" s="458" t="s">
        <v>642</v>
      </c>
      <c r="AV27" s="459"/>
      <c r="AW27" s="460"/>
      <c r="AY27" s="411" t="s">
        <v>643</v>
      </c>
      <c r="AZ27" s="411"/>
      <c r="BA27" s="411"/>
      <c r="BB27" s="411"/>
    </row>
    <row r="28" spans="1:85" ht="18" customHeight="1" thickBot="1">
      <c r="A28" s="36"/>
      <c r="B28" s="404"/>
      <c r="C28" s="404"/>
      <c r="D28" s="404"/>
      <c r="E28" s="404"/>
      <c r="F28" s="288"/>
      <c r="G28" s="288"/>
      <c r="H28" s="288"/>
      <c r="I28" s="288"/>
      <c r="J28" s="288"/>
      <c r="K28" s="288"/>
      <c r="L28" s="288"/>
      <c r="M28" s="288"/>
      <c r="N28" s="288"/>
      <c r="O28" s="288"/>
      <c r="P28" s="288"/>
      <c r="Q28" s="288"/>
      <c r="R28" s="288"/>
      <c r="S28" s="288"/>
      <c r="T28" s="288"/>
      <c r="U28" s="288"/>
      <c r="V28" s="288"/>
      <c r="W28" s="288"/>
      <c r="X28" s="288"/>
      <c r="Y28" s="288"/>
      <c r="Z28" s="288"/>
      <c r="AA28" s="288"/>
      <c r="AB28" s="288"/>
      <c r="AC28" s="288"/>
      <c r="AD28" s="288"/>
      <c r="AE28" s="288"/>
      <c r="AF28" s="288"/>
      <c r="AG28" s="288"/>
      <c r="AH28" s="288"/>
      <c r="AI28" s="289"/>
      <c r="AK28" s="436" t="s">
        <v>644</v>
      </c>
      <c r="AL28" s="436"/>
      <c r="AM28" s="436"/>
      <c r="AN28" s="436"/>
      <c r="AO28" s="436"/>
      <c r="AP28" s="436"/>
      <c r="AQ28" s="67"/>
      <c r="AR28" s="43"/>
      <c r="AS28" s="538" t="s">
        <v>645</v>
      </c>
      <c r="AT28" s="539"/>
      <c r="AU28" s="533" t="s">
        <v>646</v>
      </c>
      <c r="AV28" s="534"/>
      <c r="AW28" s="535"/>
      <c r="AY28" s="413" t="s">
        <v>647</v>
      </c>
      <c r="AZ28" s="413"/>
      <c r="BA28" s="412"/>
      <c r="BB28" s="412"/>
    </row>
    <row r="29" spans="1:85" ht="18" customHeight="1" thickBot="1">
      <c r="A29" s="36"/>
      <c r="B29" s="404"/>
      <c r="C29" s="404"/>
      <c r="D29" s="404"/>
      <c r="E29" s="404"/>
      <c r="F29" s="288"/>
      <c r="G29" s="288"/>
      <c r="H29" s="288"/>
      <c r="I29" s="288"/>
      <c r="J29" s="288"/>
      <c r="K29" s="288"/>
      <c r="L29" s="288"/>
      <c r="M29" s="288"/>
      <c r="N29" s="288"/>
      <c r="O29" s="288"/>
      <c r="P29" s="288"/>
      <c r="Q29" s="288"/>
      <c r="R29" s="288"/>
      <c r="S29" s="288"/>
      <c r="T29" s="288"/>
      <c r="U29" s="288"/>
      <c r="V29" s="288"/>
      <c r="W29" s="288"/>
      <c r="X29" s="288"/>
      <c r="Y29" s="288"/>
      <c r="Z29" s="288"/>
      <c r="AA29" s="288"/>
      <c r="AB29" s="288"/>
      <c r="AC29" s="288"/>
      <c r="AD29" s="288"/>
      <c r="AE29" s="288"/>
      <c r="AF29" s="288"/>
      <c r="AG29" s="288"/>
      <c r="AH29" s="288"/>
      <c r="AI29" s="289"/>
      <c r="AK29" s="524"/>
      <c r="AL29" s="524"/>
      <c r="AM29" s="524"/>
      <c r="AN29" s="524"/>
      <c r="AO29" s="524"/>
      <c r="AP29" s="524"/>
      <c r="AQ29" s="58"/>
      <c r="AR29" s="43"/>
      <c r="AS29" s="551">
        <v>1.1048611111111111</v>
      </c>
      <c r="AT29" s="552"/>
      <c r="AU29" s="434" t="s">
        <v>845</v>
      </c>
      <c r="AV29" s="434"/>
      <c r="AW29" s="553"/>
      <c r="AY29" s="413" t="s">
        <v>633</v>
      </c>
      <c r="AZ29" s="413"/>
      <c r="BA29" s="412"/>
      <c r="BB29" s="412"/>
    </row>
    <row r="30" spans="1:85" ht="18" customHeight="1">
      <c r="A30" s="36"/>
      <c r="B30" s="404"/>
      <c r="C30" s="404"/>
      <c r="D30" s="404"/>
      <c r="E30" s="404"/>
      <c r="F30" s="288"/>
      <c r="G30" s="288"/>
      <c r="H30" s="288"/>
      <c r="I30" s="288"/>
      <c r="J30" s="288"/>
      <c r="K30" s="288"/>
      <c r="L30" s="288"/>
      <c r="M30" s="288"/>
      <c r="N30" s="288"/>
      <c r="O30" s="288"/>
      <c r="P30" s="288"/>
      <c r="Q30" s="288"/>
      <c r="R30" s="288"/>
      <c r="S30" s="288"/>
      <c r="T30" s="288"/>
      <c r="U30" s="288"/>
      <c r="V30" s="288"/>
      <c r="W30" s="288"/>
      <c r="X30" s="288"/>
      <c r="Y30" s="288"/>
      <c r="Z30" s="288"/>
      <c r="AA30" s="288"/>
      <c r="AB30" s="288"/>
      <c r="AC30" s="288"/>
      <c r="AD30" s="288"/>
      <c r="AE30" s="288"/>
      <c r="AF30" s="288"/>
      <c r="AG30" s="288"/>
      <c r="AH30" s="288"/>
      <c r="AI30" s="289"/>
      <c r="AK30" s="449" t="s">
        <v>648</v>
      </c>
      <c r="AL30" s="450"/>
      <c r="AM30" s="450"/>
      <c r="AN30" s="450"/>
      <c r="AO30" s="450"/>
      <c r="AP30" s="450"/>
      <c r="AQ30" s="62"/>
      <c r="AR30" s="43"/>
      <c r="AS30" s="554">
        <v>1.1055555555555556</v>
      </c>
      <c r="AT30" s="532"/>
      <c r="AU30" s="439" t="s">
        <v>846</v>
      </c>
      <c r="AV30" s="439"/>
      <c r="AW30" s="555"/>
      <c r="AY30" s="413" t="s">
        <v>649</v>
      </c>
      <c r="AZ30" s="413"/>
      <c r="BA30" s="412"/>
      <c r="BB30" s="412"/>
    </row>
    <row r="31" spans="1:85" ht="18" customHeight="1" thickBot="1">
      <c r="A31" s="37"/>
      <c r="B31" s="466"/>
      <c r="C31" s="466"/>
      <c r="D31" s="466"/>
      <c r="E31" s="466"/>
      <c r="F31" s="467"/>
      <c r="G31" s="467"/>
      <c r="H31" s="467"/>
      <c r="I31" s="467"/>
      <c r="J31" s="467"/>
      <c r="K31" s="467"/>
      <c r="L31" s="467"/>
      <c r="M31" s="467"/>
      <c r="N31" s="467"/>
      <c r="O31" s="467"/>
      <c r="P31" s="467"/>
      <c r="Q31" s="467"/>
      <c r="R31" s="467"/>
      <c r="S31" s="467"/>
      <c r="T31" s="467"/>
      <c r="U31" s="467"/>
      <c r="V31" s="467"/>
      <c r="W31" s="467"/>
      <c r="X31" s="467"/>
      <c r="Y31" s="467"/>
      <c r="Z31" s="467"/>
      <c r="AA31" s="467"/>
      <c r="AB31" s="467"/>
      <c r="AC31" s="467"/>
      <c r="AD31" s="467"/>
      <c r="AE31" s="467"/>
      <c r="AF31" s="467"/>
      <c r="AG31" s="467"/>
      <c r="AH31" s="467"/>
      <c r="AI31" s="468"/>
      <c r="AK31" s="451" t="s">
        <v>650</v>
      </c>
      <c r="AL31" s="416"/>
      <c r="AM31" s="416"/>
      <c r="AN31" s="416"/>
      <c r="AO31" s="416"/>
      <c r="AP31" s="416"/>
      <c r="AQ31" s="64"/>
      <c r="AR31" s="48"/>
      <c r="AS31" s="556">
        <v>1.2680555555555555</v>
      </c>
      <c r="AT31" s="557"/>
      <c r="AU31" s="424" t="s">
        <v>847</v>
      </c>
      <c r="AV31" s="424"/>
      <c r="AW31" s="491"/>
      <c r="AY31" s="413" t="s">
        <v>637</v>
      </c>
      <c r="AZ31" s="413"/>
      <c r="BA31" s="412"/>
      <c r="BB31" s="412"/>
    </row>
    <row r="32" spans="1:85" ht="18" customHeight="1" thickBot="1">
      <c r="A32" s="406" t="s">
        <v>651</v>
      </c>
      <c r="B32" s="407"/>
      <c r="C32" s="407"/>
      <c r="D32" s="407"/>
      <c r="E32" s="407"/>
      <c r="F32" s="407"/>
      <c r="G32" s="407"/>
      <c r="H32" s="407"/>
      <c r="I32" s="407"/>
      <c r="J32" s="407"/>
      <c r="K32" s="407"/>
      <c r="L32" s="407"/>
      <c r="M32" s="407"/>
      <c r="N32" s="407"/>
      <c r="O32" s="407"/>
      <c r="P32" s="407"/>
      <c r="Q32" s="407"/>
      <c r="R32" s="407"/>
      <c r="S32" s="407"/>
      <c r="T32" s="407"/>
      <c r="U32" s="407"/>
      <c r="V32" s="407"/>
      <c r="W32" s="407"/>
      <c r="X32" s="407"/>
      <c r="Y32" s="407"/>
      <c r="Z32" s="407"/>
      <c r="AA32" s="407"/>
      <c r="AB32" s="407"/>
      <c r="AC32" s="407"/>
      <c r="AD32" s="407"/>
      <c r="AE32" s="407"/>
      <c r="AF32" s="407"/>
      <c r="AG32" s="407"/>
      <c r="AH32" s="407"/>
      <c r="AI32" s="408"/>
      <c r="AK32" s="531"/>
      <c r="AL32" s="531"/>
      <c r="AM32" s="531"/>
      <c r="AN32" s="531"/>
      <c r="AO32" s="531"/>
      <c r="AP32" s="531"/>
      <c r="AQ32" s="61"/>
      <c r="AR32" s="48"/>
      <c r="AS32" s="558">
        <v>1.2701388888888889</v>
      </c>
      <c r="AT32" s="558"/>
      <c r="AU32" s="559" t="s">
        <v>848</v>
      </c>
      <c r="AV32" s="559"/>
      <c r="AW32" s="559"/>
      <c r="AY32" s="413" t="s">
        <v>652</v>
      </c>
      <c r="AZ32" s="413"/>
      <c r="BA32" s="412"/>
      <c r="BB32" s="412"/>
    </row>
    <row r="33" spans="1:80" ht="18" customHeight="1">
      <c r="A33" s="39"/>
      <c r="B33" s="546" t="s">
        <v>653</v>
      </c>
      <c r="C33" s="546"/>
      <c r="D33" s="546"/>
      <c r="E33" s="546"/>
      <c r="F33" s="417" t="str" cm="1">
        <f t="array" ref="F33">_xlfn.TEXTJOIN("/",TRUE,IF(AS29:AS31&lt;&gt;"",TEXT(AS29:AS31,"h:mm")&amp;" "&amp;AU29:AU31,""))</f>
        <v>2:31 ルーフトップテラス２/2:32 ルーフトップテラス１/6:26 屋外ストレージ１</v>
      </c>
      <c r="G33" s="418"/>
      <c r="H33" s="418"/>
      <c r="I33" s="418"/>
      <c r="J33" s="418"/>
      <c r="K33" s="418"/>
      <c r="L33" s="418"/>
      <c r="M33" s="418"/>
      <c r="N33" s="418"/>
      <c r="O33" s="418"/>
      <c r="P33" s="418"/>
      <c r="Q33" s="418"/>
      <c r="R33" s="418"/>
      <c r="S33" s="418"/>
      <c r="T33" s="418"/>
      <c r="U33" s="418"/>
      <c r="V33" s="418"/>
      <c r="W33" s="418"/>
      <c r="X33" s="418"/>
      <c r="Y33" s="418"/>
      <c r="Z33" s="418"/>
      <c r="AA33" s="418"/>
      <c r="AB33" s="418"/>
      <c r="AC33" s="418"/>
      <c r="AD33" s="418"/>
      <c r="AE33" s="418"/>
      <c r="AF33" s="418"/>
      <c r="AG33" s="418"/>
      <c r="AH33" s="418"/>
      <c r="AI33" s="419"/>
      <c r="AK33" s="449" t="s">
        <v>654</v>
      </c>
      <c r="AL33" s="450"/>
      <c r="AM33" s="450"/>
      <c r="AN33" s="450"/>
      <c r="AO33" s="450"/>
      <c r="AP33" s="450"/>
      <c r="AQ33" s="60"/>
      <c r="AR33" s="48"/>
      <c r="AS33" s="532"/>
      <c r="AT33" s="532"/>
      <c r="AU33" s="439"/>
      <c r="AV33" s="439"/>
      <c r="AW33" s="439"/>
      <c r="AY33" s="413" t="s">
        <v>655</v>
      </c>
      <c r="AZ33" s="413"/>
      <c r="BA33" s="412"/>
      <c r="BB33" s="412"/>
    </row>
    <row r="34" spans="1:80" ht="18" customHeight="1" thickBot="1">
      <c r="A34" s="39"/>
      <c r="B34" s="546" t="s">
        <v>656</v>
      </c>
      <c r="C34" s="546"/>
      <c r="D34" s="546"/>
      <c r="E34" s="546"/>
      <c r="F34" s="420" t="s">
        <v>79</v>
      </c>
      <c r="G34" s="420"/>
      <c r="H34" s="420"/>
      <c r="I34" s="420"/>
      <c r="J34" s="420"/>
      <c r="K34" s="420"/>
      <c r="L34" s="420"/>
      <c r="M34" s="420"/>
      <c r="N34" s="420"/>
      <c r="O34" s="420"/>
      <c r="P34" s="420"/>
      <c r="Q34" s="420"/>
      <c r="R34" s="420"/>
      <c r="S34" s="420"/>
      <c r="T34" s="420"/>
      <c r="U34" s="420"/>
      <c r="V34" s="420"/>
      <c r="W34" s="420"/>
      <c r="X34" s="420"/>
      <c r="Y34" s="420"/>
      <c r="Z34" s="420"/>
      <c r="AA34" s="420"/>
      <c r="AB34" s="420"/>
      <c r="AC34" s="421"/>
      <c r="AD34" s="421"/>
      <c r="AE34" s="421"/>
      <c r="AF34" s="421"/>
      <c r="AG34" s="421"/>
      <c r="AH34" s="421"/>
      <c r="AI34" s="422"/>
      <c r="AK34" s="451" t="s">
        <v>657</v>
      </c>
      <c r="AL34" s="416"/>
      <c r="AM34" s="416"/>
      <c r="AN34" s="416"/>
      <c r="AO34" s="416"/>
      <c r="AP34" s="416"/>
      <c r="AQ34" s="56"/>
      <c r="AR34" s="48"/>
      <c r="AS34" s="532"/>
      <c r="AT34" s="532"/>
      <c r="AU34" s="439"/>
      <c r="AV34" s="439"/>
      <c r="AW34" s="439"/>
      <c r="AY34" s="413" t="s">
        <v>658</v>
      </c>
      <c r="AZ34" s="413"/>
      <c r="BA34" s="412"/>
      <c r="BB34" s="412"/>
    </row>
    <row r="35" spans="1:80" ht="18" customHeight="1" thickBot="1">
      <c r="A35" s="57"/>
      <c r="B35" s="547" t="s">
        <v>659</v>
      </c>
      <c r="C35" s="547"/>
      <c r="D35" s="547"/>
      <c r="E35" s="547"/>
      <c r="F35" s="389" t="s">
        <v>660</v>
      </c>
      <c r="G35" s="389"/>
      <c r="H35" s="389"/>
      <c r="I35" s="389"/>
      <c r="J35" s="389"/>
      <c r="K35" s="389"/>
      <c r="L35" s="389"/>
      <c r="M35" s="389"/>
      <c r="N35" s="389"/>
      <c r="O35" s="389"/>
      <c r="P35" s="389"/>
      <c r="Q35" s="389"/>
      <c r="R35" s="389"/>
      <c r="S35" s="389"/>
      <c r="T35" s="389"/>
      <c r="U35" s="389"/>
      <c r="V35" s="389"/>
      <c r="W35" s="390" t="s">
        <v>661</v>
      </c>
      <c r="X35" s="391"/>
      <c r="Y35" s="391"/>
      <c r="Z35" s="391"/>
      <c r="AA35" s="391"/>
      <c r="AB35" s="391"/>
      <c r="AC35" s="392" t="s">
        <v>662</v>
      </c>
      <c r="AD35" s="393"/>
      <c r="AE35" s="393"/>
      <c r="AF35" s="393"/>
      <c r="AG35" s="393"/>
      <c r="AH35" s="393"/>
      <c r="AI35" s="394"/>
      <c r="AK35" s="531"/>
      <c r="AL35" s="531"/>
      <c r="AM35" s="531"/>
      <c r="AN35" s="531"/>
      <c r="AO35" s="531"/>
      <c r="AP35" s="531"/>
      <c r="AQ35" s="61"/>
      <c r="AR35" s="48"/>
      <c r="AS35" s="532"/>
      <c r="AT35" s="532"/>
      <c r="AU35" s="439"/>
      <c r="AV35" s="439"/>
      <c r="AW35" s="439"/>
      <c r="AY35" s="413" t="s">
        <v>663</v>
      </c>
      <c r="AZ35" s="413"/>
      <c r="BA35" s="412"/>
      <c r="BB35" s="412"/>
    </row>
    <row r="36" spans="1:80" ht="18" customHeight="1" thickBot="1">
      <c r="A36" s="492" t="s">
        <v>664</v>
      </c>
      <c r="B36" s="493"/>
      <c r="C36" s="493"/>
      <c r="D36" s="493"/>
      <c r="E36" s="493"/>
      <c r="F36" s="498">
        <v>4.1666666666666664E-2</v>
      </c>
      <c r="G36" s="439"/>
      <c r="H36" s="439"/>
      <c r="I36" s="439"/>
      <c r="J36" s="439"/>
      <c r="K36" s="439"/>
      <c r="L36" s="499" t="s">
        <v>665</v>
      </c>
      <c r="M36" s="489"/>
      <c r="N36" s="489"/>
      <c r="O36" s="500"/>
      <c r="P36" s="410" t="s">
        <v>21</v>
      </c>
      <c r="Q36" s="410"/>
      <c r="R36" s="410"/>
      <c r="S36" s="55" t="s">
        <v>666</v>
      </c>
      <c r="T36" s="410" t="s">
        <v>72</v>
      </c>
      <c r="U36" s="410"/>
      <c r="V36" s="530"/>
      <c r="W36" s="489" t="s">
        <v>667</v>
      </c>
      <c r="X36" s="489"/>
      <c r="Y36" s="489"/>
      <c r="Z36" s="489"/>
      <c r="AA36" s="489"/>
      <c r="AB36" s="489"/>
      <c r="AC36" s="490" t="s">
        <v>722</v>
      </c>
      <c r="AD36" s="487"/>
      <c r="AE36" s="487"/>
      <c r="AF36" s="487"/>
      <c r="AG36" s="487"/>
      <c r="AH36" s="487"/>
      <c r="AI36" s="488"/>
      <c r="AK36" s="525" t="s">
        <v>668</v>
      </c>
      <c r="AL36" s="526"/>
      <c r="AM36" s="526"/>
      <c r="AN36" s="526"/>
      <c r="AO36" s="526"/>
      <c r="AP36" s="526"/>
      <c r="AQ36" s="117"/>
      <c r="AR36" s="48"/>
      <c r="AS36" s="532"/>
      <c r="AT36" s="532"/>
      <c r="AU36" s="439"/>
      <c r="AV36" s="439"/>
      <c r="AW36" s="439"/>
      <c r="BH36" s="50"/>
      <c r="BI36" s="51"/>
    </row>
    <row r="37" spans="1:80" ht="18" customHeight="1" thickBot="1">
      <c r="A37" s="494" t="s">
        <v>669</v>
      </c>
      <c r="B37" s="495"/>
      <c r="C37" s="495"/>
      <c r="D37" s="495"/>
      <c r="E37" s="495"/>
      <c r="F37" s="487"/>
      <c r="G37" s="487"/>
      <c r="H37" s="487"/>
      <c r="I37" s="487"/>
      <c r="J37" s="487"/>
      <c r="K37" s="487"/>
      <c r="L37" s="487"/>
      <c r="M37" s="487"/>
      <c r="N37" s="487"/>
      <c r="O37" s="487"/>
      <c r="P37" s="487"/>
      <c r="Q37" s="487"/>
      <c r="R37" s="487"/>
      <c r="S37" s="487"/>
      <c r="T37" s="487"/>
      <c r="U37" s="487"/>
      <c r="V37" s="487"/>
      <c r="W37" s="487"/>
      <c r="X37" s="487"/>
      <c r="Y37" s="487"/>
      <c r="Z37" s="487"/>
      <c r="AA37" s="487"/>
      <c r="AB37" s="487"/>
      <c r="AC37" s="487"/>
      <c r="AD37" s="487"/>
      <c r="AE37" s="487"/>
      <c r="AF37" s="487"/>
      <c r="AG37" s="487"/>
      <c r="AH37" s="487"/>
      <c r="AI37" s="488"/>
      <c r="AK37" s="544" t="s">
        <v>240</v>
      </c>
      <c r="AL37" s="545"/>
      <c r="AM37" s="545"/>
      <c r="AN37" s="545"/>
      <c r="AO37" s="545"/>
      <c r="AP37" s="545"/>
      <c r="AQ37" s="122"/>
      <c r="AR37" s="48"/>
      <c r="AS37" s="532"/>
      <c r="AT37" s="532"/>
      <c r="AU37" s="439"/>
      <c r="AV37" s="439"/>
      <c r="AW37" s="439"/>
      <c r="BH37" s="50"/>
      <c r="BI37" s="51"/>
    </row>
    <row r="38" spans="1:80" ht="18" customHeight="1" thickBot="1">
      <c r="A38" s="496" t="s">
        <v>670</v>
      </c>
      <c r="B38" s="497"/>
      <c r="C38" s="497"/>
      <c r="D38" s="497"/>
      <c r="E38" s="497"/>
      <c r="F38" s="416" t="s">
        <v>667</v>
      </c>
      <c r="G38" s="416"/>
      <c r="H38" s="416"/>
      <c r="I38" s="416"/>
      <c r="J38" s="416"/>
      <c r="K38" s="416"/>
      <c r="L38" s="424" t="s">
        <v>722</v>
      </c>
      <c r="M38" s="424"/>
      <c r="N38" s="424"/>
      <c r="O38" s="424"/>
      <c r="P38" s="416" t="s">
        <v>671</v>
      </c>
      <c r="Q38" s="416"/>
      <c r="R38" s="416"/>
      <c r="S38" s="416"/>
      <c r="T38" s="416"/>
      <c r="U38" s="416"/>
      <c r="V38" s="416"/>
      <c r="W38" s="416" t="s">
        <v>667</v>
      </c>
      <c r="X38" s="416"/>
      <c r="Y38" s="416"/>
      <c r="Z38" s="416"/>
      <c r="AA38" s="416"/>
      <c r="AB38" s="416"/>
      <c r="AC38" s="424" t="s">
        <v>722</v>
      </c>
      <c r="AD38" s="424"/>
      <c r="AE38" s="424"/>
      <c r="AF38" s="424"/>
      <c r="AG38" s="424"/>
      <c r="AH38" s="424"/>
      <c r="AI38" s="491"/>
      <c r="AK38" s="543"/>
      <c r="AL38" s="543"/>
      <c r="AM38" s="543"/>
      <c r="AN38" s="543"/>
      <c r="AO38" s="543"/>
      <c r="AP38" s="543"/>
      <c r="AQ38" s="59"/>
      <c r="AR38" s="48"/>
      <c r="BC38" s="50"/>
      <c r="BD38" s="51"/>
    </row>
    <row r="39" spans="1:80" ht="18" customHeight="1">
      <c r="A39" s="452" t="s">
        <v>672</v>
      </c>
      <c r="B39" s="453"/>
      <c r="C39" s="453"/>
      <c r="D39" s="453"/>
      <c r="E39" s="453"/>
      <c r="F39" s="453"/>
      <c r="G39" s="453"/>
      <c r="H39" s="453"/>
      <c r="I39" s="453"/>
      <c r="J39" s="453"/>
      <c r="K39" s="453"/>
      <c r="L39" s="453"/>
      <c r="M39" s="453"/>
      <c r="N39" s="453"/>
      <c r="O39" s="453"/>
      <c r="P39" s="453"/>
      <c r="Q39" s="453"/>
      <c r="R39" s="453"/>
      <c r="S39" s="453"/>
      <c r="T39" s="453"/>
      <c r="U39" s="453"/>
      <c r="V39" s="453"/>
      <c r="W39" s="453"/>
      <c r="X39" s="453"/>
      <c r="Y39" s="453"/>
      <c r="Z39" s="453"/>
      <c r="AA39" s="453"/>
      <c r="AB39" s="453"/>
      <c r="AC39" s="453"/>
      <c r="AD39" s="453"/>
      <c r="AE39" s="453"/>
      <c r="AF39" s="453"/>
      <c r="AG39" s="453"/>
      <c r="AH39" s="453"/>
      <c r="AI39" s="454"/>
      <c r="AK39" s="444" t="s">
        <v>673</v>
      </c>
      <c r="AL39" s="444"/>
      <c r="AM39" s="444"/>
      <c r="AN39" s="444"/>
      <c r="AO39" s="444"/>
      <c r="AP39" s="444"/>
      <c r="AQ39" s="42"/>
      <c r="AR39" s="48"/>
      <c r="AS39" s="423" t="s">
        <v>526</v>
      </c>
      <c r="AT39" s="423"/>
      <c r="AU39" s="148">
        <v>24</v>
      </c>
      <c r="AV39" s="423" t="s">
        <v>528</v>
      </c>
      <c r="AW39" s="423"/>
      <c r="BC39" s="50"/>
      <c r="BD39" s="51"/>
    </row>
    <row r="40" spans="1:80" ht="18" customHeight="1">
      <c r="A40" s="464" t="s">
        <v>674</v>
      </c>
      <c r="B40" s="459"/>
      <c r="C40" s="459"/>
      <c r="D40" s="459"/>
      <c r="E40" s="470" t="s">
        <v>675</v>
      </c>
      <c r="F40" s="471"/>
      <c r="G40" s="471"/>
      <c r="H40" s="471"/>
      <c r="I40" s="471"/>
      <c r="J40" s="471"/>
      <c r="K40" s="472"/>
      <c r="L40" s="458" t="s">
        <v>676</v>
      </c>
      <c r="M40" s="459"/>
      <c r="N40" s="459"/>
      <c r="O40" s="459"/>
      <c r="P40" s="459"/>
      <c r="Q40" s="459"/>
      <c r="R40" s="460"/>
      <c r="S40" s="458" t="s">
        <v>677</v>
      </c>
      <c r="T40" s="459"/>
      <c r="U40" s="459"/>
      <c r="V40" s="459"/>
      <c r="W40" s="470" t="s">
        <v>675</v>
      </c>
      <c r="X40" s="471"/>
      <c r="Y40" s="471"/>
      <c r="Z40" s="471"/>
      <c r="AA40" s="471"/>
      <c r="AB40" s="471"/>
      <c r="AC40" s="472"/>
      <c r="AD40" s="458" t="s">
        <v>678</v>
      </c>
      <c r="AE40" s="459"/>
      <c r="AF40" s="459"/>
      <c r="AG40" s="459"/>
      <c r="AH40" s="459"/>
      <c r="AI40" s="463"/>
      <c r="AK40" s="444" t="s">
        <v>679</v>
      </c>
      <c r="AL40" s="444"/>
      <c r="AM40" s="444"/>
      <c r="AN40" s="444"/>
      <c r="AO40" s="444"/>
      <c r="AP40" s="444"/>
      <c r="AQ40" s="42"/>
      <c r="AR40" s="48"/>
      <c r="AS40" s="423" t="s">
        <v>527</v>
      </c>
      <c r="AT40" s="423"/>
      <c r="AU40" s="148">
        <v>35</v>
      </c>
      <c r="AV40" s="560">
        <v>0.60199999999999998</v>
      </c>
      <c r="AW40" s="560"/>
      <c r="BC40" s="50"/>
      <c r="BD40" s="51"/>
    </row>
    <row r="41" spans="1:80" ht="18" customHeight="1">
      <c r="A41" s="464" t="s">
        <v>16</v>
      </c>
      <c r="B41" s="459"/>
      <c r="C41" s="459"/>
      <c r="D41" s="459"/>
      <c r="E41" s="469">
        <f>AX10</f>
        <v>0.33333333333333331</v>
      </c>
      <c r="F41" s="456"/>
      <c r="G41" s="456"/>
      <c r="H41" s="144" t="s">
        <v>680</v>
      </c>
      <c r="I41" s="456">
        <f>AY10</f>
        <v>0.83333333333333337</v>
      </c>
      <c r="J41" s="456"/>
      <c r="K41" s="457"/>
      <c r="L41" s="458" t="str">
        <f>AU10</f>
        <v>三角龍彦</v>
      </c>
      <c r="M41" s="459"/>
      <c r="N41" s="459"/>
      <c r="O41" s="459"/>
      <c r="P41" s="459"/>
      <c r="Q41" s="459"/>
      <c r="R41" s="460"/>
      <c r="S41" s="409" t="s">
        <v>31</v>
      </c>
      <c r="T41" s="410"/>
      <c r="U41" s="410"/>
      <c r="V41" s="410"/>
      <c r="W41" s="414">
        <v>0.39583333333333331</v>
      </c>
      <c r="X41" s="415"/>
      <c r="Y41" s="415"/>
      <c r="Z41" s="40" t="s">
        <v>680</v>
      </c>
      <c r="AA41" s="415">
        <v>0.77083333333333337</v>
      </c>
      <c r="AB41" s="415"/>
      <c r="AC41" s="461"/>
      <c r="AD41" s="409" t="str">
        <f>AU14</f>
        <v>石井秀幸</v>
      </c>
      <c r="AE41" s="410"/>
      <c r="AF41" s="410"/>
      <c r="AG41" s="410"/>
      <c r="AH41" s="410"/>
      <c r="AI41" s="462"/>
      <c r="AK41" s="444" t="s">
        <v>681</v>
      </c>
      <c r="AL41" s="444"/>
      <c r="AM41" s="444"/>
      <c r="AN41" s="444"/>
      <c r="AO41" s="444"/>
      <c r="AP41" s="444"/>
      <c r="AQ41" s="42"/>
      <c r="AR41" s="48"/>
      <c r="BC41" s="50"/>
      <c r="BD41" s="51"/>
    </row>
    <row r="42" spans="1:80" ht="18" customHeight="1">
      <c r="A42" s="464" t="s">
        <v>24</v>
      </c>
      <c r="B42" s="459"/>
      <c r="C42" s="459"/>
      <c r="D42" s="459"/>
      <c r="E42" s="469">
        <f>AX13</f>
        <v>0.33333333333333331</v>
      </c>
      <c r="F42" s="456"/>
      <c r="G42" s="456"/>
      <c r="H42" s="144" t="s">
        <v>680</v>
      </c>
      <c r="I42" s="456">
        <f>AY12</f>
        <v>0.83333333333333337</v>
      </c>
      <c r="J42" s="456"/>
      <c r="K42" s="457"/>
      <c r="L42" s="458" t="str">
        <f>AU13</f>
        <v>松葉眞</v>
      </c>
      <c r="M42" s="459"/>
      <c r="N42" s="459"/>
      <c r="O42" s="459"/>
      <c r="P42" s="459"/>
      <c r="Q42" s="459"/>
      <c r="R42" s="460"/>
      <c r="S42" s="409"/>
      <c r="T42" s="410"/>
      <c r="U42" s="410"/>
      <c r="V42" s="410"/>
      <c r="W42" s="414"/>
      <c r="X42" s="415"/>
      <c r="Y42" s="415"/>
      <c r="Z42" s="136"/>
      <c r="AA42" s="415"/>
      <c r="AB42" s="415"/>
      <c r="AC42" s="461"/>
      <c r="AD42" s="409">
        <f>AU15</f>
        <v>0</v>
      </c>
      <c r="AE42" s="410"/>
      <c r="AF42" s="410"/>
      <c r="AG42" s="410"/>
      <c r="AH42" s="410"/>
      <c r="AI42" s="462"/>
      <c r="AK42" s="445" t="s">
        <v>682</v>
      </c>
      <c r="AL42" s="445"/>
      <c r="AM42" s="445"/>
      <c r="AN42" s="445"/>
      <c r="AO42" s="445"/>
      <c r="AP42" s="445"/>
      <c r="AQ42" s="42"/>
      <c r="AR42" s="48"/>
      <c r="AS42" s="561" t="s">
        <v>683</v>
      </c>
      <c r="AT42" s="561"/>
      <c r="AU42" s="561"/>
      <c r="AV42" s="561"/>
      <c r="AW42" s="561"/>
      <c r="BC42" s="50"/>
      <c r="BD42" s="51"/>
    </row>
    <row r="43" spans="1:80" ht="18" customHeight="1">
      <c r="A43" s="464" t="s">
        <v>38</v>
      </c>
      <c r="B43" s="459"/>
      <c r="C43" s="459"/>
      <c r="D43" s="459"/>
      <c r="E43" s="469">
        <f>AX16</f>
        <v>0.83333333333333337</v>
      </c>
      <c r="F43" s="456"/>
      <c r="G43" s="456"/>
      <c r="H43" s="144" t="s">
        <v>680</v>
      </c>
      <c r="I43" s="456" t="str">
        <f>AY16</f>
        <v>翌8:00</v>
      </c>
      <c r="J43" s="456"/>
      <c r="K43" s="457"/>
      <c r="L43" s="458" t="str">
        <f>AU16</f>
        <v>三角龍彦</v>
      </c>
      <c r="M43" s="459"/>
      <c r="N43" s="459"/>
      <c r="O43" s="459"/>
      <c r="P43" s="459"/>
      <c r="Q43" s="459"/>
      <c r="R43" s="460"/>
      <c r="S43" s="409"/>
      <c r="T43" s="410"/>
      <c r="U43" s="410"/>
      <c r="V43" s="410"/>
      <c r="W43" s="414"/>
      <c r="X43" s="415"/>
      <c r="Y43" s="415"/>
      <c r="Z43" s="136"/>
      <c r="AA43" s="415"/>
      <c r="AB43" s="415"/>
      <c r="AC43" s="461"/>
      <c r="AD43" s="486">
        <f>AU18</f>
        <v>0</v>
      </c>
      <c r="AE43" s="410"/>
      <c r="AF43" s="410"/>
      <c r="AG43" s="410"/>
      <c r="AH43" s="410"/>
      <c r="AI43" s="462"/>
      <c r="AK43" s="444" t="s">
        <v>684</v>
      </c>
      <c r="AL43" s="444"/>
      <c r="AM43" s="444"/>
      <c r="AN43" s="444"/>
      <c r="AO43" s="444"/>
      <c r="AP43" s="444"/>
      <c r="AQ43" s="42"/>
      <c r="AR43" s="43"/>
      <c r="AW43"/>
      <c r="AX43"/>
      <c r="AY43"/>
      <c r="AZ43"/>
      <c r="BA43"/>
      <c r="BB43"/>
      <c r="BC43" s="50"/>
      <c r="BD43" s="51"/>
      <c r="BE43"/>
      <c r="BF43"/>
      <c r="BG43"/>
      <c r="BH43"/>
      <c r="BI43"/>
      <c r="BJ43"/>
      <c r="BK43"/>
      <c r="BL43"/>
      <c r="BM43"/>
      <c r="BN43"/>
      <c r="BO43"/>
      <c r="BP43"/>
      <c r="BQ43"/>
      <c r="BR43"/>
      <c r="BS43"/>
      <c r="BT43"/>
      <c r="BU43"/>
      <c r="BV43"/>
      <c r="BW43"/>
      <c r="BX43"/>
      <c r="BY43"/>
      <c r="BZ43"/>
      <c r="CA43"/>
      <c r="CB43"/>
    </row>
    <row r="44" spans="1:80" ht="18" customHeight="1" thickBot="1">
      <c r="A44" s="473" t="s">
        <v>45</v>
      </c>
      <c r="B44" s="474"/>
      <c r="C44" s="474"/>
      <c r="D44" s="474"/>
      <c r="E44" s="475">
        <f>AX17</f>
        <v>0.83333333333333337</v>
      </c>
      <c r="F44" s="476"/>
      <c r="G44" s="476"/>
      <c r="H44" s="145" t="s">
        <v>680</v>
      </c>
      <c r="I44" s="476" t="str">
        <f>AY17</f>
        <v>翌8:00</v>
      </c>
      <c r="J44" s="476"/>
      <c r="K44" s="477"/>
      <c r="L44" s="478" t="str">
        <f>AU17</f>
        <v>片山薫</v>
      </c>
      <c r="M44" s="478"/>
      <c r="N44" s="478"/>
      <c r="O44" s="478"/>
      <c r="P44" s="478"/>
      <c r="Q44" s="478"/>
      <c r="R44" s="478"/>
      <c r="S44" s="479"/>
      <c r="T44" s="480"/>
      <c r="U44" s="480"/>
      <c r="V44" s="480"/>
      <c r="W44" s="481"/>
      <c r="X44" s="482"/>
      <c r="Y44" s="482"/>
      <c r="Z44" s="137"/>
      <c r="AA44" s="482"/>
      <c r="AB44" s="482"/>
      <c r="AC44" s="483"/>
      <c r="AD44" s="484">
        <f>AU19</f>
        <v>0</v>
      </c>
      <c r="AE44" s="480"/>
      <c r="AF44" s="480"/>
      <c r="AG44" s="480"/>
      <c r="AH44" s="480"/>
      <c r="AI44" s="485"/>
      <c r="AK44" s="446" t="s">
        <v>685</v>
      </c>
      <c r="AL44" s="446"/>
      <c r="AM44" s="446"/>
      <c r="AN44" s="446"/>
      <c r="AO44" s="446"/>
      <c r="AP44" s="446"/>
      <c r="AQ44" s="42"/>
      <c r="AR44" s="43"/>
      <c r="BC44" s="50"/>
      <c r="BD44" s="51"/>
    </row>
    <row r="45" spans="1:80" ht="18" customHeight="1" thickBot="1">
      <c r="A45" s="27"/>
      <c r="B45" s="27"/>
      <c r="C45" s="27"/>
      <c r="D45" s="27"/>
      <c r="E45" s="27"/>
      <c r="F45" s="27"/>
      <c r="G45" s="27"/>
      <c r="H45" s="27"/>
      <c r="I45" s="27"/>
      <c r="R45" s="307">
        <f>A7</f>
        <v>46188</v>
      </c>
      <c r="S45" s="308"/>
      <c r="T45" s="308"/>
      <c r="U45" s="308"/>
      <c r="V45" s="23" t="s">
        <v>169</v>
      </c>
      <c r="W45" s="309">
        <f>G7</f>
        <v>46188</v>
      </c>
      <c r="X45" s="308"/>
      <c r="Y45" s="23" t="s">
        <v>170</v>
      </c>
      <c r="Z45" s="310">
        <f>K7</f>
        <v>46188</v>
      </c>
      <c r="AA45" s="308"/>
      <c r="AB45" s="23" t="s">
        <v>3</v>
      </c>
      <c r="AC45" s="455">
        <f>O7</f>
        <v>46188</v>
      </c>
      <c r="AD45" s="308"/>
      <c r="AE45" s="308" t="s">
        <v>292</v>
      </c>
      <c r="AF45" s="308"/>
      <c r="AK45" s="425" t="s">
        <v>686</v>
      </c>
      <c r="AL45" s="425"/>
      <c r="AM45" s="425"/>
      <c r="AN45" s="425"/>
      <c r="AO45" s="425"/>
      <c r="AP45" s="425"/>
      <c r="AQ45" s="42"/>
      <c r="AR45" s="43"/>
      <c r="BC45" s="50"/>
      <c r="BD45" s="51"/>
    </row>
    <row r="46" spans="1:80" customFormat="1" ht="18" customHeight="1">
      <c r="A46" s="452" t="s">
        <v>598</v>
      </c>
      <c r="B46" s="453"/>
      <c r="C46" s="453"/>
      <c r="D46" s="453"/>
      <c r="E46" s="453"/>
      <c r="F46" s="453"/>
      <c r="G46" s="453"/>
      <c r="H46" s="453"/>
      <c r="I46" s="453"/>
      <c r="J46" s="453"/>
      <c r="K46" s="453"/>
      <c r="L46" s="453"/>
      <c r="M46" s="453"/>
      <c r="N46" s="453"/>
      <c r="O46" s="453"/>
      <c r="P46" s="453"/>
      <c r="Q46" s="453"/>
      <c r="R46" s="453"/>
      <c r="S46" s="453"/>
      <c r="T46" s="453"/>
      <c r="U46" s="453"/>
      <c r="V46" s="453"/>
      <c r="W46" s="453"/>
      <c r="X46" s="453"/>
      <c r="Y46" s="453"/>
      <c r="Z46" s="453"/>
      <c r="AA46" s="453"/>
      <c r="AB46" s="453"/>
      <c r="AC46" s="453"/>
      <c r="AD46" s="453"/>
      <c r="AE46" s="453"/>
      <c r="AF46" s="453"/>
      <c r="AG46" s="453"/>
      <c r="AH46" s="453"/>
      <c r="AI46" s="454"/>
      <c r="AK46" s="425" t="s">
        <v>687</v>
      </c>
      <c r="AL46" s="425"/>
      <c r="AM46" s="425"/>
      <c r="AN46" s="425"/>
      <c r="AO46" s="425"/>
      <c r="AP46" s="425"/>
      <c r="AQ46" s="42"/>
      <c r="AR46" s="43"/>
      <c r="AW46" s="23"/>
      <c r="AX46" s="23"/>
      <c r="AY46" s="23"/>
      <c r="AZ46" s="23"/>
      <c r="BA46" s="23"/>
      <c r="BB46" s="23"/>
      <c r="BC46" s="50"/>
      <c r="BD46" s="51"/>
      <c r="BE46" s="23"/>
      <c r="BF46" s="23"/>
      <c r="BG46" s="23"/>
      <c r="BH46" s="23"/>
      <c r="BI46" s="23"/>
      <c r="BJ46" s="23"/>
      <c r="BK46" s="23"/>
      <c r="BL46" s="23"/>
      <c r="BM46" s="23"/>
      <c r="BN46" s="23"/>
      <c r="BO46" s="23"/>
      <c r="BP46" s="23"/>
      <c r="BQ46" s="23"/>
      <c r="BR46" s="23"/>
      <c r="BS46" s="23"/>
      <c r="BT46" s="23"/>
      <c r="BU46" s="23"/>
      <c r="BV46" s="23"/>
      <c r="BW46" s="23"/>
      <c r="BX46" s="23"/>
      <c r="BY46" s="23"/>
      <c r="BZ46" s="23"/>
      <c r="CA46" s="23"/>
      <c r="CB46" s="23"/>
    </row>
    <row r="47" spans="1:80" ht="18" customHeight="1">
      <c r="A47" s="36"/>
      <c r="B47" s="404"/>
      <c r="C47" s="404"/>
      <c r="D47" s="404"/>
      <c r="E47" s="404"/>
      <c r="F47" s="288"/>
      <c r="G47" s="288"/>
      <c r="H47" s="288"/>
      <c r="I47" s="288"/>
      <c r="J47" s="288"/>
      <c r="K47" s="288"/>
      <c r="L47" s="288"/>
      <c r="M47" s="288"/>
      <c r="N47" s="288"/>
      <c r="O47" s="288"/>
      <c r="P47" s="288"/>
      <c r="Q47" s="288"/>
      <c r="R47" s="288"/>
      <c r="S47" s="288"/>
      <c r="T47" s="288"/>
      <c r="U47" s="288"/>
      <c r="V47" s="288"/>
      <c r="W47" s="288"/>
      <c r="X47" s="288"/>
      <c r="Y47" s="288"/>
      <c r="Z47" s="288"/>
      <c r="AA47" s="288"/>
      <c r="AB47" s="288"/>
      <c r="AC47" s="288"/>
      <c r="AD47" s="288"/>
      <c r="AE47" s="288"/>
      <c r="AF47" s="288"/>
      <c r="AG47" s="288"/>
      <c r="AH47" s="288"/>
      <c r="AI47" s="289"/>
      <c r="AK47" s="425" t="s">
        <v>688</v>
      </c>
      <c r="AL47" s="425"/>
      <c r="AM47" s="425"/>
      <c r="AN47" s="425"/>
      <c r="AO47" s="425"/>
      <c r="AP47" s="425"/>
      <c r="AQ47" s="42"/>
      <c r="AR47" s="43"/>
      <c r="AS47" s="120" t="s">
        <v>189</v>
      </c>
      <c r="AT47" s="43" t="s">
        <v>728</v>
      </c>
      <c r="AU47" s="43"/>
      <c r="BC47" s="50"/>
      <c r="BD47" s="51"/>
    </row>
    <row r="48" spans="1:80" ht="18" customHeight="1">
      <c r="A48" s="36"/>
      <c r="B48" s="404"/>
      <c r="C48" s="404"/>
      <c r="D48" s="404"/>
      <c r="E48" s="404"/>
      <c r="F48" s="288"/>
      <c r="G48" s="288"/>
      <c r="H48" s="288"/>
      <c r="I48" s="288"/>
      <c r="J48" s="288"/>
      <c r="K48" s="288"/>
      <c r="L48" s="288"/>
      <c r="M48" s="288"/>
      <c r="N48" s="288"/>
      <c r="O48" s="288"/>
      <c r="P48" s="288"/>
      <c r="Q48" s="288"/>
      <c r="R48" s="288"/>
      <c r="S48" s="288"/>
      <c r="T48" s="288"/>
      <c r="U48" s="288"/>
      <c r="V48" s="288"/>
      <c r="W48" s="288"/>
      <c r="X48" s="288"/>
      <c r="Y48" s="288"/>
      <c r="Z48" s="288"/>
      <c r="AA48" s="288"/>
      <c r="AB48" s="288"/>
      <c r="AC48" s="288"/>
      <c r="AD48" s="288"/>
      <c r="AE48" s="288"/>
      <c r="AF48" s="288"/>
      <c r="AG48" s="288"/>
      <c r="AH48" s="288"/>
      <c r="AI48" s="289"/>
      <c r="AK48" s="425" t="s">
        <v>690</v>
      </c>
      <c r="AL48" s="425"/>
      <c r="AM48" s="425"/>
      <c r="AN48" s="425"/>
      <c r="AO48" s="425"/>
      <c r="AP48" s="425"/>
      <c r="AQ48" s="42"/>
      <c r="AR48" s="43"/>
      <c r="AS48" s="43"/>
      <c r="AT48" s="43"/>
      <c r="AU48" s="43"/>
      <c r="BC48" s="50"/>
      <c r="BD48" s="51"/>
    </row>
    <row r="49" spans="1:61" ht="18" customHeight="1">
      <c r="A49" s="36"/>
      <c r="B49" s="404"/>
      <c r="C49" s="404"/>
      <c r="D49" s="404"/>
      <c r="E49" s="404"/>
      <c r="F49" s="288"/>
      <c r="G49" s="288"/>
      <c r="H49" s="288"/>
      <c r="I49" s="288"/>
      <c r="J49" s="288"/>
      <c r="K49" s="288"/>
      <c r="L49" s="288"/>
      <c r="M49" s="288"/>
      <c r="N49" s="288"/>
      <c r="O49" s="288"/>
      <c r="P49" s="288"/>
      <c r="Q49" s="288"/>
      <c r="R49" s="288"/>
      <c r="S49" s="288"/>
      <c r="T49" s="288"/>
      <c r="U49" s="288"/>
      <c r="V49" s="288"/>
      <c r="W49" s="288"/>
      <c r="X49" s="288"/>
      <c r="Y49" s="288"/>
      <c r="Z49" s="288"/>
      <c r="AA49" s="288"/>
      <c r="AB49" s="288"/>
      <c r="AC49" s="288"/>
      <c r="AD49" s="288"/>
      <c r="AE49" s="288"/>
      <c r="AF49" s="288"/>
      <c r="AG49" s="288"/>
      <c r="AH49" s="288"/>
      <c r="AI49" s="289"/>
      <c r="AK49" s="425" t="s">
        <v>691</v>
      </c>
      <c r="AL49" s="425"/>
      <c r="AM49" s="425"/>
      <c r="AN49" s="425"/>
      <c r="AO49" s="425"/>
      <c r="AP49" s="425"/>
      <c r="AQ49" s="42"/>
      <c r="AR49" s="43"/>
      <c r="AS49" s="43"/>
      <c r="AT49" s="43"/>
      <c r="AU49" s="43"/>
      <c r="BC49" s="50"/>
      <c r="BD49" s="51"/>
    </row>
    <row r="50" spans="1:61" ht="18" customHeight="1">
      <c r="A50" s="36"/>
      <c r="B50" s="404"/>
      <c r="C50" s="404"/>
      <c r="D50" s="404"/>
      <c r="E50" s="404"/>
      <c r="F50" s="288"/>
      <c r="G50" s="288"/>
      <c r="H50" s="288"/>
      <c r="I50" s="288"/>
      <c r="J50" s="288"/>
      <c r="K50" s="288"/>
      <c r="L50" s="288"/>
      <c r="M50" s="288"/>
      <c r="N50" s="288"/>
      <c r="O50" s="288"/>
      <c r="P50" s="288"/>
      <c r="Q50" s="288"/>
      <c r="R50" s="288"/>
      <c r="S50" s="288"/>
      <c r="T50" s="288"/>
      <c r="U50" s="288"/>
      <c r="V50" s="288"/>
      <c r="W50" s="288"/>
      <c r="X50" s="288"/>
      <c r="Y50" s="288"/>
      <c r="Z50" s="288"/>
      <c r="AA50" s="288"/>
      <c r="AB50" s="288"/>
      <c r="AC50" s="288"/>
      <c r="AD50" s="288"/>
      <c r="AE50" s="288"/>
      <c r="AF50" s="288"/>
      <c r="AG50" s="288"/>
      <c r="AH50" s="288"/>
      <c r="AI50" s="289"/>
      <c r="AK50" s="425" t="s">
        <v>692</v>
      </c>
      <c r="AL50" s="425"/>
      <c r="AM50" s="425"/>
      <c r="AN50" s="425"/>
      <c r="AO50" s="425"/>
      <c r="AP50" s="425"/>
      <c r="AQ50" s="42"/>
      <c r="AR50" s="43"/>
      <c r="AS50" s="43"/>
      <c r="AT50" s="43"/>
      <c r="AU50" s="43"/>
      <c r="BC50" s="50"/>
      <c r="BD50" s="51"/>
    </row>
    <row r="51" spans="1:61" ht="18" customHeight="1">
      <c r="A51" s="36"/>
      <c r="B51" s="404"/>
      <c r="C51" s="404"/>
      <c r="D51" s="404"/>
      <c r="E51" s="404"/>
      <c r="F51" s="288"/>
      <c r="G51" s="288"/>
      <c r="H51" s="288"/>
      <c r="I51" s="288"/>
      <c r="J51" s="288"/>
      <c r="K51" s="288"/>
      <c r="L51" s="288"/>
      <c r="M51" s="288"/>
      <c r="N51" s="288"/>
      <c r="O51" s="288"/>
      <c r="P51" s="288"/>
      <c r="Q51" s="288"/>
      <c r="R51" s="288"/>
      <c r="S51" s="288"/>
      <c r="T51" s="288"/>
      <c r="U51" s="288"/>
      <c r="V51" s="288"/>
      <c r="W51" s="288"/>
      <c r="X51" s="288"/>
      <c r="Y51" s="288"/>
      <c r="Z51" s="288"/>
      <c r="AA51" s="288"/>
      <c r="AB51" s="288"/>
      <c r="AC51" s="288"/>
      <c r="AD51" s="288"/>
      <c r="AE51" s="288"/>
      <c r="AF51" s="288"/>
      <c r="AG51" s="288"/>
      <c r="AH51" s="288"/>
      <c r="AI51" s="289"/>
      <c r="AK51" s="425" t="s">
        <v>693</v>
      </c>
      <c r="AL51" s="425"/>
      <c r="AM51" s="425"/>
      <c r="AN51" s="425"/>
      <c r="AO51" s="425"/>
      <c r="AP51" s="425"/>
      <c r="AQ51" s="42"/>
      <c r="AR51" s="43"/>
      <c r="AS51" s="43"/>
      <c r="AT51" s="43"/>
      <c r="AU51" s="43"/>
      <c r="BC51" s="50"/>
      <c r="BD51" s="51"/>
    </row>
    <row r="52" spans="1:61" ht="18" customHeight="1">
      <c r="A52" s="36"/>
      <c r="B52" s="404"/>
      <c r="C52" s="404"/>
      <c r="D52" s="404"/>
      <c r="E52" s="404"/>
      <c r="F52" s="288"/>
      <c r="G52" s="288"/>
      <c r="H52" s="288"/>
      <c r="I52" s="288"/>
      <c r="J52" s="288"/>
      <c r="K52" s="288"/>
      <c r="L52" s="288"/>
      <c r="M52" s="288"/>
      <c r="N52" s="288"/>
      <c r="O52" s="288"/>
      <c r="P52" s="288"/>
      <c r="Q52" s="288"/>
      <c r="R52" s="288"/>
      <c r="S52" s="288"/>
      <c r="T52" s="288"/>
      <c r="U52" s="288"/>
      <c r="V52" s="288"/>
      <c r="W52" s="288"/>
      <c r="X52" s="288"/>
      <c r="Y52" s="288"/>
      <c r="Z52" s="288"/>
      <c r="AA52" s="288"/>
      <c r="AB52" s="288"/>
      <c r="AC52" s="288"/>
      <c r="AD52" s="288"/>
      <c r="AE52" s="288"/>
      <c r="AF52" s="288"/>
      <c r="AG52" s="288"/>
      <c r="AH52" s="288"/>
      <c r="AI52" s="289"/>
      <c r="AK52" s="425" t="s">
        <v>694</v>
      </c>
      <c r="AL52" s="425"/>
      <c r="AM52" s="425"/>
      <c r="AN52" s="425"/>
      <c r="AO52" s="425"/>
      <c r="AP52" s="425"/>
      <c r="AQ52" s="42"/>
      <c r="AR52" s="43"/>
      <c r="AS52" s="43"/>
      <c r="AV52" s="43"/>
      <c r="AW52" s="43"/>
      <c r="AX52" s="43"/>
      <c r="AY52" s="43"/>
      <c r="AZ52" s="43"/>
      <c r="BA52" s="43"/>
      <c r="BH52" s="52"/>
      <c r="BI52" s="51"/>
    </row>
    <row r="53" spans="1:61" ht="18" customHeight="1">
      <c r="A53" s="36"/>
      <c r="B53" s="404"/>
      <c r="C53" s="404"/>
      <c r="D53" s="404"/>
      <c r="E53" s="404"/>
      <c r="F53" s="288"/>
      <c r="G53" s="288"/>
      <c r="H53" s="288"/>
      <c r="I53" s="288"/>
      <c r="J53" s="288"/>
      <c r="K53" s="288"/>
      <c r="L53" s="288"/>
      <c r="M53" s="288"/>
      <c r="N53" s="288"/>
      <c r="O53" s="288"/>
      <c r="P53" s="288"/>
      <c r="Q53" s="288"/>
      <c r="R53" s="288"/>
      <c r="S53" s="288"/>
      <c r="T53" s="288"/>
      <c r="U53" s="288"/>
      <c r="V53" s="288"/>
      <c r="W53" s="288"/>
      <c r="X53" s="288"/>
      <c r="Y53" s="288"/>
      <c r="Z53" s="288"/>
      <c r="AA53" s="288"/>
      <c r="AB53" s="288"/>
      <c r="AC53" s="288"/>
      <c r="AD53" s="288"/>
      <c r="AE53" s="288"/>
      <c r="AF53" s="288"/>
      <c r="AG53" s="288"/>
      <c r="AH53" s="288"/>
      <c r="AI53" s="289"/>
      <c r="AK53" s="425" t="s">
        <v>695</v>
      </c>
      <c r="AL53" s="425"/>
      <c r="AM53" s="425"/>
      <c r="AN53" s="425"/>
      <c r="AO53" s="425"/>
      <c r="AP53" s="425"/>
      <c r="AQ53" s="42"/>
      <c r="AR53" s="43"/>
      <c r="AS53" s="43"/>
      <c r="AT53" s="43"/>
      <c r="AU53" s="43"/>
      <c r="AV53" s="43"/>
      <c r="AW53" s="43"/>
      <c r="AX53" s="43"/>
      <c r="AY53" s="43"/>
      <c r="AZ53" s="43"/>
      <c r="BH53" s="50"/>
      <c r="BI53" s="51"/>
    </row>
    <row r="54" spans="1:61" ht="18" customHeight="1">
      <c r="A54" s="36"/>
      <c r="B54" s="404"/>
      <c r="C54" s="404"/>
      <c r="D54" s="404"/>
      <c r="E54" s="404"/>
      <c r="F54" s="288"/>
      <c r="G54" s="288"/>
      <c r="H54" s="288"/>
      <c r="I54" s="288"/>
      <c r="J54" s="288"/>
      <c r="K54" s="288"/>
      <c r="L54" s="288"/>
      <c r="M54" s="288"/>
      <c r="N54" s="288"/>
      <c r="O54" s="288"/>
      <c r="P54" s="288"/>
      <c r="Q54" s="288"/>
      <c r="R54" s="288"/>
      <c r="S54" s="288"/>
      <c r="T54" s="288"/>
      <c r="U54" s="288"/>
      <c r="V54" s="288"/>
      <c r="W54" s="288"/>
      <c r="X54" s="288"/>
      <c r="Y54" s="288"/>
      <c r="Z54" s="288"/>
      <c r="AA54" s="288"/>
      <c r="AB54" s="288"/>
      <c r="AC54" s="288"/>
      <c r="AD54" s="288"/>
      <c r="AE54" s="288"/>
      <c r="AF54" s="288"/>
      <c r="AG54" s="288"/>
      <c r="AH54" s="288"/>
      <c r="AI54" s="289"/>
      <c r="AK54" s="425" t="s">
        <v>696</v>
      </c>
      <c r="AL54" s="425"/>
      <c r="AM54" s="425"/>
      <c r="AN54" s="425"/>
      <c r="AO54" s="425"/>
      <c r="AP54" s="425"/>
      <c r="AQ54" s="42"/>
      <c r="AR54" s="43"/>
      <c r="AS54" s="43"/>
      <c r="AT54" s="43"/>
      <c r="AU54" s="43"/>
      <c r="AV54" s="43"/>
      <c r="AW54" s="43"/>
      <c r="AX54" s="43"/>
      <c r="AY54" s="43"/>
      <c r="AZ54" s="43"/>
      <c r="BH54" s="50"/>
      <c r="BI54" s="51"/>
    </row>
    <row r="55" spans="1:61" ht="18" customHeight="1">
      <c r="A55" s="36"/>
      <c r="B55" s="404"/>
      <c r="C55" s="404"/>
      <c r="D55" s="404"/>
      <c r="E55" s="404"/>
      <c r="F55" s="288"/>
      <c r="G55" s="288"/>
      <c r="H55" s="288"/>
      <c r="I55" s="288"/>
      <c r="J55" s="288"/>
      <c r="K55" s="288"/>
      <c r="L55" s="288"/>
      <c r="M55" s="288"/>
      <c r="N55" s="288"/>
      <c r="O55" s="288"/>
      <c r="P55" s="288"/>
      <c r="Q55" s="288"/>
      <c r="R55" s="288"/>
      <c r="S55" s="288"/>
      <c r="T55" s="288"/>
      <c r="U55" s="288"/>
      <c r="V55" s="288"/>
      <c r="W55" s="288"/>
      <c r="X55" s="288"/>
      <c r="Y55" s="288"/>
      <c r="Z55" s="288"/>
      <c r="AA55" s="288"/>
      <c r="AB55" s="288"/>
      <c r="AC55" s="288"/>
      <c r="AD55" s="288"/>
      <c r="AE55" s="288"/>
      <c r="AF55" s="288"/>
      <c r="AG55" s="288"/>
      <c r="AH55" s="288"/>
      <c r="AI55" s="289"/>
      <c r="AK55" s="425" t="s">
        <v>697</v>
      </c>
      <c r="AL55" s="425"/>
      <c r="AM55" s="425"/>
      <c r="AN55" s="425"/>
      <c r="AO55" s="425"/>
      <c r="AP55" s="425"/>
      <c r="AQ55" s="42"/>
      <c r="AR55" s="43"/>
      <c r="AS55" s="43"/>
      <c r="AT55" s="43"/>
      <c r="AU55" s="43"/>
      <c r="AV55" s="43"/>
      <c r="AW55" s="43"/>
      <c r="AX55" s="43"/>
      <c r="AY55" s="43"/>
      <c r="AZ55" s="43"/>
      <c r="BH55" s="50"/>
      <c r="BI55" s="51"/>
    </row>
    <row r="56" spans="1:61" ht="18" customHeight="1">
      <c r="A56" s="36"/>
      <c r="B56" s="404"/>
      <c r="C56" s="404"/>
      <c r="D56" s="404"/>
      <c r="E56" s="404"/>
      <c r="F56" s="288"/>
      <c r="G56" s="288"/>
      <c r="H56" s="288"/>
      <c r="I56" s="288"/>
      <c r="J56" s="288"/>
      <c r="K56" s="288"/>
      <c r="L56" s="288"/>
      <c r="M56" s="288"/>
      <c r="N56" s="288"/>
      <c r="O56" s="288"/>
      <c r="P56" s="288"/>
      <c r="Q56" s="288"/>
      <c r="R56" s="288"/>
      <c r="S56" s="288"/>
      <c r="T56" s="288"/>
      <c r="U56" s="288"/>
      <c r="V56" s="288"/>
      <c r="W56" s="288"/>
      <c r="X56" s="288"/>
      <c r="Y56" s="288"/>
      <c r="Z56" s="288"/>
      <c r="AA56" s="288"/>
      <c r="AB56" s="288"/>
      <c r="AC56" s="288"/>
      <c r="AD56" s="288"/>
      <c r="AE56" s="288"/>
      <c r="AF56" s="288"/>
      <c r="AG56" s="288"/>
      <c r="AH56" s="288"/>
      <c r="AI56" s="289"/>
      <c r="AK56" s="425" t="s">
        <v>698</v>
      </c>
      <c r="AL56" s="425"/>
      <c r="AM56" s="425"/>
      <c r="AN56" s="425"/>
      <c r="AO56" s="425"/>
      <c r="AP56" s="425"/>
      <c r="AQ56" s="42"/>
      <c r="AR56" s="43"/>
      <c r="AS56" s="43"/>
      <c r="AT56" s="43"/>
      <c r="AU56" s="43"/>
      <c r="AV56" s="43"/>
      <c r="AW56" s="43"/>
      <c r="AX56" s="43"/>
      <c r="AY56" s="43"/>
      <c r="AZ56" s="43"/>
      <c r="BH56" s="52"/>
      <c r="BI56" s="51"/>
    </row>
    <row r="57" spans="1:61" ht="18" customHeight="1">
      <c r="A57" s="36"/>
      <c r="B57" s="404"/>
      <c r="C57" s="404"/>
      <c r="D57" s="404"/>
      <c r="E57" s="404"/>
      <c r="F57" s="288"/>
      <c r="G57" s="288"/>
      <c r="H57" s="288"/>
      <c r="I57" s="288"/>
      <c r="J57" s="288"/>
      <c r="K57" s="288"/>
      <c r="L57" s="288"/>
      <c r="M57" s="288"/>
      <c r="N57" s="288"/>
      <c r="O57" s="288"/>
      <c r="P57" s="288"/>
      <c r="Q57" s="288"/>
      <c r="R57" s="288"/>
      <c r="S57" s="288"/>
      <c r="T57" s="288"/>
      <c r="U57" s="288"/>
      <c r="V57" s="288"/>
      <c r="W57" s="288"/>
      <c r="X57" s="288"/>
      <c r="Y57" s="288"/>
      <c r="Z57" s="288"/>
      <c r="AA57" s="288"/>
      <c r="AB57" s="288"/>
      <c r="AC57" s="288"/>
      <c r="AD57" s="288"/>
      <c r="AE57" s="288"/>
      <c r="AF57" s="288"/>
      <c r="AG57" s="288"/>
      <c r="AH57" s="288"/>
      <c r="AI57" s="289"/>
      <c r="AK57" s="425" t="s">
        <v>699</v>
      </c>
      <c r="AL57" s="425"/>
      <c r="AM57" s="425"/>
      <c r="AN57" s="425"/>
      <c r="AO57" s="425"/>
      <c r="AP57" s="425"/>
      <c r="AQ57" s="42"/>
      <c r="AR57" s="43"/>
      <c r="AS57" s="43"/>
      <c r="AT57" s="43"/>
      <c r="AU57" s="43"/>
      <c r="AV57" s="43"/>
      <c r="AW57" s="43"/>
      <c r="AX57" s="43"/>
      <c r="AY57" s="43"/>
      <c r="AZ57" s="43"/>
      <c r="BH57" s="50"/>
      <c r="BI57" s="51"/>
    </row>
    <row r="58" spans="1:61" ht="18" customHeight="1">
      <c r="A58" s="36"/>
      <c r="B58" s="404"/>
      <c r="C58" s="404"/>
      <c r="D58" s="404"/>
      <c r="E58" s="404"/>
      <c r="F58" s="288"/>
      <c r="G58" s="288"/>
      <c r="H58" s="288"/>
      <c r="I58" s="288"/>
      <c r="J58" s="288"/>
      <c r="K58" s="288"/>
      <c r="L58" s="288"/>
      <c r="M58" s="288"/>
      <c r="N58" s="288"/>
      <c r="O58" s="288"/>
      <c r="P58" s="288"/>
      <c r="Q58" s="288"/>
      <c r="R58" s="288"/>
      <c r="S58" s="288"/>
      <c r="T58" s="288"/>
      <c r="U58" s="288"/>
      <c r="V58" s="288"/>
      <c r="W58" s="288"/>
      <c r="X58" s="288"/>
      <c r="Y58" s="288"/>
      <c r="Z58" s="288"/>
      <c r="AA58" s="288"/>
      <c r="AB58" s="288"/>
      <c r="AC58" s="288"/>
      <c r="AD58" s="288"/>
      <c r="AE58" s="288"/>
      <c r="AF58" s="288"/>
      <c r="AG58" s="288"/>
      <c r="AH58" s="288"/>
      <c r="AI58" s="289"/>
      <c r="AK58" s="425" t="s">
        <v>700</v>
      </c>
      <c r="AL58" s="425"/>
      <c r="AM58" s="425"/>
      <c r="AN58" s="425"/>
      <c r="AO58" s="425"/>
      <c r="AP58" s="425"/>
      <c r="AQ58" s="42"/>
      <c r="AR58" s="43"/>
      <c r="AS58" s="43"/>
      <c r="AT58" s="43"/>
      <c r="AU58" s="43"/>
      <c r="AV58" s="43"/>
      <c r="AW58" s="43"/>
      <c r="AX58" s="43"/>
      <c r="AY58" s="43"/>
      <c r="AZ58" s="43"/>
      <c r="BH58" s="50"/>
      <c r="BI58" s="51"/>
    </row>
    <row r="59" spans="1:61" ht="18" customHeight="1">
      <c r="A59" s="36"/>
      <c r="B59" s="404"/>
      <c r="C59" s="404"/>
      <c r="D59" s="404"/>
      <c r="E59" s="404"/>
      <c r="F59" s="288"/>
      <c r="G59" s="288"/>
      <c r="H59" s="288"/>
      <c r="I59" s="288"/>
      <c r="J59" s="288"/>
      <c r="K59" s="288"/>
      <c r="L59" s="288"/>
      <c r="M59" s="288"/>
      <c r="N59" s="288"/>
      <c r="O59" s="288"/>
      <c r="P59" s="288"/>
      <c r="Q59" s="288"/>
      <c r="R59" s="288"/>
      <c r="S59" s="288"/>
      <c r="T59" s="288"/>
      <c r="U59" s="288"/>
      <c r="V59" s="288"/>
      <c r="W59" s="288"/>
      <c r="X59" s="288"/>
      <c r="Y59" s="288"/>
      <c r="Z59" s="288"/>
      <c r="AA59" s="288"/>
      <c r="AB59" s="288"/>
      <c r="AC59" s="288"/>
      <c r="AD59" s="288"/>
      <c r="AE59" s="288"/>
      <c r="AF59" s="288"/>
      <c r="AG59" s="288"/>
      <c r="AH59" s="288"/>
      <c r="AI59" s="289"/>
      <c r="AK59" s="425" t="s">
        <v>701</v>
      </c>
      <c r="AL59" s="425"/>
      <c r="AM59" s="425"/>
      <c r="AN59" s="425"/>
      <c r="AO59" s="425"/>
      <c r="AP59" s="425"/>
      <c r="AQ59" s="42"/>
      <c r="AR59" s="43"/>
      <c r="AS59" s="43"/>
      <c r="AT59" s="43"/>
      <c r="AU59" s="43"/>
      <c r="AV59" s="43"/>
      <c r="AW59" s="43"/>
      <c r="AX59" s="43"/>
      <c r="AY59" s="43"/>
      <c r="AZ59" s="43"/>
      <c r="BH59" s="50"/>
      <c r="BI59" s="51"/>
    </row>
    <row r="60" spans="1:61" ht="18" customHeight="1">
      <c r="A60" s="36"/>
      <c r="B60" s="404"/>
      <c r="C60" s="404"/>
      <c r="D60" s="404"/>
      <c r="E60" s="404"/>
      <c r="F60" s="288"/>
      <c r="G60" s="288"/>
      <c r="H60" s="288"/>
      <c r="I60" s="288"/>
      <c r="J60" s="288"/>
      <c r="K60" s="288"/>
      <c r="L60" s="288"/>
      <c r="M60" s="288"/>
      <c r="N60" s="288"/>
      <c r="O60" s="288"/>
      <c r="P60" s="288"/>
      <c r="Q60" s="288"/>
      <c r="R60" s="288"/>
      <c r="S60" s="288"/>
      <c r="T60" s="288"/>
      <c r="U60" s="288"/>
      <c r="V60" s="288"/>
      <c r="W60" s="288"/>
      <c r="X60" s="288"/>
      <c r="Y60" s="288"/>
      <c r="Z60" s="288"/>
      <c r="AA60" s="288"/>
      <c r="AB60" s="288"/>
      <c r="AC60" s="288"/>
      <c r="AD60" s="288"/>
      <c r="AE60" s="288"/>
      <c r="AF60" s="288"/>
      <c r="AG60" s="288"/>
      <c r="AH60" s="288"/>
      <c r="AI60" s="289"/>
      <c r="AK60" s="425" t="s">
        <v>702</v>
      </c>
      <c r="AL60" s="425"/>
      <c r="AM60" s="425"/>
      <c r="AN60" s="425"/>
      <c r="AO60" s="425"/>
      <c r="AP60" s="425"/>
      <c r="AQ60" s="42"/>
      <c r="AR60" s="43"/>
      <c r="AS60" s="43"/>
      <c r="AT60" s="43"/>
      <c r="AU60" s="43"/>
      <c r="AV60" s="43"/>
      <c r="AW60" s="43"/>
      <c r="AX60" s="43"/>
      <c r="AY60" s="43"/>
      <c r="AZ60" s="43"/>
      <c r="BH60" s="52"/>
      <c r="BI60" s="51"/>
    </row>
    <row r="61" spans="1:61" ht="18" customHeight="1">
      <c r="A61" s="36"/>
      <c r="B61" s="404"/>
      <c r="C61" s="404"/>
      <c r="D61" s="404"/>
      <c r="E61" s="404"/>
      <c r="F61" s="288"/>
      <c r="G61" s="288"/>
      <c r="H61" s="288"/>
      <c r="I61" s="288"/>
      <c r="J61" s="288"/>
      <c r="K61" s="288"/>
      <c r="L61" s="288"/>
      <c r="M61" s="288"/>
      <c r="N61" s="288"/>
      <c r="O61" s="288"/>
      <c r="P61" s="288"/>
      <c r="Q61" s="288"/>
      <c r="R61" s="288"/>
      <c r="S61" s="288"/>
      <c r="T61" s="288"/>
      <c r="U61" s="288"/>
      <c r="V61" s="288"/>
      <c r="W61" s="288"/>
      <c r="X61" s="288"/>
      <c r="Y61" s="288"/>
      <c r="Z61" s="288"/>
      <c r="AA61" s="288"/>
      <c r="AB61" s="288"/>
      <c r="AC61" s="288"/>
      <c r="AD61" s="288"/>
      <c r="AE61" s="288"/>
      <c r="AF61" s="288"/>
      <c r="AG61" s="288"/>
      <c r="AH61" s="288"/>
      <c r="AI61" s="289"/>
      <c r="AK61" s="425" t="s">
        <v>703</v>
      </c>
      <c r="AL61" s="425"/>
      <c r="AM61" s="425"/>
      <c r="AN61" s="425"/>
      <c r="AO61" s="425"/>
      <c r="AP61" s="425"/>
      <c r="AQ61" s="42"/>
      <c r="AR61" s="43"/>
      <c r="AS61" s="43"/>
      <c r="AT61" s="43"/>
      <c r="AU61" s="43"/>
      <c r="AV61" s="43"/>
      <c r="AW61" s="43"/>
      <c r="AX61" s="43"/>
      <c r="AY61" s="43"/>
      <c r="AZ61" s="43"/>
      <c r="BH61" s="50"/>
      <c r="BI61" s="51"/>
    </row>
    <row r="62" spans="1:61" ht="18" customHeight="1">
      <c r="A62" s="36"/>
      <c r="B62" s="404"/>
      <c r="C62" s="404"/>
      <c r="D62" s="404"/>
      <c r="E62" s="404"/>
      <c r="F62" s="288"/>
      <c r="G62" s="288"/>
      <c r="H62" s="288"/>
      <c r="I62" s="288"/>
      <c r="J62" s="288"/>
      <c r="K62" s="288"/>
      <c r="L62" s="288"/>
      <c r="M62" s="288"/>
      <c r="N62" s="288"/>
      <c r="O62" s="288"/>
      <c r="P62" s="288"/>
      <c r="Q62" s="288"/>
      <c r="R62" s="288"/>
      <c r="S62" s="288"/>
      <c r="T62" s="288"/>
      <c r="U62" s="288"/>
      <c r="V62" s="288"/>
      <c r="W62" s="288"/>
      <c r="X62" s="288"/>
      <c r="Y62" s="288"/>
      <c r="Z62" s="288"/>
      <c r="AA62" s="288"/>
      <c r="AB62" s="288"/>
      <c r="AC62" s="288"/>
      <c r="AD62" s="288"/>
      <c r="AE62" s="288"/>
      <c r="AF62" s="288"/>
      <c r="AG62" s="288"/>
      <c r="AH62" s="288"/>
      <c r="AI62" s="289"/>
      <c r="AK62" s="425"/>
      <c r="AL62" s="425"/>
      <c r="AM62" s="425"/>
      <c r="AN62" s="425"/>
      <c r="AO62" s="425"/>
      <c r="AP62" s="425"/>
      <c r="AQ62" s="42"/>
      <c r="AR62" s="43"/>
      <c r="AS62" s="43"/>
      <c r="AT62" s="43"/>
      <c r="AU62" s="43"/>
      <c r="AV62" s="43"/>
      <c r="AW62" s="43"/>
      <c r="AX62" s="43"/>
      <c r="AY62" s="43"/>
      <c r="AZ62" s="43"/>
      <c r="BH62" s="50"/>
      <c r="BI62" s="51"/>
    </row>
    <row r="63" spans="1:61" ht="18" customHeight="1">
      <c r="A63" s="36"/>
      <c r="B63" s="404"/>
      <c r="C63" s="404"/>
      <c r="D63" s="404"/>
      <c r="E63" s="404"/>
      <c r="F63" s="288"/>
      <c r="G63" s="288"/>
      <c r="H63" s="288"/>
      <c r="I63" s="288"/>
      <c r="J63" s="288"/>
      <c r="K63" s="288"/>
      <c r="L63" s="288"/>
      <c r="M63" s="288"/>
      <c r="N63" s="288"/>
      <c r="O63" s="288"/>
      <c r="P63" s="288"/>
      <c r="Q63" s="288"/>
      <c r="R63" s="288"/>
      <c r="S63" s="288"/>
      <c r="T63" s="288"/>
      <c r="U63" s="288"/>
      <c r="V63" s="288"/>
      <c r="W63" s="288"/>
      <c r="X63" s="288"/>
      <c r="Y63" s="288"/>
      <c r="Z63" s="288"/>
      <c r="AA63" s="288"/>
      <c r="AB63" s="288"/>
      <c r="AC63" s="288"/>
      <c r="AD63" s="288"/>
      <c r="AE63" s="288"/>
      <c r="AF63" s="288"/>
      <c r="AG63" s="288"/>
      <c r="AH63" s="288"/>
      <c r="AI63" s="289"/>
      <c r="AK63" s="425"/>
      <c r="AL63" s="425"/>
      <c r="AM63" s="425"/>
      <c r="AN63" s="425"/>
      <c r="AO63" s="425"/>
      <c r="AP63" s="425"/>
      <c r="AQ63" s="42"/>
      <c r="AR63" s="43"/>
      <c r="AS63" s="43"/>
      <c r="AT63" s="43"/>
      <c r="AU63" s="43"/>
      <c r="AV63" s="43"/>
      <c r="AW63" s="43"/>
      <c r="AX63" s="43"/>
      <c r="AY63" s="43"/>
      <c r="AZ63" s="43"/>
      <c r="BH63" s="52"/>
      <c r="BI63" s="51"/>
    </row>
    <row r="64" spans="1:61" ht="18" customHeight="1">
      <c r="A64" s="36"/>
      <c r="B64" s="404"/>
      <c r="C64" s="404"/>
      <c r="D64" s="404"/>
      <c r="E64" s="404"/>
      <c r="F64" s="288"/>
      <c r="G64" s="288"/>
      <c r="H64" s="288"/>
      <c r="I64" s="288"/>
      <c r="J64" s="288"/>
      <c r="K64" s="288"/>
      <c r="L64" s="288"/>
      <c r="M64" s="288"/>
      <c r="N64" s="288"/>
      <c r="O64" s="288"/>
      <c r="P64" s="288"/>
      <c r="Q64" s="288"/>
      <c r="R64" s="288"/>
      <c r="S64" s="288"/>
      <c r="T64" s="288"/>
      <c r="U64" s="288"/>
      <c r="V64" s="288"/>
      <c r="W64" s="288"/>
      <c r="X64" s="288"/>
      <c r="Y64" s="288"/>
      <c r="Z64" s="288"/>
      <c r="AA64" s="288"/>
      <c r="AB64" s="288"/>
      <c r="AC64" s="288"/>
      <c r="AD64" s="288"/>
      <c r="AE64" s="288"/>
      <c r="AF64" s="288"/>
      <c r="AG64" s="288"/>
      <c r="AH64" s="288"/>
      <c r="AI64" s="289"/>
      <c r="AK64" s="425"/>
      <c r="AL64" s="425"/>
      <c r="AM64" s="425"/>
      <c r="AN64" s="425"/>
      <c r="AO64" s="425"/>
      <c r="AP64" s="425"/>
      <c r="AQ64" s="42"/>
      <c r="AR64" s="43"/>
      <c r="AS64" s="43"/>
      <c r="AT64" s="43"/>
      <c r="AU64" s="43"/>
      <c r="AV64" s="43"/>
      <c r="AW64" s="43"/>
      <c r="AX64" s="43"/>
      <c r="AY64" s="43"/>
      <c r="AZ64" s="43"/>
      <c r="BH64" s="52"/>
      <c r="BI64" s="51"/>
    </row>
    <row r="65" spans="1:61" ht="18" customHeight="1">
      <c r="A65" s="36"/>
      <c r="B65" s="404"/>
      <c r="C65" s="404"/>
      <c r="D65" s="404"/>
      <c r="E65" s="404"/>
      <c r="F65" s="288"/>
      <c r="G65" s="288"/>
      <c r="H65" s="288"/>
      <c r="I65" s="288"/>
      <c r="J65" s="288"/>
      <c r="K65" s="288"/>
      <c r="L65" s="288"/>
      <c r="M65" s="288"/>
      <c r="N65" s="288"/>
      <c r="O65" s="288"/>
      <c r="P65" s="288"/>
      <c r="Q65" s="288"/>
      <c r="R65" s="288"/>
      <c r="S65" s="288"/>
      <c r="T65" s="288"/>
      <c r="U65" s="288"/>
      <c r="V65" s="288"/>
      <c r="W65" s="288"/>
      <c r="X65" s="288"/>
      <c r="Y65" s="288"/>
      <c r="Z65" s="288"/>
      <c r="AA65" s="288"/>
      <c r="AB65" s="288"/>
      <c r="AC65" s="288"/>
      <c r="AD65" s="288"/>
      <c r="AE65" s="288"/>
      <c r="AF65" s="288"/>
      <c r="AG65" s="288"/>
      <c r="AH65" s="288"/>
      <c r="AI65" s="289"/>
      <c r="AK65" s="425"/>
      <c r="AL65" s="425"/>
      <c r="AM65" s="425"/>
      <c r="AN65" s="425"/>
      <c r="AO65" s="425"/>
      <c r="AP65" s="425"/>
      <c r="AQ65" s="42"/>
      <c r="AR65" s="43"/>
      <c r="AS65" s="43"/>
      <c r="AT65" s="43"/>
      <c r="AU65" s="43"/>
      <c r="AV65" s="43"/>
      <c r="AW65" s="43"/>
      <c r="AX65" s="43"/>
      <c r="AY65" s="43"/>
      <c r="AZ65" s="43"/>
      <c r="BH65" s="50"/>
      <c r="BI65" s="51"/>
    </row>
    <row r="66" spans="1:61" ht="18" customHeight="1">
      <c r="A66" s="36"/>
      <c r="B66" s="404"/>
      <c r="C66" s="404"/>
      <c r="D66" s="404"/>
      <c r="E66" s="404"/>
      <c r="F66" s="288"/>
      <c r="G66" s="288"/>
      <c r="H66" s="288"/>
      <c r="I66" s="288"/>
      <c r="J66" s="288"/>
      <c r="K66" s="288"/>
      <c r="L66" s="288"/>
      <c r="M66" s="288"/>
      <c r="N66" s="288"/>
      <c r="O66" s="288"/>
      <c r="P66" s="288"/>
      <c r="Q66" s="288"/>
      <c r="R66" s="288"/>
      <c r="S66" s="288"/>
      <c r="T66" s="288"/>
      <c r="U66" s="288"/>
      <c r="V66" s="288"/>
      <c r="W66" s="288"/>
      <c r="X66" s="288"/>
      <c r="Y66" s="288"/>
      <c r="Z66" s="288"/>
      <c r="AA66" s="288"/>
      <c r="AB66" s="288"/>
      <c r="AC66" s="288"/>
      <c r="AD66" s="288"/>
      <c r="AE66" s="288"/>
      <c r="AF66" s="288"/>
      <c r="AG66" s="288"/>
      <c r="AH66" s="288"/>
      <c r="AI66" s="289"/>
      <c r="AK66" s="425"/>
      <c r="AL66" s="425"/>
      <c r="AM66" s="425"/>
      <c r="AN66" s="425"/>
      <c r="AO66" s="425"/>
      <c r="AP66" s="425"/>
      <c r="AQ66" s="42"/>
      <c r="AR66" s="43"/>
      <c r="AS66" s="43"/>
      <c r="AT66" s="43"/>
      <c r="AU66" s="43"/>
      <c r="AV66" s="43"/>
      <c r="AW66" s="43"/>
      <c r="AX66" s="43"/>
      <c r="AY66" s="43"/>
      <c r="AZ66" s="43"/>
      <c r="BH66" s="50"/>
      <c r="BI66" s="51"/>
    </row>
    <row r="67" spans="1:61" ht="18" customHeight="1">
      <c r="A67" s="36"/>
      <c r="B67" s="404"/>
      <c r="C67" s="404"/>
      <c r="D67" s="404"/>
      <c r="E67" s="404"/>
      <c r="F67" s="288"/>
      <c r="G67" s="288"/>
      <c r="H67" s="288"/>
      <c r="I67" s="288"/>
      <c r="J67" s="288"/>
      <c r="K67" s="288"/>
      <c r="L67" s="288"/>
      <c r="M67" s="288"/>
      <c r="N67" s="288"/>
      <c r="O67" s="288"/>
      <c r="P67" s="288"/>
      <c r="Q67" s="288"/>
      <c r="R67" s="288"/>
      <c r="S67" s="288"/>
      <c r="T67" s="288"/>
      <c r="U67" s="288"/>
      <c r="V67" s="288"/>
      <c r="W67" s="288"/>
      <c r="X67" s="288"/>
      <c r="Y67" s="288"/>
      <c r="Z67" s="288"/>
      <c r="AA67" s="288"/>
      <c r="AB67" s="288"/>
      <c r="AC67" s="288"/>
      <c r="AD67" s="288"/>
      <c r="AE67" s="288"/>
      <c r="AF67" s="288"/>
      <c r="AG67" s="288"/>
      <c r="AH67" s="288"/>
      <c r="AI67" s="289"/>
      <c r="AK67" s="425"/>
      <c r="AL67" s="425"/>
      <c r="AM67" s="425"/>
      <c r="AN67" s="425"/>
      <c r="AO67" s="425"/>
      <c r="AP67" s="425"/>
      <c r="AQ67" s="67"/>
      <c r="AR67" s="43"/>
      <c r="AS67" s="43"/>
      <c r="AT67" s="43"/>
      <c r="AU67" s="43"/>
      <c r="AV67" s="43"/>
      <c r="AW67" s="43"/>
      <c r="AX67" s="43"/>
      <c r="AY67" s="43"/>
      <c r="AZ67" s="43"/>
      <c r="BH67" s="50"/>
      <c r="BI67" s="51"/>
    </row>
    <row r="68" spans="1:61" ht="18" customHeight="1">
      <c r="A68" s="36"/>
      <c r="B68" s="404"/>
      <c r="C68" s="404"/>
      <c r="D68" s="404"/>
      <c r="E68" s="404"/>
      <c r="F68" s="288"/>
      <c r="G68" s="288"/>
      <c r="H68" s="288"/>
      <c r="I68" s="288"/>
      <c r="J68" s="288"/>
      <c r="K68" s="288"/>
      <c r="L68" s="288"/>
      <c r="M68" s="288"/>
      <c r="N68" s="288"/>
      <c r="O68" s="288"/>
      <c r="P68" s="288"/>
      <c r="Q68" s="288"/>
      <c r="R68" s="288"/>
      <c r="S68" s="288"/>
      <c r="T68" s="288"/>
      <c r="U68" s="288"/>
      <c r="V68" s="288"/>
      <c r="W68" s="288"/>
      <c r="X68" s="288"/>
      <c r="Y68" s="288"/>
      <c r="Z68" s="288"/>
      <c r="AA68" s="288"/>
      <c r="AB68" s="288"/>
      <c r="AC68" s="288"/>
      <c r="AD68" s="288"/>
      <c r="AE68" s="288"/>
      <c r="AF68" s="288"/>
      <c r="AG68" s="288"/>
      <c r="AH68" s="288"/>
      <c r="AI68" s="289"/>
      <c r="AK68" s="425"/>
      <c r="AL68" s="425"/>
      <c r="AM68" s="425"/>
      <c r="AN68" s="425"/>
      <c r="AO68" s="425"/>
      <c r="AP68" s="425"/>
      <c r="AQ68" s="67"/>
      <c r="AR68" s="43"/>
      <c r="AS68" s="43"/>
      <c r="AT68" s="43"/>
      <c r="AU68" s="43"/>
      <c r="AV68" s="43"/>
      <c r="AW68" s="43"/>
      <c r="AX68" s="43"/>
      <c r="AY68" s="43"/>
      <c r="AZ68" s="43"/>
      <c r="BH68" s="50"/>
      <c r="BI68" s="51"/>
    </row>
    <row r="69" spans="1:61" ht="18" customHeight="1">
      <c r="A69" s="36"/>
      <c r="B69" s="404"/>
      <c r="C69" s="404"/>
      <c r="D69" s="404"/>
      <c r="E69" s="404"/>
      <c r="F69" s="288"/>
      <c r="G69" s="288"/>
      <c r="H69" s="288"/>
      <c r="I69" s="288"/>
      <c r="J69" s="288"/>
      <c r="K69" s="288"/>
      <c r="L69" s="288"/>
      <c r="M69" s="288"/>
      <c r="N69" s="288"/>
      <c r="O69" s="288"/>
      <c r="P69" s="288"/>
      <c r="Q69" s="288"/>
      <c r="R69" s="288"/>
      <c r="S69" s="288"/>
      <c r="T69" s="288"/>
      <c r="U69" s="288"/>
      <c r="V69" s="288"/>
      <c r="W69" s="288"/>
      <c r="X69" s="288"/>
      <c r="Y69" s="288"/>
      <c r="Z69" s="288"/>
      <c r="AA69" s="288"/>
      <c r="AB69" s="288"/>
      <c r="AC69" s="288"/>
      <c r="AD69" s="288"/>
      <c r="AE69" s="288"/>
      <c r="AF69" s="288"/>
      <c r="AG69" s="288"/>
      <c r="AH69" s="288"/>
      <c r="AI69" s="289"/>
      <c r="AK69" s="425"/>
      <c r="AL69" s="425"/>
      <c r="AM69" s="425"/>
      <c r="AN69" s="425"/>
      <c r="AO69" s="425"/>
      <c r="AP69" s="425"/>
      <c r="AQ69" s="42"/>
      <c r="AR69" s="43"/>
      <c r="AS69" s="43"/>
      <c r="AT69" s="43"/>
      <c r="AU69" s="43"/>
      <c r="AV69" s="43"/>
      <c r="AW69" s="43"/>
      <c r="AX69" s="43"/>
      <c r="AY69" s="43"/>
      <c r="AZ69" s="43"/>
      <c r="BH69" s="50"/>
      <c r="BI69" s="51"/>
    </row>
    <row r="70" spans="1:61" ht="18" customHeight="1">
      <c r="A70" s="36"/>
      <c r="B70" s="404"/>
      <c r="C70" s="404"/>
      <c r="D70" s="404"/>
      <c r="E70" s="404"/>
      <c r="F70" s="288"/>
      <c r="G70" s="288"/>
      <c r="H70" s="288"/>
      <c r="I70" s="288"/>
      <c r="J70" s="288"/>
      <c r="K70" s="288"/>
      <c r="L70" s="288"/>
      <c r="M70" s="288"/>
      <c r="N70" s="288"/>
      <c r="O70" s="288"/>
      <c r="P70" s="288"/>
      <c r="Q70" s="288"/>
      <c r="R70" s="288"/>
      <c r="S70" s="288"/>
      <c r="T70" s="288"/>
      <c r="U70" s="288"/>
      <c r="V70" s="288"/>
      <c r="W70" s="288"/>
      <c r="X70" s="288"/>
      <c r="Y70" s="288"/>
      <c r="Z70" s="288"/>
      <c r="AA70" s="288"/>
      <c r="AB70" s="288"/>
      <c r="AC70" s="288"/>
      <c r="AD70" s="288"/>
      <c r="AE70" s="288"/>
      <c r="AF70" s="288"/>
      <c r="AG70" s="288"/>
      <c r="AH70" s="288"/>
      <c r="AI70" s="289"/>
      <c r="AK70" s="425"/>
      <c r="AL70" s="425"/>
      <c r="AM70" s="425"/>
      <c r="AN70" s="425"/>
      <c r="AO70" s="425"/>
      <c r="AP70" s="425"/>
      <c r="AQ70" s="42"/>
      <c r="AR70" s="43"/>
      <c r="AS70" s="43"/>
      <c r="AT70" s="43"/>
      <c r="AU70" s="43"/>
      <c r="AV70" s="43"/>
      <c r="AW70" s="43"/>
      <c r="AX70" s="43"/>
      <c r="AY70" s="43"/>
      <c r="AZ70" s="43"/>
      <c r="BH70" s="50"/>
      <c r="BI70" s="51"/>
    </row>
    <row r="71" spans="1:61" ht="18" customHeight="1">
      <c r="A71" s="36"/>
      <c r="B71" s="404"/>
      <c r="C71" s="404"/>
      <c r="D71" s="404"/>
      <c r="E71" s="404"/>
      <c r="F71" s="288"/>
      <c r="G71" s="288"/>
      <c r="H71" s="288"/>
      <c r="I71" s="288"/>
      <c r="J71" s="288"/>
      <c r="K71" s="288"/>
      <c r="L71" s="288"/>
      <c r="M71" s="288"/>
      <c r="N71" s="288"/>
      <c r="O71" s="288"/>
      <c r="P71" s="288"/>
      <c r="Q71" s="288"/>
      <c r="R71" s="288"/>
      <c r="S71" s="288"/>
      <c r="T71" s="288"/>
      <c r="U71" s="288"/>
      <c r="V71" s="288"/>
      <c r="W71" s="288"/>
      <c r="X71" s="288"/>
      <c r="Y71" s="288"/>
      <c r="Z71" s="288"/>
      <c r="AA71" s="288"/>
      <c r="AB71" s="288"/>
      <c r="AC71" s="288"/>
      <c r="AD71" s="288"/>
      <c r="AE71" s="288"/>
      <c r="AF71" s="288"/>
      <c r="AG71" s="288"/>
      <c r="AH71" s="288"/>
      <c r="AI71" s="289"/>
      <c r="AK71" s="425"/>
      <c r="AL71" s="425"/>
      <c r="AM71" s="425"/>
      <c r="AN71" s="425"/>
      <c r="AO71" s="425"/>
      <c r="AP71" s="425"/>
      <c r="AQ71" s="42"/>
      <c r="AR71" s="43"/>
      <c r="AS71" s="43"/>
      <c r="AT71" s="43"/>
      <c r="AU71" s="43"/>
      <c r="AV71" s="43"/>
      <c r="AW71" s="43"/>
      <c r="AX71" s="43"/>
      <c r="AY71" s="43"/>
      <c r="AZ71" s="43"/>
      <c r="BH71" s="52"/>
      <c r="BI71" s="51"/>
    </row>
    <row r="72" spans="1:61" ht="18" customHeight="1">
      <c r="A72" s="36"/>
      <c r="B72" s="404"/>
      <c r="C72" s="404"/>
      <c r="D72" s="404"/>
      <c r="E72" s="404"/>
      <c r="F72" s="288"/>
      <c r="G72" s="288"/>
      <c r="H72" s="288"/>
      <c r="I72" s="288"/>
      <c r="J72" s="288"/>
      <c r="K72" s="288"/>
      <c r="L72" s="288"/>
      <c r="M72" s="288"/>
      <c r="N72" s="288"/>
      <c r="O72" s="288"/>
      <c r="P72" s="288"/>
      <c r="Q72" s="288"/>
      <c r="R72" s="288"/>
      <c r="S72" s="288"/>
      <c r="T72" s="288"/>
      <c r="U72" s="288"/>
      <c r="V72" s="288"/>
      <c r="W72" s="288"/>
      <c r="X72" s="288"/>
      <c r="Y72" s="288"/>
      <c r="Z72" s="288"/>
      <c r="AA72" s="288"/>
      <c r="AB72" s="288"/>
      <c r="AC72" s="288"/>
      <c r="AD72" s="288"/>
      <c r="AE72" s="288"/>
      <c r="AF72" s="288"/>
      <c r="AG72" s="288"/>
      <c r="AH72" s="288"/>
      <c r="AI72" s="289"/>
      <c r="AK72" s="425"/>
      <c r="AL72" s="425"/>
      <c r="AM72" s="425"/>
      <c r="AN72" s="425"/>
      <c r="AO72" s="425"/>
      <c r="AP72" s="425"/>
      <c r="AQ72" s="42"/>
      <c r="AR72" s="43"/>
      <c r="AS72" s="43"/>
      <c r="AT72" s="43"/>
      <c r="AU72" s="43"/>
      <c r="AV72" s="43"/>
      <c r="AW72" s="43"/>
      <c r="AX72" s="43"/>
      <c r="AY72" s="43"/>
      <c r="AZ72" s="43"/>
      <c r="BH72" s="53"/>
      <c r="BI72" s="51"/>
    </row>
    <row r="73" spans="1:61" ht="18" customHeight="1">
      <c r="A73" s="36"/>
      <c r="B73" s="404"/>
      <c r="C73" s="404"/>
      <c r="D73" s="404"/>
      <c r="E73" s="404"/>
      <c r="F73" s="288"/>
      <c r="G73" s="288"/>
      <c r="H73" s="288"/>
      <c r="I73" s="288"/>
      <c r="J73" s="288"/>
      <c r="K73" s="288"/>
      <c r="L73" s="288"/>
      <c r="M73" s="288"/>
      <c r="N73" s="288"/>
      <c r="O73" s="288"/>
      <c r="P73" s="288"/>
      <c r="Q73" s="288"/>
      <c r="R73" s="288"/>
      <c r="S73" s="288"/>
      <c r="T73" s="288"/>
      <c r="U73" s="288"/>
      <c r="V73" s="288"/>
      <c r="W73" s="288"/>
      <c r="X73" s="288"/>
      <c r="Y73" s="288"/>
      <c r="Z73" s="288"/>
      <c r="AA73" s="288"/>
      <c r="AB73" s="288"/>
      <c r="AC73" s="288"/>
      <c r="AD73" s="288"/>
      <c r="AE73" s="288"/>
      <c r="AF73" s="288"/>
      <c r="AG73" s="288"/>
      <c r="AH73" s="288"/>
      <c r="AI73" s="289"/>
      <c r="AK73" s="425"/>
      <c r="AL73" s="425"/>
      <c r="AM73" s="425"/>
      <c r="AN73" s="425"/>
      <c r="AO73" s="425"/>
      <c r="AP73" s="425"/>
      <c r="AQ73" s="42"/>
      <c r="AR73" s="43"/>
      <c r="AS73" s="43"/>
      <c r="AT73" s="43"/>
      <c r="AU73" s="43"/>
      <c r="AV73" s="43"/>
      <c r="AW73" s="43"/>
      <c r="AX73" s="43"/>
      <c r="AY73" s="43"/>
      <c r="AZ73" s="43"/>
      <c r="BH73" s="54"/>
      <c r="BI73" s="51"/>
    </row>
    <row r="74" spans="1:61" ht="18" customHeight="1">
      <c r="A74" s="36"/>
      <c r="B74" s="404"/>
      <c r="C74" s="404"/>
      <c r="D74" s="404"/>
      <c r="E74" s="404"/>
      <c r="F74" s="288"/>
      <c r="G74" s="288"/>
      <c r="H74" s="288"/>
      <c r="I74" s="288"/>
      <c r="J74" s="288"/>
      <c r="K74" s="288"/>
      <c r="L74" s="288"/>
      <c r="M74" s="288"/>
      <c r="N74" s="288"/>
      <c r="O74" s="288"/>
      <c r="P74" s="288"/>
      <c r="Q74" s="288"/>
      <c r="R74" s="288"/>
      <c r="S74" s="288"/>
      <c r="T74" s="288"/>
      <c r="U74" s="288"/>
      <c r="V74" s="288"/>
      <c r="W74" s="288"/>
      <c r="X74" s="288"/>
      <c r="Y74" s="288"/>
      <c r="Z74" s="288"/>
      <c r="AA74" s="288"/>
      <c r="AB74" s="288"/>
      <c r="AC74" s="288"/>
      <c r="AD74" s="288"/>
      <c r="AE74" s="288"/>
      <c r="AF74" s="288"/>
      <c r="AG74" s="288"/>
      <c r="AH74" s="288"/>
      <c r="AI74" s="289"/>
      <c r="AK74" s="425"/>
      <c r="AL74" s="425"/>
      <c r="AM74" s="425"/>
      <c r="AN74" s="425"/>
      <c r="AO74" s="425"/>
      <c r="AP74" s="425"/>
      <c r="AQ74" s="42"/>
      <c r="AR74" s="43"/>
      <c r="AS74" s="43"/>
      <c r="AT74" s="43"/>
      <c r="AU74" s="43"/>
      <c r="AV74" s="43"/>
      <c r="AW74" s="43"/>
      <c r="AX74" s="43"/>
      <c r="AY74" s="43"/>
      <c r="AZ74" s="43"/>
      <c r="BH74" s="54"/>
      <c r="BI74" s="51"/>
    </row>
    <row r="75" spans="1:61" ht="18" customHeight="1">
      <c r="A75" s="36"/>
      <c r="B75" s="404"/>
      <c r="C75" s="404"/>
      <c r="D75" s="404"/>
      <c r="E75" s="404"/>
      <c r="F75" s="288"/>
      <c r="G75" s="288"/>
      <c r="H75" s="288"/>
      <c r="I75" s="288"/>
      <c r="J75" s="288"/>
      <c r="K75" s="288"/>
      <c r="L75" s="288"/>
      <c r="M75" s="288"/>
      <c r="N75" s="288"/>
      <c r="O75" s="288"/>
      <c r="P75" s="288"/>
      <c r="Q75" s="288"/>
      <c r="R75" s="288"/>
      <c r="S75" s="288"/>
      <c r="T75" s="288"/>
      <c r="U75" s="288"/>
      <c r="V75" s="288"/>
      <c r="W75" s="288"/>
      <c r="X75" s="288"/>
      <c r="Y75" s="288"/>
      <c r="Z75" s="288"/>
      <c r="AA75" s="288"/>
      <c r="AB75" s="288"/>
      <c r="AC75" s="288"/>
      <c r="AD75" s="288"/>
      <c r="AE75" s="288"/>
      <c r="AF75" s="288"/>
      <c r="AG75" s="288"/>
      <c r="AH75" s="288"/>
      <c r="AI75" s="289"/>
      <c r="AK75" s="425"/>
      <c r="AL75" s="425"/>
      <c r="AM75" s="425"/>
      <c r="AN75" s="425"/>
      <c r="AO75" s="425"/>
      <c r="AP75" s="425"/>
      <c r="AQ75" s="42"/>
      <c r="AR75" s="43"/>
      <c r="AS75" s="43"/>
      <c r="AT75" s="43"/>
      <c r="AU75" s="43"/>
      <c r="AV75" s="43"/>
      <c r="AW75" s="43"/>
      <c r="AX75" s="43"/>
      <c r="AY75" s="43"/>
      <c r="AZ75" s="43"/>
      <c r="BH75" s="53"/>
      <c r="BI75" s="51"/>
    </row>
    <row r="76" spans="1:61" ht="18" customHeight="1">
      <c r="A76" s="36"/>
      <c r="B76" s="404"/>
      <c r="C76" s="404"/>
      <c r="D76" s="404"/>
      <c r="E76" s="404"/>
      <c r="F76" s="288"/>
      <c r="G76" s="288"/>
      <c r="H76" s="288"/>
      <c r="I76" s="288"/>
      <c r="J76" s="288"/>
      <c r="K76" s="288"/>
      <c r="L76" s="288"/>
      <c r="M76" s="288"/>
      <c r="N76" s="288"/>
      <c r="O76" s="288"/>
      <c r="P76" s="288"/>
      <c r="Q76" s="288"/>
      <c r="R76" s="288"/>
      <c r="S76" s="288"/>
      <c r="T76" s="288"/>
      <c r="U76" s="288"/>
      <c r="V76" s="288"/>
      <c r="W76" s="288"/>
      <c r="X76" s="288"/>
      <c r="Y76" s="288"/>
      <c r="Z76" s="288"/>
      <c r="AA76" s="288"/>
      <c r="AB76" s="288"/>
      <c r="AC76" s="288"/>
      <c r="AD76" s="288"/>
      <c r="AE76" s="288"/>
      <c r="AF76" s="288"/>
      <c r="AG76" s="288"/>
      <c r="AH76" s="288"/>
      <c r="AI76" s="289"/>
      <c r="AK76" s="425"/>
      <c r="AL76" s="425"/>
      <c r="AM76" s="425"/>
      <c r="AN76" s="425"/>
      <c r="AO76" s="425"/>
      <c r="AP76" s="425"/>
      <c r="AQ76" s="42"/>
      <c r="AR76" s="43"/>
      <c r="AS76" s="43"/>
      <c r="AT76" s="43"/>
      <c r="AU76" s="43"/>
      <c r="AV76" s="43"/>
      <c r="AW76" s="43"/>
      <c r="AX76" s="43"/>
      <c r="AY76" s="43"/>
      <c r="AZ76" s="43"/>
      <c r="BH76" s="53"/>
      <c r="BI76" s="51"/>
    </row>
    <row r="77" spans="1:61" ht="18" customHeight="1">
      <c r="A77" s="36"/>
      <c r="B77" s="404"/>
      <c r="C77" s="404"/>
      <c r="D77" s="404"/>
      <c r="E77" s="404"/>
      <c r="F77" s="288"/>
      <c r="G77" s="288"/>
      <c r="H77" s="288"/>
      <c r="I77" s="288"/>
      <c r="J77" s="288"/>
      <c r="K77" s="288"/>
      <c r="L77" s="288"/>
      <c r="M77" s="288"/>
      <c r="N77" s="288"/>
      <c r="O77" s="288"/>
      <c r="P77" s="288"/>
      <c r="Q77" s="288"/>
      <c r="R77" s="288"/>
      <c r="S77" s="288"/>
      <c r="T77" s="288"/>
      <c r="U77" s="288"/>
      <c r="V77" s="288"/>
      <c r="W77" s="288"/>
      <c r="X77" s="288"/>
      <c r="Y77" s="288"/>
      <c r="Z77" s="288"/>
      <c r="AA77" s="288"/>
      <c r="AB77" s="288"/>
      <c r="AC77" s="288"/>
      <c r="AD77" s="288"/>
      <c r="AE77" s="288"/>
      <c r="AF77" s="288"/>
      <c r="AG77" s="288"/>
      <c r="AH77" s="288"/>
      <c r="AI77" s="289"/>
      <c r="AK77" s="425"/>
      <c r="AL77" s="425"/>
      <c r="AM77" s="425"/>
      <c r="AN77" s="425"/>
      <c r="AO77" s="425"/>
      <c r="AP77" s="425"/>
      <c r="AQ77" s="42"/>
      <c r="AR77" s="43"/>
      <c r="AS77" s="43"/>
      <c r="AT77" s="43"/>
      <c r="AU77" s="43"/>
      <c r="AV77" s="43"/>
      <c r="AW77" s="43"/>
      <c r="AX77" s="43"/>
      <c r="AY77" s="43"/>
      <c r="AZ77" s="43"/>
      <c r="BH77" s="54"/>
      <c r="BI77" s="51"/>
    </row>
    <row r="78" spans="1:61" ht="18" customHeight="1">
      <c r="A78" s="36"/>
      <c r="B78" s="404"/>
      <c r="C78" s="404"/>
      <c r="D78" s="404"/>
      <c r="E78" s="404"/>
      <c r="F78" s="288"/>
      <c r="G78" s="288"/>
      <c r="H78" s="288"/>
      <c r="I78" s="288"/>
      <c r="J78" s="288"/>
      <c r="K78" s="288"/>
      <c r="L78" s="288"/>
      <c r="M78" s="288"/>
      <c r="N78" s="288"/>
      <c r="O78" s="288"/>
      <c r="P78" s="288"/>
      <c r="Q78" s="288"/>
      <c r="R78" s="288"/>
      <c r="S78" s="288"/>
      <c r="T78" s="288"/>
      <c r="U78" s="288"/>
      <c r="V78" s="288"/>
      <c r="W78" s="288"/>
      <c r="X78" s="288"/>
      <c r="Y78" s="288"/>
      <c r="Z78" s="288"/>
      <c r="AA78" s="288"/>
      <c r="AB78" s="288"/>
      <c r="AC78" s="288"/>
      <c r="AD78" s="288"/>
      <c r="AE78" s="288"/>
      <c r="AF78" s="288"/>
      <c r="AG78" s="288"/>
      <c r="AH78" s="288"/>
      <c r="AI78" s="289"/>
      <c r="AK78" s="425"/>
      <c r="AL78" s="425"/>
      <c r="AM78" s="425"/>
      <c r="AN78" s="425"/>
      <c r="AO78" s="425"/>
      <c r="AP78" s="425"/>
      <c r="AQ78" s="42"/>
      <c r="AR78" s="43"/>
      <c r="AS78" s="43"/>
      <c r="AT78" s="43"/>
      <c r="AU78" s="43"/>
      <c r="AV78" s="43"/>
      <c r="AW78" s="43"/>
      <c r="AX78" s="43"/>
      <c r="AY78" s="43"/>
      <c r="AZ78" s="43"/>
      <c r="BH78" s="54"/>
      <c r="BI78" s="51"/>
    </row>
    <row r="79" spans="1:61" ht="18" customHeight="1">
      <c r="A79" s="36"/>
      <c r="B79" s="404"/>
      <c r="C79" s="404"/>
      <c r="D79" s="404"/>
      <c r="E79" s="404"/>
      <c r="F79" s="288"/>
      <c r="G79" s="288"/>
      <c r="H79" s="288"/>
      <c r="I79" s="288"/>
      <c r="J79" s="288"/>
      <c r="K79" s="288"/>
      <c r="L79" s="288"/>
      <c r="M79" s="288"/>
      <c r="N79" s="288"/>
      <c r="O79" s="288"/>
      <c r="P79" s="288"/>
      <c r="Q79" s="288"/>
      <c r="R79" s="288"/>
      <c r="S79" s="288"/>
      <c r="T79" s="288"/>
      <c r="U79" s="288"/>
      <c r="V79" s="288"/>
      <c r="W79" s="288"/>
      <c r="X79" s="288"/>
      <c r="Y79" s="288"/>
      <c r="Z79" s="288"/>
      <c r="AA79" s="288"/>
      <c r="AB79" s="288"/>
      <c r="AC79" s="288"/>
      <c r="AD79" s="288"/>
      <c r="AE79" s="288"/>
      <c r="AF79" s="288"/>
      <c r="AG79" s="288"/>
      <c r="AH79" s="288"/>
      <c r="AI79" s="289"/>
      <c r="AK79" s="425"/>
      <c r="AL79" s="425"/>
      <c r="AM79" s="425"/>
      <c r="AN79" s="425"/>
      <c r="AO79" s="425"/>
      <c r="AP79" s="425"/>
      <c r="AQ79" s="42"/>
      <c r="AR79" s="43"/>
      <c r="AS79" s="43"/>
      <c r="AT79" s="43"/>
      <c r="AU79" s="43"/>
      <c r="AV79" s="43"/>
      <c r="AW79" s="43"/>
      <c r="AX79" s="43"/>
      <c r="AY79" s="43"/>
      <c r="AZ79" s="43"/>
      <c r="BH79" s="54"/>
      <c r="BI79" s="51"/>
    </row>
    <row r="80" spans="1:61" ht="18" customHeight="1">
      <c r="A80" s="37"/>
      <c r="B80" s="466"/>
      <c r="C80" s="466"/>
      <c r="D80" s="466"/>
      <c r="E80" s="466"/>
      <c r="F80" s="467"/>
      <c r="G80" s="467"/>
      <c r="H80" s="467"/>
      <c r="I80" s="467"/>
      <c r="J80" s="467"/>
      <c r="K80" s="467"/>
      <c r="L80" s="467"/>
      <c r="M80" s="467"/>
      <c r="N80" s="467"/>
      <c r="O80" s="467"/>
      <c r="P80" s="467"/>
      <c r="Q80" s="467"/>
      <c r="R80" s="467"/>
      <c r="S80" s="467"/>
      <c r="T80" s="467"/>
      <c r="U80" s="467"/>
      <c r="V80" s="467"/>
      <c r="W80" s="467"/>
      <c r="X80" s="467"/>
      <c r="Y80" s="467"/>
      <c r="Z80" s="467"/>
      <c r="AA80" s="467"/>
      <c r="AB80" s="467"/>
      <c r="AC80" s="467"/>
      <c r="AD80" s="467"/>
      <c r="AE80" s="467"/>
      <c r="AF80" s="467"/>
      <c r="AG80" s="467"/>
      <c r="AH80" s="467"/>
      <c r="AI80" s="468"/>
      <c r="AK80" s="425"/>
      <c r="AL80" s="425"/>
      <c r="AM80" s="425"/>
      <c r="AN80" s="425"/>
      <c r="AO80" s="425"/>
      <c r="AP80" s="425"/>
      <c r="AQ80" s="42"/>
      <c r="AR80" s="43"/>
      <c r="AS80" s="43"/>
      <c r="AT80" s="43"/>
      <c r="AU80" s="43"/>
      <c r="AV80" s="43"/>
      <c r="AW80" s="43"/>
      <c r="AX80" s="43"/>
      <c r="AY80" s="43"/>
      <c r="AZ80" s="43"/>
      <c r="BH80" s="54"/>
      <c r="BI80" s="51"/>
    </row>
    <row r="81" spans="1:61" ht="18" customHeight="1">
      <c r="A81" s="406" t="s">
        <v>704</v>
      </c>
      <c r="B81" s="407"/>
      <c r="C81" s="407"/>
      <c r="D81" s="407"/>
      <c r="E81" s="407"/>
      <c r="F81" s="407"/>
      <c r="G81" s="407"/>
      <c r="H81" s="407"/>
      <c r="I81" s="407"/>
      <c r="J81" s="407"/>
      <c r="K81" s="407"/>
      <c r="L81" s="407"/>
      <c r="M81" s="407"/>
      <c r="N81" s="407"/>
      <c r="O81" s="407"/>
      <c r="P81" s="407"/>
      <c r="Q81" s="407"/>
      <c r="R81" s="407"/>
      <c r="S81" s="407"/>
      <c r="T81" s="407"/>
      <c r="U81" s="407"/>
      <c r="V81" s="407"/>
      <c r="W81" s="407"/>
      <c r="X81" s="407"/>
      <c r="Y81" s="407"/>
      <c r="Z81" s="407"/>
      <c r="AA81" s="407"/>
      <c r="AB81" s="407"/>
      <c r="AC81" s="407"/>
      <c r="AD81" s="407"/>
      <c r="AE81" s="407"/>
      <c r="AF81" s="407"/>
      <c r="AG81" s="407"/>
      <c r="AH81" s="407"/>
      <c r="AI81" s="408"/>
      <c r="AK81" s="425"/>
      <c r="AL81" s="425"/>
      <c r="AM81" s="425"/>
      <c r="AN81" s="425"/>
      <c r="AO81" s="425"/>
      <c r="AP81" s="425"/>
      <c r="AQ81" s="42"/>
      <c r="AR81" s="43"/>
      <c r="AS81" s="43"/>
      <c r="AT81" s="43"/>
      <c r="AU81" s="43"/>
      <c r="AV81" s="43"/>
      <c r="AW81" s="43"/>
      <c r="AX81" s="43"/>
      <c r="AY81" s="43"/>
      <c r="AZ81" s="43"/>
      <c r="BH81" s="53"/>
      <c r="BI81" s="51"/>
    </row>
    <row r="82" spans="1:61" ht="18" customHeight="1">
      <c r="A82" s="38"/>
      <c r="B82" s="465">
        <v>45644</v>
      </c>
      <c r="C82" s="465"/>
      <c r="D82" s="465"/>
      <c r="E82" s="465"/>
      <c r="F82" s="288" t="s">
        <v>837</v>
      </c>
      <c r="G82" s="288"/>
      <c r="H82" s="288"/>
      <c r="I82" s="288"/>
      <c r="J82" s="288"/>
      <c r="K82" s="288"/>
      <c r="L82" s="288"/>
      <c r="M82" s="288"/>
      <c r="N82" s="288"/>
      <c r="O82" s="288"/>
      <c r="P82" s="288"/>
      <c r="Q82" s="288"/>
      <c r="R82" s="288"/>
      <c r="S82" s="288"/>
      <c r="T82" s="288"/>
      <c r="U82" s="288"/>
      <c r="V82" s="288"/>
      <c r="W82" s="288"/>
      <c r="X82" s="288"/>
      <c r="Y82" s="288"/>
      <c r="Z82" s="288"/>
      <c r="AA82" s="288"/>
      <c r="AB82" s="288"/>
      <c r="AC82" s="288"/>
      <c r="AD82" s="288"/>
      <c r="AE82" s="288"/>
      <c r="AF82" s="288"/>
      <c r="AG82" s="288"/>
      <c r="AH82" s="288"/>
      <c r="AI82" s="289"/>
      <c r="AK82" s="425"/>
      <c r="AL82" s="425"/>
      <c r="AM82" s="425"/>
      <c r="AN82" s="425"/>
      <c r="AO82" s="425"/>
      <c r="AP82" s="425"/>
      <c r="AQ82" s="42"/>
      <c r="AR82" s="43"/>
      <c r="AS82" s="43"/>
      <c r="AT82" s="43"/>
      <c r="AU82" s="43"/>
      <c r="AV82" s="43"/>
      <c r="AW82" s="43"/>
      <c r="AX82" s="43"/>
      <c r="AY82" s="43"/>
      <c r="AZ82" s="43"/>
      <c r="BH82" s="53"/>
      <c r="BI82" s="51"/>
    </row>
    <row r="83" spans="1:61" ht="18" customHeight="1">
      <c r="A83" s="38"/>
      <c r="B83" s="465">
        <v>46160</v>
      </c>
      <c r="C83" s="465"/>
      <c r="D83" s="465"/>
      <c r="E83" s="465"/>
      <c r="F83" s="288" t="s">
        <v>838</v>
      </c>
      <c r="G83" s="288"/>
      <c r="H83" s="288"/>
      <c r="I83" s="288"/>
      <c r="J83" s="288"/>
      <c r="K83" s="288"/>
      <c r="L83" s="288"/>
      <c r="M83" s="288"/>
      <c r="N83" s="288"/>
      <c r="O83" s="288"/>
      <c r="P83" s="288"/>
      <c r="Q83" s="288"/>
      <c r="R83" s="288"/>
      <c r="S83" s="288"/>
      <c r="T83" s="288"/>
      <c r="U83" s="288"/>
      <c r="V83" s="288"/>
      <c r="W83" s="288"/>
      <c r="X83" s="288"/>
      <c r="Y83" s="288"/>
      <c r="Z83" s="288"/>
      <c r="AA83" s="288"/>
      <c r="AB83" s="288"/>
      <c r="AC83" s="288"/>
      <c r="AD83" s="288"/>
      <c r="AE83" s="288"/>
      <c r="AF83" s="288"/>
      <c r="AG83" s="288"/>
      <c r="AH83" s="288"/>
      <c r="AI83" s="289"/>
      <c r="AK83" s="425"/>
      <c r="AL83" s="425"/>
      <c r="AM83" s="425"/>
      <c r="AN83" s="425"/>
      <c r="AO83" s="425"/>
      <c r="AP83" s="425"/>
      <c r="AQ83" s="42"/>
      <c r="AR83" s="43"/>
      <c r="AS83" s="43"/>
      <c r="AT83" s="43"/>
      <c r="AU83" s="43"/>
      <c r="AV83" s="43"/>
      <c r="AW83" s="43"/>
      <c r="AX83" s="43"/>
      <c r="AY83" s="43"/>
      <c r="AZ83" s="43"/>
      <c r="BH83" s="53"/>
      <c r="BI83" s="51"/>
    </row>
    <row r="84" spans="1:61" ht="18" customHeight="1">
      <c r="A84" s="38"/>
      <c r="B84" s="465"/>
      <c r="C84" s="465"/>
      <c r="D84" s="465"/>
      <c r="E84" s="465"/>
      <c r="F84" s="288"/>
      <c r="G84" s="288"/>
      <c r="H84" s="288"/>
      <c r="I84" s="288"/>
      <c r="J84" s="288"/>
      <c r="K84" s="288"/>
      <c r="L84" s="288"/>
      <c r="M84" s="288"/>
      <c r="N84" s="288"/>
      <c r="O84" s="288"/>
      <c r="P84" s="288"/>
      <c r="Q84" s="288"/>
      <c r="R84" s="288"/>
      <c r="S84" s="288"/>
      <c r="T84" s="288"/>
      <c r="U84" s="288"/>
      <c r="V84" s="288"/>
      <c r="W84" s="288"/>
      <c r="X84" s="288"/>
      <c r="Y84" s="288"/>
      <c r="Z84" s="288"/>
      <c r="AA84" s="288"/>
      <c r="AB84" s="288"/>
      <c r="AC84" s="288"/>
      <c r="AD84" s="288"/>
      <c r="AE84" s="288"/>
      <c r="AF84" s="288"/>
      <c r="AG84" s="288"/>
      <c r="AH84" s="288"/>
      <c r="AI84" s="289"/>
      <c r="AK84" s="425"/>
      <c r="AL84" s="425"/>
      <c r="AM84" s="425"/>
      <c r="AN84" s="425"/>
      <c r="AO84" s="425"/>
      <c r="AP84" s="425"/>
      <c r="AQ84" s="42"/>
      <c r="AR84" s="43"/>
      <c r="AS84" s="43"/>
      <c r="AT84" s="43"/>
      <c r="AU84" s="43"/>
      <c r="AV84" s="43"/>
      <c r="AW84" s="43"/>
      <c r="AX84" s="43"/>
      <c r="AY84" s="43"/>
      <c r="AZ84" s="43"/>
    </row>
    <row r="85" spans="1:61" ht="18" customHeight="1">
      <c r="A85" s="38"/>
      <c r="B85" s="465"/>
      <c r="C85" s="465"/>
      <c r="D85" s="465"/>
      <c r="E85" s="465"/>
      <c r="F85" s="288"/>
      <c r="G85" s="288"/>
      <c r="H85" s="288"/>
      <c r="I85" s="288"/>
      <c r="J85" s="288"/>
      <c r="K85" s="288"/>
      <c r="L85" s="288"/>
      <c r="M85" s="288"/>
      <c r="N85" s="288"/>
      <c r="O85" s="288"/>
      <c r="P85" s="288"/>
      <c r="Q85" s="288"/>
      <c r="R85" s="288"/>
      <c r="S85" s="288"/>
      <c r="T85" s="288"/>
      <c r="U85" s="288"/>
      <c r="V85" s="288"/>
      <c r="W85" s="288"/>
      <c r="X85" s="288"/>
      <c r="Y85" s="288"/>
      <c r="Z85" s="288"/>
      <c r="AA85" s="288"/>
      <c r="AB85" s="288"/>
      <c r="AC85" s="288"/>
      <c r="AD85" s="288"/>
      <c r="AE85" s="288"/>
      <c r="AF85" s="288"/>
      <c r="AG85" s="288"/>
      <c r="AH85" s="288"/>
      <c r="AI85" s="289"/>
      <c r="AK85" s="425"/>
      <c r="AL85" s="425"/>
      <c r="AM85" s="425"/>
      <c r="AN85" s="425"/>
      <c r="AO85" s="425"/>
      <c r="AP85" s="425"/>
      <c r="AQ85" s="42"/>
      <c r="AR85" s="43"/>
      <c r="AS85" s="43"/>
      <c r="AT85" s="43"/>
      <c r="AU85" s="43"/>
      <c r="AV85" s="43"/>
      <c r="AW85" s="43"/>
      <c r="AX85" s="43"/>
      <c r="AY85" s="43"/>
      <c r="AZ85" s="43"/>
    </row>
    <row r="86" spans="1:61" ht="18" customHeight="1" thickBot="1">
      <c r="A86" s="41"/>
      <c r="B86" s="540"/>
      <c r="C86" s="540"/>
      <c r="D86" s="540"/>
      <c r="E86" s="540"/>
      <c r="F86" s="541"/>
      <c r="G86" s="541"/>
      <c r="H86" s="541"/>
      <c r="I86" s="541"/>
      <c r="J86" s="541"/>
      <c r="K86" s="541"/>
      <c r="L86" s="541"/>
      <c r="M86" s="541"/>
      <c r="N86" s="541"/>
      <c r="O86" s="541"/>
      <c r="P86" s="541"/>
      <c r="Q86" s="541"/>
      <c r="R86" s="541"/>
      <c r="S86" s="541"/>
      <c r="T86" s="541"/>
      <c r="U86" s="541"/>
      <c r="V86" s="541"/>
      <c r="W86" s="541"/>
      <c r="X86" s="541"/>
      <c r="Y86" s="541"/>
      <c r="Z86" s="541"/>
      <c r="AA86" s="541"/>
      <c r="AB86" s="541"/>
      <c r="AC86" s="541"/>
      <c r="AD86" s="541"/>
      <c r="AE86" s="541"/>
      <c r="AF86" s="541"/>
      <c r="AG86" s="541"/>
      <c r="AH86" s="541"/>
      <c r="AI86" s="542"/>
      <c r="AK86" s="425"/>
      <c r="AL86" s="425"/>
      <c r="AM86" s="425"/>
      <c r="AN86" s="425"/>
      <c r="AO86" s="425"/>
      <c r="AP86" s="425"/>
      <c r="AQ86" s="42"/>
      <c r="AR86" s="43"/>
      <c r="AS86" s="43"/>
      <c r="AT86" s="43"/>
      <c r="AU86" s="43"/>
      <c r="AV86" s="43"/>
      <c r="AW86" s="43"/>
      <c r="AX86" s="43"/>
      <c r="AY86" s="43"/>
      <c r="AZ86" s="43"/>
    </row>
    <row r="87" spans="1:61" ht="14.1" customHeight="1">
      <c r="AK87" s="438"/>
      <c r="AL87" s="438"/>
      <c r="AM87" s="438"/>
      <c r="AN87" s="438"/>
      <c r="AO87" s="438"/>
      <c r="AP87" s="438"/>
      <c r="AQ87" s="119"/>
    </row>
    <row r="88" spans="1:61" ht="14.1" customHeight="1">
      <c r="AK88" s="437"/>
      <c r="AL88" s="437"/>
      <c r="AM88" s="437"/>
      <c r="AN88" s="437"/>
      <c r="AO88" s="437"/>
      <c r="AP88" s="437"/>
      <c r="AQ88" s="120"/>
    </row>
    <row r="89" spans="1:61" ht="14.1" customHeight="1">
      <c r="AK89" s="437"/>
      <c r="AL89" s="437"/>
      <c r="AM89" s="437"/>
      <c r="AN89" s="437"/>
      <c r="AO89" s="437"/>
      <c r="AP89" s="437"/>
      <c r="AQ89" s="120"/>
    </row>
    <row r="90" spans="1:61" ht="14.1" customHeight="1"/>
    <row r="91" spans="1:61" ht="14.1" customHeight="1"/>
    <row r="92" spans="1:61" ht="14.1" customHeight="1"/>
    <row r="93" spans="1:61" ht="14.1" customHeight="1"/>
    <row r="94" spans="1:61" ht="14.1" customHeight="1"/>
    <row r="95" spans="1:61" ht="14.1" customHeight="1"/>
    <row r="96" spans="1:61" ht="14.1" customHeight="1"/>
    <row r="97" ht="14.1" customHeight="1"/>
    <row r="98" ht="14.1" customHeight="1"/>
    <row r="99" ht="14.1" customHeight="1"/>
    <row r="100" ht="14.1" customHeight="1"/>
    <row r="101" ht="14.1" customHeight="1"/>
    <row r="102" ht="14.1" customHeight="1"/>
    <row r="103" ht="14.1" customHeight="1"/>
    <row r="104" ht="14.1" customHeight="1"/>
    <row r="105" ht="14.1" customHeight="1"/>
    <row r="106" ht="14.1" customHeight="1"/>
    <row r="107" ht="14.1" customHeight="1"/>
    <row r="108" ht="14.1" customHeight="1"/>
    <row r="109" ht="14.1" customHeight="1"/>
    <row r="110" ht="14.1" customHeight="1"/>
    <row r="111" ht="14.1" customHeight="1"/>
    <row r="112" ht="14.1" customHeight="1"/>
    <row r="113" ht="14.1" customHeight="1"/>
    <row r="114" ht="14.1" customHeight="1"/>
    <row r="115" ht="14.1" customHeight="1"/>
    <row r="116" ht="14.1" customHeight="1"/>
    <row r="117" ht="14.1" customHeight="1"/>
    <row r="118" ht="14.1" customHeight="1"/>
    <row r="119" ht="14.1" customHeight="1"/>
    <row r="120" ht="14.1" customHeight="1"/>
    <row r="121" ht="14.1" customHeight="1"/>
    <row r="122" ht="14.1" customHeight="1"/>
    <row r="123" ht="14.1" customHeight="1"/>
    <row r="124" ht="14.1" customHeight="1"/>
    <row r="125" ht="14.1" customHeight="1"/>
    <row r="126" ht="14.1" customHeight="1"/>
    <row r="127" ht="14.1" customHeight="1"/>
    <row r="128" ht="14.1" customHeight="1"/>
    <row r="129" ht="14.1" customHeight="1"/>
    <row r="130" ht="14.1" customHeight="1"/>
    <row r="131" ht="14.1" customHeight="1"/>
    <row r="132" ht="14.1" customHeight="1"/>
    <row r="133" ht="14.1" customHeight="1"/>
    <row r="134" ht="14.1" customHeight="1"/>
    <row r="135" ht="14.1" customHeight="1"/>
    <row r="136" ht="14.1" customHeight="1"/>
    <row r="137" ht="14.1" customHeight="1"/>
    <row r="138" ht="14.1" customHeight="1"/>
    <row r="139" ht="14.1" customHeight="1"/>
    <row r="140" ht="14.1" customHeight="1"/>
    <row r="141" ht="14.1" customHeight="1"/>
    <row r="142" ht="14.1" customHeight="1"/>
    <row r="143" ht="14.1" customHeight="1"/>
    <row r="144" ht="14.1" customHeight="1"/>
    <row r="145" ht="14.1" customHeight="1"/>
    <row r="146" ht="14.1" customHeight="1"/>
    <row r="147" ht="14.1" customHeight="1"/>
    <row r="148" ht="14.1" customHeight="1"/>
    <row r="149" ht="14.1" customHeight="1"/>
    <row r="150" ht="14.1" customHeight="1"/>
    <row r="151" ht="14.1" customHeight="1"/>
    <row r="152" ht="14.1" customHeight="1"/>
    <row r="153" ht="14.1" customHeight="1"/>
    <row r="154" ht="14.1" customHeight="1"/>
    <row r="155" ht="14.1" customHeight="1"/>
    <row r="156" ht="14.1" customHeight="1"/>
    <row r="157" ht="14.1" customHeight="1"/>
    <row r="158" ht="14.1" customHeight="1"/>
    <row r="159" ht="14.1" customHeight="1"/>
    <row r="160" ht="14.1" customHeight="1"/>
    <row r="161" ht="14.1" customHeight="1"/>
    <row r="162" ht="14.1" customHeight="1"/>
    <row r="163" ht="14.1" customHeight="1"/>
    <row r="164" ht="14.1" customHeight="1"/>
    <row r="165" ht="14.1" customHeight="1"/>
    <row r="166" ht="14.1" customHeight="1"/>
    <row r="167" ht="14.1" customHeight="1"/>
    <row r="168" ht="14.1" customHeight="1"/>
    <row r="169" ht="14.1" customHeight="1"/>
    <row r="170" ht="14.1" customHeight="1"/>
    <row r="171" ht="14.1" customHeight="1"/>
    <row r="172" ht="14.1" customHeight="1"/>
    <row r="173" ht="14.1" customHeight="1"/>
    <row r="174" ht="14.1" customHeight="1"/>
    <row r="175" ht="14.1" customHeight="1"/>
    <row r="176" ht="14.1" customHeight="1"/>
    <row r="177" ht="14.1" customHeight="1"/>
    <row r="178" ht="14.1" customHeight="1"/>
    <row r="179" ht="14.1" customHeight="1"/>
    <row r="180" ht="14.1" customHeight="1"/>
    <row r="181" ht="14.1" customHeight="1"/>
    <row r="182" ht="14.1" customHeight="1"/>
    <row r="183" ht="14.1" customHeight="1"/>
    <row r="184" ht="14.1" customHeight="1"/>
    <row r="185" ht="14.1" customHeight="1"/>
    <row r="186" ht="14.1" customHeight="1"/>
    <row r="187" ht="14.1" customHeight="1"/>
    <row r="188" ht="14.1" customHeight="1"/>
    <row r="189" ht="14.1" customHeight="1"/>
    <row r="190" ht="14.1" customHeight="1"/>
    <row r="191" ht="14.1" customHeight="1"/>
    <row r="192" ht="14.1" customHeight="1"/>
    <row r="193" ht="14.1" customHeight="1"/>
    <row r="194" ht="14.1" customHeight="1"/>
    <row r="195" ht="14.1" customHeight="1"/>
    <row r="196" ht="14.1" customHeight="1"/>
    <row r="197" ht="14.1" customHeight="1"/>
    <row r="198" ht="14.1" customHeight="1"/>
    <row r="199" ht="14.1" customHeight="1"/>
    <row r="200" ht="14.1" customHeight="1"/>
    <row r="201" ht="14.1" customHeight="1"/>
    <row r="202" ht="14.1" customHeight="1"/>
    <row r="203" ht="14.1" customHeight="1"/>
    <row r="204" ht="14.1" customHeight="1"/>
    <row r="205" ht="14.1" customHeight="1"/>
    <row r="206" ht="14.1" customHeight="1"/>
    <row r="207" ht="14.1" customHeight="1"/>
    <row r="208" ht="14.1" customHeight="1"/>
    <row r="209" ht="14.1" customHeight="1"/>
    <row r="210" ht="14.1" customHeight="1"/>
    <row r="211" ht="14.1" customHeight="1"/>
    <row r="212" ht="14.1" customHeight="1"/>
    <row r="213" ht="14.1" customHeight="1"/>
    <row r="214" ht="14.1" customHeight="1"/>
    <row r="215" ht="14.1" customHeight="1"/>
    <row r="216" ht="14.1" customHeight="1"/>
    <row r="217" ht="14.1" customHeight="1"/>
    <row r="218" ht="14.1" customHeight="1"/>
    <row r="219" ht="14.1" customHeight="1"/>
    <row r="220" ht="14.1" customHeight="1"/>
    <row r="221" ht="14.1" customHeight="1"/>
    <row r="222" ht="14.1" customHeight="1"/>
    <row r="223" ht="14.1" customHeight="1"/>
    <row r="224" ht="14.1" customHeight="1"/>
    <row r="225" ht="14.1" customHeight="1"/>
    <row r="226" ht="14.1" customHeight="1"/>
    <row r="227" ht="14.1" customHeight="1"/>
    <row r="228" ht="14.1" customHeight="1"/>
    <row r="229" ht="14.1" customHeight="1"/>
    <row r="230" ht="14.1" customHeight="1"/>
    <row r="231" ht="14.1" customHeight="1"/>
    <row r="232" ht="14.1" customHeight="1"/>
    <row r="233" ht="14.1" customHeight="1"/>
    <row r="234" ht="14.1" customHeight="1"/>
    <row r="235" ht="14.1" customHeight="1"/>
    <row r="236" ht="14.1" customHeight="1"/>
    <row r="237" ht="14.1" customHeight="1"/>
    <row r="238" ht="14.1" customHeight="1"/>
    <row r="239" ht="14.1" customHeight="1"/>
    <row r="240" ht="14.1" customHeight="1"/>
    <row r="241" ht="14.1" customHeight="1"/>
    <row r="242" ht="14.1" customHeight="1"/>
    <row r="243" ht="14.1" customHeight="1"/>
    <row r="244" ht="14.1" customHeight="1"/>
    <row r="245" ht="14.1" customHeight="1"/>
    <row r="246" ht="14.1" customHeight="1"/>
    <row r="247" ht="14.1" customHeight="1"/>
    <row r="248" ht="14.1" customHeight="1"/>
    <row r="249" ht="14.1" customHeight="1"/>
    <row r="250" ht="14.1" customHeight="1"/>
    <row r="251" ht="14.1" customHeight="1"/>
    <row r="252" ht="14.1" customHeight="1"/>
    <row r="253" ht="14.1" customHeight="1"/>
    <row r="254" ht="14.1" customHeight="1"/>
    <row r="255" ht="14.1" customHeight="1"/>
    <row r="256" ht="14.1" customHeight="1"/>
    <row r="257" ht="14.1" customHeight="1"/>
    <row r="258" ht="14.1" customHeight="1"/>
    <row r="259" ht="14.1" customHeight="1"/>
    <row r="260" ht="14.1" customHeight="1"/>
    <row r="261" ht="14.1" customHeight="1"/>
    <row r="262" ht="14.1" customHeight="1"/>
    <row r="263" ht="14.1" customHeight="1"/>
    <row r="264" ht="14.1" customHeight="1"/>
    <row r="265" ht="14.1" customHeight="1"/>
    <row r="266" ht="14.1" customHeight="1"/>
  </sheetData>
  <sheetProtection algorithmName="SHA-512" hashValue="0loLJCJhL4ad+e9W1BFBlntzNt2hf75qC+V2eugpQkoXMOcFlTwiL5DSpVRXAf1cyQ/kgBnOXO/4cSPzCUKn4A==" saltValue="4etb9yyOEqZ9UduJqdtb6g==" spinCount="100000" sheet="1" autoFilter="0"/>
  <mergeCells count="381">
    <mergeCell ref="A1:S3"/>
    <mergeCell ref="T1:Z3"/>
    <mergeCell ref="AD1:AI1"/>
    <mergeCell ref="AD2:AF4"/>
    <mergeCell ref="AG2:AI4"/>
    <mergeCell ref="A4:S5"/>
    <mergeCell ref="AK7:AP8"/>
    <mergeCell ref="AQ7:AQ8"/>
    <mergeCell ref="V8:X8"/>
    <mergeCell ref="A9:AI9"/>
    <mergeCell ref="AK9:AP9"/>
    <mergeCell ref="A10:H10"/>
    <mergeCell ref="I10:J10"/>
    <mergeCell ref="K10:L10"/>
    <mergeCell ref="M10:T10"/>
    <mergeCell ref="U10:V10"/>
    <mergeCell ref="O7:P8"/>
    <mergeCell ref="Q7:R8"/>
    <mergeCell ref="S7:T8"/>
    <mergeCell ref="V7:X7"/>
    <mergeCell ref="Y7:AA8"/>
    <mergeCell ref="AB7:AI8"/>
    <mergeCell ref="A7:E8"/>
    <mergeCell ref="F7:F8"/>
    <mergeCell ref="G7:I8"/>
    <mergeCell ref="J7:J8"/>
    <mergeCell ref="K7:M8"/>
    <mergeCell ref="N7:N8"/>
    <mergeCell ref="W10:X10"/>
    <mergeCell ref="Y10:AF10"/>
    <mergeCell ref="AG10:AH10"/>
    <mergeCell ref="AK10:AP10"/>
    <mergeCell ref="A11:H11"/>
    <mergeCell ref="I11:J11"/>
    <mergeCell ref="K11:L11"/>
    <mergeCell ref="M11:T11"/>
    <mergeCell ref="U11:V11"/>
    <mergeCell ref="W11:X11"/>
    <mergeCell ref="Y11:AF11"/>
    <mergeCell ref="AG11:AH11"/>
    <mergeCell ref="AK11:AP11"/>
    <mergeCell ref="A12:H12"/>
    <mergeCell ref="I12:J12"/>
    <mergeCell ref="K12:L12"/>
    <mergeCell ref="M12:T12"/>
    <mergeCell ref="U12:V12"/>
    <mergeCell ref="W12:X12"/>
    <mergeCell ref="Y12:AF12"/>
    <mergeCell ref="AG12:AH12"/>
    <mergeCell ref="AK12:AP12"/>
    <mergeCell ref="A13:H13"/>
    <mergeCell ref="I13:J13"/>
    <mergeCell ref="K13:L13"/>
    <mergeCell ref="M13:T13"/>
    <mergeCell ref="U13:V13"/>
    <mergeCell ref="W13:X13"/>
    <mergeCell ref="Y13:AF13"/>
    <mergeCell ref="AG13:AH13"/>
    <mergeCell ref="AK13:AP13"/>
    <mergeCell ref="A14:AI14"/>
    <mergeCell ref="AK14:AP14"/>
    <mergeCell ref="B15:I15"/>
    <mergeCell ref="J15:L15"/>
    <mergeCell ref="M15:N15"/>
    <mergeCell ref="O15:V15"/>
    <mergeCell ref="W15:Y15"/>
    <mergeCell ref="Z15:AA15"/>
    <mergeCell ref="AB15:AG15"/>
    <mergeCell ref="A18:E18"/>
    <mergeCell ref="F18:AI18"/>
    <mergeCell ref="AK18:AP18"/>
    <mergeCell ref="B19:E19"/>
    <mergeCell ref="F19:AI19"/>
    <mergeCell ref="AK19:AP19"/>
    <mergeCell ref="AH15:AI15"/>
    <mergeCell ref="AK15:AP15"/>
    <mergeCell ref="A16:AI16"/>
    <mergeCell ref="AK16:AP16"/>
    <mergeCell ref="A17:E17"/>
    <mergeCell ref="F17:AI17"/>
    <mergeCell ref="AK17:AP17"/>
    <mergeCell ref="B20:E20"/>
    <mergeCell ref="F20:AI20"/>
    <mergeCell ref="AK20:AP20"/>
    <mergeCell ref="AR20:AR23"/>
    <mergeCell ref="B21:E21"/>
    <mergeCell ref="F21:AI21"/>
    <mergeCell ref="AK21:AP21"/>
    <mergeCell ref="B22:E22"/>
    <mergeCell ref="F22:AI22"/>
    <mergeCell ref="AK22:AP22"/>
    <mergeCell ref="BA23:BB23"/>
    <mergeCell ref="B24:E24"/>
    <mergeCell ref="F24:AI24"/>
    <mergeCell ref="AK24:AP24"/>
    <mergeCell ref="AY24:AZ24"/>
    <mergeCell ref="BA24:BB24"/>
    <mergeCell ref="AS22:AT22"/>
    <mergeCell ref="AU22:AV22"/>
    <mergeCell ref="AY22:AZ22"/>
    <mergeCell ref="BA22:BB22"/>
    <mergeCell ref="B23:E23"/>
    <mergeCell ref="F23:AI23"/>
    <mergeCell ref="AK23:AP23"/>
    <mergeCell ref="AS23:AT23"/>
    <mergeCell ref="AU23:AV23"/>
    <mergeCell ref="AY23:AZ23"/>
    <mergeCell ref="B27:E27"/>
    <mergeCell ref="F27:AI27"/>
    <mergeCell ref="AK27:AP27"/>
    <mergeCell ref="AS27:AT27"/>
    <mergeCell ref="AU27:AW27"/>
    <mergeCell ref="AY27:BB27"/>
    <mergeCell ref="B25:E25"/>
    <mergeCell ref="F25:AI25"/>
    <mergeCell ref="AK25:AP25"/>
    <mergeCell ref="AY25:AZ25"/>
    <mergeCell ref="BA25:BB25"/>
    <mergeCell ref="B26:E26"/>
    <mergeCell ref="F26:AI26"/>
    <mergeCell ref="AK26:AP26"/>
    <mergeCell ref="AS26:AW26"/>
    <mergeCell ref="BA28:BB28"/>
    <mergeCell ref="B29:E29"/>
    <mergeCell ref="F29:AI29"/>
    <mergeCell ref="AK29:AP29"/>
    <mergeCell ref="AS29:AT29"/>
    <mergeCell ref="AU29:AW29"/>
    <mergeCell ref="AY29:AZ29"/>
    <mergeCell ref="BA29:BB29"/>
    <mergeCell ref="B28:E28"/>
    <mergeCell ref="F28:AI28"/>
    <mergeCell ref="AK28:AP28"/>
    <mergeCell ref="AS28:AT28"/>
    <mergeCell ref="AU28:AW28"/>
    <mergeCell ref="AY28:AZ28"/>
    <mergeCell ref="A32:AI32"/>
    <mergeCell ref="AK32:AP32"/>
    <mergeCell ref="AS32:AT32"/>
    <mergeCell ref="AU32:AW32"/>
    <mergeCell ref="AY32:AZ32"/>
    <mergeCell ref="BA32:BB32"/>
    <mergeCell ref="BA30:BB30"/>
    <mergeCell ref="B31:E31"/>
    <mergeCell ref="F31:AI31"/>
    <mergeCell ref="AK31:AP31"/>
    <mergeCell ref="AS31:AT31"/>
    <mergeCell ref="AU31:AW31"/>
    <mergeCell ref="AY31:AZ31"/>
    <mergeCell ref="BA31:BB31"/>
    <mergeCell ref="B30:E30"/>
    <mergeCell ref="F30:AI30"/>
    <mergeCell ref="AK30:AP30"/>
    <mergeCell ref="AS30:AT30"/>
    <mergeCell ref="AU30:AW30"/>
    <mergeCell ref="AY30:AZ30"/>
    <mergeCell ref="BA33:BB33"/>
    <mergeCell ref="B34:E34"/>
    <mergeCell ref="F34:AI34"/>
    <mergeCell ref="AK34:AP34"/>
    <mergeCell ref="AS34:AT34"/>
    <mergeCell ref="AU34:AW34"/>
    <mergeCell ref="AY34:AZ34"/>
    <mergeCell ref="BA34:BB34"/>
    <mergeCell ref="B33:E33"/>
    <mergeCell ref="F33:AI33"/>
    <mergeCell ref="AK33:AP33"/>
    <mergeCell ref="AS33:AT33"/>
    <mergeCell ref="AU33:AW33"/>
    <mergeCell ref="AY33:AZ33"/>
    <mergeCell ref="AY35:AZ35"/>
    <mergeCell ref="BA35:BB35"/>
    <mergeCell ref="A36:E36"/>
    <mergeCell ref="F36:K36"/>
    <mergeCell ref="L36:O36"/>
    <mergeCell ref="P36:R36"/>
    <mergeCell ref="T36:V36"/>
    <mergeCell ref="W36:AB36"/>
    <mergeCell ref="AC36:AI36"/>
    <mergeCell ref="B35:E35"/>
    <mergeCell ref="F35:V35"/>
    <mergeCell ref="W35:AB35"/>
    <mergeCell ref="AC35:AI35"/>
    <mergeCell ref="AK35:AP35"/>
    <mergeCell ref="AS35:AT35"/>
    <mergeCell ref="AK36:AP36"/>
    <mergeCell ref="AS36:AT36"/>
    <mergeCell ref="AU36:AW36"/>
    <mergeCell ref="AU35:AW35"/>
    <mergeCell ref="A39:AI39"/>
    <mergeCell ref="AK39:AP39"/>
    <mergeCell ref="AS39:AT39"/>
    <mergeCell ref="AV39:AW39"/>
    <mergeCell ref="A38:E38"/>
    <mergeCell ref="F38:K38"/>
    <mergeCell ref="L38:O38"/>
    <mergeCell ref="P38:V38"/>
    <mergeCell ref="W38:AB38"/>
    <mergeCell ref="AC38:AI38"/>
    <mergeCell ref="AD40:AI40"/>
    <mergeCell ref="A37:E37"/>
    <mergeCell ref="F37:AI37"/>
    <mergeCell ref="AK40:AP40"/>
    <mergeCell ref="AS40:AT40"/>
    <mergeCell ref="AV40:AW40"/>
    <mergeCell ref="A41:D41"/>
    <mergeCell ref="E41:G41"/>
    <mergeCell ref="I41:K41"/>
    <mergeCell ref="L41:R41"/>
    <mergeCell ref="S41:V41"/>
    <mergeCell ref="W41:Y41"/>
    <mergeCell ref="AA41:AC41"/>
    <mergeCell ref="AD41:AI41"/>
    <mergeCell ref="AK41:AP41"/>
    <mergeCell ref="A40:D40"/>
    <mergeCell ref="E40:K40"/>
    <mergeCell ref="L40:R40"/>
    <mergeCell ref="S40:V40"/>
    <mergeCell ref="W40:AC40"/>
    <mergeCell ref="AK37:AP37"/>
    <mergeCell ref="AS37:AT37"/>
    <mergeCell ref="AU37:AW37"/>
    <mergeCell ref="AK38:AP38"/>
    <mergeCell ref="A42:D42"/>
    <mergeCell ref="E42:G42"/>
    <mergeCell ref="I42:K42"/>
    <mergeCell ref="L42:R42"/>
    <mergeCell ref="S42:V42"/>
    <mergeCell ref="W42:Y42"/>
    <mergeCell ref="AA42:AC42"/>
    <mergeCell ref="AK42:AP42"/>
    <mergeCell ref="AS42:AW42"/>
    <mergeCell ref="A43:D43"/>
    <mergeCell ref="E43:G43"/>
    <mergeCell ref="I43:K43"/>
    <mergeCell ref="L43:R43"/>
    <mergeCell ref="S43:V43"/>
    <mergeCell ref="W43:Y43"/>
    <mergeCell ref="AA43:AC43"/>
    <mergeCell ref="A44:D44"/>
    <mergeCell ref="E44:G44"/>
    <mergeCell ref="I44:K44"/>
    <mergeCell ref="L44:R44"/>
    <mergeCell ref="S44:V44"/>
    <mergeCell ref="W44:Y44"/>
    <mergeCell ref="AA44:AC44"/>
    <mergeCell ref="AD44:AI44"/>
    <mergeCell ref="AD42:AI42"/>
    <mergeCell ref="AK44:AP44"/>
    <mergeCell ref="R45:U45"/>
    <mergeCell ref="W45:X45"/>
    <mergeCell ref="Z45:AA45"/>
    <mergeCell ref="AC45:AD45"/>
    <mergeCell ref="AE45:AF45"/>
    <mergeCell ref="AK45:AP45"/>
    <mergeCell ref="AD43:AI43"/>
    <mergeCell ref="AK43:AP43"/>
    <mergeCell ref="B49:E49"/>
    <mergeCell ref="F49:AI49"/>
    <mergeCell ref="AK49:AP49"/>
    <mergeCell ref="B50:E50"/>
    <mergeCell ref="F50:AI50"/>
    <mergeCell ref="AK50:AP50"/>
    <mergeCell ref="A46:AI46"/>
    <mergeCell ref="AK46:AP46"/>
    <mergeCell ref="B47:E47"/>
    <mergeCell ref="F47:AI47"/>
    <mergeCell ref="AK47:AP47"/>
    <mergeCell ref="B48:E48"/>
    <mergeCell ref="F48:AI48"/>
    <mergeCell ref="AK48:AP48"/>
    <mergeCell ref="B53:E53"/>
    <mergeCell ref="F53:AI53"/>
    <mergeCell ref="AK53:AP53"/>
    <mergeCell ref="B54:E54"/>
    <mergeCell ref="F54:AI54"/>
    <mergeCell ref="AK54:AP54"/>
    <mergeCell ref="B51:E51"/>
    <mergeCell ref="F51:AI51"/>
    <mergeCell ref="AK51:AP51"/>
    <mergeCell ref="B52:E52"/>
    <mergeCell ref="F52:AI52"/>
    <mergeCell ref="AK52:AP52"/>
    <mergeCell ref="B57:E57"/>
    <mergeCell ref="F57:AI57"/>
    <mergeCell ref="AK57:AP57"/>
    <mergeCell ref="B58:E58"/>
    <mergeCell ref="F58:AI58"/>
    <mergeCell ref="AK58:AP58"/>
    <mergeCell ref="B55:E55"/>
    <mergeCell ref="F55:AI55"/>
    <mergeCell ref="AK55:AP55"/>
    <mergeCell ref="B56:E56"/>
    <mergeCell ref="F56:AI56"/>
    <mergeCell ref="AK56:AP56"/>
    <mergeCell ref="B61:E61"/>
    <mergeCell ref="F61:AI61"/>
    <mergeCell ref="AK61:AP61"/>
    <mergeCell ref="B62:E62"/>
    <mergeCell ref="F62:AI62"/>
    <mergeCell ref="AK62:AP62"/>
    <mergeCell ref="B59:E59"/>
    <mergeCell ref="F59:AI59"/>
    <mergeCell ref="AK59:AP59"/>
    <mergeCell ref="B60:E60"/>
    <mergeCell ref="F60:AI60"/>
    <mergeCell ref="AK60:AP60"/>
    <mergeCell ref="B65:E65"/>
    <mergeCell ref="F65:AI65"/>
    <mergeCell ref="AK65:AP65"/>
    <mergeCell ref="B66:E66"/>
    <mergeCell ref="F66:AI66"/>
    <mergeCell ref="AK66:AP66"/>
    <mergeCell ref="B63:E63"/>
    <mergeCell ref="F63:AI63"/>
    <mergeCell ref="AK63:AP63"/>
    <mergeCell ref="B64:E64"/>
    <mergeCell ref="F64:AI64"/>
    <mergeCell ref="AK64:AP64"/>
    <mergeCell ref="B69:E69"/>
    <mergeCell ref="F69:AI69"/>
    <mergeCell ref="AK69:AP69"/>
    <mergeCell ref="B70:E70"/>
    <mergeCell ref="F70:AI70"/>
    <mergeCell ref="AK70:AP70"/>
    <mergeCell ref="B67:E67"/>
    <mergeCell ref="F67:AI67"/>
    <mergeCell ref="AK67:AP67"/>
    <mergeCell ref="B68:E68"/>
    <mergeCell ref="F68:AI68"/>
    <mergeCell ref="AK68:AP68"/>
    <mergeCell ref="B73:E73"/>
    <mergeCell ref="F73:AI73"/>
    <mergeCell ref="AK73:AP73"/>
    <mergeCell ref="B74:E74"/>
    <mergeCell ref="F74:AI74"/>
    <mergeCell ref="AK74:AP74"/>
    <mergeCell ref="B71:E71"/>
    <mergeCell ref="F71:AI71"/>
    <mergeCell ref="AK71:AP71"/>
    <mergeCell ref="B72:E72"/>
    <mergeCell ref="F72:AI72"/>
    <mergeCell ref="AK72:AP72"/>
    <mergeCell ref="B77:E77"/>
    <mergeCell ref="F77:AI77"/>
    <mergeCell ref="AK77:AP77"/>
    <mergeCell ref="B78:E78"/>
    <mergeCell ref="F78:AI78"/>
    <mergeCell ref="AK78:AP78"/>
    <mergeCell ref="B75:E75"/>
    <mergeCell ref="F75:AI75"/>
    <mergeCell ref="AK75:AP75"/>
    <mergeCell ref="B76:E76"/>
    <mergeCell ref="F76:AI76"/>
    <mergeCell ref="AK76:AP76"/>
    <mergeCell ref="A81:AI81"/>
    <mergeCell ref="AK81:AP81"/>
    <mergeCell ref="B82:E82"/>
    <mergeCell ref="F82:AI82"/>
    <mergeCell ref="AK82:AP82"/>
    <mergeCell ref="B83:E83"/>
    <mergeCell ref="F83:AI83"/>
    <mergeCell ref="AK83:AP83"/>
    <mergeCell ref="B79:E79"/>
    <mergeCell ref="F79:AI79"/>
    <mergeCell ref="AK79:AP79"/>
    <mergeCell ref="B80:E80"/>
    <mergeCell ref="F80:AI80"/>
    <mergeCell ref="AK80:AP80"/>
    <mergeCell ref="B86:E86"/>
    <mergeCell ref="F86:AI86"/>
    <mergeCell ref="AK86:AP86"/>
    <mergeCell ref="AK87:AP87"/>
    <mergeCell ref="AK88:AP88"/>
    <mergeCell ref="AK89:AP89"/>
    <mergeCell ref="B84:E84"/>
    <mergeCell ref="F84:AI84"/>
    <mergeCell ref="AK84:AP84"/>
    <mergeCell ref="B85:E85"/>
    <mergeCell ref="F85:AI85"/>
    <mergeCell ref="AK85:AP85"/>
  </mergeCells>
  <phoneticPr fontId="2"/>
  <conditionalFormatting sqref="AQ20:AQ28 AQ30:AQ31 AQ9 AQ11:AQ12 AQ14 AQ33:AQ34">
    <cfRule type="containsBlanks" dxfId="203" priority="12">
      <formula>LEN(TRIM(AQ9))=0</formula>
    </cfRule>
  </conditionalFormatting>
  <conditionalFormatting sqref="BC11:CF11">
    <cfRule type="containsText" dxfId="202" priority="8" operator="containsText" text="青">
      <formula>NOT(ISERROR(SEARCH("青",BC11)))</formula>
    </cfRule>
    <cfRule type="containsText" dxfId="201" priority="9" operator="containsText" text="緑">
      <formula>NOT(ISERROR(SEARCH("緑",BC11)))</formula>
    </cfRule>
    <cfRule type="containsText" dxfId="200" priority="10" operator="containsText" text="黄">
      <formula>NOT(ISERROR(SEARCH("黄",BC11)))</formula>
    </cfRule>
    <cfRule type="containsText" dxfId="199" priority="11" operator="containsText" text="赤">
      <formula>NOT(ISERROR(SEARCH("赤",BC11)))</formula>
    </cfRule>
  </conditionalFormatting>
  <conditionalFormatting sqref="V7:X8">
    <cfRule type="containsBlanks" dxfId="198" priority="7">
      <formula>LEN(TRIM(V7))=0</formula>
    </cfRule>
  </conditionalFormatting>
  <conditionalFormatting sqref="AB7:AI8">
    <cfRule type="containsBlanks" dxfId="197" priority="6">
      <formula>LEN(TRIM(AB7))=0</formula>
    </cfRule>
  </conditionalFormatting>
  <conditionalFormatting sqref="A7:E8 G7:I8 K7:M8 O7:P8">
    <cfRule type="containsBlanks" dxfId="196" priority="5">
      <formula>LEN(TRIM(A7))=0</formula>
    </cfRule>
  </conditionalFormatting>
  <conditionalFormatting sqref="W15:Y15 AH15:AI15 J15:L15">
    <cfRule type="containsBlanks" dxfId="195" priority="4">
      <formula>LEN(TRIM(J15))=0</formula>
    </cfRule>
  </conditionalFormatting>
  <conditionalFormatting sqref="L41:R44">
    <cfRule type="cellIs" dxfId="194" priority="1" operator="equal">
      <formula>0</formula>
    </cfRule>
  </conditionalFormatting>
  <conditionalFormatting sqref="P36:R36 T36:V36 L38:O38 AC38:AI38 AC36:AI36">
    <cfRule type="containsBlanks" dxfId="193" priority="3">
      <formula>LEN(TRIM(L36))=0</formula>
    </cfRule>
  </conditionalFormatting>
  <conditionalFormatting sqref="W41:Y44 AA41:AI44">
    <cfRule type="cellIs" dxfId="192" priority="2" operator="equal">
      <formula>0</formula>
    </cfRule>
  </conditionalFormatting>
  <printOptions horizontalCentered="1" verticalCentered="1"/>
  <pageMargins left="0.70866141732283472" right="0.59055118110236227" top="0.55118110236220474" bottom="0.55118110236220474" header="0.31496062992125984" footer="0.31496062992125984"/>
  <pageSetup paperSize="9" orientation="portrait" horizontalDpi="300" verticalDpi="300" r:id="rId1"/>
  <headerFooter scaleWithDoc="0" alignWithMargins="0">
    <oddFooter>&amp;C&amp;P&amp;Rヒトトヒト株式会社</oddFooter>
  </headerFooter>
  <rowBreaks count="1" manualBreakCount="1">
    <brk id="44" max="34" man="1"/>
  </rowBreaks>
  <drawing r:id="rId2"/>
  <extLst>
    <ext xmlns:x14="http://schemas.microsoft.com/office/spreadsheetml/2009/9/main" uri="{CCE6A557-97BC-4b89-ADB6-D9C93CAAB3DF}">
      <x14:dataValidations xmlns:xm="http://schemas.microsoft.com/office/excel/2006/main" count="6">
        <x14:dataValidation type="list" allowBlank="1" showInputMessage="1" showErrorMessage="1" xr:uid="{7DB0A7F8-44EA-4DD4-BD87-E17E9F0ABBDB}">
          <x14:formula1>
            <xm:f>初期値!$C$12:$C$27</xm:f>
          </x14:formula1>
          <xm:sqref>P36:R36 T36:V36</xm:sqref>
        </x14:dataValidation>
        <x14:dataValidation type="list" allowBlank="1" showInputMessage="1" showErrorMessage="1" xr:uid="{B2396BDA-1AFD-40EB-A97D-6F23B1FE509D}">
          <x14:formula1>
            <xm:f>初期値!$G$12:$G$24</xm:f>
          </x14:formula1>
          <xm:sqref>V7:X8</xm:sqref>
        </x14:dataValidation>
        <x14:dataValidation type="list" allowBlank="1" showInputMessage="1" showErrorMessage="1" xr:uid="{24A9E798-BC65-4AEF-83A7-00DF8A12FE3F}">
          <x14:formula1>
            <xm:f>初期値!$E$12:$E$13</xm:f>
          </x14:formula1>
          <xm:sqref>L38:O38 AC38:AI38 AC36:AI36</xm:sqref>
        </x14:dataValidation>
        <x14:dataValidation type="list" allowBlank="1" showInputMessage="1" showErrorMessage="1" xr:uid="{9A24D950-6F9F-4E76-88DC-FE33B79B9CF8}">
          <x14:formula1>
            <xm:f>初期値!$N$22:$N$23</xm:f>
          </x14:formula1>
          <xm:sqref>AW23</xm:sqref>
        </x14:dataValidation>
        <x14:dataValidation type="list" allowBlank="1" showInputMessage="1" showErrorMessage="1" xr:uid="{9A1201BE-F0B7-4843-88E7-A2125C033E3A}">
          <x14:formula1>
            <xm:f>初期値!$P$12:$P$27</xm:f>
          </x14:formula1>
          <xm:sqref>BA24:BB24 BA22:BB22 BA28:BB28 BA30:BB30 BA32:BB32 BA34:BB34</xm:sqref>
        </x14:dataValidation>
        <x14:dataValidation type="list" allowBlank="1" showInputMessage="1" showErrorMessage="1" xr:uid="{61D3CF0A-B581-4EA3-94E2-3E6A8275852F}">
          <x14:formula1>
            <xm:f>初期値!$N$12:$N$19</xm:f>
          </x14:formula1>
          <xm:sqref>AU22:AV22</xm:sqref>
        </x14:dataValidation>
      </x14:dataValidations>
    </ext>
  </extLst>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9434B41-F3E5-41FD-A045-EB79655C017E}">
  <sheetPr codeName="Sheet23"/>
  <dimension ref="A1:CG266"/>
  <sheetViews>
    <sheetView topLeftCell="A65" zoomScale="110" zoomScaleNormal="110" zoomScaleSheetLayoutView="100" workbookViewId="0">
      <selection activeCell="AK42" sqref="AK42:AP42"/>
    </sheetView>
  </sheetViews>
  <sheetFormatPr defaultColWidth="8.875" defaultRowHeight="13.5"/>
  <cols>
    <col min="1" max="42" width="2.25" style="23" customWidth="1"/>
    <col min="43" max="43" width="6" style="23" bestFit="1" customWidth="1"/>
    <col min="44" max="44" width="4.5" style="23" bestFit="1" customWidth="1"/>
    <col min="45" max="45" width="6" style="23" bestFit="1" customWidth="1"/>
    <col min="46" max="46" width="4.5" style="23" bestFit="1" customWidth="1"/>
    <col min="47" max="47" width="9" style="23" bestFit="1" customWidth="1"/>
    <col min="48" max="48" width="8.5" style="23" bestFit="1" customWidth="1"/>
    <col min="49" max="49" width="7.5" style="23" bestFit="1" customWidth="1"/>
    <col min="50" max="50" width="6.5" style="23" bestFit="1" customWidth="1"/>
    <col min="51" max="51" width="7.5" style="23" bestFit="1" customWidth="1"/>
    <col min="52" max="52" width="2.125" style="23" customWidth="1"/>
    <col min="53" max="54" width="7.375" style="23" customWidth="1"/>
    <col min="55" max="63" width="3.625" style="23" bestFit="1" customWidth="1"/>
    <col min="64" max="84" width="4" style="23" bestFit="1" customWidth="1"/>
    <col min="85" max="16384" width="8.875" style="23"/>
  </cols>
  <sheetData>
    <row r="1" spans="1:85" ht="14.1" customHeight="1">
      <c r="A1" s="510" t="s">
        <v>551</v>
      </c>
      <c r="B1" s="510"/>
      <c r="C1" s="510"/>
      <c r="D1" s="510"/>
      <c r="E1" s="510"/>
      <c r="F1" s="510"/>
      <c r="G1" s="510"/>
      <c r="H1" s="510"/>
      <c r="I1" s="510"/>
      <c r="J1" s="510"/>
      <c r="K1" s="510"/>
      <c r="L1" s="510"/>
      <c r="M1" s="510"/>
      <c r="N1" s="510"/>
      <c r="O1" s="510"/>
      <c r="P1" s="510"/>
      <c r="Q1" s="510"/>
      <c r="R1" s="510"/>
      <c r="S1" s="510"/>
      <c r="T1" s="388"/>
      <c r="U1" s="388"/>
      <c r="V1" s="388"/>
      <c r="W1" s="388"/>
      <c r="X1" s="388"/>
      <c r="Y1" s="388"/>
      <c r="Z1" s="388"/>
      <c r="AA1" s="24"/>
      <c r="AB1" s="32"/>
      <c r="AD1" s="252" t="s">
        <v>167</v>
      </c>
      <c r="AE1" s="252"/>
      <c r="AF1" s="252"/>
      <c r="AG1" s="252"/>
      <c r="AH1" s="252"/>
      <c r="AI1" s="252"/>
      <c r="AM1" s="123">
        <v>16</v>
      </c>
      <c r="BB1"/>
    </row>
    <row r="2" spans="1:85" ht="14.1" customHeight="1">
      <c r="A2" s="510"/>
      <c r="B2" s="510"/>
      <c r="C2" s="510"/>
      <c r="D2" s="510"/>
      <c r="E2" s="510"/>
      <c r="F2" s="510"/>
      <c r="G2" s="510"/>
      <c r="H2" s="510"/>
      <c r="I2" s="510"/>
      <c r="J2" s="510"/>
      <c r="K2" s="510"/>
      <c r="L2" s="510"/>
      <c r="M2" s="510"/>
      <c r="N2" s="510"/>
      <c r="O2" s="510"/>
      <c r="P2" s="510"/>
      <c r="Q2" s="510"/>
      <c r="R2" s="510"/>
      <c r="S2" s="510"/>
      <c r="T2" s="388"/>
      <c r="U2" s="388"/>
      <c r="V2" s="388"/>
      <c r="W2" s="388"/>
      <c r="X2" s="388"/>
      <c r="Y2" s="388"/>
      <c r="Z2" s="388"/>
      <c r="AA2" s="25"/>
      <c r="AB2" s="31"/>
      <c r="AD2" s="253"/>
      <c r="AE2" s="253"/>
      <c r="AF2" s="253"/>
      <c r="AG2" s="253"/>
      <c r="AH2" s="253"/>
      <c r="AI2" s="253"/>
      <c r="BA2"/>
    </row>
    <row r="3" spans="1:85" ht="14.1" customHeight="1">
      <c r="A3" s="510"/>
      <c r="B3" s="510"/>
      <c r="C3" s="510"/>
      <c r="D3" s="510"/>
      <c r="E3" s="510"/>
      <c r="F3" s="510"/>
      <c r="G3" s="510"/>
      <c r="H3" s="510"/>
      <c r="I3" s="510"/>
      <c r="J3" s="510"/>
      <c r="K3" s="510"/>
      <c r="L3" s="510"/>
      <c r="M3" s="510"/>
      <c r="N3" s="510"/>
      <c r="O3" s="510"/>
      <c r="P3" s="510"/>
      <c r="Q3" s="510"/>
      <c r="R3" s="510"/>
      <c r="S3" s="510"/>
      <c r="T3" s="388"/>
      <c r="U3" s="388"/>
      <c r="V3" s="388"/>
      <c r="W3" s="388"/>
      <c r="X3" s="388"/>
      <c r="Y3" s="388"/>
      <c r="Z3" s="388"/>
      <c r="AA3" s="25"/>
      <c r="AB3" s="31"/>
      <c r="AD3" s="253"/>
      <c r="AE3" s="253"/>
      <c r="AF3" s="253"/>
      <c r="AG3" s="253"/>
      <c r="AH3" s="253"/>
      <c r="AI3" s="253"/>
      <c r="BA3"/>
    </row>
    <row r="4" spans="1:85" ht="14.1" customHeight="1">
      <c r="A4" s="395" t="s">
        <v>552</v>
      </c>
      <c r="B4" s="395"/>
      <c r="C4" s="395"/>
      <c r="D4" s="395"/>
      <c r="E4" s="395"/>
      <c r="F4" s="395"/>
      <c r="G4" s="395"/>
      <c r="H4" s="395"/>
      <c r="I4" s="395"/>
      <c r="J4" s="395"/>
      <c r="K4" s="395"/>
      <c r="L4" s="395"/>
      <c r="M4" s="395"/>
      <c r="N4" s="395"/>
      <c r="O4" s="395"/>
      <c r="P4" s="395"/>
      <c r="Q4" s="395"/>
      <c r="R4" s="395"/>
      <c r="S4" s="395"/>
      <c r="T4" s="155"/>
      <c r="U4" s="155"/>
      <c r="V4" s="155"/>
      <c r="W4" s="155"/>
      <c r="X4" s="155"/>
      <c r="Y4" s="155"/>
      <c r="Z4" s="155"/>
      <c r="AA4" s="26"/>
      <c r="AB4" s="31"/>
      <c r="AD4" s="253"/>
      <c r="AE4" s="253"/>
      <c r="AF4" s="253"/>
      <c r="AG4" s="253"/>
      <c r="AH4" s="253"/>
      <c r="AI4" s="253"/>
      <c r="BA4"/>
    </row>
    <row r="5" spans="1:85" ht="14.1" customHeight="1">
      <c r="A5" s="395"/>
      <c r="B5" s="395"/>
      <c r="C5" s="395"/>
      <c r="D5" s="395"/>
      <c r="E5" s="395"/>
      <c r="F5" s="395"/>
      <c r="G5" s="395"/>
      <c r="H5" s="395"/>
      <c r="I5" s="395"/>
      <c r="J5" s="395"/>
      <c r="K5" s="395"/>
      <c r="L5" s="395"/>
      <c r="M5" s="395"/>
      <c r="N5" s="395"/>
      <c r="O5" s="395"/>
      <c r="P5" s="395"/>
      <c r="Q5" s="395"/>
      <c r="R5" s="395"/>
      <c r="S5" s="395"/>
      <c r="T5" s="155"/>
      <c r="U5" s="155"/>
      <c r="V5" s="155"/>
      <c r="W5" s="155"/>
      <c r="X5" s="155"/>
      <c r="Y5" s="155"/>
      <c r="Z5" s="155"/>
      <c r="AA5" s="26"/>
      <c r="AB5" s="31"/>
      <c r="AC5" s="31"/>
      <c r="AD5" s="31"/>
      <c r="AE5" s="31"/>
      <c r="AF5" s="31"/>
      <c r="AG5" s="31"/>
      <c r="AH5" s="31"/>
      <c r="AI5" s="31"/>
      <c r="BA5"/>
    </row>
    <row r="6" spans="1:85" ht="14.1" customHeight="1" thickBot="1">
      <c r="A6" s="27"/>
      <c r="B6" s="27"/>
      <c r="C6" s="27"/>
      <c r="D6" s="27"/>
      <c r="E6" s="27"/>
      <c r="F6" s="27"/>
      <c r="G6" s="27"/>
      <c r="H6" s="27"/>
      <c r="I6" s="27"/>
      <c r="BA6"/>
    </row>
    <row r="7" spans="1:85" ht="12" customHeight="1">
      <c r="A7" s="255">
        <f>DATE(初期値!A2,初期値!A3,AM1)</f>
        <v>46189</v>
      </c>
      <c r="B7" s="256"/>
      <c r="C7" s="256"/>
      <c r="D7" s="256"/>
      <c r="E7" s="256"/>
      <c r="F7" s="259" t="s">
        <v>169</v>
      </c>
      <c r="G7" s="236">
        <f>$A$7</f>
        <v>46189</v>
      </c>
      <c r="H7" s="236"/>
      <c r="I7" s="236"/>
      <c r="J7" s="239" t="s">
        <v>170</v>
      </c>
      <c r="K7" s="261">
        <f>$A$7</f>
        <v>46189</v>
      </c>
      <c r="L7" s="261"/>
      <c r="M7" s="261"/>
      <c r="N7" s="239" t="s">
        <v>3</v>
      </c>
      <c r="O7" s="520">
        <f>$A$7</f>
        <v>46189</v>
      </c>
      <c r="P7" s="520"/>
      <c r="Q7" s="239" t="s">
        <v>292</v>
      </c>
      <c r="R7" s="240"/>
      <c r="S7" s="522" t="s">
        <v>553</v>
      </c>
      <c r="T7" s="244"/>
      <c r="U7" s="29" t="s">
        <v>554</v>
      </c>
      <c r="V7" s="518" t="s">
        <v>37</v>
      </c>
      <c r="W7" s="518"/>
      <c r="X7" s="518"/>
      <c r="Y7" s="511" t="s">
        <v>555</v>
      </c>
      <c r="Z7" s="512"/>
      <c r="AA7" s="513"/>
      <c r="AB7" s="244" t="str">
        <f>L43</f>
        <v>石井忠志</v>
      </c>
      <c r="AC7" s="244"/>
      <c r="AD7" s="244"/>
      <c r="AE7" s="244"/>
      <c r="AF7" s="244"/>
      <c r="AG7" s="244"/>
      <c r="AH7" s="244"/>
      <c r="AI7" s="245"/>
      <c r="AK7" s="425" t="s">
        <v>556</v>
      </c>
      <c r="AL7" s="425"/>
      <c r="AM7" s="425"/>
      <c r="AN7" s="425"/>
      <c r="AO7" s="425"/>
      <c r="AP7" s="425"/>
      <c r="AQ7" s="439" t="s">
        <v>557</v>
      </c>
      <c r="AR7" s="43"/>
      <c r="AS7" s="43"/>
      <c r="AT7" s="43"/>
      <c r="AU7" s="43"/>
      <c r="AV7" s="43"/>
      <c r="AW7" s="43"/>
      <c r="AX7" s="43"/>
      <c r="AY7" s="43"/>
      <c r="AZ7" s="43"/>
      <c r="BA7"/>
    </row>
    <row r="8" spans="1:85" ht="12" customHeight="1" thickBot="1">
      <c r="A8" s="257"/>
      <c r="B8" s="258"/>
      <c r="C8" s="258"/>
      <c r="D8" s="258"/>
      <c r="E8" s="258"/>
      <c r="F8" s="260"/>
      <c r="G8" s="237"/>
      <c r="H8" s="237"/>
      <c r="I8" s="237"/>
      <c r="J8" s="242"/>
      <c r="K8" s="262"/>
      <c r="L8" s="262"/>
      <c r="M8" s="262"/>
      <c r="N8" s="242"/>
      <c r="O8" s="521"/>
      <c r="P8" s="521"/>
      <c r="Q8" s="242"/>
      <c r="R8" s="243"/>
      <c r="S8" s="523"/>
      <c r="T8" s="246"/>
      <c r="U8" s="33" t="s">
        <v>558</v>
      </c>
      <c r="V8" s="519" t="s">
        <v>37</v>
      </c>
      <c r="W8" s="519"/>
      <c r="X8" s="519"/>
      <c r="Y8" s="514"/>
      <c r="Z8" s="515"/>
      <c r="AA8" s="516"/>
      <c r="AB8" s="246"/>
      <c r="AC8" s="246"/>
      <c r="AD8" s="246"/>
      <c r="AE8" s="246"/>
      <c r="AF8" s="246"/>
      <c r="AG8" s="246"/>
      <c r="AH8" s="246"/>
      <c r="AI8" s="247"/>
      <c r="AK8" s="425"/>
      <c r="AL8" s="425"/>
      <c r="AM8" s="425"/>
      <c r="AN8" s="425"/>
      <c r="AO8" s="425"/>
      <c r="AP8" s="425"/>
      <c r="AQ8" s="439"/>
      <c r="AR8" s="43"/>
      <c r="AS8" s="43"/>
      <c r="AT8" s="43"/>
      <c r="AU8" s="43"/>
      <c r="AV8" s="43"/>
      <c r="AW8" s="43"/>
      <c r="AX8" s="43"/>
      <c r="AY8" s="43"/>
      <c r="AZ8" s="43"/>
      <c r="BA8"/>
    </row>
    <row r="9" spans="1:85" ht="18" customHeight="1">
      <c r="A9" s="507" t="s">
        <v>559</v>
      </c>
      <c r="B9" s="508"/>
      <c r="C9" s="508"/>
      <c r="D9" s="508"/>
      <c r="E9" s="508"/>
      <c r="F9" s="508"/>
      <c r="G9" s="508"/>
      <c r="H9" s="508"/>
      <c r="I9" s="508"/>
      <c r="J9" s="508"/>
      <c r="K9" s="508"/>
      <c r="L9" s="508"/>
      <c r="M9" s="508"/>
      <c r="N9" s="508"/>
      <c r="O9" s="508"/>
      <c r="P9" s="508"/>
      <c r="Q9" s="508"/>
      <c r="R9" s="508"/>
      <c r="S9" s="508"/>
      <c r="T9" s="508"/>
      <c r="U9" s="508"/>
      <c r="V9" s="508"/>
      <c r="W9" s="508"/>
      <c r="X9" s="508"/>
      <c r="Y9" s="508"/>
      <c r="Z9" s="508"/>
      <c r="AA9" s="508"/>
      <c r="AB9" s="508"/>
      <c r="AC9" s="508"/>
      <c r="AD9" s="508"/>
      <c r="AE9" s="508"/>
      <c r="AF9" s="508"/>
      <c r="AG9" s="508"/>
      <c r="AH9" s="508"/>
      <c r="AI9" s="509"/>
      <c r="AK9" s="440" t="s">
        <v>560</v>
      </c>
      <c r="AL9" s="440"/>
      <c r="AM9" s="440"/>
      <c r="AN9" s="440"/>
      <c r="AO9" s="440"/>
      <c r="AP9" s="440"/>
      <c r="AQ9" s="42">
        <v>58</v>
      </c>
      <c r="AR9" s="43"/>
      <c r="AS9" s="44" t="s">
        <v>561</v>
      </c>
      <c r="AT9" s="44" t="s">
        <v>562</v>
      </c>
      <c r="AU9" s="44" t="s">
        <v>563</v>
      </c>
      <c r="AV9" s="44" t="s">
        <v>564</v>
      </c>
      <c r="AW9" s="45" t="s">
        <v>565</v>
      </c>
      <c r="AX9" s="45" t="s">
        <v>566</v>
      </c>
      <c r="AY9" s="44" t="s">
        <v>567</v>
      </c>
      <c r="AZ9" s="43"/>
      <c r="BB9" s="49" t="s">
        <v>568</v>
      </c>
      <c r="BC9" s="43"/>
      <c r="BD9" s="43"/>
      <c r="BE9" s="43"/>
      <c r="BF9" s="43"/>
      <c r="BG9" s="43"/>
      <c r="BH9" s="43"/>
      <c r="BI9" s="43"/>
      <c r="BJ9" s="43"/>
      <c r="BK9" s="43"/>
      <c r="BL9" s="43"/>
      <c r="BM9" s="43"/>
      <c r="BN9" s="43"/>
      <c r="BO9" s="43"/>
      <c r="BP9" s="43"/>
      <c r="BQ9" s="43"/>
      <c r="BR9" s="43"/>
      <c r="BS9" s="43"/>
      <c r="BT9" s="43"/>
      <c r="BU9" s="43"/>
      <c r="BV9" s="43"/>
      <c r="BW9" s="43"/>
      <c r="BX9" s="43"/>
      <c r="BY9" s="43"/>
      <c r="BZ9" s="43"/>
      <c r="CA9" s="43"/>
      <c r="CB9" s="43"/>
      <c r="CC9" s="43"/>
      <c r="CD9" s="43"/>
      <c r="CE9" s="43"/>
      <c r="CF9" s="43"/>
      <c r="CG9" s="43"/>
    </row>
    <row r="10" spans="1:85" ht="18" customHeight="1">
      <c r="A10" s="265" t="s">
        <v>569</v>
      </c>
      <c r="B10" s="266"/>
      <c r="C10" s="266"/>
      <c r="D10" s="266"/>
      <c r="E10" s="266"/>
      <c r="F10" s="266"/>
      <c r="G10" s="266"/>
      <c r="H10" s="266"/>
      <c r="I10" s="264">
        <f>AQ14</f>
        <v>0</v>
      </c>
      <c r="J10" s="264"/>
      <c r="K10" s="267" t="s">
        <v>176</v>
      </c>
      <c r="L10" s="268"/>
      <c r="M10" s="269" t="s">
        <v>570</v>
      </c>
      <c r="N10" s="266"/>
      <c r="O10" s="266"/>
      <c r="P10" s="266"/>
      <c r="Q10" s="266"/>
      <c r="R10" s="266"/>
      <c r="S10" s="266"/>
      <c r="T10" s="266"/>
      <c r="U10" s="264">
        <f>AQ37</f>
        <v>0</v>
      </c>
      <c r="V10" s="264"/>
      <c r="W10" s="267" t="s">
        <v>176</v>
      </c>
      <c r="X10" s="268"/>
      <c r="Y10" s="269" t="s">
        <v>571</v>
      </c>
      <c r="Z10" s="266"/>
      <c r="AA10" s="266"/>
      <c r="AB10" s="266"/>
      <c r="AC10" s="266"/>
      <c r="AD10" s="266"/>
      <c r="AE10" s="266"/>
      <c r="AF10" s="266"/>
      <c r="AG10" s="264">
        <f>AQ26+AQ25</f>
        <v>0</v>
      </c>
      <c r="AH10" s="264"/>
      <c r="AI10" s="28" t="s">
        <v>176</v>
      </c>
      <c r="AK10" s="440" t="s">
        <v>572</v>
      </c>
      <c r="AL10" s="440"/>
      <c r="AM10" s="440"/>
      <c r="AN10" s="440"/>
      <c r="AO10" s="440"/>
      <c r="AP10" s="440"/>
      <c r="AQ10" s="42"/>
      <c r="AR10" s="43"/>
      <c r="AS10" s="46">
        <v>1</v>
      </c>
      <c r="AT10" s="46"/>
      <c r="AU10" s="46" t="s">
        <v>119</v>
      </c>
      <c r="AV10" s="47" t="s">
        <v>573</v>
      </c>
      <c r="AW10" s="47" t="s">
        <v>574</v>
      </c>
      <c r="AX10" s="47">
        <v>0.33333333333333331</v>
      </c>
      <c r="AY10" s="47">
        <v>0.83333333333333337</v>
      </c>
      <c r="AZ10" s="43"/>
      <c r="BB10" s="49" t="s">
        <v>95</v>
      </c>
      <c r="BC10" s="120">
        <v>1</v>
      </c>
      <c r="BD10" s="120">
        <v>2</v>
      </c>
      <c r="BE10" s="120">
        <v>3</v>
      </c>
      <c r="BF10" s="120">
        <v>4</v>
      </c>
      <c r="BG10" s="120">
        <v>5</v>
      </c>
      <c r="BH10" s="120">
        <v>6</v>
      </c>
      <c r="BI10" s="120">
        <v>7</v>
      </c>
      <c r="BJ10" s="120">
        <v>8</v>
      </c>
      <c r="BK10" s="120">
        <v>9</v>
      </c>
      <c r="BL10" s="120">
        <v>10</v>
      </c>
      <c r="BM10" s="120">
        <v>11</v>
      </c>
      <c r="BN10" s="120">
        <v>12</v>
      </c>
      <c r="BO10" s="120">
        <v>13</v>
      </c>
      <c r="BP10" s="120">
        <v>14</v>
      </c>
      <c r="BQ10" s="120">
        <v>15</v>
      </c>
      <c r="BR10" s="120">
        <v>16</v>
      </c>
      <c r="BS10" s="120">
        <v>17</v>
      </c>
      <c r="BT10" s="120">
        <v>18</v>
      </c>
      <c r="BU10" s="120">
        <v>19</v>
      </c>
      <c r="BV10" s="120">
        <v>20</v>
      </c>
      <c r="BW10" s="120">
        <v>21</v>
      </c>
      <c r="BX10" s="120">
        <v>22</v>
      </c>
      <c r="BY10" s="120">
        <v>23</v>
      </c>
      <c r="BZ10" s="120">
        <v>24</v>
      </c>
      <c r="CA10" s="120">
        <v>25</v>
      </c>
      <c r="CB10" s="120">
        <v>26</v>
      </c>
      <c r="CC10" s="120">
        <v>27</v>
      </c>
      <c r="CD10" s="120">
        <v>28</v>
      </c>
      <c r="CE10" s="120">
        <v>29</v>
      </c>
      <c r="CF10" s="120">
        <v>30</v>
      </c>
      <c r="CG10" s="43"/>
    </row>
    <row r="11" spans="1:85" ht="18" customHeight="1">
      <c r="A11" s="265" t="s">
        <v>575</v>
      </c>
      <c r="B11" s="266"/>
      <c r="C11" s="266"/>
      <c r="D11" s="266"/>
      <c r="E11" s="266"/>
      <c r="F11" s="266"/>
      <c r="G11" s="266"/>
      <c r="H11" s="266"/>
      <c r="I11" s="264">
        <f>AQ27</f>
        <v>0</v>
      </c>
      <c r="J11" s="264"/>
      <c r="K11" s="267" t="s">
        <v>176</v>
      </c>
      <c r="L11" s="268"/>
      <c r="M11" s="269" t="s">
        <v>576</v>
      </c>
      <c r="N11" s="266"/>
      <c r="O11" s="266"/>
      <c r="P11" s="266"/>
      <c r="Q11" s="266"/>
      <c r="R11" s="266"/>
      <c r="S11" s="266"/>
      <c r="T11" s="266"/>
      <c r="U11" s="264">
        <f>AQ36</f>
        <v>0</v>
      </c>
      <c r="V11" s="264"/>
      <c r="W11" s="267" t="s">
        <v>176</v>
      </c>
      <c r="X11" s="268"/>
      <c r="Y11" s="269" t="s">
        <v>577</v>
      </c>
      <c r="Z11" s="266"/>
      <c r="AA11" s="266"/>
      <c r="AB11" s="266"/>
      <c r="AC11" s="266"/>
      <c r="AD11" s="266"/>
      <c r="AE11" s="266"/>
      <c r="AF11" s="266"/>
      <c r="AG11" s="264">
        <f>AQ34</f>
        <v>0</v>
      </c>
      <c r="AH11" s="264"/>
      <c r="AI11" s="28" t="s">
        <v>176</v>
      </c>
      <c r="AK11" s="441" t="s">
        <v>578</v>
      </c>
      <c r="AL11" s="442"/>
      <c r="AM11" s="442"/>
      <c r="AN11" s="442"/>
      <c r="AO11" s="442"/>
      <c r="AP11" s="443"/>
      <c r="AQ11" s="42">
        <v>28</v>
      </c>
      <c r="AR11" s="43"/>
      <c r="AS11" s="46">
        <v>2</v>
      </c>
      <c r="AT11" s="46"/>
      <c r="AU11" s="46"/>
      <c r="AV11" s="47" t="s">
        <v>579</v>
      </c>
      <c r="AW11" s="47" t="s">
        <v>580</v>
      </c>
      <c r="AX11" s="47">
        <v>0.33333333333333331</v>
      </c>
      <c r="AY11" s="47">
        <v>0.58333333333333337</v>
      </c>
      <c r="AZ11" s="43"/>
      <c r="BB11" s="121" t="s">
        <v>581</v>
      </c>
      <c r="BC11" s="138" t="s">
        <v>582</v>
      </c>
      <c r="BD11" s="138" t="s">
        <v>583</v>
      </c>
      <c r="BE11" s="138" t="s">
        <v>584</v>
      </c>
      <c r="BF11" s="138" t="s">
        <v>585</v>
      </c>
      <c r="BG11" s="139" t="s">
        <v>584</v>
      </c>
      <c r="BH11" s="138" t="s">
        <v>582</v>
      </c>
      <c r="BI11" s="138" t="s">
        <v>585</v>
      </c>
      <c r="BJ11" s="138" t="s">
        <v>583</v>
      </c>
      <c r="BK11" s="138" t="s">
        <v>584</v>
      </c>
      <c r="BL11" s="138" t="s">
        <v>583</v>
      </c>
      <c r="BM11" s="138" t="s">
        <v>585</v>
      </c>
      <c r="BN11" s="138" t="s">
        <v>582</v>
      </c>
      <c r="BO11" s="138" t="s">
        <v>584</v>
      </c>
      <c r="BP11" s="138" t="s">
        <v>585</v>
      </c>
      <c r="BQ11" s="138" t="s">
        <v>583</v>
      </c>
      <c r="BR11" s="138" t="s">
        <v>585</v>
      </c>
      <c r="BS11" s="138" t="s">
        <v>584</v>
      </c>
      <c r="BT11" s="138" t="s">
        <v>582</v>
      </c>
      <c r="BU11" s="138" t="s">
        <v>583</v>
      </c>
      <c r="BV11" s="138" t="s">
        <v>585</v>
      </c>
      <c r="BW11" s="138" t="s">
        <v>582</v>
      </c>
      <c r="BX11" s="138" t="s">
        <v>584</v>
      </c>
      <c r="BY11" s="138" t="s">
        <v>585</v>
      </c>
      <c r="BZ11" s="138" t="s">
        <v>583</v>
      </c>
      <c r="CA11" s="138" t="s">
        <v>582</v>
      </c>
      <c r="CB11" s="138" t="s">
        <v>585</v>
      </c>
      <c r="CC11" s="138" t="s">
        <v>584</v>
      </c>
      <c r="CD11" s="138" t="s">
        <v>582</v>
      </c>
      <c r="CE11" s="138" t="s">
        <v>585</v>
      </c>
      <c r="CF11" s="138" t="s">
        <v>583</v>
      </c>
      <c r="CG11" s="43"/>
    </row>
    <row r="12" spans="1:85" ht="18" customHeight="1">
      <c r="A12" s="265" t="s">
        <v>586</v>
      </c>
      <c r="B12" s="266"/>
      <c r="C12" s="266"/>
      <c r="D12" s="266"/>
      <c r="E12" s="266"/>
      <c r="F12" s="266"/>
      <c r="G12" s="266"/>
      <c r="H12" s="266"/>
      <c r="I12" s="264">
        <f>AQ33</f>
        <v>0</v>
      </c>
      <c r="J12" s="264"/>
      <c r="K12" s="267" t="s">
        <v>176</v>
      </c>
      <c r="L12" s="268"/>
      <c r="M12" s="269" t="s">
        <v>587</v>
      </c>
      <c r="N12" s="266"/>
      <c r="O12" s="266"/>
      <c r="P12" s="266"/>
      <c r="Q12" s="266"/>
      <c r="R12" s="266"/>
      <c r="S12" s="266"/>
      <c r="T12" s="266"/>
      <c r="U12" s="264">
        <f>AQ24</f>
        <v>0</v>
      </c>
      <c r="V12" s="264"/>
      <c r="W12" s="267" t="s">
        <v>176</v>
      </c>
      <c r="X12" s="268"/>
      <c r="Y12" s="269" t="s">
        <v>588</v>
      </c>
      <c r="Z12" s="266"/>
      <c r="AA12" s="266"/>
      <c r="AB12" s="266"/>
      <c r="AC12" s="266"/>
      <c r="AD12" s="266"/>
      <c r="AE12" s="266"/>
      <c r="AF12" s="266"/>
      <c r="AG12" s="264">
        <f>AQ20+AQ21+AQ22+AQ23</f>
        <v>0</v>
      </c>
      <c r="AH12" s="264"/>
      <c r="AI12" s="28" t="s">
        <v>176</v>
      </c>
      <c r="AK12" s="441" t="s">
        <v>589</v>
      </c>
      <c r="AL12" s="442"/>
      <c r="AM12" s="442"/>
      <c r="AN12" s="442"/>
      <c r="AO12" s="442"/>
      <c r="AP12" s="443"/>
      <c r="AQ12" s="42">
        <v>10</v>
      </c>
      <c r="AR12" s="43"/>
      <c r="AS12" s="46">
        <v>3</v>
      </c>
      <c r="AT12" s="46"/>
      <c r="AU12" s="46"/>
      <c r="AV12" s="47" t="s">
        <v>590</v>
      </c>
      <c r="AW12" s="47" t="s">
        <v>574</v>
      </c>
      <c r="AX12" s="47">
        <v>0.58333333333333337</v>
      </c>
      <c r="AY12" s="47">
        <v>0.83333333333333337</v>
      </c>
      <c r="AZ12" s="43"/>
      <c r="BB12" s="49"/>
      <c r="BC12" s="43"/>
      <c r="BD12" s="43"/>
      <c r="BE12" s="43"/>
      <c r="BF12" s="43"/>
      <c r="BG12" s="43"/>
      <c r="BH12" s="43"/>
      <c r="BI12" s="43"/>
      <c r="BJ12" s="43"/>
      <c r="BK12" s="43"/>
      <c r="BL12" s="43"/>
      <c r="BM12" s="43"/>
      <c r="BN12" s="43"/>
      <c r="BO12" s="43"/>
      <c r="BP12" s="43"/>
      <c r="BQ12" s="43"/>
      <c r="BR12" s="43"/>
      <c r="BS12" s="43"/>
      <c r="BT12" s="43"/>
      <c r="BU12" s="43"/>
      <c r="BV12" s="43"/>
      <c r="BW12" s="43"/>
      <c r="BX12" s="43"/>
      <c r="BY12" s="43"/>
      <c r="BZ12" s="43"/>
      <c r="CA12" s="43"/>
      <c r="CB12" s="43"/>
      <c r="CC12" s="43"/>
      <c r="CD12" s="43"/>
      <c r="CE12" s="43"/>
      <c r="CF12" s="43"/>
      <c r="CG12" s="43"/>
    </row>
    <row r="13" spans="1:85" ht="18" customHeight="1" thickBot="1">
      <c r="A13" s="517" t="s">
        <v>591</v>
      </c>
      <c r="B13" s="277"/>
      <c r="C13" s="277"/>
      <c r="D13" s="277"/>
      <c r="E13" s="277"/>
      <c r="F13" s="277"/>
      <c r="G13" s="277"/>
      <c r="H13" s="277"/>
      <c r="I13" s="272">
        <f>AQ30+AQ31</f>
        <v>0</v>
      </c>
      <c r="J13" s="272"/>
      <c r="K13" s="273" t="s">
        <v>176</v>
      </c>
      <c r="L13" s="274"/>
      <c r="M13" s="276" t="s">
        <v>592</v>
      </c>
      <c r="N13" s="277"/>
      <c r="O13" s="277"/>
      <c r="P13" s="277"/>
      <c r="Q13" s="277"/>
      <c r="R13" s="277"/>
      <c r="S13" s="277"/>
      <c r="T13" s="277"/>
      <c r="U13" s="272">
        <f>AQ28</f>
        <v>0</v>
      </c>
      <c r="V13" s="272"/>
      <c r="W13" s="273" t="s">
        <v>176</v>
      </c>
      <c r="X13" s="274"/>
      <c r="Y13" s="276" t="s">
        <v>593</v>
      </c>
      <c r="Z13" s="277"/>
      <c r="AA13" s="277"/>
      <c r="AB13" s="277"/>
      <c r="AC13" s="277"/>
      <c r="AD13" s="277"/>
      <c r="AE13" s="277"/>
      <c r="AF13" s="277"/>
      <c r="AG13" s="272">
        <f>AQ13</f>
        <v>0</v>
      </c>
      <c r="AH13" s="272"/>
      <c r="AI13" s="34" t="s">
        <v>176</v>
      </c>
      <c r="AK13" s="425" t="s">
        <v>594</v>
      </c>
      <c r="AL13" s="425"/>
      <c r="AM13" s="425"/>
      <c r="AN13" s="425"/>
      <c r="AO13" s="425"/>
      <c r="AP13" s="425"/>
      <c r="AQ13" s="42"/>
      <c r="AR13" s="43"/>
      <c r="AS13" s="46">
        <v>4</v>
      </c>
      <c r="AT13" s="46"/>
      <c r="AU13" s="46" t="s">
        <v>602</v>
      </c>
      <c r="AV13" s="47" t="s">
        <v>595</v>
      </c>
      <c r="AW13" s="47" t="s">
        <v>596</v>
      </c>
      <c r="AX13" s="47">
        <v>0.33333333333333331</v>
      </c>
      <c r="AY13" s="47">
        <v>0.83333333333333337</v>
      </c>
      <c r="AZ13" s="43"/>
      <c r="BB13" s="121" t="s">
        <v>597</v>
      </c>
      <c r="BC13" s="140" t="s">
        <v>20</v>
      </c>
      <c r="BD13" s="140" t="s">
        <v>119</v>
      </c>
      <c r="BE13" s="140" t="s">
        <v>20</v>
      </c>
      <c r="BF13" s="140" t="s">
        <v>20</v>
      </c>
      <c r="BG13" s="140" t="s">
        <v>20</v>
      </c>
      <c r="BH13" s="140" t="s">
        <v>20</v>
      </c>
      <c r="BI13" s="140" t="s">
        <v>80</v>
      </c>
      <c r="BJ13" s="140" t="s">
        <v>20</v>
      </c>
      <c r="BK13" s="140" t="s">
        <v>20</v>
      </c>
      <c r="BL13" s="140" t="s">
        <v>20</v>
      </c>
      <c r="BM13" s="140" t="s">
        <v>20</v>
      </c>
      <c r="BN13" s="140" t="s">
        <v>20</v>
      </c>
      <c r="BO13" s="140" t="s">
        <v>119</v>
      </c>
      <c r="BP13" s="140" t="s">
        <v>119</v>
      </c>
      <c r="BQ13" s="140" t="s">
        <v>20</v>
      </c>
      <c r="BR13" s="140" t="s">
        <v>119</v>
      </c>
      <c r="BS13" s="140" t="s">
        <v>20</v>
      </c>
      <c r="BT13" s="140" t="s">
        <v>20</v>
      </c>
      <c r="BU13" s="140" t="s">
        <v>20</v>
      </c>
      <c r="BV13" s="140" t="s">
        <v>119</v>
      </c>
      <c r="BW13" s="140" t="s">
        <v>119</v>
      </c>
      <c r="BX13" s="140" t="s">
        <v>20</v>
      </c>
      <c r="BY13" s="140" t="s">
        <v>119</v>
      </c>
      <c r="BZ13" s="140" t="s">
        <v>20</v>
      </c>
      <c r="CA13" s="140" t="s">
        <v>119</v>
      </c>
      <c r="CB13" s="140" t="s">
        <v>20</v>
      </c>
      <c r="CC13" s="140" t="s">
        <v>20</v>
      </c>
      <c r="CD13" s="140" t="s">
        <v>119</v>
      </c>
      <c r="CE13" s="140" t="s">
        <v>20</v>
      </c>
      <c r="CF13" s="140" t="s">
        <v>119</v>
      </c>
      <c r="CG13" s="43"/>
    </row>
    <row r="14" spans="1:85" ht="18" customHeight="1" thickBot="1">
      <c r="A14" s="452" t="s">
        <v>598</v>
      </c>
      <c r="B14" s="453"/>
      <c r="C14" s="453"/>
      <c r="D14" s="453"/>
      <c r="E14" s="453"/>
      <c r="F14" s="453"/>
      <c r="G14" s="453"/>
      <c r="H14" s="453"/>
      <c r="I14" s="453"/>
      <c r="J14" s="453"/>
      <c r="K14" s="453"/>
      <c r="L14" s="453"/>
      <c r="M14" s="453"/>
      <c r="N14" s="453"/>
      <c r="O14" s="453"/>
      <c r="P14" s="453"/>
      <c r="Q14" s="453"/>
      <c r="R14" s="453"/>
      <c r="S14" s="453"/>
      <c r="T14" s="453"/>
      <c r="U14" s="453"/>
      <c r="V14" s="453"/>
      <c r="W14" s="453"/>
      <c r="X14" s="453"/>
      <c r="Y14" s="453"/>
      <c r="Z14" s="453"/>
      <c r="AA14" s="453"/>
      <c r="AB14" s="453"/>
      <c r="AC14" s="453"/>
      <c r="AD14" s="453"/>
      <c r="AE14" s="453"/>
      <c r="AF14" s="453"/>
      <c r="AG14" s="453"/>
      <c r="AH14" s="453"/>
      <c r="AI14" s="454"/>
      <c r="AK14" s="440" t="s">
        <v>599</v>
      </c>
      <c r="AL14" s="440"/>
      <c r="AM14" s="440"/>
      <c r="AN14" s="440"/>
      <c r="AO14" s="440"/>
      <c r="AP14" s="440"/>
      <c r="AQ14" s="42"/>
      <c r="AR14" s="43"/>
      <c r="AS14" s="46">
        <v>5</v>
      </c>
      <c r="AT14" s="46"/>
      <c r="AU14" s="46" t="s">
        <v>20</v>
      </c>
      <c r="AV14" s="47" t="s">
        <v>600</v>
      </c>
      <c r="AW14" s="47" t="s">
        <v>596</v>
      </c>
      <c r="AX14" s="47">
        <v>0.33333333333333331</v>
      </c>
      <c r="AY14" s="47">
        <v>0.83333333333333337</v>
      </c>
      <c r="AZ14" s="43"/>
      <c r="BB14" s="121" t="s">
        <v>601</v>
      </c>
      <c r="BC14" s="162" t="s">
        <v>28</v>
      </c>
      <c r="BD14" s="162" t="s">
        <v>602</v>
      </c>
      <c r="BE14" s="162" t="s">
        <v>602</v>
      </c>
      <c r="BF14" s="162" t="s">
        <v>28</v>
      </c>
      <c r="BG14" s="162" t="s">
        <v>602</v>
      </c>
      <c r="BH14" s="162" t="s">
        <v>602</v>
      </c>
      <c r="BI14" s="162" t="s">
        <v>28</v>
      </c>
      <c r="BJ14" s="162" t="s">
        <v>28</v>
      </c>
      <c r="BK14" s="162" t="s">
        <v>602</v>
      </c>
      <c r="BL14" s="162" t="s">
        <v>28</v>
      </c>
      <c r="BM14" s="162" t="s">
        <v>602</v>
      </c>
      <c r="BN14" s="162" t="s">
        <v>28</v>
      </c>
      <c r="BO14" s="162" t="s">
        <v>28</v>
      </c>
      <c r="BP14" s="162" t="s">
        <v>76</v>
      </c>
      <c r="BQ14" s="162" t="s">
        <v>28</v>
      </c>
      <c r="BR14" s="162" t="s">
        <v>602</v>
      </c>
      <c r="BS14" s="162" t="s">
        <v>28</v>
      </c>
      <c r="BT14" s="162" t="s">
        <v>602</v>
      </c>
      <c r="BU14" s="162" t="s">
        <v>28</v>
      </c>
      <c r="BV14" s="162" t="s">
        <v>602</v>
      </c>
      <c r="BW14" s="162" t="s">
        <v>28</v>
      </c>
      <c r="BX14" s="162" t="s">
        <v>28</v>
      </c>
      <c r="BY14" s="162" t="s">
        <v>602</v>
      </c>
      <c r="BZ14" s="162" t="s">
        <v>28</v>
      </c>
      <c r="CA14" s="162" t="s">
        <v>602</v>
      </c>
      <c r="CB14" s="162" t="s">
        <v>28</v>
      </c>
      <c r="CC14" s="162" t="s">
        <v>28</v>
      </c>
      <c r="CD14" s="162" t="s">
        <v>76</v>
      </c>
      <c r="CE14" s="162" t="s">
        <v>28</v>
      </c>
      <c r="CF14" s="162" t="s">
        <v>602</v>
      </c>
      <c r="CG14" s="43"/>
    </row>
    <row r="15" spans="1:85" ht="18" customHeight="1" thickBot="1">
      <c r="A15" s="30" t="s">
        <v>189</v>
      </c>
      <c r="B15" s="264" t="s">
        <v>603</v>
      </c>
      <c r="C15" s="264"/>
      <c r="D15" s="264"/>
      <c r="E15" s="264"/>
      <c r="F15" s="264"/>
      <c r="G15" s="264"/>
      <c r="H15" s="264"/>
      <c r="I15" s="264"/>
      <c r="J15" s="278">
        <f>AQ9+AQ10</f>
        <v>58</v>
      </c>
      <c r="K15" s="278"/>
      <c r="L15" s="278"/>
      <c r="M15" s="264" t="s">
        <v>176</v>
      </c>
      <c r="N15" s="264"/>
      <c r="O15" s="264" t="s">
        <v>604</v>
      </c>
      <c r="P15" s="264"/>
      <c r="Q15" s="264"/>
      <c r="R15" s="264"/>
      <c r="S15" s="264"/>
      <c r="T15" s="264"/>
      <c r="U15" s="264"/>
      <c r="V15" s="264"/>
      <c r="W15" s="278">
        <f>AQ11+AQ12</f>
        <v>38</v>
      </c>
      <c r="X15" s="278"/>
      <c r="Y15" s="278"/>
      <c r="Z15" s="264" t="s">
        <v>176</v>
      </c>
      <c r="AA15" s="264"/>
      <c r="AB15" s="503" t="s">
        <v>605</v>
      </c>
      <c r="AC15" s="503"/>
      <c r="AD15" s="503"/>
      <c r="AE15" s="503"/>
      <c r="AF15" s="503"/>
      <c r="AG15" s="503"/>
      <c r="AH15" s="281" t="s">
        <v>585</v>
      </c>
      <c r="AI15" s="282"/>
      <c r="AK15" s="425" t="s">
        <v>606</v>
      </c>
      <c r="AL15" s="425"/>
      <c r="AM15" s="425"/>
      <c r="AN15" s="425"/>
      <c r="AO15" s="425"/>
      <c r="AP15" s="425"/>
      <c r="AQ15" s="42"/>
      <c r="AR15" s="43"/>
      <c r="AS15" s="46">
        <v>6</v>
      </c>
      <c r="AT15" s="46"/>
      <c r="AU15" s="46"/>
      <c r="AV15" s="47" t="s">
        <v>607</v>
      </c>
      <c r="AW15" s="47" t="s">
        <v>596</v>
      </c>
      <c r="AX15" s="47">
        <v>0.33333333333333331</v>
      </c>
      <c r="AY15" s="47">
        <v>0.83333333333333337</v>
      </c>
      <c r="AZ15" s="43"/>
      <c r="BB15" s="121" t="s">
        <v>31</v>
      </c>
      <c r="BC15" s="163" t="s">
        <v>119</v>
      </c>
      <c r="BD15" s="164"/>
      <c r="BE15" s="165" t="s">
        <v>28</v>
      </c>
      <c r="BF15" s="165" t="s">
        <v>119</v>
      </c>
      <c r="BG15" s="164"/>
      <c r="BH15" s="164"/>
      <c r="BI15" s="164"/>
      <c r="BJ15" s="164"/>
      <c r="BK15" s="165" t="s">
        <v>119</v>
      </c>
      <c r="BL15" s="165" t="s">
        <v>602</v>
      </c>
      <c r="BM15" s="165" t="s">
        <v>119</v>
      </c>
      <c r="BN15" s="165" t="s">
        <v>602</v>
      </c>
      <c r="BO15" s="164"/>
      <c r="BP15" s="164"/>
      <c r="BQ15" s="165" t="s">
        <v>608</v>
      </c>
      <c r="BR15" s="165" t="s">
        <v>20</v>
      </c>
      <c r="BS15" s="165" t="s">
        <v>602</v>
      </c>
      <c r="BT15" s="165" t="s">
        <v>119</v>
      </c>
      <c r="BU15" s="165" t="s">
        <v>602</v>
      </c>
      <c r="BV15" s="164"/>
      <c r="BW15" s="164"/>
      <c r="BX15" s="165" t="s">
        <v>119</v>
      </c>
      <c r="BY15" s="165" t="s">
        <v>20</v>
      </c>
      <c r="BZ15" s="165" t="s">
        <v>602</v>
      </c>
      <c r="CA15" s="165" t="s">
        <v>20</v>
      </c>
      <c r="CB15" s="165" t="s">
        <v>602</v>
      </c>
      <c r="CC15" s="165" t="s">
        <v>602</v>
      </c>
      <c r="CD15" s="164"/>
      <c r="CE15" s="165" t="s">
        <v>119</v>
      </c>
      <c r="CF15" s="165" t="s">
        <v>20</v>
      </c>
      <c r="CG15" s="43"/>
    </row>
    <row r="16" spans="1:85" ht="18" customHeight="1">
      <c r="A16" s="504" t="s">
        <v>609</v>
      </c>
      <c r="B16" s="505"/>
      <c r="C16" s="505"/>
      <c r="D16" s="505"/>
      <c r="E16" s="505"/>
      <c r="F16" s="505"/>
      <c r="G16" s="505"/>
      <c r="H16" s="505"/>
      <c r="I16" s="505"/>
      <c r="J16" s="505"/>
      <c r="K16" s="505"/>
      <c r="L16" s="505"/>
      <c r="M16" s="505"/>
      <c r="N16" s="505"/>
      <c r="O16" s="505"/>
      <c r="P16" s="505"/>
      <c r="Q16" s="505"/>
      <c r="R16" s="505"/>
      <c r="S16" s="505"/>
      <c r="T16" s="505"/>
      <c r="U16" s="505"/>
      <c r="V16" s="505"/>
      <c r="W16" s="505"/>
      <c r="X16" s="505"/>
      <c r="Y16" s="505"/>
      <c r="Z16" s="505"/>
      <c r="AA16" s="505"/>
      <c r="AB16" s="505"/>
      <c r="AC16" s="505"/>
      <c r="AD16" s="505"/>
      <c r="AE16" s="505"/>
      <c r="AF16" s="505"/>
      <c r="AG16" s="505"/>
      <c r="AH16" s="505"/>
      <c r="AI16" s="506"/>
      <c r="AK16" s="425" t="s">
        <v>610</v>
      </c>
      <c r="AL16" s="425"/>
      <c r="AM16" s="425"/>
      <c r="AN16" s="425"/>
      <c r="AO16" s="425"/>
      <c r="AP16" s="425"/>
      <c r="AQ16" s="42"/>
      <c r="AR16" s="43"/>
      <c r="AS16" s="46">
        <v>7</v>
      </c>
      <c r="AT16" s="46"/>
      <c r="AU16" s="46" t="s">
        <v>71</v>
      </c>
      <c r="AV16" s="47" t="s">
        <v>611</v>
      </c>
      <c r="AW16" s="47" t="s">
        <v>612</v>
      </c>
      <c r="AX16" s="47">
        <v>0.83333333333333337</v>
      </c>
      <c r="AY16" s="47" t="s">
        <v>613</v>
      </c>
      <c r="AZ16" s="43"/>
      <c r="BB16" s="121" t="s">
        <v>614</v>
      </c>
      <c r="BC16" s="142" t="s">
        <v>20</v>
      </c>
      <c r="BD16" s="140" t="s">
        <v>67</v>
      </c>
      <c r="BE16" s="142" t="s">
        <v>42</v>
      </c>
      <c r="BF16" s="142" t="s">
        <v>20</v>
      </c>
      <c r="BG16" s="142" t="s">
        <v>42</v>
      </c>
      <c r="BH16" s="142" t="s">
        <v>61</v>
      </c>
      <c r="BI16" s="142" t="s">
        <v>67</v>
      </c>
      <c r="BJ16" s="142" t="s">
        <v>67</v>
      </c>
      <c r="BK16" s="142" t="s">
        <v>42</v>
      </c>
      <c r="BL16" s="142" t="s">
        <v>42</v>
      </c>
      <c r="BM16" s="142" t="s">
        <v>67</v>
      </c>
      <c r="BN16" s="142" t="s">
        <v>67</v>
      </c>
      <c r="BO16" s="142" t="s">
        <v>42</v>
      </c>
      <c r="BP16" s="142" t="s">
        <v>67</v>
      </c>
      <c r="BQ16" s="142" t="s">
        <v>20</v>
      </c>
      <c r="BR16" s="142" t="s">
        <v>71</v>
      </c>
      <c r="BS16" s="142" t="s">
        <v>67</v>
      </c>
      <c r="BT16" s="142" t="s">
        <v>67</v>
      </c>
      <c r="BU16" s="142" t="s">
        <v>61</v>
      </c>
      <c r="BV16" s="142" t="s">
        <v>42</v>
      </c>
      <c r="BW16" s="142" t="s">
        <v>49</v>
      </c>
      <c r="BX16" s="142" t="s">
        <v>20</v>
      </c>
      <c r="BY16" s="142" t="s">
        <v>71</v>
      </c>
      <c r="BZ16" s="142" t="s">
        <v>42</v>
      </c>
      <c r="CA16" s="142" t="s">
        <v>20</v>
      </c>
      <c r="CB16" s="142" t="s">
        <v>61</v>
      </c>
      <c r="CC16" s="142" t="s">
        <v>42</v>
      </c>
      <c r="CD16" s="142" t="s">
        <v>49</v>
      </c>
      <c r="CE16" s="142" t="s">
        <v>20</v>
      </c>
      <c r="CF16" s="143" t="s">
        <v>71</v>
      </c>
      <c r="CG16" s="43"/>
    </row>
    <row r="17" spans="1:85" ht="18" customHeight="1">
      <c r="A17" s="396" t="s">
        <v>615</v>
      </c>
      <c r="B17" s="397"/>
      <c r="C17" s="397"/>
      <c r="D17" s="397"/>
      <c r="E17" s="397"/>
      <c r="F17" s="398" t="s">
        <v>616</v>
      </c>
      <c r="G17" s="398"/>
      <c r="H17" s="398"/>
      <c r="I17" s="398"/>
      <c r="J17" s="398"/>
      <c r="K17" s="398"/>
      <c r="L17" s="398"/>
      <c r="M17" s="398"/>
      <c r="N17" s="398"/>
      <c r="O17" s="398"/>
      <c r="P17" s="398"/>
      <c r="Q17" s="398"/>
      <c r="R17" s="398"/>
      <c r="S17" s="398"/>
      <c r="T17" s="398"/>
      <c r="U17" s="398"/>
      <c r="V17" s="398"/>
      <c r="W17" s="398"/>
      <c r="X17" s="398"/>
      <c r="Y17" s="398"/>
      <c r="Z17" s="398"/>
      <c r="AA17" s="398"/>
      <c r="AB17" s="398"/>
      <c r="AC17" s="398"/>
      <c r="AD17" s="398"/>
      <c r="AE17" s="398"/>
      <c r="AF17" s="398"/>
      <c r="AG17" s="398"/>
      <c r="AH17" s="398"/>
      <c r="AI17" s="399"/>
      <c r="AK17" s="425" t="s">
        <v>617</v>
      </c>
      <c r="AL17" s="425"/>
      <c r="AM17" s="425"/>
      <c r="AN17" s="425"/>
      <c r="AO17" s="425"/>
      <c r="AP17" s="425"/>
      <c r="AQ17" s="42"/>
      <c r="AR17" s="43"/>
      <c r="AS17" s="46">
        <v>8</v>
      </c>
      <c r="AT17" s="46"/>
      <c r="AU17" s="46" t="s">
        <v>42</v>
      </c>
      <c r="AV17" s="47" t="s">
        <v>618</v>
      </c>
      <c r="AW17" s="47" t="s">
        <v>612</v>
      </c>
      <c r="AX17" s="47">
        <v>0.83333333333333337</v>
      </c>
      <c r="AY17" s="47" t="s">
        <v>613</v>
      </c>
      <c r="AZ17" s="43"/>
      <c r="BB17" s="121" t="s">
        <v>619</v>
      </c>
      <c r="BC17" s="141" t="s">
        <v>67</v>
      </c>
      <c r="BD17" s="140" t="s">
        <v>42</v>
      </c>
      <c r="BE17" s="141" t="s">
        <v>71</v>
      </c>
      <c r="BF17" s="140" t="s">
        <v>67</v>
      </c>
      <c r="BG17" s="140" t="s">
        <v>61</v>
      </c>
      <c r="BH17" s="140" t="s">
        <v>42</v>
      </c>
      <c r="BI17" s="140" t="s">
        <v>49</v>
      </c>
      <c r="BJ17" s="140" t="s">
        <v>61</v>
      </c>
      <c r="BK17" s="140" t="s">
        <v>71</v>
      </c>
      <c r="BL17" s="140" t="s">
        <v>67</v>
      </c>
      <c r="BM17" s="140" t="s">
        <v>49</v>
      </c>
      <c r="BN17" s="140" t="s">
        <v>49</v>
      </c>
      <c r="BO17" s="140" t="s">
        <v>61</v>
      </c>
      <c r="BP17" s="140" t="s">
        <v>49</v>
      </c>
      <c r="BQ17" s="140" t="s">
        <v>67</v>
      </c>
      <c r="BR17" s="140" t="s">
        <v>42</v>
      </c>
      <c r="BS17" s="140" t="s">
        <v>42</v>
      </c>
      <c r="BT17" s="140" t="s">
        <v>49</v>
      </c>
      <c r="BU17" s="140" t="s">
        <v>42</v>
      </c>
      <c r="BV17" s="140" t="s">
        <v>61</v>
      </c>
      <c r="BW17" s="140" t="s">
        <v>71</v>
      </c>
      <c r="BX17" s="140" t="s">
        <v>67</v>
      </c>
      <c r="BY17" s="140" t="s">
        <v>42</v>
      </c>
      <c r="BZ17" s="140" t="s">
        <v>67</v>
      </c>
      <c r="CA17" s="140" t="s">
        <v>67</v>
      </c>
      <c r="CB17" s="140" t="s">
        <v>49</v>
      </c>
      <c r="CC17" s="140" t="s">
        <v>61</v>
      </c>
      <c r="CD17" s="140" t="s">
        <v>71</v>
      </c>
      <c r="CE17" s="140" t="s">
        <v>67</v>
      </c>
      <c r="CF17" s="140" t="s">
        <v>42</v>
      </c>
      <c r="CG17" s="43"/>
    </row>
    <row r="18" spans="1:85" ht="18" customHeight="1">
      <c r="A18" s="501" t="s">
        <v>620</v>
      </c>
      <c r="B18" s="502"/>
      <c r="C18" s="502"/>
      <c r="D18" s="502"/>
      <c r="E18" s="502"/>
      <c r="F18" s="400" t="s">
        <v>616</v>
      </c>
      <c r="G18" s="400"/>
      <c r="H18" s="400"/>
      <c r="I18" s="400"/>
      <c r="J18" s="400"/>
      <c r="K18" s="400"/>
      <c r="L18" s="400"/>
      <c r="M18" s="400"/>
      <c r="N18" s="400"/>
      <c r="O18" s="400"/>
      <c r="P18" s="400"/>
      <c r="Q18" s="400"/>
      <c r="R18" s="400"/>
      <c r="S18" s="400"/>
      <c r="T18" s="400"/>
      <c r="U18" s="400"/>
      <c r="V18" s="400"/>
      <c r="W18" s="400"/>
      <c r="X18" s="400"/>
      <c r="Y18" s="400"/>
      <c r="Z18" s="400"/>
      <c r="AA18" s="400"/>
      <c r="AB18" s="400"/>
      <c r="AC18" s="400"/>
      <c r="AD18" s="400"/>
      <c r="AE18" s="400"/>
      <c r="AF18" s="400"/>
      <c r="AG18" s="400"/>
      <c r="AH18" s="400"/>
      <c r="AI18" s="401"/>
      <c r="AK18" s="425" t="s">
        <v>621</v>
      </c>
      <c r="AL18" s="425"/>
      <c r="AM18" s="425"/>
      <c r="AN18" s="425"/>
      <c r="AO18" s="425"/>
      <c r="AP18" s="425"/>
      <c r="AQ18" s="42"/>
      <c r="AR18" s="43"/>
      <c r="AS18" s="46">
        <v>9</v>
      </c>
      <c r="AT18" s="46"/>
      <c r="AU18" s="46"/>
      <c r="AV18" s="47" t="s">
        <v>622</v>
      </c>
      <c r="AW18" s="47" t="s">
        <v>612</v>
      </c>
      <c r="AX18" s="47">
        <v>0.83333333333333337</v>
      </c>
      <c r="AY18" s="47" t="s">
        <v>613</v>
      </c>
      <c r="AZ18" s="43"/>
    </row>
    <row r="19" spans="1:85" ht="18" customHeight="1" thickBot="1">
      <c r="A19" s="35" t="s">
        <v>189</v>
      </c>
      <c r="B19" s="405">
        <v>0.4597222222222222</v>
      </c>
      <c r="C19" s="405"/>
      <c r="D19" s="405"/>
      <c r="E19" s="405"/>
      <c r="F19" s="402" t="s">
        <v>849</v>
      </c>
      <c r="G19" s="402"/>
      <c r="H19" s="402"/>
      <c r="I19" s="402"/>
      <c r="J19" s="402"/>
      <c r="K19" s="402"/>
      <c r="L19" s="402"/>
      <c r="M19" s="402"/>
      <c r="N19" s="402"/>
      <c r="O19" s="402"/>
      <c r="P19" s="402"/>
      <c r="Q19" s="402"/>
      <c r="R19" s="402"/>
      <c r="S19" s="402"/>
      <c r="T19" s="402"/>
      <c r="U19" s="402"/>
      <c r="V19" s="402"/>
      <c r="W19" s="402"/>
      <c r="X19" s="402"/>
      <c r="Y19" s="402"/>
      <c r="Z19" s="402"/>
      <c r="AA19" s="402"/>
      <c r="AB19" s="402"/>
      <c r="AC19" s="402"/>
      <c r="AD19" s="402"/>
      <c r="AE19" s="402"/>
      <c r="AF19" s="402"/>
      <c r="AG19" s="402"/>
      <c r="AH19" s="402"/>
      <c r="AI19" s="403"/>
      <c r="AK19" s="524" t="s">
        <v>623</v>
      </c>
      <c r="AL19" s="524"/>
      <c r="AM19" s="524"/>
      <c r="AN19" s="524"/>
      <c r="AO19" s="524"/>
      <c r="AP19" s="524"/>
      <c r="AQ19" s="58"/>
      <c r="AR19" s="43"/>
      <c r="AS19" s="46">
        <v>10</v>
      </c>
      <c r="AT19" s="46"/>
      <c r="AU19" s="46"/>
      <c r="AV19" s="47" t="s">
        <v>111</v>
      </c>
      <c r="AW19" s="47" t="s">
        <v>612</v>
      </c>
      <c r="AX19" s="47">
        <v>0.83333333333333337</v>
      </c>
      <c r="AY19" s="47" t="s">
        <v>613</v>
      </c>
      <c r="AZ19" s="43"/>
    </row>
    <row r="20" spans="1:85" ht="18" customHeight="1">
      <c r="A20" s="36" t="s">
        <v>189</v>
      </c>
      <c r="B20" s="404">
        <v>0.57986111111111116</v>
      </c>
      <c r="C20" s="404"/>
      <c r="D20" s="404"/>
      <c r="E20" s="404"/>
      <c r="F20" s="288" t="s">
        <v>850</v>
      </c>
      <c r="G20" s="288"/>
      <c r="H20" s="288"/>
      <c r="I20" s="288"/>
      <c r="J20" s="288"/>
      <c r="K20" s="288"/>
      <c r="L20" s="288"/>
      <c r="M20" s="288"/>
      <c r="N20" s="288"/>
      <c r="O20" s="288"/>
      <c r="P20" s="288"/>
      <c r="Q20" s="288"/>
      <c r="R20" s="288"/>
      <c r="S20" s="288"/>
      <c r="T20" s="288"/>
      <c r="U20" s="288"/>
      <c r="V20" s="288"/>
      <c r="W20" s="288"/>
      <c r="X20" s="288"/>
      <c r="Y20" s="288"/>
      <c r="Z20" s="288"/>
      <c r="AA20" s="288"/>
      <c r="AB20" s="288"/>
      <c r="AC20" s="288"/>
      <c r="AD20" s="288"/>
      <c r="AE20" s="288"/>
      <c r="AF20" s="288"/>
      <c r="AG20" s="288"/>
      <c r="AH20" s="288"/>
      <c r="AI20" s="289"/>
      <c r="AK20" s="447" t="s">
        <v>624</v>
      </c>
      <c r="AL20" s="448"/>
      <c r="AM20" s="448"/>
      <c r="AN20" s="448"/>
      <c r="AO20" s="448"/>
      <c r="AP20" s="448"/>
      <c r="AQ20" s="62"/>
      <c r="AR20" s="426" t="s">
        <v>625</v>
      </c>
      <c r="AS20" s="146">
        <v>11</v>
      </c>
      <c r="AT20" s="46"/>
      <c r="AU20" s="46"/>
      <c r="AV20" s="47" t="s">
        <v>111</v>
      </c>
      <c r="AW20" s="47" t="s">
        <v>612</v>
      </c>
      <c r="AX20" s="47">
        <v>0.83333333333333337</v>
      </c>
      <c r="AY20" s="47" t="s">
        <v>613</v>
      </c>
      <c r="AZ20" s="43"/>
    </row>
    <row r="21" spans="1:85" ht="18" customHeight="1" thickBot="1">
      <c r="A21" s="36" t="s">
        <v>189</v>
      </c>
      <c r="B21" s="404">
        <v>0.82361111111111107</v>
      </c>
      <c r="C21" s="404"/>
      <c r="D21" s="404"/>
      <c r="E21" s="404"/>
      <c r="F21" s="288" t="s">
        <v>851</v>
      </c>
      <c r="G21" s="288"/>
      <c r="H21" s="288"/>
      <c r="I21" s="288"/>
      <c r="J21" s="288"/>
      <c r="K21" s="288"/>
      <c r="L21" s="288"/>
      <c r="M21" s="288"/>
      <c r="N21" s="288"/>
      <c r="O21" s="288"/>
      <c r="P21" s="288"/>
      <c r="Q21" s="288"/>
      <c r="R21" s="288"/>
      <c r="S21" s="288"/>
      <c r="T21" s="288"/>
      <c r="U21" s="288"/>
      <c r="V21" s="288"/>
      <c r="W21" s="288"/>
      <c r="X21" s="288"/>
      <c r="Y21" s="288"/>
      <c r="Z21" s="288"/>
      <c r="AA21" s="288"/>
      <c r="AB21" s="288"/>
      <c r="AC21" s="288"/>
      <c r="AD21" s="288"/>
      <c r="AE21" s="288"/>
      <c r="AF21" s="288"/>
      <c r="AG21" s="288"/>
      <c r="AH21" s="288"/>
      <c r="AI21" s="289"/>
      <c r="AK21" s="429" t="s">
        <v>626</v>
      </c>
      <c r="AL21" s="430"/>
      <c r="AM21" s="430"/>
      <c r="AN21" s="430"/>
      <c r="AO21" s="430"/>
      <c r="AP21" s="430"/>
      <c r="AQ21" s="63"/>
      <c r="AR21" s="427"/>
      <c r="AW21" s="43"/>
      <c r="AX21" s="43"/>
      <c r="AY21" s="43"/>
      <c r="AZ21" s="43"/>
    </row>
    <row r="22" spans="1:85" ht="18" customHeight="1">
      <c r="A22" s="36"/>
      <c r="B22" s="404"/>
      <c r="C22" s="404"/>
      <c r="D22" s="404"/>
      <c r="E22" s="404"/>
      <c r="F22" s="288" t="s">
        <v>852</v>
      </c>
      <c r="G22" s="288"/>
      <c r="H22" s="288"/>
      <c r="I22" s="288"/>
      <c r="J22" s="288"/>
      <c r="K22" s="288"/>
      <c r="L22" s="288"/>
      <c r="M22" s="288"/>
      <c r="N22" s="288"/>
      <c r="O22" s="288"/>
      <c r="P22" s="288"/>
      <c r="Q22" s="288"/>
      <c r="R22" s="288"/>
      <c r="S22" s="288"/>
      <c r="T22" s="288"/>
      <c r="U22" s="288"/>
      <c r="V22" s="288"/>
      <c r="W22" s="288"/>
      <c r="X22" s="288"/>
      <c r="Y22" s="288"/>
      <c r="Z22" s="288"/>
      <c r="AA22" s="288"/>
      <c r="AB22" s="288"/>
      <c r="AC22" s="288"/>
      <c r="AD22" s="288"/>
      <c r="AE22" s="288"/>
      <c r="AF22" s="288"/>
      <c r="AG22" s="288"/>
      <c r="AH22" s="288"/>
      <c r="AI22" s="289"/>
      <c r="AK22" s="429" t="s">
        <v>627</v>
      </c>
      <c r="AL22" s="430"/>
      <c r="AM22" s="430"/>
      <c r="AN22" s="430"/>
      <c r="AO22" s="430"/>
      <c r="AP22" s="430"/>
      <c r="AQ22" s="63"/>
      <c r="AR22" s="427"/>
      <c r="AS22" s="433" t="s">
        <v>628</v>
      </c>
      <c r="AT22" s="434"/>
      <c r="AU22" s="435"/>
      <c r="AV22" s="435"/>
      <c r="AW22" s="60" t="s">
        <v>74</v>
      </c>
      <c r="AY22" s="413" t="s">
        <v>629</v>
      </c>
      <c r="AZ22" s="413"/>
      <c r="BA22" s="412"/>
      <c r="BB22" s="412"/>
    </row>
    <row r="23" spans="1:85" ht="18" customHeight="1" thickBot="1">
      <c r="A23" s="36" t="s">
        <v>189</v>
      </c>
      <c r="B23" s="404">
        <v>0.89652777777777781</v>
      </c>
      <c r="C23" s="404"/>
      <c r="D23" s="404"/>
      <c r="E23" s="404"/>
      <c r="F23" s="288" t="s">
        <v>853</v>
      </c>
      <c r="G23" s="288"/>
      <c r="H23" s="288"/>
      <c r="I23" s="288"/>
      <c r="J23" s="288"/>
      <c r="K23" s="288"/>
      <c r="L23" s="288"/>
      <c r="M23" s="288"/>
      <c r="N23" s="288"/>
      <c r="O23" s="288"/>
      <c r="P23" s="288"/>
      <c r="Q23" s="288"/>
      <c r="R23" s="288"/>
      <c r="S23" s="288"/>
      <c r="T23" s="288"/>
      <c r="U23" s="288"/>
      <c r="V23" s="288"/>
      <c r="W23" s="288"/>
      <c r="X23" s="288"/>
      <c r="Y23" s="288"/>
      <c r="Z23" s="288"/>
      <c r="AA23" s="288"/>
      <c r="AB23" s="288"/>
      <c r="AC23" s="288"/>
      <c r="AD23" s="288"/>
      <c r="AE23" s="288"/>
      <c r="AF23" s="288"/>
      <c r="AG23" s="288"/>
      <c r="AH23" s="288"/>
      <c r="AI23" s="289"/>
      <c r="AK23" s="431" t="s">
        <v>630</v>
      </c>
      <c r="AL23" s="432"/>
      <c r="AM23" s="432"/>
      <c r="AN23" s="432"/>
      <c r="AO23" s="432"/>
      <c r="AP23" s="432"/>
      <c r="AQ23" s="64"/>
      <c r="AR23" s="428"/>
      <c r="AS23" s="536" t="s">
        <v>631</v>
      </c>
      <c r="AT23" s="246"/>
      <c r="AU23" s="537"/>
      <c r="AV23" s="537"/>
      <c r="AW23" s="56" t="s">
        <v>632</v>
      </c>
      <c r="AY23" s="413" t="s">
        <v>633</v>
      </c>
      <c r="AZ23" s="413"/>
      <c r="BA23" s="412"/>
      <c r="BB23" s="412"/>
    </row>
    <row r="24" spans="1:85" ht="18" customHeight="1" thickBot="1">
      <c r="A24" s="36" t="s">
        <v>189</v>
      </c>
      <c r="B24" s="404">
        <v>0.30416666666666664</v>
      </c>
      <c r="C24" s="404"/>
      <c r="D24" s="404"/>
      <c r="E24" s="404"/>
      <c r="F24" s="288" t="s">
        <v>689</v>
      </c>
      <c r="G24" s="288"/>
      <c r="H24" s="288"/>
      <c r="I24" s="288"/>
      <c r="J24" s="288"/>
      <c r="K24" s="288"/>
      <c r="L24" s="288"/>
      <c r="M24" s="288"/>
      <c r="N24" s="288"/>
      <c r="O24" s="288"/>
      <c r="P24" s="288"/>
      <c r="Q24" s="288"/>
      <c r="R24" s="288"/>
      <c r="S24" s="288"/>
      <c r="T24" s="288"/>
      <c r="U24" s="288"/>
      <c r="V24" s="288"/>
      <c r="W24" s="288"/>
      <c r="X24" s="288"/>
      <c r="Y24" s="288"/>
      <c r="Z24" s="288"/>
      <c r="AA24" s="288"/>
      <c r="AB24" s="288"/>
      <c r="AC24" s="288"/>
      <c r="AD24" s="288"/>
      <c r="AE24" s="288"/>
      <c r="AF24" s="288"/>
      <c r="AG24" s="288"/>
      <c r="AH24" s="288"/>
      <c r="AI24" s="289"/>
      <c r="AK24" s="527" t="s">
        <v>634</v>
      </c>
      <c r="AL24" s="528"/>
      <c r="AM24" s="528"/>
      <c r="AN24" s="528"/>
      <c r="AO24" s="528"/>
      <c r="AP24" s="528"/>
      <c r="AQ24" s="65"/>
      <c r="AR24" s="43"/>
      <c r="AY24" s="413" t="s">
        <v>635</v>
      </c>
      <c r="AZ24" s="413"/>
      <c r="BA24" s="412"/>
      <c r="BB24" s="412"/>
    </row>
    <row r="25" spans="1:85" ht="18" customHeight="1">
      <c r="A25" s="36"/>
      <c r="B25" s="404"/>
      <c r="C25" s="404"/>
      <c r="D25" s="404"/>
      <c r="E25" s="404"/>
      <c r="F25" s="288"/>
      <c r="G25" s="288"/>
      <c r="H25" s="288"/>
      <c r="I25" s="288"/>
      <c r="J25" s="288"/>
      <c r="K25" s="288"/>
      <c r="L25" s="288"/>
      <c r="M25" s="288"/>
      <c r="N25" s="288"/>
      <c r="O25" s="288"/>
      <c r="P25" s="288"/>
      <c r="Q25" s="288"/>
      <c r="R25" s="288"/>
      <c r="S25" s="288"/>
      <c r="T25" s="288"/>
      <c r="U25" s="288"/>
      <c r="V25" s="288"/>
      <c r="W25" s="288"/>
      <c r="X25" s="288"/>
      <c r="Y25" s="288"/>
      <c r="Z25" s="288"/>
      <c r="AA25" s="288"/>
      <c r="AB25" s="288"/>
      <c r="AC25" s="288"/>
      <c r="AD25" s="288"/>
      <c r="AE25" s="288"/>
      <c r="AF25" s="288"/>
      <c r="AG25" s="288"/>
      <c r="AH25" s="288"/>
      <c r="AI25" s="289"/>
      <c r="AK25" s="529" t="s">
        <v>636</v>
      </c>
      <c r="AL25" s="529"/>
      <c r="AM25" s="529"/>
      <c r="AN25" s="529"/>
      <c r="AO25" s="529"/>
      <c r="AP25" s="529"/>
      <c r="AQ25" s="66"/>
      <c r="AR25" s="43"/>
      <c r="AY25" s="413" t="s">
        <v>637</v>
      </c>
      <c r="AZ25" s="413"/>
      <c r="BA25" s="412"/>
      <c r="BB25" s="412"/>
    </row>
    <row r="26" spans="1:85" ht="18" customHeight="1">
      <c r="A26" s="36"/>
      <c r="B26" s="404"/>
      <c r="C26" s="404"/>
      <c r="D26" s="404"/>
      <c r="E26" s="404"/>
      <c r="F26" s="288"/>
      <c r="G26" s="288"/>
      <c r="H26" s="288"/>
      <c r="I26" s="288"/>
      <c r="J26" s="288"/>
      <c r="K26" s="288"/>
      <c r="L26" s="288"/>
      <c r="M26" s="288"/>
      <c r="N26" s="288"/>
      <c r="O26" s="288"/>
      <c r="P26" s="288"/>
      <c r="Q26" s="288"/>
      <c r="R26" s="288"/>
      <c r="S26" s="288"/>
      <c r="T26" s="288"/>
      <c r="U26" s="288"/>
      <c r="V26" s="288"/>
      <c r="W26" s="288"/>
      <c r="X26" s="288"/>
      <c r="Y26" s="288"/>
      <c r="Z26" s="288"/>
      <c r="AA26" s="288"/>
      <c r="AB26" s="288"/>
      <c r="AC26" s="288"/>
      <c r="AD26" s="288"/>
      <c r="AE26" s="288"/>
      <c r="AF26" s="288"/>
      <c r="AG26" s="288"/>
      <c r="AH26" s="288"/>
      <c r="AI26" s="289"/>
      <c r="AK26" s="436" t="s">
        <v>638</v>
      </c>
      <c r="AL26" s="436"/>
      <c r="AM26" s="436"/>
      <c r="AN26" s="436"/>
      <c r="AO26" s="436"/>
      <c r="AP26" s="436"/>
      <c r="AQ26" s="67"/>
      <c r="AR26" s="43"/>
      <c r="AS26" s="548" t="s">
        <v>639</v>
      </c>
      <c r="AT26" s="549"/>
      <c r="AU26" s="549"/>
      <c r="AV26" s="549"/>
      <c r="AW26" s="550"/>
      <c r="AY26" s="147"/>
      <c r="AZ26" s="147"/>
      <c r="BA26" s="147"/>
      <c r="BB26" s="147"/>
    </row>
    <row r="27" spans="1:85" ht="18" customHeight="1">
      <c r="A27" s="36"/>
      <c r="B27" s="404"/>
      <c r="C27" s="404"/>
      <c r="D27" s="404"/>
      <c r="E27" s="404"/>
      <c r="F27" s="288"/>
      <c r="G27" s="288"/>
      <c r="H27" s="288"/>
      <c r="I27" s="288"/>
      <c r="J27" s="288"/>
      <c r="K27" s="288"/>
      <c r="L27" s="288"/>
      <c r="M27" s="288"/>
      <c r="N27" s="288"/>
      <c r="O27" s="288"/>
      <c r="P27" s="288"/>
      <c r="Q27" s="288"/>
      <c r="R27" s="288"/>
      <c r="S27" s="288"/>
      <c r="T27" s="288"/>
      <c r="U27" s="288"/>
      <c r="V27" s="288"/>
      <c r="W27" s="288"/>
      <c r="X27" s="288"/>
      <c r="Y27" s="288"/>
      <c r="Z27" s="288"/>
      <c r="AA27" s="288"/>
      <c r="AB27" s="288"/>
      <c r="AC27" s="288"/>
      <c r="AD27" s="288"/>
      <c r="AE27" s="288"/>
      <c r="AF27" s="288"/>
      <c r="AG27" s="288"/>
      <c r="AH27" s="288"/>
      <c r="AI27" s="289"/>
      <c r="AK27" s="436" t="s">
        <v>640</v>
      </c>
      <c r="AL27" s="436"/>
      <c r="AM27" s="436"/>
      <c r="AN27" s="436"/>
      <c r="AO27" s="436"/>
      <c r="AP27" s="436"/>
      <c r="AQ27" s="67"/>
      <c r="AR27" s="43"/>
      <c r="AS27" s="458" t="s">
        <v>641</v>
      </c>
      <c r="AT27" s="460"/>
      <c r="AU27" s="458" t="s">
        <v>642</v>
      </c>
      <c r="AV27" s="459"/>
      <c r="AW27" s="460"/>
      <c r="AY27" s="411" t="s">
        <v>643</v>
      </c>
      <c r="AZ27" s="411"/>
      <c r="BA27" s="411"/>
      <c r="BB27" s="411"/>
    </row>
    <row r="28" spans="1:85" ht="18" customHeight="1" thickBot="1">
      <c r="A28" s="36"/>
      <c r="B28" s="404"/>
      <c r="C28" s="404"/>
      <c r="D28" s="404"/>
      <c r="E28" s="404"/>
      <c r="F28" s="288"/>
      <c r="G28" s="288"/>
      <c r="H28" s="288"/>
      <c r="I28" s="288"/>
      <c r="J28" s="288"/>
      <c r="K28" s="288"/>
      <c r="L28" s="288"/>
      <c r="M28" s="288"/>
      <c r="N28" s="288"/>
      <c r="O28" s="288"/>
      <c r="P28" s="288"/>
      <c r="Q28" s="288"/>
      <c r="R28" s="288"/>
      <c r="S28" s="288"/>
      <c r="T28" s="288"/>
      <c r="U28" s="288"/>
      <c r="V28" s="288"/>
      <c r="W28" s="288"/>
      <c r="X28" s="288"/>
      <c r="Y28" s="288"/>
      <c r="Z28" s="288"/>
      <c r="AA28" s="288"/>
      <c r="AB28" s="288"/>
      <c r="AC28" s="288"/>
      <c r="AD28" s="288"/>
      <c r="AE28" s="288"/>
      <c r="AF28" s="288"/>
      <c r="AG28" s="288"/>
      <c r="AH28" s="288"/>
      <c r="AI28" s="289"/>
      <c r="AK28" s="436" t="s">
        <v>644</v>
      </c>
      <c r="AL28" s="436"/>
      <c r="AM28" s="436"/>
      <c r="AN28" s="436"/>
      <c r="AO28" s="436"/>
      <c r="AP28" s="436"/>
      <c r="AQ28" s="67"/>
      <c r="AR28" s="43"/>
      <c r="AS28" s="538" t="s">
        <v>645</v>
      </c>
      <c r="AT28" s="539"/>
      <c r="AU28" s="533" t="s">
        <v>646</v>
      </c>
      <c r="AV28" s="534"/>
      <c r="AW28" s="535"/>
      <c r="AY28" s="413" t="s">
        <v>647</v>
      </c>
      <c r="AZ28" s="413"/>
      <c r="BA28" s="412"/>
      <c r="BB28" s="412"/>
    </row>
    <row r="29" spans="1:85" ht="18" customHeight="1" thickBot="1">
      <c r="A29" s="36"/>
      <c r="B29" s="404"/>
      <c r="C29" s="404"/>
      <c r="D29" s="404"/>
      <c r="E29" s="404"/>
      <c r="F29" s="288"/>
      <c r="G29" s="288"/>
      <c r="H29" s="288"/>
      <c r="I29" s="288"/>
      <c r="J29" s="288"/>
      <c r="K29" s="288"/>
      <c r="L29" s="288"/>
      <c r="M29" s="288"/>
      <c r="N29" s="288"/>
      <c r="O29" s="288"/>
      <c r="P29" s="288"/>
      <c r="Q29" s="288"/>
      <c r="R29" s="288"/>
      <c r="S29" s="288"/>
      <c r="T29" s="288"/>
      <c r="U29" s="288"/>
      <c r="V29" s="288"/>
      <c r="W29" s="288"/>
      <c r="X29" s="288"/>
      <c r="Y29" s="288"/>
      <c r="Z29" s="288"/>
      <c r="AA29" s="288"/>
      <c r="AB29" s="288"/>
      <c r="AC29" s="288"/>
      <c r="AD29" s="288"/>
      <c r="AE29" s="288"/>
      <c r="AF29" s="288"/>
      <c r="AG29" s="288"/>
      <c r="AH29" s="288"/>
      <c r="AI29" s="289"/>
      <c r="AK29" s="524"/>
      <c r="AL29" s="524"/>
      <c r="AM29" s="524"/>
      <c r="AN29" s="524"/>
      <c r="AO29" s="524"/>
      <c r="AP29" s="524"/>
      <c r="AQ29" s="58"/>
      <c r="AR29" s="43"/>
      <c r="AS29" s="551"/>
      <c r="AT29" s="552"/>
      <c r="AU29" s="434"/>
      <c r="AV29" s="434"/>
      <c r="AW29" s="553"/>
      <c r="AY29" s="413" t="s">
        <v>633</v>
      </c>
      <c r="AZ29" s="413"/>
      <c r="BA29" s="412"/>
      <c r="BB29" s="412"/>
    </row>
    <row r="30" spans="1:85" ht="18" customHeight="1">
      <c r="A30" s="36"/>
      <c r="B30" s="404"/>
      <c r="C30" s="404"/>
      <c r="D30" s="404"/>
      <c r="E30" s="404"/>
      <c r="F30" s="288"/>
      <c r="G30" s="288"/>
      <c r="H30" s="288"/>
      <c r="I30" s="288"/>
      <c r="J30" s="288"/>
      <c r="K30" s="288"/>
      <c r="L30" s="288"/>
      <c r="M30" s="288"/>
      <c r="N30" s="288"/>
      <c r="O30" s="288"/>
      <c r="P30" s="288"/>
      <c r="Q30" s="288"/>
      <c r="R30" s="288"/>
      <c r="S30" s="288"/>
      <c r="T30" s="288"/>
      <c r="U30" s="288"/>
      <c r="V30" s="288"/>
      <c r="W30" s="288"/>
      <c r="X30" s="288"/>
      <c r="Y30" s="288"/>
      <c r="Z30" s="288"/>
      <c r="AA30" s="288"/>
      <c r="AB30" s="288"/>
      <c r="AC30" s="288"/>
      <c r="AD30" s="288"/>
      <c r="AE30" s="288"/>
      <c r="AF30" s="288"/>
      <c r="AG30" s="288"/>
      <c r="AH30" s="288"/>
      <c r="AI30" s="289"/>
      <c r="AK30" s="449" t="s">
        <v>648</v>
      </c>
      <c r="AL30" s="450"/>
      <c r="AM30" s="450"/>
      <c r="AN30" s="450"/>
      <c r="AO30" s="450"/>
      <c r="AP30" s="450"/>
      <c r="AQ30" s="62"/>
      <c r="AR30" s="43"/>
      <c r="AS30" s="554"/>
      <c r="AT30" s="532"/>
      <c r="AU30" s="439"/>
      <c r="AV30" s="439"/>
      <c r="AW30" s="555"/>
      <c r="AY30" s="413" t="s">
        <v>649</v>
      </c>
      <c r="AZ30" s="413"/>
      <c r="BA30" s="412"/>
      <c r="BB30" s="412"/>
    </row>
    <row r="31" spans="1:85" ht="18" customHeight="1" thickBot="1">
      <c r="A31" s="37"/>
      <c r="B31" s="466"/>
      <c r="C31" s="466"/>
      <c r="D31" s="466"/>
      <c r="E31" s="466"/>
      <c r="F31" s="467"/>
      <c r="G31" s="467"/>
      <c r="H31" s="467"/>
      <c r="I31" s="467"/>
      <c r="J31" s="467"/>
      <c r="K31" s="467"/>
      <c r="L31" s="467"/>
      <c r="M31" s="467"/>
      <c r="N31" s="467"/>
      <c r="O31" s="467"/>
      <c r="P31" s="467"/>
      <c r="Q31" s="467"/>
      <c r="R31" s="467"/>
      <c r="S31" s="467"/>
      <c r="T31" s="467"/>
      <c r="U31" s="467"/>
      <c r="V31" s="467"/>
      <c r="W31" s="467"/>
      <c r="X31" s="467"/>
      <c r="Y31" s="467"/>
      <c r="Z31" s="467"/>
      <c r="AA31" s="467"/>
      <c r="AB31" s="467"/>
      <c r="AC31" s="467"/>
      <c r="AD31" s="467"/>
      <c r="AE31" s="467"/>
      <c r="AF31" s="467"/>
      <c r="AG31" s="467"/>
      <c r="AH31" s="467"/>
      <c r="AI31" s="468"/>
      <c r="AK31" s="451" t="s">
        <v>650</v>
      </c>
      <c r="AL31" s="416"/>
      <c r="AM31" s="416"/>
      <c r="AN31" s="416"/>
      <c r="AO31" s="416"/>
      <c r="AP31" s="416"/>
      <c r="AQ31" s="64"/>
      <c r="AR31" s="48"/>
      <c r="AS31" s="556"/>
      <c r="AT31" s="557"/>
      <c r="AU31" s="424"/>
      <c r="AV31" s="424"/>
      <c r="AW31" s="491"/>
      <c r="AY31" s="413" t="s">
        <v>637</v>
      </c>
      <c r="AZ31" s="413"/>
      <c r="BA31" s="412"/>
      <c r="BB31" s="412"/>
    </row>
    <row r="32" spans="1:85" ht="18" customHeight="1" thickBot="1">
      <c r="A32" s="406" t="s">
        <v>651</v>
      </c>
      <c r="B32" s="407"/>
      <c r="C32" s="407"/>
      <c r="D32" s="407"/>
      <c r="E32" s="407"/>
      <c r="F32" s="407"/>
      <c r="G32" s="407"/>
      <c r="H32" s="407"/>
      <c r="I32" s="407"/>
      <c r="J32" s="407"/>
      <c r="K32" s="407"/>
      <c r="L32" s="407"/>
      <c r="M32" s="407"/>
      <c r="N32" s="407"/>
      <c r="O32" s="407"/>
      <c r="P32" s="407"/>
      <c r="Q32" s="407"/>
      <c r="R32" s="407"/>
      <c r="S32" s="407"/>
      <c r="T32" s="407"/>
      <c r="U32" s="407"/>
      <c r="V32" s="407"/>
      <c r="W32" s="407"/>
      <c r="X32" s="407"/>
      <c r="Y32" s="407"/>
      <c r="Z32" s="407"/>
      <c r="AA32" s="407"/>
      <c r="AB32" s="407"/>
      <c r="AC32" s="407"/>
      <c r="AD32" s="407"/>
      <c r="AE32" s="407"/>
      <c r="AF32" s="407"/>
      <c r="AG32" s="407"/>
      <c r="AH32" s="407"/>
      <c r="AI32" s="408"/>
      <c r="AK32" s="531"/>
      <c r="AL32" s="531"/>
      <c r="AM32" s="531"/>
      <c r="AN32" s="531"/>
      <c r="AO32" s="531"/>
      <c r="AP32" s="531"/>
      <c r="AQ32" s="61"/>
      <c r="AR32" s="48"/>
      <c r="AS32" s="558"/>
      <c r="AT32" s="558"/>
      <c r="AU32" s="559"/>
      <c r="AV32" s="559"/>
      <c r="AW32" s="559"/>
      <c r="AY32" s="413" t="s">
        <v>652</v>
      </c>
      <c r="AZ32" s="413"/>
      <c r="BA32" s="412"/>
      <c r="BB32" s="412"/>
    </row>
    <row r="33" spans="1:80" ht="18" customHeight="1">
      <c r="A33" s="39"/>
      <c r="B33" s="546" t="s">
        <v>653</v>
      </c>
      <c r="C33" s="546"/>
      <c r="D33" s="546"/>
      <c r="E33" s="546"/>
      <c r="F33" s="417" t="str" cm="1">
        <f t="array" ref="F33">_xlfn.TEXTJOIN("/",TRUE,IF(AS29:AS31&lt;&gt;"",TEXT(AS29:AS31,"h:mm")&amp;" "&amp;AU29:AU31,""))</f>
        <v/>
      </c>
      <c r="G33" s="418"/>
      <c r="H33" s="418"/>
      <c r="I33" s="418"/>
      <c r="J33" s="418"/>
      <c r="K33" s="418"/>
      <c r="L33" s="418"/>
      <c r="M33" s="418"/>
      <c r="N33" s="418"/>
      <c r="O33" s="418"/>
      <c r="P33" s="418"/>
      <c r="Q33" s="418"/>
      <c r="R33" s="418"/>
      <c r="S33" s="418"/>
      <c r="T33" s="418"/>
      <c r="U33" s="418"/>
      <c r="V33" s="418"/>
      <c r="W33" s="418"/>
      <c r="X33" s="418"/>
      <c r="Y33" s="418"/>
      <c r="Z33" s="418"/>
      <c r="AA33" s="418"/>
      <c r="AB33" s="418"/>
      <c r="AC33" s="418"/>
      <c r="AD33" s="418"/>
      <c r="AE33" s="418"/>
      <c r="AF33" s="418"/>
      <c r="AG33" s="418"/>
      <c r="AH33" s="418"/>
      <c r="AI33" s="419"/>
      <c r="AK33" s="449" t="s">
        <v>654</v>
      </c>
      <c r="AL33" s="450"/>
      <c r="AM33" s="450"/>
      <c r="AN33" s="450"/>
      <c r="AO33" s="450"/>
      <c r="AP33" s="450"/>
      <c r="AQ33" s="60"/>
      <c r="AR33" s="48"/>
      <c r="AS33" s="532"/>
      <c r="AT33" s="532"/>
      <c r="AU33" s="439"/>
      <c r="AV33" s="439"/>
      <c r="AW33" s="439"/>
      <c r="AY33" s="413" t="s">
        <v>655</v>
      </c>
      <c r="AZ33" s="413"/>
      <c r="BA33" s="412"/>
      <c r="BB33" s="412"/>
    </row>
    <row r="34" spans="1:80" ht="18" customHeight="1" thickBot="1">
      <c r="A34" s="39"/>
      <c r="B34" s="546" t="s">
        <v>656</v>
      </c>
      <c r="C34" s="546"/>
      <c r="D34" s="546"/>
      <c r="E34" s="546"/>
      <c r="F34" s="420" t="s">
        <v>79</v>
      </c>
      <c r="G34" s="420"/>
      <c r="H34" s="420"/>
      <c r="I34" s="420"/>
      <c r="J34" s="420"/>
      <c r="K34" s="420"/>
      <c r="L34" s="420"/>
      <c r="M34" s="420"/>
      <c r="N34" s="420"/>
      <c r="O34" s="420"/>
      <c r="P34" s="420"/>
      <c r="Q34" s="420"/>
      <c r="R34" s="420"/>
      <c r="S34" s="420"/>
      <c r="T34" s="420"/>
      <c r="U34" s="420"/>
      <c r="V34" s="420"/>
      <c r="W34" s="420"/>
      <c r="X34" s="420"/>
      <c r="Y34" s="420"/>
      <c r="Z34" s="420"/>
      <c r="AA34" s="420"/>
      <c r="AB34" s="420"/>
      <c r="AC34" s="421"/>
      <c r="AD34" s="421"/>
      <c r="AE34" s="421"/>
      <c r="AF34" s="421"/>
      <c r="AG34" s="421"/>
      <c r="AH34" s="421"/>
      <c r="AI34" s="422"/>
      <c r="AK34" s="451" t="s">
        <v>657</v>
      </c>
      <c r="AL34" s="416"/>
      <c r="AM34" s="416"/>
      <c r="AN34" s="416"/>
      <c r="AO34" s="416"/>
      <c r="AP34" s="416"/>
      <c r="AQ34" s="56"/>
      <c r="AR34" s="48"/>
      <c r="AS34" s="532"/>
      <c r="AT34" s="532"/>
      <c r="AU34" s="439"/>
      <c r="AV34" s="439"/>
      <c r="AW34" s="439"/>
      <c r="AY34" s="413" t="s">
        <v>658</v>
      </c>
      <c r="AZ34" s="413"/>
      <c r="BA34" s="412"/>
      <c r="BB34" s="412"/>
    </row>
    <row r="35" spans="1:80" ht="18" customHeight="1" thickBot="1">
      <c r="A35" s="57"/>
      <c r="B35" s="547" t="s">
        <v>659</v>
      </c>
      <c r="C35" s="547"/>
      <c r="D35" s="547"/>
      <c r="E35" s="547"/>
      <c r="F35" s="389" t="s">
        <v>660</v>
      </c>
      <c r="G35" s="389"/>
      <c r="H35" s="389"/>
      <c r="I35" s="389"/>
      <c r="J35" s="389"/>
      <c r="K35" s="389"/>
      <c r="L35" s="389"/>
      <c r="M35" s="389"/>
      <c r="N35" s="389"/>
      <c r="O35" s="389"/>
      <c r="P35" s="389"/>
      <c r="Q35" s="389"/>
      <c r="R35" s="389"/>
      <c r="S35" s="389"/>
      <c r="T35" s="389"/>
      <c r="U35" s="389"/>
      <c r="V35" s="389"/>
      <c r="W35" s="390" t="s">
        <v>661</v>
      </c>
      <c r="X35" s="391"/>
      <c r="Y35" s="391"/>
      <c r="Z35" s="391"/>
      <c r="AA35" s="391"/>
      <c r="AB35" s="391"/>
      <c r="AC35" s="392" t="s">
        <v>662</v>
      </c>
      <c r="AD35" s="393"/>
      <c r="AE35" s="393"/>
      <c r="AF35" s="393"/>
      <c r="AG35" s="393"/>
      <c r="AH35" s="393"/>
      <c r="AI35" s="394"/>
      <c r="AK35" s="531"/>
      <c r="AL35" s="531"/>
      <c r="AM35" s="531"/>
      <c r="AN35" s="531"/>
      <c r="AO35" s="531"/>
      <c r="AP35" s="531"/>
      <c r="AQ35" s="61"/>
      <c r="AR35" s="48"/>
      <c r="AS35" s="532"/>
      <c r="AT35" s="532"/>
      <c r="AU35" s="439"/>
      <c r="AV35" s="439"/>
      <c r="AW35" s="439"/>
      <c r="AY35" s="413" t="s">
        <v>663</v>
      </c>
      <c r="AZ35" s="413"/>
      <c r="BA35" s="412"/>
      <c r="BB35" s="412"/>
    </row>
    <row r="36" spans="1:80" ht="18" customHeight="1" thickBot="1">
      <c r="A36" s="492" t="s">
        <v>664</v>
      </c>
      <c r="B36" s="493"/>
      <c r="C36" s="493"/>
      <c r="D36" s="493"/>
      <c r="E36" s="493"/>
      <c r="F36" s="498">
        <v>4.1666666666666664E-2</v>
      </c>
      <c r="G36" s="439"/>
      <c r="H36" s="439"/>
      <c r="I36" s="439"/>
      <c r="J36" s="439"/>
      <c r="K36" s="439"/>
      <c r="L36" s="499" t="s">
        <v>665</v>
      </c>
      <c r="M36" s="489"/>
      <c r="N36" s="489"/>
      <c r="O36" s="500"/>
      <c r="P36" s="410" t="s">
        <v>68</v>
      </c>
      <c r="Q36" s="410"/>
      <c r="R36" s="410"/>
      <c r="S36" s="55" t="s">
        <v>666</v>
      </c>
      <c r="T36" s="410" t="s">
        <v>43</v>
      </c>
      <c r="U36" s="410"/>
      <c r="V36" s="530"/>
      <c r="W36" s="489" t="s">
        <v>667</v>
      </c>
      <c r="X36" s="489"/>
      <c r="Y36" s="489"/>
      <c r="Z36" s="489"/>
      <c r="AA36" s="489"/>
      <c r="AB36" s="489"/>
      <c r="AC36" s="490" t="s">
        <v>722</v>
      </c>
      <c r="AD36" s="487"/>
      <c r="AE36" s="487"/>
      <c r="AF36" s="487"/>
      <c r="AG36" s="487"/>
      <c r="AH36" s="487"/>
      <c r="AI36" s="488"/>
      <c r="AK36" s="525" t="s">
        <v>668</v>
      </c>
      <c r="AL36" s="526"/>
      <c r="AM36" s="526"/>
      <c r="AN36" s="526"/>
      <c r="AO36" s="526"/>
      <c r="AP36" s="526"/>
      <c r="AQ36" s="117"/>
      <c r="AR36" s="48"/>
      <c r="AS36" s="532"/>
      <c r="AT36" s="532"/>
      <c r="AU36" s="439"/>
      <c r="AV36" s="439"/>
      <c r="AW36" s="439"/>
      <c r="BH36" s="50"/>
      <c r="BI36" s="51"/>
    </row>
    <row r="37" spans="1:80" ht="18" customHeight="1" thickBot="1">
      <c r="A37" s="494" t="s">
        <v>669</v>
      </c>
      <c r="B37" s="495"/>
      <c r="C37" s="495"/>
      <c r="D37" s="495"/>
      <c r="E37" s="495"/>
      <c r="F37" s="487"/>
      <c r="G37" s="487"/>
      <c r="H37" s="487"/>
      <c r="I37" s="487"/>
      <c r="J37" s="487"/>
      <c r="K37" s="487"/>
      <c r="L37" s="487"/>
      <c r="M37" s="487"/>
      <c r="N37" s="487"/>
      <c r="O37" s="487"/>
      <c r="P37" s="487"/>
      <c r="Q37" s="487"/>
      <c r="R37" s="487"/>
      <c r="S37" s="487"/>
      <c r="T37" s="487"/>
      <c r="U37" s="487"/>
      <c r="V37" s="487"/>
      <c r="W37" s="487"/>
      <c r="X37" s="487"/>
      <c r="Y37" s="487"/>
      <c r="Z37" s="487"/>
      <c r="AA37" s="487"/>
      <c r="AB37" s="487"/>
      <c r="AC37" s="487"/>
      <c r="AD37" s="487"/>
      <c r="AE37" s="487"/>
      <c r="AF37" s="487"/>
      <c r="AG37" s="487"/>
      <c r="AH37" s="487"/>
      <c r="AI37" s="488"/>
      <c r="AK37" s="544" t="s">
        <v>240</v>
      </c>
      <c r="AL37" s="545"/>
      <c r="AM37" s="545"/>
      <c r="AN37" s="545"/>
      <c r="AO37" s="545"/>
      <c r="AP37" s="545"/>
      <c r="AQ37" s="122"/>
      <c r="AR37" s="48"/>
      <c r="AS37" s="532"/>
      <c r="AT37" s="532"/>
      <c r="AU37" s="439"/>
      <c r="AV37" s="439"/>
      <c r="AW37" s="439"/>
      <c r="BH37" s="50"/>
      <c r="BI37" s="51"/>
    </row>
    <row r="38" spans="1:80" ht="18" customHeight="1" thickBot="1">
      <c r="A38" s="496" t="s">
        <v>670</v>
      </c>
      <c r="B38" s="497"/>
      <c r="C38" s="497"/>
      <c r="D38" s="497"/>
      <c r="E38" s="497"/>
      <c r="F38" s="416" t="s">
        <v>667</v>
      </c>
      <c r="G38" s="416"/>
      <c r="H38" s="416"/>
      <c r="I38" s="416"/>
      <c r="J38" s="416"/>
      <c r="K38" s="416"/>
      <c r="L38" s="424" t="s">
        <v>722</v>
      </c>
      <c r="M38" s="424"/>
      <c r="N38" s="424"/>
      <c r="O38" s="424"/>
      <c r="P38" s="416" t="s">
        <v>671</v>
      </c>
      <c r="Q38" s="416"/>
      <c r="R38" s="416"/>
      <c r="S38" s="416"/>
      <c r="T38" s="416"/>
      <c r="U38" s="416"/>
      <c r="V38" s="416"/>
      <c r="W38" s="416" t="s">
        <v>667</v>
      </c>
      <c r="X38" s="416"/>
      <c r="Y38" s="416"/>
      <c r="Z38" s="416"/>
      <c r="AA38" s="416"/>
      <c r="AB38" s="416"/>
      <c r="AC38" s="424" t="s">
        <v>722</v>
      </c>
      <c r="AD38" s="424"/>
      <c r="AE38" s="424"/>
      <c r="AF38" s="424"/>
      <c r="AG38" s="424"/>
      <c r="AH38" s="424"/>
      <c r="AI38" s="491"/>
      <c r="AK38" s="543"/>
      <c r="AL38" s="543"/>
      <c r="AM38" s="543"/>
      <c r="AN38" s="543"/>
      <c r="AO38" s="543"/>
      <c r="AP38" s="543"/>
      <c r="AQ38" s="59"/>
      <c r="AR38" s="48"/>
      <c r="BC38" s="50"/>
      <c r="BD38" s="51"/>
    </row>
    <row r="39" spans="1:80" ht="18" customHeight="1">
      <c r="A39" s="452" t="s">
        <v>672</v>
      </c>
      <c r="B39" s="453"/>
      <c r="C39" s="453"/>
      <c r="D39" s="453"/>
      <c r="E39" s="453"/>
      <c r="F39" s="453"/>
      <c r="G39" s="453"/>
      <c r="H39" s="453"/>
      <c r="I39" s="453"/>
      <c r="J39" s="453"/>
      <c r="K39" s="453"/>
      <c r="L39" s="453"/>
      <c r="M39" s="453"/>
      <c r="N39" s="453"/>
      <c r="O39" s="453"/>
      <c r="P39" s="453"/>
      <c r="Q39" s="453"/>
      <c r="R39" s="453"/>
      <c r="S39" s="453"/>
      <c r="T39" s="453"/>
      <c r="U39" s="453"/>
      <c r="V39" s="453"/>
      <c r="W39" s="453"/>
      <c r="X39" s="453"/>
      <c r="Y39" s="453"/>
      <c r="Z39" s="453"/>
      <c r="AA39" s="453"/>
      <c r="AB39" s="453"/>
      <c r="AC39" s="453"/>
      <c r="AD39" s="453"/>
      <c r="AE39" s="453"/>
      <c r="AF39" s="453"/>
      <c r="AG39" s="453"/>
      <c r="AH39" s="453"/>
      <c r="AI39" s="454"/>
      <c r="AK39" s="444" t="s">
        <v>673</v>
      </c>
      <c r="AL39" s="444"/>
      <c r="AM39" s="444"/>
      <c r="AN39" s="444"/>
      <c r="AO39" s="444"/>
      <c r="AP39" s="444"/>
      <c r="AQ39" s="42">
        <v>1</v>
      </c>
      <c r="AR39" s="48"/>
      <c r="AS39" s="423" t="s">
        <v>526</v>
      </c>
      <c r="AT39" s="423"/>
      <c r="AU39" s="148">
        <v>32</v>
      </c>
      <c r="AV39" s="423" t="s">
        <v>528</v>
      </c>
      <c r="AW39" s="423"/>
      <c r="BC39" s="50"/>
      <c r="BD39" s="51"/>
    </row>
    <row r="40" spans="1:80" ht="18" customHeight="1">
      <c r="A40" s="464" t="s">
        <v>674</v>
      </c>
      <c r="B40" s="459"/>
      <c r="C40" s="459"/>
      <c r="D40" s="459"/>
      <c r="E40" s="470" t="s">
        <v>675</v>
      </c>
      <c r="F40" s="471"/>
      <c r="G40" s="471"/>
      <c r="H40" s="471"/>
      <c r="I40" s="471"/>
      <c r="J40" s="471"/>
      <c r="K40" s="472"/>
      <c r="L40" s="458" t="s">
        <v>676</v>
      </c>
      <c r="M40" s="459"/>
      <c r="N40" s="459"/>
      <c r="O40" s="459"/>
      <c r="P40" s="459"/>
      <c r="Q40" s="459"/>
      <c r="R40" s="460"/>
      <c r="S40" s="458" t="s">
        <v>677</v>
      </c>
      <c r="T40" s="459"/>
      <c r="U40" s="459"/>
      <c r="V40" s="459"/>
      <c r="W40" s="470" t="s">
        <v>675</v>
      </c>
      <c r="X40" s="471"/>
      <c r="Y40" s="471"/>
      <c r="Z40" s="471"/>
      <c r="AA40" s="471"/>
      <c r="AB40" s="471"/>
      <c r="AC40" s="472"/>
      <c r="AD40" s="458" t="s">
        <v>678</v>
      </c>
      <c r="AE40" s="459"/>
      <c r="AF40" s="459"/>
      <c r="AG40" s="459"/>
      <c r="AH40" s="459"/>
      <c r="AI40" s="463"/>
      <c r="AK40" s="444" t="s">
        <v>679</v>
      </c>
      <c r="AL40" s="444"/>
      <c r="AM40" s="444"/>
      <c r="AN40" s="444"/>
      <c r="AO40" s="444"/>
      <c r="AP40" s="444"/>
      <c r="AQ40" s="42"/>
      <c r="AR40" s="48"/>
      <c r="AS40" s="423" t="s">
        <v>527</v>
      </c>
      <c r="AT40" s="423"/>
      <c r="AU40" s="148">
        <v>33</v>
      </c>
      <c r="AV40" s="560">
        <v>0.81630000000000003</v>
      </c>
      <c r="AW40" s="560"/>
      <c r="BC40" s="50"/>
      <c r="BD40" s="51"/>
    </row>
    <row r="41" spans="1:80" ht="18" customHeight="1">
      <c r="A41" s="464" t="s">
        <v>16</v>
      </c>
      <c r="B41" s="459"/>
      <c r="C41" s="459"/>
      <c r="D41" s="459"/>
      <c r="E41" s="469">
        <f>AX10</f>
        <v>0.33333333333333331</v>
      </c>
      <c r="F41" s="456"/>
      <c r="G41" s="456"/>
      <c r="H41" s="144" t="s">
        <v>680</v>
      </c>
      <c r="I41" s="456">
        <f>AY10</f>
        <v>0.83333333333333337</v>
      </c>
      <c r="J41" s="456"/>
      <c r="K41" s="457"/>
      <c r="L41" s="458" t="str">
        <f>AU10</f>
        <v>藤井隆幸</v>
      </c>
      <c r="M41" s="459"/>
      <c r="N41" s="459"/>
      <c r="O41" s="459"/>
      <c r="P41" s="459"/>
      <c r="Q41" s="459"/>
      <c r="R41" s="460"/>
      <c r="S41" s="409"/>
      <c r="T41" s="410"/>
      <c r="U41" s="410"/>
      <c r="V41" s="410"/>
      <c r="W41" s="414"/>
      <c r="X41" s="415"/>
      <c r="Y41" s="415"/>
      <c r="Z41" s="40"/>
      <c r="AA41" s="415"/>
      <c r="AB41" s="415"/>
      <c r="AC41" s="461"/>
      <c r="AD41" s="409"/>
      <c r="AE41" s="410"/>
      <c r="AF41" s="410"/>
      <c r="AG41" s="410"/>
      <c r="AH41" s="410"/>
      <c r="AI41" s="462"/>
      <c r="AK41" s="444" t="s">
        <v>681</v>
      </c>
      <c r="AL41" s="444"/>
      <c r="AM41" s="444"/>
      <c r="AN41" s="444"/>
      <c r="AO41" s="444"/>
      <c r="AP41" s="444"/>
      <c r="AQ41" s="42"/>
      <c r="AR41" s="48"/>
      <c r="BC41" s="50"/>
      <c r="BD41" s="51"/>
    </row>
    <row r="42" spans="1:80" ht="18" customHeight="1">
      <c r="A42" s="464" t="s">
        <v>24</v>
      </c>
      <c r="B42" s="459"/>
      <c r="C42" s="459"/>
      <c r="D42" s="459"/>
      <c r="E42" s="469">
        <f>AX13</f>
        <v>0.33333333333333331</v>
      </c>
      <c r="F42" s="456"/>
      <c r="G42" s="456"/>
      <c r="H42" s="144" t="s">
        <v>680</v>
      </c>
      <c r="I42" s="456">
        <f>AY12</f>
        <v>0.83333333333333337</v>
      </c>
      <c r="J42" s="456"/>
      <c r="K42" s="457"/>
      <c r="L42" s="458" t="str">
        <f>AU13</f>
        <v>木村重明</v>
      </c>
      <c r="M42" s="459"/>
      <c r="N42" s="459"/>
      <c r="O42" s="459"/>
      <c r="P42" s="459"/>
      <c r="Q42" s="459"/>
      <c r="R42" s="460"/>
      <c r="S42" s="409"/>
      <c r="T42" s="410"/>
      <c r="U42" s="410"/>
      <c r="V42" s="410"/>
      <c r="W42" s="414"/>
      <c r="X42" s="415"/>
      <c r="Y42" s="415"/>
      <c r="Z42" s="136"/>
      <c r="AA42" s="415"/>
      <c r="AB42" s="415"/>
      <c r="AC42" s="461"/>
      <c r="AD42" s="409">
        <f>AU15</f>
        <v>0</v>
      </c>
      <c r="AE42" s="410"/>
      <c r="AF42" s="410"/>
      <c r="AG42" s="410"/>
      <c r="AH42" s="410"/>
      <c r="AI42" s="462"/>
      <c r="AK42" s="445" t="s">
        <v>682</v>
      </c>
      <c r="AL42" s="445"/>
      <c r="AM42" s="445"/>
      <c r="AN42" s="445"/>
      <c r="AO42" s="445"/>
      <c r="AP42" s="445"/>
      <c r="AQ42" s="42"/>
      <c r="AR42" s="48"/>
      <c r="AS42" s="561" t="s">
        <v>683</v>
      </c>
      <c r="AT42" s="561"/>
      <c r="AU42" s="561"/>
      <c r="AV42" s="561"/>
      <c r="AW42" s="561"/>
      <c r="BC42" s="50"/>
      <c r="BD42" s="51"/>
    </row>
    <row r="43" spans="1:80" ht="18" customHeight="1">
      <c r="A43" s="464" t="s">
        <v>38</v>
      </c>
      <c r="B43" s="459"/>
      <c r="C43" s="459"/>
      <c r="D43" s="459"/>
      <c r="E43" s="469">
        <f>AX16</f>
        <v>0.83333333333333337</v>
      </c>
      <c r="F43" s="456"/>
      <c r="G43" s="456"/>
      <c r="H43" s="144" t="s">
        <v>680</v>
      </c>
      <c r="I43" s="456" t="str">
        <f>AY16</f>
        <v>翌8:00</v>
      </c>
      <c r="J43" s="456"/>
      <c r="K43" s="457"/>
      <c r="L43" s="458" t="str">
        <f>AU16</f>
        <v>石井忠志</v>
      </c>
      <c r="M43" s="459"/>
      <c r="N43" s="459"/>
      <c r="O43" s="459"/>
      <c r="P43" s="459"/>
      <c r="Q43" s="459"/>
      <c r="R43" s="460"/>
      <c r="S43" s="409"/>
      <c r="T43" s="410"/>
      <c r="U43" s="410"/>
      <c r="V43" s="410"/>
      <c r="W43" s="414"/>
      <c r="X43" s="415"/>
      <c r="Y43" s="415"/>
      <c r="Z43" s="136"/>
      <c r="AA43" s="415"/>
      <c r="AB43" s="415"/>
      <c r="AC43" s="461"/>
      <c r="AD43" s="486">
        <f>AU18</f>
        <v>0</v>
      </c>
      <c r="AE43" s="410"/>
      <c r="AF43" s="410"/>
      <c r="AG43" s="410"/>
      <c r="AH43" s="410"/>
      <c r="AI43" s="462"/>
      <c r="AK43" s="444" t="s">
        <v>684</v>
      </c>
      <c r="AL43" s="444"/>
      <c r="AM43" s="444"/>
      <c r="AN43" s="444"/>
      <c r="AO43" s="444"/>
      <c r="AP43" s="444"/>
      <c r="AQ43" s="42"/>
      <c r="AR43" s="43"/>
      <c r="AW43"/>
      <c r="AX43"/>
      <c r="AY43"/>
      <c r="AZ43"/>
      <c r="BA43"/>
      <c r="BB43"/>
      <c r="BC43" s="50"/>
      <c r="BD43" s="51"/>
      <c r="BE43"/>
      <c r="BF43"/>
      <c r="BG43"/>
      <c r="BH43"/>
      <c r="BI43"/>
      <c r="BJ43"/>
      <c r="BK43"/>
      <c r="BL43"/>
      <c r="BM43"/>
      <c r="BN43"/>
      <c r="BO43"/>
      <c r="BP43"/>
      <c r="BQ43"/>
      <c r="BR43"/>
      <c r="BS43"/>
      <c r="BT43"/>
      <c r="BU43"/>
      <c r="BV43"/>
      <c r="BW43"/>
      <c r="BX43"/>
      <c r="BY43"/>
      <c r="BZ43"/>
      <c r="CA43"/>
      <c r="CB43"/>
    </row>
    <row r="44" spans="1:80" ht="18" customHeight="1" thickBot="1">
      <c r="A44" s="473" t="s">
        <v>45</v>
      </c>
      <c r="B44" s="474"/>
      <c r="C44" s="474"/>
      <c r="D44" s="474"/>
      <c r="E44" s="475">
        <f>AX17</f>
        <v>0.83333333333333337</v>
      </c>
      <c r="F44" s="476"/>
      <c r="G44" s="476"/>
      <c r="H44" s="145" t="s">
        <v>680</v>
      </c>
      <c r="I44" s="476" t="str">
        <f>AY17</f>
        <v>翌8:00</v>
      </c>
      <c r="J44" s="476"/>
      <c r="K44" s="477"/>
      <c r="L44" s="478" t="str">
        <f>AU17</f>
        <v>山本喜久</v>
      </c>
      <c r="M44" s="478"/>
      <c r="N44" s="478"/>
      <c r="O44" s="478"/>
      <c r="P44" s="478"/>
      <c r="Q44" s="478"/>
      <c r="R44" s="478"/>
      <c r="S44" s="479"/>
      <c r="T44" s="480"/>
      <c r="U44" s="480"/>
      <c r="V44" s="480"/>
      <c r="W44" s="481"/>
      <c r="X44" s="482"/>
      <c r="Y44" s="482"/>
      <c r="Z44" s="137"/>
      <c r="AA44" s="482"/>
      <c r="AB44" s="482"/>
      <c r="AC44" s="483"/>
      <c r="AD44" s="484">
        <f>AU19</f>
        <v>0</v>
      </c>
      <c r="AE44" s="480"/>
      <c r="AF44" s="480"/>
      <c r="AG44" s="480"/>
      <c r="AH44" s="480"/>
      <c r="AI44" s="485"/>
      <c r="AK44" s="446" t="s">
        <v>685</v>
      </c>
      <c r="AL44" s="446"/>
      <c r="AM44" s="446"/>
      <c r="AN44" s="446"/>
      <c r="AO44" s="446"/>
      <c r="AP44" s="446"/>
      <c r="AQ44" s="42"/>
      <c r="AR44" s="43"/>
      <c r="BC44" s="50"/>
      <c r="BD44" s="51"/>
    </row>
    <row r="45" spans="1:80" ht="18" customHeight="1" thickBot="1">
      <c r="A45" s="27"/>
      <c r="B45" s="27"/>
      <c r="C45" s="27"/>
      <c r="D45" s="27"/>
      <c r="E45" s="27"/>
      <c r="F45" s="27"/>
      <c r="G45" s="27"/>
      <c r="H45" s="27"/>
      <c r="I45" s="27"/>
      <c r="R45" s="307">
        <f>A7</f>
        <v>46189</v>
      </c>
      <c r="S45" s="308"/>
      <c r="T45" s="308"/>
      <c r="U45" s="308"/>
      <c r="V45" s="23" t="s">
        <v>169</v>
      </c>
      <c r="W45" s="309">
        <f>G7</f>
        <v>46189</v>
      </c>
      <c r="X45" s="308"/>
      <c r="Y45" s="23" t="s">
        <v>170</v>
      </c>
      <c r="Z45" s="310">
        <f>K7</f>
        <v>46189</v>
      </c>
      <c r="AA45" s="308"/>
      <c r="AB45" s="23" t="s">
        <v>3</v>
      </c>
      <c r="AC45" s="455">
        <f>O7</f>
        <v>46189</v>
      </c>
      <c r="AD45" s="308"/>
      <c r="AE45" s="308" t="s">
        <v>292</v>
      </c>
      <c r="AF45" s="308"/>
      <c r="AK45" s="425" t="s">
        <v>686</v>
      </c>
      <c r="AL45" s="425"/>
      <c r="AM45" s="425"/>
      <c r="AN45" s="425"/>
      <c r="AO45" s="425"/>
      <c r="AP45" s="425"/>
      <c r="AQ45" s="42"/>
      <c r="AR45" s="43"/>
      <c r="BC45" s="50"/>
      <c r="BD45" s="51"/>
    </row>
    <row r="46" spans="1:80" customFormat="1" ht="18" customHeight="1">
      <c r="A46" s="452" t="s">
        <v>598</v>
      </c>
      <c r="B46" s="453"/>
      <c r="C46" s="453"/>
      <c r="D46" s="453"/>
      <c r="E46" s="453"/>
      <c r="F46" s="453"/>
      <c r="G46" s="453"/>
      <c r="H46" s="453"/>
      <c r="I46" s="453"/>
      <c r="J46" s="453"/>
      <c r="K46" s="453"/>
      <c r="L46" s="453"/>
      <c r="M46" s="453"/>
      <c r="N46" s="453"/>
      <c r="O46" s="453"/>
      <c r="P46" s="453"/>
      <c r="Q46" s="453"/>
      <c r="R46" s="453"/>
      <c r="S46" s="453"/>
      <c r="T46" s="453"/>
      <c r="U46" s="453"/>
      <c r="V46" s="453"/>
      <c r="W46" s="453"/>
      <c r="X46" s="453"/>
      <c r="Y46" s="453"/>
      <c r="Z46" s="453"/>
      <c r="AA46" s="453"/>
      <c r="AB46" s="453"/>
      <c r="AC46" s="453"/>
      <c r="AD46" s="453"/>
      <c r="AE46" s="453"/>
      <c r="AF46" s="453"/>
      <c r="AG46" s="453"/>
      <c r="AH46" s="453"/>
      <c r="AI46" s="454"/>
      <c r="AK46" s="425" t="s">
        <v>687</v>
      </c>
      <c r="AL46" s="425"/>
      <c r="AM46" s="425"/>
      <c r="AN46" s="425"/>
      <c r="AO46" s="425"/>
      <c r="AP46" s="425"/>
      <c r="AQ46" s="42"/>
      <c r="AR46" s="43"/>
      <c r="AW46" s="23"/>
      <c r="AX46" s="23"/>
      <c r="AY46" s="23"/>
      <c r="AZ46" s="23"/>
      <c r="BA46" s="23"/>
      <c r="BB46" s="23"/>
      <c r="BC46" s="50"/>
      <c r="BD46" s="51"/>
      <c r="BE46" s="23"/>
      <c r="BF46" s="23"/>
      <c r="BG46" s="23"/>
      <c r="BH46" s="23"/>
      <c r="BI46" s="23"/>
      <c r="BJ46" s="23"/>
      <c r="BK46" s="23"/>
      <c r="BL46" s="23"/>
      <c r="BM46" s="23"/>
      <c r="BN46" s="23"/>
      <c r="BO46" s="23"/>
      <c r="BP46" s="23"/>
      <c r="BQ46" s="23"/>
      <c r="BR46" s="23"/>
      <c r="BS46" s="23"/>
      <c r="BT46" s="23"/>
      <c r="BU46" s="23"/>
      <c r="BV46" s="23"/>
      <c r="BW46" s="23"/>
      <c r="BX46" s="23"/>
      <c r="BY46" s="23"/>
      <c r="BZ46" s="23"/>
      <c r="CA46" s="23"/>
      <c r="CB46" s="23"/>
    </row>
    <row r="47" spans="1:80" ht="18" customHeight="1">
      <c r="A47" s="36"/>
      <c r="B47" s="404"/>
      <c r="C47" s="404"/>
      <c r="D47" s="404"/>
      <c r="E47" s="404"/>
      <c r="F47" s="288"/>
      <c r="G47" s="288"/>
      <c r="H47" s="288"/>
      <c r="I47" s="288"/>
      <c r="J47" s="288"/>
      <c r="K47" s="288"/>
      <c r="L47" s="288"/>
      <c r="M47" s="288"/>
      <c r="N47" s="288"/>
      <c r="O47" s="288"/>
      <c r="P47" s="288"/>
      <c r="Q47" s="288"/>
      <c r="R47" s="288"/>
      <c r="S47" s="288"/>
      <c r="T47" s="288"/>
      <c r="U47" s="288"/>
      <c r="V47" s="288"/>
      <c r="W47" s="288"/>
      <c r="X47" s="288"/>
      <c r="Y47" s="288"/>
      <c r="Z47" s="288"/>
      <c r="AA47" s="288"/>
      <c r="AB47" s="288"/>
      <c r="AC47" s="288"/>
      <c r="AD47" s="288"/>
      <c r="AE47" s="288"/>
      <c r="AF47" s="288"/>
      <c r="AG47" s="288"/>
      <c r="AH47" s="288"/>
      <c r="AI47" s="289"/>
      <c r="AK47" s="425" t="s">
        <v>688</v>
      </c>
      <c r="AL47" s="425"/>
      <c r="AM47" s="425"/>
      <c r="AN47" s="425"/>
      <c r="AO47" s="425"/>
      <c r="AP47" s="425"/>
      <c r="AQ47" s="42"/>
      <c r="AR47" s="43"/>
      <c r="AS47" s="120" t="s">
        <v>189</v>
      </c>
      <c r="AT47" s="43" t="s">
        <v>728</v>
      </c>
      <c r="AU47" s="43"/>
      <c r="BC47" s="50"/>
      <c r="BD47" s="51"/>
    </row>
    <row r="48" spans="1:80" ht="18" customHeight="1">
      <c r="A48" s="36"/>
      <c r="B48" s="404"/>
      <c r="C48" s="404"/>
      <c r="D48" s="404"/>
      <c r="E48" s="404"/>
      <c r="F48" s="288"/>
      <c r="G48" s="288"/>
      <c r="H48" s="288"/>
      <c r="I48" s="288"/>
      <c r="J48" s="288"/>
      <c r="K48" s="288"/>
      <c r="L48" s="288"/>
      <c r="M48" s="288"/>
      <c r="N48" s="288"/>
      <c r="O48" s="288"/>
      <c r="P48" s="288"/>
      <c r="Q48" s="288"/>
      <c r="R48" s="288"/>
      <c r="S48" s="288"/>
      <c r="T48" s="288"/>
      <c r="U48" s="288"/>
      <c r="V48" s="288"/>
      <c r="W48" s="288"/>
      <c r="X48" s="288"/>
      <c r="Y48" s="288"/>
      <c r="Z48" s="288"/>
      <c r="AA48" s="288"/>
      <c r="AB48" s="288"/>
      <c r="AC48" s="288"/>
      <c r="AD48" s="288"/>
      <c r="AE48" s="288"/>
      <c r="AF48" s="288"/>
      <c r="AG48" s="288"/>
      <c r="AH48" s="288"/>
      <c r="AI48" s="289"/>
      <c r="AK48" s="425" t="s">
        <v>690</v>
      </c>
      <c r="AL48" s="425"/>
      <c r="AM48" s="425"/>
      <c r="AN48" s="425"/>
      <c r="AO48" s="425"/>
      <c r="AP48" s="425"/>
      <c r="AQ48" s="42"/>
      <c r="AR48" s="43"/>
      <c r="AS48" s="43"/>
      <c r="AT48" s="43"/>
      <c r="AU48" s="43"/>
      <c r="BC48" s="50"/>
      <c r="BD48" s="51"/>
    </row>
    <row r="49" spans="1:61" ht="18" customHeight="1">
      <c r="A49" s="36"/>
      <c r="B49" s="404"/>
      <c r="C49" s="404"/>
      <c r="D49" s="404"/>
      <c r="E49" s="404"/>
      <c r="F49" s="288"/>
      <c r="G49" s="288"/>
      <c r="H49" s="288"/>
      <c r="I49" s="288"/>
      <c r="J49" s="288"/>
      <c r="K49" s="288"/>
      <c r="L49" s="288"/>
      <c r="M49" s="288"/>
      <c r="N49" s="288"/>
      <c r="O49" s="288"/>
      <c r="P49" s="288"/>
      <c r="Q49" s="288"/>
      <c r="R49" s="288"/>
      <c r="S49" s="288"/>
      <c r="T49" s="288"/>
      <c r="U49" s="288"/>
      <c r="V49" s="288"/>
      <c r="W49" s="288"/>
      <c r="X49" s="288"/>
      <c r="Y49" s="288"/>
      <c r="Z49" s="288"/>
      <c r="AA49" s="288"/>
      <c r="AB49" s="288"/>
      <c r="AC49" s="288"/>
      <c r="AD49" s="288"/>
      <c r="AE49" s="288"/>
      <c r="AF49" s="288"/>
      <c r="AG49" s="288"/>
      <c r="AH49" s="288"/>
      <c r="AI49" s="289"/>
      <c r="AK49" s="425" t="s">
        <v>691</v>
      </c>
      <c r="AL49" s="425"/>
      <c r="AM49" s="425"/>
      <c r="AN49" s="425"/>
      <c r="AO49" s="425"/>
      <c r="AP49" s="425"/>
      <c r="AQ49" s="42"/>
      <c r="AR49" s="43"/>
      <c r="AS49" s="43"/>
      <c r="AT49" s="43"/>
      <c r="AU49" s="43"/>
      <c r="BC49" s="50"/>
      <c r="BD49" s="51"/>
    </row>
    <row r="50" spans="1:61" ht="18" customHeight="1">
      <c r="A50" s="36"/>
      <c r="B50" s="404"/>
      <c r="C50" s="404"/>
      <c r="D50" s="404"/>
      <c r="E50" s="404"/>
      <c r="F50" s="288"/>
      <c r="G50" s="288"/>
      <c r="H50" s="288"/>
      <c r="I50" s="288"/>
      <c r="J50" s="288"/>
      <c r="K50" s="288"/>
      <c r="L50" s="288"/>
      <c r="M50" s="288"/>
      <c r="N50" s="288"/>
      <c r="O50" s="288"/>
      <c r="P50" s="288"/>
      <c r="Q50" s="288"/>
      <c r="R50" s="288"/>
      <c r="S50" s="288"/>
      <c r="T50" s="288"/>
      <c r="U50" s="288"/>
      <c r="V50" s="288"/>
      <c r="W50" s="288"/>
      <c r="X50" s="288"/>
      <c r="Y50" s="288"/>
      <c r="Z50" s="288"/>
      <c r="AA50" s="288"/>
      <c r="AB50" s="288"/>
      <c r="AC50" s="288"/>
      <c r="AD50" s="288"/>
      <c r="AE50" s="288"/>
      <c r="AF50" s="288"/>
      <c r="AG50" s="288"/>
      <c r="AH50" s="288"/>
      <c r="AI50" s="289"/>
      <c r="AK50" s="425" t="s">
        <v>692</v>
      </c>
      <c r="AL50" s="425"/>
      <c r="AM50" s="425"/>
      <c r="AN50" s="425"/>
      <c r="AO50" s="425"/>
      <c r="AP50" s="425"/>
      <c r="AQ50" s="42"/>
      <c r="AR50" s="43"/>
      <c r="AS50" s="43"/>
      <c r="AT50" s="43"/>
      <c r="AU50" s="43"/>
      <c r="BC50" s="50"/>
      <c r="BD50" s="51"/>
    </row>
    <row r="51" spans="1:61" ht="18" customHeight="1">
      <c r="A51" s="36"/>
      <c r="B51" s="404"/>
      <c r="C51" s="404"/>
      <c r="D51" s="404"/>
      <c r="E51" s="404"/>
      <c r="F51" s="288"/>
      <c r="G51" s="288"/>
      <c r="H51" s="288"/>
      <c r="I51" s="288"/>
      <c r="J51" s="288"/>
      <c r="K51" s="288"/>
      <c r="L51" s="288"/>
      <c r="M51" s="288"/>
      <c r="N51" s="288"/>
      <c r="O51" s="288"/>
      <c r="P51" s="288"/>
      <c r="Q51" s="288"/>
      <c r="R51" s="288"/>
      <c r="S51" s="288"/>
      <c r="T51" s="288"/>
      <c r="U51" s="288"/>
      <c r="V51" s="288"/>
      <c r="W51" s="288"/>
      <c r="X51" s="288"/>
      <c r="Y51" s="288"/>
      <c r="Z51" s="288"/>
      <c r="AA51" s="288"/>
      <c r="AB51" s="288"/>
      <c r="AC51" s="288"/>
      <c r="AD51" s="288"/>
      <c r="AE51" s="288"/>
      <c r="AF51" s="288"/>
      <c r="AG51" s="288"/>
      <c r="AH51" s="288"/>
      <c r="AI51" s="289"/>
      <c r="AK51" s="425" t="s">
        <v>693</v>
      </c>
      <c r="AL51" s="425"/>
      <c r="AM51" s="425"/>
      <c r="AN51" s="425"/>
      <c r="AO51" s="425"/>
      <c r="AP51" s="425"/>
      <c r="AQ51" s="42"/>
      <c r="AR51" s="43"/>
      <c r="AS51" s="43"/>
      <c r="AT51" s="43"/>
      <c r="AU51" s="43"/>
      <c r="BC51" s="50"/>
      <c r="BD51" s="51"/>
    </row>
    <row r="52" spans="1:61" ht="18" customHeight="1">
      <c r="A52" s="36"/>
      <c r="B52" s="404"/>
      <c r="C52" s="404"/>
      <c r="D52" s="404"/>
      <c r="E52" s="404"/>
      <c r="F52" s="288"/>
      <c r="G52" s="288"/>
      <c r="H52" s="288"/>
      <c r="I52" s="288"/>
      <c r="J52" s="288"/>
      <c r="K52" s="288"/>
      <c r="L52" s="288"/>
      <c r="M52" s="288"/>
      <c r="N52" s="288"/>
      <c r="O52" s="288"/>
      <c r="P52" s="288"/>
      <c r="Q52" s="288"/>
      <c r="R52" s="288"/>
      <c r="S52" s="288"/>
      <c r="T52" s="288"/>
      <c r="U52" s="288"/>
      <c r="V52" s="288"/>
      <c r="W52" s="288"/>
      <c r="X52" s="288"/>
      <c r="Y52" s="288"/>
      <c r="Z52" s="288"/>
      <c r="AA52" s="288"/>
      <c r="AB52" s="288"/>
      <c r="AC52" s="288"/>
      <c r="AD52" s="288"/>
      <c r="AE52" s="288"/>
      <c r="AF52" s="288"/>
      <c r="AG52" s="288"/>
      <c r="AH52" s="288"/>
      <c r="AI52" s="289"/>
      <c r="AK52" s="425" t="s">
        <v>694</v>
      </c>
      <c r="AL52" s="425"/>
      <c r="AM52" s="425"/>
      <c r="AN52" s="425"/>
      <c r="AO52" s="425"/>
      <c r="AP52" s="425"/>
      <c r="AQ52" s="42"/>
      <c r="AR52" s="43"/>
      <c r="AS52" s="43"/>
      <c r="AV52" s="43"/>
      <c r="AW52" s="43"/>
      <c r="AX52" s="43"/>
      <c r="AY52" s="43"/>
      <c r="AZ52" s="43"/>
      <c r="BA52" s="43"/>
      <c r="BH52" s="52"/>
      <c r="BI52" s="51"/>
    </row>
    <row r="53" spans="1:61" ht="18" customHeight="1">
      <c r="A53" s="36"/>
      <c r="B53" s="404"/>
      <c r="C53" s="404"/>
      <c r="D53" s="404"/>
      <c r="E53" s="404"/>
      <c r="F53" s="288"/>
      <c r="G53" s="288"/>
      <c r="H53" s="288"/>
      <c r="I53" s="288"/>
      <c r="J53" s="288"/>
      <c r="K53" s="288"/>
      <c r="L53" s="288"/>
      <c r="M53" s="288"/>
      <c r="N53" s="288"/>
      <c r="O53" s="288"/>
      <c r="P53" s="288"/>
      <c r="Q53" s="288"/>
      <c r="R53" s="288"/>
      <c r="S53" s="288"/>
      <c r="T53" s="288"/>
      <c r="U53" s="288"/>
      <c r="V53" s="288"/>
      <c r="W53" s="288"/>
      <c r="X53" s="288"/>
      <c r="Y53" s="288"/>
      <c r="Z53" s="288"/>
      <c r="AA53" s="288"/>
      <c r="AB53" s="288"/>
      <c r="AC53" s="288"/>
      <c r="AD53" s="288"/>
      <c r="AE53" s="288"/>
      <c r="AF53" s="288"/>
      <c r="AG53" s="288"/>
      <c r="AH53" s="288"/>
      <c r="AI53" s="289"/>
      <c r="AK53" s="425" t="s">
        <v>695</v>
      </c>
      <c r="AL53" s="425"/>
      <c r="AM53" s="425"/>
      <c r="AN53" s="425"/>
      <c r="AO53" s="425"/>
      <c r="AP53" s="425"/>
      <c r="AQ53" s="42"/>
      <c r="AR53" s="43"/>
      <c r="AS53" s="43"/>
      <c r="AT53" s="43"/>
      <c r="AU53" s="43"/>
      <c r="AV53" s="43"/>
      <c r="AW53" s="43"/>
      <c r="AX53" s="43"/>
      <c r="AY53" s="43"/>
      <c r="AZ53" s="43"/>
      <c r="BH53" s="50"/>
      <c r="BI53" s="51"/>
    </row>
    <row r="54" spans="1:61" ht="18" customHeight="1">
      <c r="A54" s="36"/>
      <c r="B54" s="404"/>
      <c r="C54" s="404"/>
      <c r="D54" s="404"/>
      <c r="E54" s="404"/>
      <c r="F54" s="288"/>
      <c r="G54" s="288"/>
      <c r="H54" s="288"/>
      <c r="I54" s="288"/>
      <c r="J54" s="288"/>
      <c r="K54" s="288"/>
      <c r="L54" s="288"/>
      <c r="M54" s="288"/>
      <c r="N54" s="288"/>
      <c r="O54" s="288"/>
      <c r="P54" s="288"/>
      <c r="Q54" s="288"/>
      <c r="R54" s="288"/>
      <c r="S54" s="288"/>
      <c r="T54" s="288"/>
      <c r="U54" s="288"/>
      <c r="V54" s="288"/>
      <c r="W54" s="288"/>
      <c r="X54" s="288"/>
      <c r="Y54" s="288"/>
      <c r="Z54" s="288"/>
      <c r="AA54" s="288"/>
      <c r="AB54" s="288"/>
      <c r="AC54" s="288"/>
      <c r="AD54" s="288"/>
      <c r="AE54" s="288"/>
      <c r="AF54" s="288"/>
      <c r="AG54" s="288"/>
      <c r="AH54" s="288"/>
      <c r="AI54" s="289"/>
      <c r="AK54" s="425" t="s">
        <v>696</v>
      </c>
      <c r="AL54" s="425"/>
      <c r="AM54" s="425"/>
      <c r="AN54" s="425"/>
      <c r="AO54" s="425"/>
      <c r="AP54" s="425"/>
      <c r="AQ54" s="42"/>
      <c r="AR54" s="43"/>
      <c r="AS54" s="43"/>
      <c r="AT54" s="43"/>
      <c r="AU54" s="43"/>
      <c r="AV54" s="43"/>
      <c r="AW54" s="43"/>
      <c r="AX54" s="43"/>
      <c r="AY54" s="43"/>
      <c r="AZ54" s="43"/>
      <c r="BH54" s="50"/>
      <c r="BI54" s="51"/>
    </row>
    <row r="55" spans="1:61" ht="18" customHeight="1">
      <c r="A55" s="36"/>
      <c r="B55" s="404"/>
      <c r="C55" s="404"/>
      <c r="D55" s="404"/>
      <c r="E55" s="404"/>
      <c r="F55" s="288"/>
      <c r="G55" s="288"/>
      <c r="H55" s="288"/>
      <c r="I55" s="288"/>
      <c r="J55" s="288"/>
      <c r="K55" s="288"/>
      <c r="L55" s="288"/>
      <c r="M55" s="288"/>
      <c r="N55" s="288"/>
      <c r="O55" s="288"/>
      <c r="P55" s="288"/>
      <c r="Q55" s="288"/>
      <c r="R55" s="288"/>
      <c r="S55" s="288"/>
      <c r="T55" s="288"/>
      <c r="U55" s="288"/>
      <c r="V55" s="288"/>
      <c r="W55" s="288"/>
      <c r="X55" s="288"/>
      <c r="Y55" s="288"/>
      <c r="Z55" s="288"/>
      <c r="AA55" s="288"/>
      <c r="AB55" s="288"/>
      <c r="AC55" s="288"/>
      <c r="AD55" s="288"/>
      <c r="AE55" s="288"/>
      <c r="AF55" s="288"/>
      <c r="AG55" s="288"/>
      <c r="AH55" s="288"/>
      <c r="AI55" s="289"/>
      <c r="AK55" s="425" t="s">
        <v>697</v>
      </c>
      <c r="AL55" s="425"/>
      <c r="AM55" s="425"/>
      <c r="AN55" s="425"/>
      <c r="AO55" s="425"/>
      <c r="AP55" s="425"/>
      <c r="AQ55" s="42"/>
      <c r="AR55" s="43"/>
      <c r="AS55" s="43"/>
      <c r="AT55" s="43"/>
      <c r="AU55" s="43"/>
      <c r="AV55" s="43"/>
      <c r="AW55" s="43"/>
      <c r="AX55" s="43"/>
      <c r="AY55" s="43"/>
      <c r="AZ55" s="43"/>
      <c r="BH55" s="50"/>
      <c r="BI55" s="51"/>
    </row>
    <row r="56" spans="1:61" ht="18" customHeight="1">
      <c r="A56" s="36"/>
      <c r="B56" s="404"/>
      <c r="C56" s="404"/>
      <c r="D56" s="404"/>
      <c r="E56" s="404"/>
      <c r="F56" s="288"/>
      <c r="G56" s="288"/>
      <c r="H56" s="288"/>
      <c r="I56" s="288"/>
      <c r="J56" s="288"/>
      <c r="K56" s="288"/>
      <c r="L56" s="288"/>
      <c r="M56" s="288"/>
      <c r="N56" s="288"/>
      <c r="O56" s="288"/>
      <c r="P56" s="288"/>
      <c r="Q56" s="288"/>
      <c r="R56" s="288"/>
      <c r="S56" s="288"/>
      <c r="T56" s="288"/>
      <c r="U56" s="288"/>
      <c r="V56" s="288"/>
      <c r="W56" s="288"/>
      <c r="X56" s="288"/>
      <c r="Y56" s="288"/>
      <c r="Z56" s="288"/>
      <c r="AA56" s="288"/>
      <c r="AB56" s="288"/>
      <c r="AC56" s="288"/>
      <c r="AD56" s="288"/>
      <c r="AE56" s="288"/>
      <c r="AF56" s="288"/>
      <c r="AG56" s="288"/>
      <c r="AH56" s="288"/>
      <c r="AI56" s="289"/>
      <c r="AK56" s="425" t="s">
        <v>698</v>
      </c>
      <c r="AL56" s="425"/>
      <c r="AM56" s="425"/>
      <c r="AN56" s="425"/>
      <c r="AO56" s="425"/>
      <c r="AP56" s="425"/>
      <c r="AQ56" s="42"/>
      <c r="AR56" s="43"/>
      <c r="AS56" s="43"/>
      <c r="AT56" s="43"/>
      <c r="AU56" s="43"/>
      <c r="AV56" s="43"/>
      <c r="AW56" s="43"/>
      <c r="AX56" s="43"/>
      <c r="AY56" s="43"/>
      <c r="AZ56" s="43"/>
      <c r="BH56" s="52"/>
      <c r="BI56" s="51"/>
    </row>
    <row r="57" spans="1:61" ht="18" customHeight="1">
      <c r="A57" s="36"/>
      <c r="B57" s="404"/>
      <c r="C57" s="404"/>
      <c r="D57" s="404"/>
      <c r="E57" s="404"/>
      <c r="F57" s="288"/>
      <c r="G57" s="288"/>
      <c r="H57" s="288"/>
      <c r="I57" s="288"/>
      <c r="J57" s="288"/>
      <c r="K57" s="288"/>
      <c r="L57" s="288"/>
      <c r="M57" s="288"/>
      <c r="N57" s="288"/>
      <c r="O57" s="288"/>
      <c r="P57" s="288"/>
      <c r="Q57" s="288"/>
      <c r="R57" s="288"/>
      <c r="S57" s="288"/>
      <c r="T57" s="288"/>
      <c r="U57" s="288"/>
      <c r="V57" s="288"/>
      <c r="W57" s="288"/>
      <c r="X57" s="288"/>
      <c r="Y57" s="288"/>
      <c r="Z57" s="288"/>
      <c r="AA57" s="288"/>
      <c r="AB57" s="288"/>
      <c r="AC57" s="288"/>
      <c r="AD57" s="288"/>
      <c r="AE57" s="288"/>
      <c r="AF57" s="288"/>
      <c r="AG57" s="288"/>
      <c r="AH57" s="288"/>
      <c r="AI57" s="289"/>
      <c r="AK57" s="425" t="s">
        <v>699</v>
      </c>
      <c r="AL57" s="425"/>
      <c r="AM57" s="425"/>
      <c r="AN57" s="425"/>
      <c r="AO57" s="425"/>
      <c r="AP57" s="425"/>
      <c r="AQ57" s="42"/>
      <c r="AR57" s="43"/>
      <c r="AS57" s="43"/>
      <c r="AT57" s="43"/>
      <c r="AU57" s="43"/>
      <c r="AV57" s="43"/>
      <c r="AW57" s="43"/>
      <c r="AX57" s="43"/>
      <c r="AY57" s="43"/>
      <c r="AZ57" s="43"/>
      <c r="BH57" s="50"/>
      <c r="BI57" s="51"/>
    </row>
    <row r="58" spans="1:61" ht="18" customHeight="1">
      <c r="A58" s="36"/>
      <c r="B58" s="404"/>
      <c r="C58" s="404"/>
      <c r="D58" s="404"/>
      <c r="E58" s="404"/>
      <c r="F58" s="288"/>
      <c r="G58" s="288"/>
      <c r="H58" s="288"/>
      <c r="I58" s="288"/>
      <c r="J58" s="288"/>
      <c r="K58" s="288"/>
      <c r="L58" s="288"/>
      <c r="M58" s="288"/>
      <c r="N58" s="288"/>
      <c r="O58" s="288"/>
      <c r="P58" s="288"/>
      <c r="Q58" s="288"/>
      <c r="R58" s="288"/>
      <c r="S58" s="288"/>
      <c r="T58" s="288"/>
      <c r="U58" s="288"/>
      <c r="V58" s="288"/>
      <c r="W58" s="288"/>
      <c r="X58" s="288"/>
      <c r="Y58" s="288"/>
      <c r="Z58" s="288"/>
      <c r="AA58" s="288"/>
      <c r="AB58" s="288"/>
      <c r="AC58" s="288"/>
      <c r="AD58" s="288"/>
      <c r="AE58" s="288"/>
      <c r="AF58" s="288"/>
      <c r="AG58" s="288"/>
      <c r="AH58" s="288"/>
      <c r="AI58" s="289"/>
      <c r="AK58" s="425" t="s">
        <v>700</v>
      </c>
      <c r="AL58" s="425"/>
      <c r="AM58" s="425"/>
      <c r="AN58" s="425"/>
      <c r="AO58" s="425"/>
      <c r="AP58" s="425"/>
      <c r="AQ58" s="42"/>
      <c r="AR58" s="43"/>
      <c r="AS58" s="43"/>
      <c r="AT58" s="43"/>
      <c r="AU58" s="43"/>
      <c r="AV58" s="43"/>
      <c r="AW58" s="43"/>
      <c r="AX58" s="43"/>
      <c r="AY58" s="43"/>
      <c r="AZ58" s="43"/>
      <c r="BH58" s="50"/>
      <c r="BI58" s="51"/>
    </row>
    <row r="59" spans="1:61" ht="18" customHeight="1">
      <c r="A59" s="36"/>
      <c r="B59" s="404"/>
      <c r="C59" s="404"/>
      <c r="D59" s="404"/>
      <c r="E59" s="404"/>
      <c r="F59" s="288"/>
      <c r="G59" s="288"/>
      <c r="H59" s="288"/>
      <c r="I59" s="288"/>
      <c r="J59" s="288"/>
      <c r="K59" s="288"/>
      <c r="L59" s="288"/>
      <c r="M59" s="288"/>
      <c r="N59" s="288"/>
      <c r="O59" s="288"/>
      <c r="P59" s="288"/>
      <c r="Q59" s="288"/>
      <c r="R59" s="288"/>
      <c r="S59" s="288"/>
      <c r="T59" s="288"/>
      <c r="U59" s="288"/>
      <c r="V59" s="288"/>
      <c r="W59" s="288"/>
      <c r="X59" s="288"/>
      <c r="Y59" s="288"/>
      <c r="Z59" s="288"/>
      <c r="AA59" s="288"/>
      <c r="AB59" s="288"/>
      <c r="AC59" s="288"/>
      <c r="AD59" s="288"/>
      <c r="AE59" s="288"/>
      <c r="AF59" s="288"/>
      <c r="AG59" s="288"/>
      <c r="AH59" s="288"/>
      <c r="AI59" s="289"/>
      <c r="AK59" s="425" t="s">
        <v>701</v>
      </c>
      <c r="AL59" s="425"/>
      <c r="AM59" s="425"/>
      <c r="AN59" s="425"/>
      <c r="AO59" s="425"/>
      <c r="AP59" s="425"/>
      <c r="AQ59" s="42"/>
      <c r="AR59" s="43"/>
      <c r="AS59" s="43"/>
      <c r="AT59" s="43"/>
      <c r="AU59" s="43"/>
      <c r="AV59" s="43"/>
      <c r="AW59" s="43"/>
      <c r="AX59" s="43"/>
      <c r="AY59" s="43"/>
      <c r="AZ59" s="43"/>
      <c r="BH59" s="50"/>
      <c r="BI59" s="51"/>
    </row>
    <row r="60" spans="1:61" ht="18" customHeight="1">
      <c r="A60" s="36"/>
      <c r="B60" s="404"/>
      <c r="C60" s="404"/>
      <c r="D60" s="404"/>
      <c r="E60" s="404"/>
      <c r="F60" s="288"/>
      <c r="G60" s="288"/>
      <c r="H60" s="288"/>
      <c r="I60" s="288"/>
      <c r="J60" s="288"/>
      <c r="K60" s="288"/>
      <c r="L60" s="288"/>
      <c r="M60" s="288"/>
      <c r="N60" s="288"/>
      <c r="O60" s="288"/>
      <c r="P60" s="288"/>
      <c r="Q60" s="288"/>
      <c r="R60" s="288"/>
      <c r="S60" s="288"/>
      <c r="T60" s="288"/>
      <c r="U60" s="288"/>
      <c r="V60" s="288"/>
      <c r="W60" s="288"/>
      <c r="X60" s="288"/>
      <c r="Y60" s="288"/>
      <c r="Z60" s="288"/>
      <c r="AA60" s="288"/>
      <c r="AB60" s="288"/>
      <c r="AC60" s="288"/>
      <c r="AD60" s="288"/>
      <c r="AE60" s="288"/>
      <c r="AF60" s="288"/>
      <c r="AG60" s="288"/>
      <c r="AH60" s="288"/>
      <c r="AI60" s="289"/>
      <c r="AK60" s="425" t="s">
        <v>702</v>
      </c>
      <c r="AL60" s="425"/>
      <c r="AM60" s="425"/>
      <c r="AN60" s="425"/>
      <c r="AO60" s="425"/>
      <c r="AP60" s="425"/>
      <c r="AQ60" s="42"/>
      <c r="AR60" s="43"/>
      <c r="AS60" s="43"/>
      <c r="AT60" s="43"/>
      <c r="AU60" s="43"/>
      <c r="AV60" s="43"/>
      <c r="AW60" s="43"/>
      <c r="AX60" s="43"/>
      <c r="AY60" s="43"/>
      <c r="AZ60" s="43"/>
      <c r="BH60" s="52"/>
      <c r="BI60" s="51"/>
    </row>
    <row r="61" spans="1:61" ht="18" customHeight="1">
      <c r="A61" s="36"/>
      <c r="B61" s="404"/>
      <c r="C61" s="404"/>
      <c r="D61" s="404"/>
      <c r="E61" s="404"/>
      <c r="F61" s="288"/>
      <c r="G61" s="288"/>
      <c r="H61" s="288"/>
      <c r="I61" s="288"/>
      <c r="J61" s="288"/>
      <c r="K61" s="288"/>
      <c r="L61" s="288"/>
      <c r="M61" s="288"/>
      <c r="N61" s="288"/>
      <c r="O61" s="288"/>
      <c r="P61" s="288"/>
      <c r="Q61" s="288"/>
      <c r="R61" s="288"/>
      <c r="S61" s="288"/>
      <c r="T61" s="288"/>
      <c r="U61" s="288"/>
      <c r="V61" s="288"/>
      <c r="W61" s="288"/>
      <c r="X61" s="288"/>
      <c r="Y61" s="288"/>
      <c r="Z61" s="288"/>
      <c r="AA61" s="288"/>
      <c r="AB61" s="288"/>
      <c r="AC61" s="288"/>
      <c r="AD61" s="288"/>
      <c r="AE61" s="288"/>
      <c r="AF61" s="288"/>
      <c r="AG61" s="288"/>
      <c r="AH61" s="288"/>
      <c r="AI61" s="289"/>
      <c r="AK61" s="425" t="s">
        <v>703</v>
      </c>
      <c r="AL61" s="425"/>
      <c r="AM61" s="425"/>
      <c r="AN61" s="425"/>
      <c r="AO61" s="425"/>
      <c r="AP61" s="425"/>
      <c r="AQ61" s="42"/>
      <c r="AR61" s="43"/>
      <c r="AS61" s="43"/>
      <c r="AT61" s="43"/>
      <c r="AU61" s="43"/>
      <c r="AV61" s="43"/>
      <c r="AW61" s="43"/>
      <c r="AX61" s="43"/>
      <c r="AY61" s="43"/>
      <c r="AZ61" s="43"/>
      <c r="BH61" s="50"/>
      <c r="BI61" s="51"/>
    </row>
    <row r="62" spans="1:61" ht="18" customHeight="1">
      <c r="A62" s="36"/>
      <c r="B62" s="404"/>
      <c r="C62" s="404"/>
      <c r="D62" s="404"/>
      <c r="E62" s="404"/>
      <c r="F62" s="288"/>
      <c r="G62" s="288"/>
      <c r="H62" s="288"/>
      <c r="I62" s="288"/>
      <c r="J62" s="288"/>
      <c r="K62" s="288"/>
      <c r="L62" s="288"/>
      <c r="M62" s="288"/>
      <c r="N62" s="288"/>
      <c r="O62" s="288"/>
      <c r="P62" s="288"/>
      <c r="Q62" s="288"/>
      <c r="R62" s="288"/>
      <c r="S62" s="288"/>
      <c r="T62" s="288"/>
      <c r="U62" s="288"/>
      <c r="V62" s="288"/>
      <c r="W62" s="288"/>
      <c r="X62" s="288"/>
      <c r="Y62" s="288"/>
      <c r="Z62" s="288"/>
      <c r="AA62" s="288"/>
      <c r="AB62" s="288"/>
      <c r="AC62" s="288"/>
      <c r="AD62" s="288"/>
      <c r="AE62" s="288"/>
      <c r="AF62" s="288"/>
      <c r="AG62" s="288"/>
      <c r="AH62" s="288"/>
      <c r="AI62" s="289"/>
      <c r="AK62" s="425"/>
      <c r="AL62" s="425"/>
      <c r="AM62" s="425"/>
      <c r="AN62" s="425"/>
      <c r="AO62" s="425"/>
      <c r="AP62" s="425"/>
      <c r="AQ62" s="42"/>
      <c r="AR62" s="43"/>
      <c r="AS62" s="43"/>
      <c r="AT62" s="43"/>
      <c r="AU62" s="43"/>
      <c r="AV62" s="43"/>
      <c r="AW62" s="43"/>
      <c r="AX62" s="43"/>
      <c r="AY62" s="43"/>
      <c r="AZ62" s="43"/>
      <c r="BH62" s="50"/>
      <c r="BI62" s="51"/>
    </row>
    <row r="63" spans="1:61" ht="18" customHeight="1">
      <c r="A63" s="36"/>
      <c r="B63" s="404"/>
      <c r="C63" s="404"/>
      <c r="D63" s="404"/>
      <c r="E63" s="404"/>
      <c r="F63" s="288"/>
      <c r="G63" s="288"/>
      <c r="H63" s="288"/>
      <c r="I63" s="288"/>
      <c r="J63" s="288"/>
      <c r="K63" s="288"/>
      <c r="L63" s="288"/>
      <c r="M63" s="288"/>
      <c r="N63" s="288"/>
      <c r="O63" s="288"/>
      <c r="P63" s="288"/>
      <c r="Q63" s="288"/>
      <c r="R63" s="288"/>
      <c r="S63" s="288"/>
      <c r="T63" s="288"/>
      <c r="U63" s="288"/>
      <c r="V63" s="288"/>
      <c r="W63" s="288"/>
      <c r="X63" s="288"/>
      <c r="Y63" s="288"/>
      <c r="Z63" s="288"/>
      <c r="AA63" s="288"/>
      <c r="AB63" s="288"/>
      <c r="AC63" s="288"/>
      <c r="AD63" s="288"/>
      <c r="AE63" s="288"/>
      <c r="AF63" s="288"/>
      <c r="AG63" s="288"/>
      <c r="AH63" s="288"/>
      <c r="AI63" s="289"/>
      <c r="AK63" s="425"/>
      <c r="AL63" s="425"/>
      <c r="AM63" s="425"/>
      <c r="AN63" s="425"/>
      <c r="AO63" s="425"/>
      <c r="AP63" s="425"/>
      <c r="AQ63" s="42"/>
      <c r="AR63" s="43"/>
      <c r="AS63" s="43"/>
      <c r="AT63" s="43"/>
      <c r="AU63" s="43"/>
      <c r="AV63" s="43"/>
      <c r="AW63" s="43"/>
      <c r="AX63" s="43"/>
      <c r="AY63" s="43"/>
      <c r="AZ63" s="43"/>
      <c r="BH63" s="52"/>
      <c r="BI63" s="51"/>
    </row>
    <row r="64" spans="1:61" ht="18" customHeight="1">
      <c r="A64" s="36"/>
      <c r="B64" s="404"/>
      <c r="C64" s="404"/>
      <c r="D64" s="404"/>
      <c r="E64" s="404"/>
      <c r="F64" s="288"/>
      <c r="G64" s="288"/>
      <c r="H64" s="288"/>
      <c r="I64" s="288"/>
      <c r="J64" s="288"/>
      <c r="K64" s="288"/>
      <c r="L64" s="288"/>
      <c r="M64" s="288"/>
      <c r="N64" s="288"/>
      <c r="O64" s="288"/>
      <c r="P64" s="288"/>
      <c r="Q64" s="288"/>
      <c r="R64" s="288"/>
      <c r="S64" s="288"/>
      <c r="T64" s="288"/>
      <c r="U64" s="288"/>
      <c r="V64" s="288"/>
      <c r="W64" s="288"/>
      <c r="X64" s="288"/>
      <c r="Y64" s="288"/>
      <c r="Z64" s="288"/>
      <c r="AA64" s="288"/>
      <c r="AB64" s="288"/>
      <c r="AC64" s="288"/>
      <c r="AD64" s="288"/>
      <c r="AE64" s="288"/>
      <c r="AF64" s="288"/>
      <c r="AG64" s="288"/>
      <c r="AH64" s="288"/>
      <c r="AI64" s="289"/>
      <c r="AK64" s="425"/>
      <c r="AL64" s="425"/>
      <c r="AM64" s="425"/>
      <c r="AN64" s="425"/>
      <c r="AO64" s="425"/>
      <c r="AP64" s="425"/>
      <c r="AQ64" s="42"/>
      <c r="AR64" s="43"/>
      <c r="AS64" s="43"/>
      <c r="AT64" s="43"/>
      <c r="AU64" s="43"/>
      <c r="AV64" s="43"/>
      <c r="AW64" s="43"/>
      <c r="AX64" s="43"/>
      <c r="AY64" s="43"/>
      <c r="AZ64" s="43"/>
      <c r="BH64" s="52"/>
      <c r="BI64" s="51"/>
    </row>
    <row r="65" spans="1:61" ht="18" customHeight="1">
      <c r="A65" s="36"/>
      <c r="B65" s="404"/>
      <c r="C65" s="404"/>
      <c r="D65" s="404"/>
      <c r="E65" s="404"/>
      <c r="F65" s="288"/>
      <c r="G65" s="288"/>
      <c r="H65" s="288"/>
      <c r="I65" s="288"/>
      <c r="J65" s="288"/>
      <c r="K65" s="288"/>
      <c r="L65" s="288"/>
      <c r="M65" s="288"/>
      <c r="N65" s="288"/>
      <c r="O65" s="288"/>
      <c r="P65" s="288"/>
      <c r="Q65" s="288"/>
      <c r="R65" s="288"/>
      <c r="S65" s="288"/>
      <c r="T65" s="288"/>
      <c r="U65" s="288"/>
      <c r="V65" s="288"/>
      <c r="W65" s="288"/>
      <c r="X65" s="288"/>
      <c r="Y65" s="288"/>
      <c r="Z65" s="288"/>
      <c r="AA65" s="288"/>
      <c r="AB65" s="288"/>
      <c r="AC65" s="288"/>
      <c r="AD65" s="288"/>
      <c r="AE65" s="288"/>
      <c r="AF65" s="288"/>
      <c r="AG65" s="288"/>
      <c r="AH65" s="288"/>
      <c r="AI65" s="289"/>
      <c r="AK65" s="425"/>
      <c r="AL65" s="425"/>
      <c r="AM65" s="425"/>
      <c r="AN65" s="425"/>
      <c r="AO65" s="425"/>
      <c r="AP65" s="425"/>
      <c r="AQ65" s="42"/>
      <c r="AR65" s="43"/>
      <c r="AS65" s="43"/>
      <c r="AT65" s="43"/>
      <c r="AU65" s="43"/>
      <c r="AV65" s="43"/>
      <c r="AW65" s="43"/>
      <c r="AX65" s="43"/>
      <c r="AY65" s="43"/>
      <c r="AZ65" s="43"/>
      <c r="BH65" s="50"/>
      <c r="BI65" s="51"/>
    </row>
    <row r="66" spans="1:61" ht="18" customHeight="1">
      <c r="A66" s="36"/>
      <c r="B66" s="404"/>
      <c r="C66" s="404"/>
      <c r="D66" s="404"/>
      <c r="E66" s="404"/>
      <c r="F66" s="288"/>
      <c r="G66" s="288"/>
      <c r="H66" s="288"/>
      <c r="I66" s="288"/>
      <c r="J66" s="288"/>
      <c r="K66" s="288"/>
      <c r="L66" s="288"/>
      <c r="M66" s="288"/>
      <c r="N66" s="288"/>
      <c r="O66" s="288"/>
      <c r="P66" s="288"/>
      <c r="Q66" s="288"/>
      <c r="R66" s="288"/>
      <c r="S66" s="288"/>
      <c r="T66" s="288"/>
      <c r="U66" s="288"/>
      <c r="V66" s="288"/>
      <c r="W66" s="288"/>
      <c r="X66" s="288"/>
      <c r="Y66" s="288"/>
      <c r="Z66" s="288"/>
      <c r="AA66" s="288"/>
      <c r="AB66" s="288"/>
      <c r="AC66" s="288"/>
      <c r="AD66" s="288"/>
      <c r="AE66" s="288"/>
      <c r="AF66" s="288"/>
      <c r="AG66" s="288"/>
      <c r="AH66" s="288"/>
      <c r="AI66" s="289"/>
      <c r="AK66" s="425"/>
      <c r="AL66" s="425"/>
      <c r="AM66" s="425"/>
      <c r="AN66" s="425"/>
      <c r="AO66" s="425"/>
      <c r="AP66" s="425"/>
      <c r="AQ66" s="42"/>
      <c r="AR66" s="43"/>
      <c r="AS66" s="43"/>
      <c r="AT66" s="43"/>
      <c r="AU66" s="43"/>
      <c r="AV66" s="43"/>
      <c r="AW66" s="43"/>
      <c r="AX66" s="43"/>
      <c r="AY66" s="43"/>
      <c r="AZ66" s="43"/>
      <c r="BH66" s="50"/>
      <c r="BI66" s="51"/>
    </row>
    <row r="67" spans="1:61" ht="18" customHeight="1">
      <c r="A67" s="36"/>
      <c r="B67" s="404"/>
      <c r="C67" s="404"/>
      <c r="D67" s="404"/>
      <c r="E67" s="404"/>
      <c r="F67" s="288"/>
      <c r="G67" s="288"/>
      <c r="H67" s="288"/>
      <c r="I67" s="288"/>
      <c r="J67" s="288"/>
      <c r="K67" s="288"/>
      <c r="L67" s="288"/>
      <c r="M67" s="288"/>
      <c r="N67" s="288"/>
      <c r="O67" s="288"/>
      <c r="P67" s="288"/>
      <c r="Q67" s="288"/>
      <c r="R67" s="288"/>
      <c r="S67" s="288"/>
      <c r="T67" s="288"/>
      <c r="U67" s="288"/>
      <c r="V67" s="288"/>
      <c r="W67" s="288"/>
      <c r="X67" s="288"/>
      <c r="Y67" s="288"/>
      <c r="Z67" s="288"/>
      <c r="AA67" s="288"/>
      <c r="AB67" s="288"/>
      <c r="AC67" s="288"/>
      <c r="AD67" s="288"/>
      <c r="AE67" s="288"/>
      <c r="AF67" s="288"/>
      <c r="AG67" s="288"/>
      <c r="AH67" s="288"/>
      <c r="AI67" s="289"/>
      <c r="AK67" s="425"/>
      <c r="AL67" s="425"/>
      <c r="AM67" s="425"/>
      <c r="AN67" s="425"/>
      <c r="AO67" s="425"/>
      <c r="AP67" s="425"/>
      <c r="AQ67" s="67"/>
      <c r="AR67" s="43"/>
      <c r="AS67" s="43"/>
      <c r="AT67" s="43"/>
      <c r="AU67" s="43"/>
      <c r="AV67" s="43"/>
      <c r="AW67" s="43"/>
      <c r="AX67" s="43"/>
      <c r="AY67" s="43"/>
      <c r="AZ67" s="43"/>
      <c r="BH67" s="50"/>
      <c r="BI67" s="51"/>
    </row>
    <row r="68" spans="1:61" ht="18" customHeight="1">
      <c r="A68" s="36"/>
      <c r="B68" s="404"/>
      <c r="C68" s="404"/>
      <c r="D68" s="404"/>
      <c r="E68" s="404"/>
      <c r="F68" s="288"/>
      <c r="G68" s="288"/>
      <c r="H68" s="288"/>
      <c r="I68" s="288"/>
      <c r="J68" s="288"/>
      <c r="K68" s="288"/>
      <c r="L68" s="288"/>
      <c r="M68" s="288"/>
      <c r="N68" s="288"/>
      <c r="O68" s="288"/>
      <c r="P68" s="288"/>
      <c r="Q68" s="288"/>
      <c r="R68" s="288"/>
      <c r="S68" s="288"/>
      <c r="T68" s="288"/>
      <c r="U68" s="288"/>
      <c r="V68" s="288"/>
      <c r="W68" s="288"/>
      <c r="X68" s="288"/>
      <c r="Y68" s="288"/>
      <c r="Z68" s="288"/>
      <c r="AA68" s="288"/>
      <c r="AB68" s="288"/>
      <c r="AC68" s="288"/>
      <c r="AD68" s="288"/>
      <c r="AE68" s="288"/>
      <c r="AF68" s="288"/>
      <c r="AG68" s="288"/>
      <c r="AH68" s="288"/>
      <c r="AI68" s="289"/>
      <c r="AK68" s="425"/>
      <c r="AL68" s="425"/>
      <c r="AM68" s="425"/>
      <c r="AN68" s="425"/>
      <c r="AO68" s="425"/>
      <c r="AP68" s="425"/>
      <c r="AQ68" s="67"/>
      <c r="AR68" s="43"/>
      <c r="AS68" s="43"/>
      <c r="AT68" s="43"/>
      <c r="AU68" s="43"/>
      <c r="AV68" s="43"/>
      <c r="AW68" s="43"/>
      <c r="AX68" s="43"/>
      <c r="AY68" s="43"/>
      <c r="AZ68" s="43"/>
      <c r="BH68" s="50"/>
      <c r="BI68" s="51"/>
    </row>
    <row r="69" spans="1:61" ht="18" customHeight="1">
      <c r="A69" s="36"/>
      <c r="B69" s="404"/>
      <c r="C69" s="404"/>
      <c r="D69" s="404"/>
      <c r="E69" s="404"/>
      <c r="F69" s="288"/>
      <c r="G69" s="288"/>
      <c r="H69" s="288"/>
      <c r="I69" s="288"/>
      <c r="J69" s="288"/>
      <c r="K69" s="288"/>
      <c r="L69" s="288"/>
      <c r="M69" s="288"/>
      <c r="N69" s="288"/>
      <c r="O69" s="288"/>
      <c r="P69" s="288"/>
      <c r="Q69" s="288"/>
      <c r="R69" s="288"/>
      <c r="S69" s="288"/>
      <c r="T69" s="288"/>
      <c r="U69" s="288"/>
      <c r="V69" s="288"/>
      <c r="W69" s="288"/>
      <c r="X69" s="288"/>
      <c r="Y69" s="288"/>
      <c r="Z69" s="288"/>
      <c r="AA69" s="288"/>
      <c r="AB69" s="288"/>
      <c r="AC69" s="288"/>
      <c r="AD69" s="288"/>
      <c r="AE69" s="288"/>
      <c r="AF69" s="288"/>
      <c r="AG69" s="288"/>
      <c r="AH69" s="288"/>
      <c r="AI69" s="289"/>
      <c r="AK69" s="425"/>
      <c r="AL69" s="425"/>
      <c r="AM69" s="425"/>
      <c r="AN69" s="425"/>
      <c r="AO69" s="425"/>
      <c r="AP69" s="425"/>
      <c r="AQ69" s="42"/>
      <c r="AR69" s="43"/>
      <c r="AS69" s="43"/>
      <c r="AT69" s="43"/>
      <c r="AU69" s="43"/>
      <c r="AV69" s="43"/>
      <c r="AW69" s="43"/>
      <c r="AX69" s="43"/>
      <c r="AY69" s="43"/>
      <c r="AZ69" s="43"/>
      <c r="BH69" s="50"/>
      <c r="BI69" s="51"/>
    </row>
    <row r="70" spans="1:61" ht="18" customHeight="1">
      <c r="A70" s="36"/>
      <c r="B70" s="404"/>
      <c r="C70" s="404"/>
      <c r="D70" s="404"/>
      <c r="E70" s="404"/>
      <c r="F70" s="288"/>
      <c r="G70" s="288"/>
      <c r="H70" s="288"/>
      <c r="I70" s="288"/>
      <c r="J70" s="288"/>
      <c r="K70" s="288"/>
      <c r="L70" s="288"/>
      <c r="M70" s="288"/>
      <c r="N70" s="288"/>
      <c r="O70" s="288"/>
      <c r="P70" s="288"/>
      <c r="Q70" s="288"/>
      <c r="R70" s="288"/>
      <c r="S70" s="288"/>
      <c r="T70" s="288"/>
      <c r="U70" s="288"/>
      <c r="V70" s="288"/>
      <c r="W70" s="288"/>
      <c r="X70" s="288"/>
      <c r="Y70" s="288"/>
      <c r="Z70" s="288"/>
      <c r="AA70" s="288"/>
      <c r="AB70" s="288"/>
      <c r="AC70" s="288"/>
      <c r="AD70" s="288"/>
      <c r="AE70" s="288"/>
      <c r="AF70" s="288"/>
      <c r="AG70" s="288"/>
      <c r="AH70" s="288"/>
      <c r="AI70" s="289"/>
      <c r="AK70" s="425"/>
      <c r="AL70" s="425"/>
      <c r="AM70" s="425"/>
      <c r="AN70" s="425"/>
      <c r="AO70" s="425"/>
      <c r="AP70" s="425"/>
      <c r="AQ70" s="42"/>
      <c r="AR70" s="43"/>
      <c r="AS70" s="43"/>
      <c r="AT70" s="43"/>
      <c r="AU70" s="43"/>
      <c r="AV70" s="43"/>
      <c r="AW70" s="43"/>
      <c r="AX70" s="43"/>
      <c r="AY70" s="43"/>
      <c r="AZ70" s="43"/>
      <c r="BH70" s="50"/>
      <c r="BI70" s="51"/>
    </row>
    <row r="71" spans="1:61" ht="18" customHeight="1">
      <c r="A71" s="36"/>
      <c r="B71" s="404"/>
      <c r="C71" s="404"/>
      <c r="D71" s="404"/>
      <c r="E71" s="404"/>
      <c r="F71" s="288"/>
      <c r="G71" s="288"/>
      <c r="H71" s="288"/>
      <c r="I71" s="288"/>
      <c r="J71" s="288"/>
      <c r="K71" s="288"/>
      <c r="L71" s="288"/>
      <c r="M71" s="288"/>
      <c r="N71" s="288"/>
      <c r="O71" s="288"/>
      <c r="P71" s="288"/>
      <c r="Q71" s="288"/>
      <c r="R71" s="288"/>
      <c r="S71" s="288"/>
      <c r="T71" s="288"/>
      <c r="U71" s="288"/>
      <c r="V71" s="288"/>
      <c r="W71" s="288"/>
      <c r="X71" s="288"/>
      <c r="Y71" s="288"/>
      <c r="Z71" s="288"/>
      <c r="AA71" s="288"/>
      <c r="AB71" s="288"/>
      <c r="AC71" s="288"/>
      <c r="AD71" s="288"/>
      <c r="AE71" s="288"/>
      <c r="AF71" s="288"/>
      <c r="AG71" s="288"/>
      <c r="AH71" s="288"/>
      <c r="AI71" s="289"/>
      <c r="AK71" s="425"/>
      <c r="AL71" s="425"/>
      <c r="AM71" s="425"/>
      <c r="AN71" s="425"/>
      <c r="AO71" s="425"/>
      <c r="AP71" s="425"/>
      <c r="AQ71" s="42"/>
      <c r="AR71" s="43"/>
      <c r="AS71" s="43"/>
      <c r="AT71" s="43"/>
      <c r="AU71" s="43"/>
      <c r="AV71" s="43"/>
      <c r="AW71" s="43"/>
      <c r="AX71" s="43"/>
      <c r="AY71" s="43"/>
      <c r="AZ71" s="43"/>
      <c r="BH71" s="52"/>
      <c r="BI71" s="51"/>
    </row>
    <row r="72" spans="1:61" ht="18" customHeight="1">
      <c r="A72" s="36"/>
      <c r="B72" s="404"/>
      <c r="C72" s="404"/>
      <c r="D72" s="404"/>
      <c r="E72" s="404"/>
      <c r="F72" s="288"/>
      <c r="G72" s="288"/>
      <c r="H72" s="288"/>
      <c r="I72" s="288"/>
      <c r="J72" s="288"/>
      <c r="K72" s="288"/>
      <c r="L72" s="288"/>
      <c r="M72" s="288"/>
      <c r="N72" s="288"/>
      <c r="O72" s="288"/>
      <c r="P72" s="288"/>
      <c r="Q72" s="288"/>
      <c r="R72" s="288"/>
      <c r="S72" s="288"/>
      <c r="T72" s="288"/>
      <c r="U72" s="288"/>
      <c r="V72" s="288"/>
      <c r="W72" s="288"/>
      <c r="X72" s="288"/>
      <c r="Y72" s="288"/>
      <c r="Z72" s="288"/>
      <c r="AA72" s="288"/>
      <c r="AB72" s="288"/>
      <c r="AC72" s="288"/>
      <c r="AD72" s="288"/>
      <c r="AE72" s="288"/>
      <c r="AF72" s="288"/>
      <c r="AG72" s="288"/>
      <c r="AH72" s="288"/>
      <c r="AI72" s="289"/>
      <c r="AK72" s="425"/>
      <c r="AL72" s="425"/>
      <c r="AM72" s="425"/>
      <c r="AN72" s="425"/>
      <c r="AO72" s="425"/>
      <c r="AP72" s="425"/>
      <c r="AQ72" s="42"/>
      <c r="AR72" s="43"/>
      <c r="AS72" s="43"/>
      <c r="AT72" s="43"/>
      <c r="AU72" s="43"/>
      <c r="AV72" s="43"/>
      <c r="AW72" s="43"/>
      <c r="AX72" s="43"/>
      <c r="AY72" s="43"/>
      <c r="AZ72" s="43"/>
      <c r="BH72" s="53"/>
      <c r="BI72" s="51"/>
    </row>
    <row r="73" spans="1:61" ht="18" customHeight="1">
      <c r="A73" s="36"/>
      <c r="B73" s="404"/>
      <c r="C73" s="404"/>
      <c r="D73" s="404"/>
      <c r="E73" s="404"/>
      <c r="F73" s="288"/>
      <c r="G73" s="288"/>
      <c r="H73" s="288"/>
      <c r="I73" s="288"/>
      <c r="J73" s="288"/>
      <c r="K73" s="288"/>
      <c r="L73" s="288"/>
      <c r="M73" s="288"/>
      <c r="N73" s="288"/>
      <c r="O73" s="288"/>
      <c r="P73" s="288"/>
      <c r="Q73" s="288"/>
      <c r="R73" s="288"/>
      <c r="S73" s="288"/>
      <c r="T73" s="288"/>
      <c r="U73" s="288"/>
      <c r="V73" s="288"/>
      <c r="W73" s="288"/>
      <c r="X73" s="288"/>
      <c r="Y73" s="288"/>
      <c r="Z73" s="288"/>
      <c r="AA73" s="288"/>
      <c r="AB73" s="288"/>
      <c r="AC73" s="288"/>
      <c r="AD73" s="288"/>
      <c r="AE73" s="288"/>
      <c r="AF73" s="288"/>
      <c r="AG73" s="288"/>
      <c r="AH73" s="288"/>
      <c r="AI73" s="289"/>
      <c r="AK73" s="425"/>
      <c r="AL73" s="425"/>
      <c r="AM73" s="425"/>
      <c r="AN73" s="425"/>
      <c r="AO73" s="425"/>
      <c r="AP73" s="425"/>
      <c r="AQ73" s="42"/>
      <c r="AR73" s="43"/>
      <c r="AS73" s="43"/>
      <c r="AT73" s="43"/>
      <c r="AU73" s="43"/>
      <c r="AV73" s="43"/>
      <c r="AW73" s="43"/>
      <c r="AX73" s="43"/>
      <c r="AY73" s="43"/>
      <c r="AZ73" s="43"/>
      <c r="BH73" s="54"/>
      <c r="BI73" s="51"/>
    </row>
    <row r="74" spans="1:61" ht="18" customHeight="1">
      <c r="A74" s="36"/>
      <c r="B74" s="404"/>
      <c r="C74" s="404"/>
      <c r="D74" s="404"/>
      <c r="E74" s="404"/>
      <c r="F74" s="288"/>
      <c r="G74" s="288"/>
      <c r="H74" s="288"/>
      <c r="I74" s="288"/>
      <c r="J74" s="288"/>
      <c r="K74" s="288"/>
      <c r="L74" s="288"/>
      <c r="M74" s="288"/>
      <c r="N74" s="288"/>
      <c r="O74" s="288"/>
      <c r="P74" s="288"/>
      <c r="Q74" s="288"/>
      <c r="R74" s="288"/>
      <c r="S74" s="288"/>
      <c r="T74" s="288"/>
      <c r="U74" s="288"/>
      <c r="V74" s="288"/>
      <c r="W74" s="288"/>
      <c r="X74" s="288"/>
      <c r="Y74" s="288"/>
      <c r="Z74" s="288"/>
      <c r="AA74" s="288"/>
      <c r="AB74" s="288"/>
      <c r="AC74" s="288"/>
      <c r="AD74" s="288"/>
      <c r="AE74" s="288"/>
      <c r="AF74" s="288"/>
      <c r="AG74" s="288"/>
      <c r="AH74" s="288"/>
      <c r="AI74" s="289"/>
      <c r="AK74" s="425"/>
      <c r="AL74" s="425"/>
      <c r="AM74" s="425"/>
      <c r="AN74" s="425"/>
      <c r="AO74" s="425"/>
      <c r="AP74" s="425"/>
      <c r="AQ74" s="42"/>
      <c r="AR74" s="43"/>
      <c r="AS74" s="43"/>
      <c r="AT74" s="43"/>
      <c r="AU74" s="43"/>
      <c r="AV74" s="43"/>
      <c r="AW74" s="43"/>
      <c r="AX74" s="43"/>
      <c r="AY74" s="43"/>
      <c r="AZ74" s="43"/>
      <c r="BH74" s="54"/>
      <c r="BI74" s="51"/>
    </row>
    <row r="75" spans="1:61" ht="18" customHeight="1">
      <c r="A75" s="36"/>
      <c r="B75" s="404"/>
      <c r="C75" s="404"/>
      <c r="D75" s="404"/>
      <c r="E75" s="404"/>
      <c r="F75" s="288"/>
      <c r="G75" s="288"/>
      <c r="H75" s="288"/>
      <c r="I75" s="288"/>
      <c r="J75" s="288"/>
      <c r="K75" s="288"/>
      <c r="L75" s="288"/>
      <c r="M75" s="288"/>
      <c r="N75" s="288"/>
      <c r="O75" s="288"/>
      <c r="P75" s="288"/>
      <c r="Q75" s="288"/>
      <c r="R75" s="288"/>
      <c r="S75" s="288"/>
      <c r="T75" s="288"/>
      <c r="U75" s="288"/>
      <c r="V75" s="288"/>
      <c r="W75" s="288"/>
      <c r="X75" s="288"/>
      <c r="Y75" s="288"/>
      <c r="Z75" s="288"/>
      <c r="AA75" s="288"/>
      <c r="AB75" s="288"/>
      <c r="AC75" s="288"/>
      <c r="AD75" s="288"/>
      <c r="AE75" s="288"/>
      <c r="AF75" s="288"/>
      <c r="AG75" s="288"/>
      <c r="AH75" s="288"/>
      <c r="AI75" s="289"/>
      <c r="AK75" s="425"/>
      <c r="AL75" s="425"/>
      <c r="AM75" s="425"/>
      <c r="AN75" s="425"/>
      <c r="AO75" s="425"/>
      <c r="AP75" s="425"/>
      <c r="AQ75" s="42"/>
      <c r="AR75" s="43"/>
      <c r="AS75" s="43"/>
      <c r="AT75" s="43"/>
      <c r="AU75" s="43"/>
      <c r="AV75" s="43"/>
      <c r="AW75" s="43"/>
      <c r="AX75" s="43"/>
      <c r="AY75" s="43"/>
      <c r="AZ75" s="43"/>
      <c r="BH75" s="53"/>
      <c r="BI75" s="51"/>
    </row>
    <row r="76" spans="1:61" ht="18" customHeight="1">
      <c r="A76" s="36"/>
      <c r="B76" s="404"/>
      <c r="C76" s="404"/>
      <c r="D76" s="404"/>
      <c r="E76" s="404"/>
      <c r="F76" s="288"/>
      <c r="G76" s="288"/>
      <c r="H76" s="288"/>
      <c r="I76" s="288"/>
      <c r="J76" s="288"/>
      <c r="K76" s="288"/>
      <c r="L76" s="288"/>
      <c r="M76" s="288"/>
      <c r="N76" s="288"/>
      <c r="O76" s="288"/>
      <c r="P76" s="288"/>
      <c r="Q76" s="288"/>
      <c r="R76" s="288"/>
      <c r="S76" s="288"/>
      <c r="T76" s="288"/>
      <c r="U76" s="288"/>
      <c r="V76" s="288"/>
      <c r="W76" s="288"/>
      <c r="X76" s="288"/>
      <c r="Y76" s="288"/>
      <c r="Z76" s="288"/>
      <c r="AA76" s="288"/>
      <c r="AB76" s="288"/>
      <c r="AC76" s="288"/>
      <c r="AD76" s="288"/>
      <c r="AE76" s="288"/>
      <c r="AF76" s="288"/>
      <c r="AG76" s="288"/>
      <c r="AH76" s="288"/>
      <c r="AI76" s="289"/>
      <c r="AK76" s="425"/>
      <c r="AL76" s="425"/>
      <c r="AM76" s="425"/>
      <c r="AN76" s="425"/>
      <c r="AO76" s="425"/>
      <c r="AP76" s="425"/>
      <c r="AQ76" s="42"/>
      <c r="AR76" s="43"/>
      <c r="AS76" s="43"/>
      <c r="AT76" s="43"/>
      <c r="AU76" s="43"/>
      <c r="AV76" s="43"/>
      <c r="AW76" s="43"/>
      <c r="AX76" s="43"/>
      <c r="AY76" s="43"/>
      <c r="AZ76" s="43"/>
      <c r="BH76" s="53"/>
      <c r="BI76" s="51"/>
    </row>
    <row r="77" spans="1:61" ht="18" customHeight="1">
      <c r="A77" s="36"/>
      <c r="B77" s="404"/>
      <c r="C77" s="404"/>
      <c r="D77" s="404"/>
      <c r="E77" s="404"/>
      <c r="F77" s="288"/>
      <c r="G77" s="288"/>
      <c r="H77" s="288"/>
      <c r="I77" s="288"/>
      <c r="J77" s="288"/>
      <c r="K77" s="288"/>
      <c r="L77" s="288"/>
      <c r="M77" s="288"/>
      <c r="N77" s="288"/>
      <c r="O77" s="288"/>
      <c r="P77" s="288"/>
      <c r="Q77" s="288"/>
      <c r="R77" s="288"/>
      <c r="S77" s="288"/>
      <c r="T77" s="288"/>
      <c r="U77" s="288"/>
      <c r="V77" s="288"/>
      <c r="W77" s="288"/>
      <c r="X77" s="288"/>
      <c r="Y77" s="288"/>
      <c r="Z77" s="288"/>
      <c r="AA77" s="288"/>
      <c r="AB77" s="288"/>
      <c r="AC77" s="288"/>
      <c r="AD77" s="288"/>
      <c r="AE77" s="288"/>
      <c r="AF77" s="288"/>
      <c r="AG77" s="288"/>
      <c r="AH77" s="288"/>
      <c r="AI77" s="289"/>
      <c r="AK77" s="425"/>
      <c r="AL77" s="425"/>
      <c r="AM77" s="425"/>
      <c r="AN77" s="425"/>
      <c r="AO77" s="425"/>
      <c r="AP77" s="425"/>
      <c r="AQ77" s="42"/>
      <c r="AR77" s="43"/>
      <c r="AS77" s="43"/>
      <c r="AT77" s="43"/>
      <c r="AU77" s="43"/>
      <c r="AV77" s="43"/>
      <c r="AW77" s="43"/>
      <c r="AX77" s="43"/>
      <c r="AY77" s="43"/>
      <c r="AZ77" s="43"/>
      <c r="BH77" s="54"/>
      <c r="BI77" s="51"/>
    </row>
    <row r="78" spans="1:61" ht="18" customHeight="1">
      <c r="A78" s="36"/>
      <c r="B78" s="404"/>
      <c r="C78" s="404"/>
      <c r="D78" s="404"/>
      <c r="E78" s="404"/>
      <c r="F78" s="288"/>
      <c r="G78" s="288"/>
      <c r="H78" s="288"/>
      <c r="I78" s="288"/>
      <c r="J78" s="288"/>
      <c r="K78" s="288"/>
      <c r="L78" s="288"/>
      <c r="M78" s="288"/>
      <c r="N78" s="288"/>
      <c r="O78" s="288"/>
      <c r="P78" s="288"/>
      <c r="Q78" s="288"/>
      <c r="R78" s="288"/>
      <c r="S78" s="288"/>
      <c r="T78" s="288"/>
      <c r="U78" s="288"/>
      <c r="V78" s="288"/>
      <c r="W78" s="288"/>
      <c r="X78" s="288"/>
      <c r="Y78" s="288"/>
      <c r="Z78" s="288"/>
      <c r="AA78" s="288"/>
      <c r="AB78" s="288"/>
      <c r="AC78" s="288"/>
      <c r="AD78" s="288"/>
      <c r="AE78" s="288"/>
      <c r="AF78" s="288"/>
      <c r="AG78" s="288"/>
      <c r="AH78" s="288"/>
      <c r="AI78" s="289"/>
      <c r="AK78" s="425"/>
      <c r="AL78" s="425"/>
      <c r="AM78" s="425"/>
      <c r="AN78" s="425"/>
      <c r="AO78" s="425"/>
      <c r="AP78" s="425"/>
      <c r="AQ78" s="42"/>
      <c r="AR78" s="43"/>
      <c r="AS78" s="43"/>
      <c r="AT78" s="43"/>
      <c r="AU78" s="43"/>
      <c r="AV78" s="43"/>
      <c r="AW78" s="43"/>
      <c r="AX78" s="43"/>
      <c r="AY78" s="43"/>
      <c r="AZ78" s="43"/>
      <c r="BH78" s="54"/>
      <c r="BI78" s="51"/>
    </row>
    <row r="79" spans="1:61" ht="18" customHeight="1">
      <c r="A79" s="36"/>
      <c r="B79" s="404"/>
      <c r="C79" s="404"/>
      <c r="D79" s="404"/>
      <c r="E79" s="404"/>
      <c r="F79" s="288"/>
      <c r="G79" s="288"/>
      <c r="H79" s="288"/>
      <c r="I79" s="288"/>
      <c r="J79" s="288"/>
      <c r="K79" s="288"/>
      <c r="L79" s="288"/>
      <c r="M79" s="288"/>
      <c r="N79" s="288"/>
      <c r="O79" s="288"/>
      <c r="P79" s="288"/>
      <c r="Q79" s="288"/>
      <c r="R79" s="288"/>
      <c r="S79" s="288"/>
      <c r="T79" s="288"/>
      <c r="U79" s="288"/>
      <c r="V79" s="288"/>
      <c r="W79" s="288"/>
      <c r="X79" s="288"/>
      <c r="Y79" s="288"/>
      <c r="Z79" s="288"/>
      <c r="AA79" s="288"/>
      <c r="AB79" s="288"/>
      <c r="AC79" s="288"/>
      <c r="AD79" s="288"/>
      <c r="AE79" s="288"/>
      <c r="AF79" s="288"/>
      <c r="AG79" s="288"/>
      <c r="AH79" s="288"/>
      <c r="AI79" s="289"/>
      <c r="AK79" s="425"/>
      <c r="AL79" s="425"/>
      <c r="AM79" s="425"/>
      <c r="AN79" s="425"/>
      <c r="AO79" s="425"/>
      <c r="AP79" s="425"/>
      <c r="AQ79" s="42"/>
      <c r="AR79" s="43"/>
      <c r="AS79" s="43"/>
      <c r="AT79" s="43"/>
      <c r="AU79" s="43"/>
      <c r="AV79" s="43"/>
      <c r="AW79" s="43"/>
      <c r="AX79" s="43"/>
      <c r="AY79" s="43"/>
      <c r="AZ79" s="43"/>
      <c r="BH79" s="54"/>
      <c r="BI79" s="51"/>
    </row>
    <row r="80" spans="1:61" ht="18" customHeight="1">
      <c r="A80" s="37"/>
      <c r="B80" s="466"/>
      <c r="C80" s="466"/>
      <c r="D80" s="466"/>
      <c r="E80" s="466"/>
      <c r="F80" s="467"/>
      <c r="G80" s="467"/>
      <c r="H80" s="467"/>
      <c r="I80" s="467"/>
      <c r="J80" s="467"/>
      <c r="K80" s="467"/>
      <c r="L80" s="467"/>
      <c r="M80" s="467"/>
      <c r="N80" s="467"/>
      <c r="O80" s="467"/>
      <c r="P80" s="467"/>
      <c r="Q80" s="467"/>
      <c r="R80" s="467"/>
      <c r="S80" s="467"/>
      <c r="T80" s="467"/>
      <c r="U80" s="467"/>
      <c r="V80" s="467"/>
      <c r="W80" s="467"/>
      <c r="X80" s="467"/>
      <c r="Y80" s="467"/>
      <c r="Z80" s="467"/>
      <c r="AA80" s="467"/>
      <c r="AB80" s="467"/>
      <c r="AC80" s="467"/>
      <c r="AD80" s="467"/>
      <c r="AE80" s="467"/>
      <c r="AF80" s="467"/>
      <c r="AG80" s="467"/>
      <c r="AH80" s="467"/>
      <c r="AI80" s="468"/>
      <c r="AK80" s="425"/>
      <c r="AL80" s="425"/>
      <c r="AM80" s="425"/>
      <c r="AN80" s="425"/>
      <c r="AO80" s="425"/>
      <c r="AP80" s="425"/>
      <c r="AQ80" s="42"/>
      <c r="AR80" s="43"/>
      <c r="AS80" s="43"/>
      <c r="AT80" s="43"/>
      <c r="AU80" s="43"/>
      <c r="AV80" s="43"/>
      <c r="AW80" s="43"/>
      <c r="AX80" s="43"/>
      <c r="AY80" s="43"/>
      <c r="AZ80" s="43"/>
      <c r="BH80" s="54"/>
      <c r="BI80" s="51"/>
    </row>
    <row r="81" spans="1:61" ht="18" customHeight="1">
      <c r="A81" s="406" t="s">
        <v>704</v>
      </c>
      <c r="B81" s="407"/>
      <c r="C81" s="407"/>
      <c r="D81" s="407"/>
      <c r="E81" s="407"/>
      <c r="F81" s="407"/>
      <c r="G81" s="407"/>
      <c r="H81" s="407"/>
      <c r="I81" s="407"/>
      <c r="J81" s="407"/>
      <c r="K81" s="407"/>
      <c r="L81" s="407"/>
      <c r="M81" s="407"/>
      <c r="N81" s="407"/>
      <c r="O81" s="407"/>
      <c r="P81" s="407"/>
      <c r="Q81" s="407"/>
      <c r="R81" s="407"/>
      <c r="S81" s="407"/>
      <c r="T81" s="407"/>
      <c r="U81" s="407"/>
      <c r="V81" s="407"/>
      <c r="W81" s="407"/>
      <c r="X81" s="407"/>
      <c r="Y81" s="407"/>
      <c r="Z81" s="407"/>
      <c r="AA81" s="407"/>
      <c r="AB81" s="407"/>
      <c r="AC81" s="407"/>
      <c r="AD81" s="407"/>
      <c r="AE81" s="407"/>
      <c r="AF81" s="407"/>
      <c r="AG81" s="407"/>
      <c r="AH81" s="407"/>
      <c r="AI81" s="408"/>
      <c r="AK81" s="425"/>
      <c r="AL81" s="425"/>
      <c r="AM81" s="425"/>
      <c r="AN81" s="425"/>
      <c r="AO81" s="425"/>
      <c r="AP81" s="425"/>
      <c r="AQ81" s="42"/>
      <c r="AR81" s="43"/>
      <c r="AS81" s="43"/>
      <c r="AT81" s="43"/>
      <c r="AU81" s="43"/>
      <c r="AV81" s="43"/>
      <c r="AW81" s="43"/>
      <c r="AX81" s="43"/>
      <c r="AY81" s="43"/>
      <c r="AZ81" s="43"/>
      <c r="BH81" s="53"/>
      <c r="BI81" s="51"/>
    </row>
    <row r="82" spans="1:61" ht="18" customHeight="1">
      <c r="A82" s="38"/>
      <c r="B82" s="465">
        <v>45644</v>
      </c>
      <c r="C82" s="465"/>
      <c r="D82" s="465"/>
      <c r="E82" s="465"/>
      <c r="F82" s="288" t="s">
        <v>837</v>
      </c>
      <c r="G82" s="288"/>
      <c r="H82" s="288"/>
      <c r="I82" s="288"/>
      <c r="J82" s="288"/>
      <c r="K82" s="288"/>
      <c r="L82" s="288"/>
      <c r="M82" s="288"/>
      <c r="N82" s="288"/>
      <c r="O82" s="288"/>
      <c r="P82" s="288"/>
      <c r="Q82" s="288"/>
      <c r="R82" s="288"/>
      <c r="S82" s="288"/>
      <c r="T82" s="288"/>
      <c r="U82" s="288"/>
      <c r="V82" s="288"/>
      <c r="W82" s="288"/>
      <c r="X82" s="288"/>
      <c r="Y82" s="288"/>
      <c r="Z82" s="288"/>
      <c r="AA82" s="288"/>
      <c r="AB82" s="288"/>
      <c r="AC82" s="288"/>
      <c r="AD82" s="288"/>
      <c r="AE82" s="288"/>
      <c r="AF82" s="288"/>
      <c r="AG82" s="288"/>
      <c r="AH82" s="288"/>
      <c r="AI82" s="289"/>
      <c r="AK82" s="425"/>
      <c r="AL82" s="425"/>
      <c r="AM82" s="425"/>
      <c r="AN82" s="425"/>
      <c r="AO82" s="425"/>
      <c r="AP82" s="425"/>
      <c r="AQ82" s="42"/>
      <c r="AR82" s="43"/>
      <c r="AS82" s="43"/>
      <c r="AT82" s="43"/>
      <c r="AU82" s="43"/>
      <c r="AV82" s="43"/>
      <c r="AW82" s="43"/>
      <c r="AX82" s="43"/>
      <c r="AY82" s="43"/>
      <c r="AZ82" s="43"/>
      <c r="BH82" s="53"/>
      <c r="BI82" s="51"/>
    </row>
    <row r="83" spans="1:61" ht="18" customHeight="1">
      <c r="A83" s="38"/>
      <c r="B83" s="465">
        <v>46160</v>
      </c>
      <c r="C83" s="465"/>
      <c r="D83" s="465"/>
      <c r="E83" s="465"/>
      <c r="F83" s="288" t="s">
        <v>838</v>
      </c>
      <c r="G83" s="288"/>
      <c r="H83" s="288"/>
      <c r="I83" s="288"/>
      <c r="J83" s="288"/>
      <c r="K83" s="288"/>
      <c r="L83" s="288"/>
      <c r="M83" s="288"/>
      <c r="N83" s="288"/>
      <c r="O83" s="288"/>
      <c r="P83" s="288"/>
      <c r="Q83" s="288"/>
      <c r="R83" s="288"/>
      <c r="S83" s="288"/>
      <c r="T83" s="288"/>
      <c r="U83" s="288"/>
      <c r="V83" s="288"/>
      <c r="W83" s="288"/>
      <c r="X83" s="288"/>
      <c r="Y83" s="288"/>
      <c r="Z83" s="288"/>
      <c r="AA83" s="288"/>
      <c r="AB83" s="288"/>
      <c r="AC83" s="288"/>
      <c r="AD83" s="288"/>
      <c r="AE83" s="288"/>
      <c r="AF83" s="288"/>
      <c r="AG83" s="288"/>
      <c r="AH83" s="288"/>
      <c r="AI83" s="289"/>
      <c r="AK83" s="425"/>
      <c r="AL83" s="425"/>
      <c r="AM83" s="425"/>
      <c r="AN83" s="425"/>
      <c r="AO83" s="425"/>
      <c r="AP83" s="425"/>
      <c r="AQ83" s="42"/>
      <c r="AR83" s="43"/>
      <c r="AS83" s="43"/>
      <c r="AT83" s="43"/>
      <c r="AU83" s="43"/>
      <c r="AV83" s="43"/>
      <c r="AW83" s="43"/>
      <c r="AX83" s="43"/>
      <c r="AY83" s="43"/>
      <c r="AZ83" s="43"/>
      <c r="BH83" s="53"/>
      <c r="BI83" s="51"/>
    </row>
    <row r="84" spans="1:61" ht="18" customHeight="1">
      <c r="A84" s="38"/>
      <c r="B84" s="465"/>
      <c r="C84" s="465"/>
      <c r="D84" s="465"/>
      <c r="E84" s="465"/>
      <c r="F84" s="288"/>
      <c r="G84" s="288"/>
      <c r="H84" s="288"/>
      <c r="I84" s="288"/>
      <c r="J84" s="288"/>
      <c r="K84" s="288"/>
      <c r="L84" s="288"/>
      <c r="M84" s="288"/>
      <c r="N84" s="288"/>
      <c r="O84" s="288"/>
      <c r="P84" s="288"/>
      <c r="Q84" s="288"/>
      <c r="R84" s="288"/>
      <c r="S84" s="288"/>
      <c r="T84" s="288"/>
      <c r="U84" s="288"/>
      <c r="V84" s="288"/>
      <c r="W84" s="288"/>
      <c r="X84" s="288"/>
      <c r="Y84" s="288"/>
      <c r="Z84" s="288"/>
      <c r="AA84" s="288"/>
      <c r="AB84" s="288"/>
      <c r="AC84" s="288"/>
      <c r="AD84" s="288"/>
      <c r="AE84" s="288"/>
      <c r="AF84" s="288"/>
      <c r="AG84" s="288"/>
      <c r="AH84" s="288"/>
      <c r="AI84" s="289"/>
      <c r="AK84" s="425"/>
      <c r="AL84" s="425"/>
      <c r="AM84" s="425"/>
      <c r="AN84" s="425"/>
      <c r="AO84" s="425"/>
      <c r="AP84" s="425"/>
      <c r="AQ84" s="42"/>
      <c r="AR84" s="43"/>
      <c r="AS84" s="43"/>
      <c r="AT84" s="43"/>
      <c r="AU84" s="43"/>
      <c r="AV84" s="43"/>
      <c r="AW84" s="43"/>
      <c r="AX84" s="43"/>
      <c r="AY84" s="43"/>
      <c r="AZ84" s="43"/>
    </row>
    <row r="85" spans="1:61" ht="18" customHeight="1">
      <c r="A85" s="38"/>
      <c r="B85" s="465"/>
      <c r="C85" s="465"/>
      <c r="D85" s="465"/>
      <c r="E85" s="465"/>
      <c r="F85" s="288"/>
      <c r="G85" s="288"/>
      <c r="H85" s="288"/>
      <c r="I85" s="288"/>
      <c r="J85" s="288"/>
      <c r="K85" s="288"/>
      <c r="L85" s="288"/>
      <c r="M85" s="288"/>
      <c r="N85" s="288"/>
      <c r="O85" s="288"/>
      <c r="P85" s="288"/>
      <c r="Q85" s="288"/>
      <c r="R85" s="288"/>
      <c r="S85" s="288"/>
      <c r="T85" s="288"/>
      <c r="U85" s="288"/>
      <c r="V85" s="288"/>
      <c r="W85" s="288"/>
      <c r="X85" s="288"/>
      <c r="Y85" s="288"/>
      <c r="Z85" s="288"/>
      <c r="AA85" s="288"/>
      <c r="AB85" s="288"/>
      <c r="AC85" s="288"/>
      <c r="AD85" s="288"/>
      <c r="AE85" s="288"/>
      <c r="AF85" s="288"/>
      <c r="AG85" s="288"/>
      <c r="AH85" s="288"/>
      <c r="AI85" s="289"/>
      <c r="AK85" s="425"/>
      <c r="AL85" s="425"/>
      <c r="AM85" s="425"/>
      <c r="AN85" s="425"/>
      <c r="AO85" s="425"/>
      <c r="AP85" s="425"/>
      <c r="AQ85" s="42"/>
      <c r="AR85" s="43"/>
      <c r="AS85" s="43"/>
      <c r="AT85" s="43"/>
      <c r="AU85" s="43"/>
      <c r="AV85" s="43"/>
      <c r="AW85" s="43"/>
      <c r="AX85" s="43"/>
      <c r="AY85" s="43"/>
      <c r="AZ85" s="43"/>
    </row>
    <row r="86" spans="1:61" ht="18" customHeight="1" thickBot="1">
      <c r="A86" s="41"/>
      <c r="B86" s="540"/>
      <c r="C86" s="540"/>
      <c r="D86" s="540"/>
      <c r="E86" s="540"/>
      <c r="F86" s="541"/>
      <c r="G86" s="541"/>
      <c r="H86" s="541"/>
      <c r="I86" s="541"/>
      <c r="J86" s="541"/>
      <c r="K86" s="541"/>
      <c r="L86" s="541"/>
      <c r="M86" s="541"/>
      <c r="N86" s="541"/>
      <c r="O86" s="541"/>
      <c r="P86" s="541"/>
      <c r="Q86" s="541"/>
      <c r="R86" s="541"/>
      <c r="S86" s="541"/>
      <c r="T86" s="541"/>
      <c r="U86" s="541"/>
      <c r="V86" s="541"/>
      <c r="W86" s="541"/>
      <c r="X86" s="541"/>
      <c r="Y86" s="541"/>
      <c r="Z86" s="541"/>
      <c r="AA86" s="541"/>
      <c r="AB86" s="541"/>
      <c r="AC86" s="541"/>
      <c r="AD86" s="541"/>
      <c r="AE86" s="541"/>
      <c r="AF86" s="541"/>
      <c r="AG86" s="541"/>
      <c r="AH86" s="541"/>
      <c r="AI86" s="542"/>
      <c r="AK86" s="425"/>
      <c r="AL86" s="425"/>
      <c r="AM86" s="425"/>
      <c r="AN86" s="425"/>
      <c r="AO86" s="425"/>
      <c r="AP86" s="425"/>
      <c r="AQ86" s="42"/>
      <c r="AR86" s="43"/>
      <c r="AS86" s="43"/>
      <c r="AT86" s="43"/>
      <c r="AU86" s="43"/>
      <c r="AV86" s="43"/>
      <c r="AW86" s="43"/>
      <c r="AX86" s="43"/>
      <c r="AY86" s="43"/>
      <c r="AZ86" s="43"/>
    </row>
    <row r="87" spans="1:61" ht="14.1" customHeight="1">
      <c r="AK87" s="438"/>
      <c r="AL87" s="438"/>
      <c r="AM87" s="438"/>
      <c r="AN87" s="438"/>
      <c r="AO87" s="438"/>
      <c r="AP87" s="438"/>
      <c r="AQ87" s="119"/>
    </row>
    <row r="88" spans="1:61" ht="14.1" customHeight="1">
      <c r="AK88" s="437"/>
      <c r="AL88" s="437"/>
      <c r="AM88" s="437"/>
      <c r="AN88" s="437"/>
      <c r="AO88" s="437"/>
      <c r="AP88" s="437"/>
      <c r="AQ88" s="120"/>
    </row>
    <row r="89" spans="1:61" ht="14.1" customHeight="1">
      <c r="AK89" s="437"/>
      <c r="AL89" s="437"/>
      <c r="AM89" s="437"/>
      <c r="AN89" s="437"/>
      <c r="AO89" s="437"/>
      <c r="AP89" s="437"/>
      <c r="AQ89" s="120"/>
    </row>
    <row r="90" spans="1:61" ht="14.1" customHeight="1"/>
    <row r="91" spans="1:61" ht="14.1" customHeight="1"/>
    <row r="92" spans="1:61" ht="14.1" customHeight="1"/>
    <row r="93" spans="1:61" ht="14.1" customHeight="1"/>
    <row r="94" spans="1:61" ht="14.1" customHeight="1"/>
    <row r="95" spans="1:61" ht="14.1" customHeight="1"/>
    <row r="96" spans="1:61" ht="14.1" customHeight="1"/>
    <row r="97" ht="14.1" customHeight="1"/>
    <row r="98" ht="14.1" customHeight="1"/>
    <row r="99" ht="14.1" customHeight="1"/>
    <row r="100" ht="14.1" customHeight="1"/>
    <row r="101" ht="14.1" customHeight="1"/>
    <row r="102" ht="14.1" customHeight="1"/>
    <row r="103" ht="14.1" customHeight="1"/>
    <row r="104" ht="14.1" customHeight="1"/>
    <row r="105" ht="14.1" customHeight="1"/>
    <row r="106" ht="14.1" customHeight="1"/>
    <row r="107" ht="14.1" customHeight="1"/>
    <row r="108" ht="14.1" customHeight="1"/>
    <row r="109" ht="14.1" customHeight="1"/>
    <row r="110" ht="14.1" customHeight="1"/>
    <row r="111" ht="14.1" customHeight="1"/>
    <row r="112" ht="14.1" customHeight="1"/>
    <row r="113" ht="14.1" customHeight="1"/>
    <row r="114" ht="14.1" customHeight="1"/>
    <row r="115" ht="14.1" customHeight="1"/>
    <row r="116" ht="14.1" customHeight="1"/>
    <row r="117" ht="14.1" customHeight="1"/>
    <row r="118" ht="14.1" customHeight="1"/>
    <row r="119" ht="14.1" customHeight="1"/>
    <row r="120" ht="14.1" customHeight="1"/>
    <row r="121" ht="14.1" customHeight="1"/>
    <row r="122" ht="14.1" customHeight="1"/>
    <row r="123" ht="14.1" customHeight="1"/>
    <row r="124" ht="14.1" customHeight="1"/>
    <row r="125" ht="14.1" customHeight="1"/>
    <row r="126" ht="14.1" customHeight="1"/>
    <row r="127" ht="14.1" customHeight="1"/>
    <row r="128" ht="14.1" customHeight="1"/>
    <row r="129" ht="14.1" customHeight="1"/>
    <row r="130" ht="14.1" customHeight="1"/>
    <row r="131" ht="14.1" customHeight="1"/>
    <row r="132" ht="14.1" customHeight="1"/>
    <row r="133" ht="14.1" customHeight="1"/>
    <row r="134" ht="14.1" customHeight="1"/>
    <row r="135" ht="14.1" customHeight="1"/>
    <row r="136" ht="14.1" customHeight="1"/>
    <row r="137" ht="14.1" customHeight="1"/>
    <row r="138" ht="14.1" customHeight="1"/>
    <row r="139" ht="14.1" customHeight="1"/>
    <row r="140" ht="14.1" customHeight="1"/>
    <row r="141" ht="14.1" customHeight="1"/>
    <row r="142" ht="14.1" customHeight="1"/>
    <row r="143" ht="14.1" customHeight="1"/>
    <row r="144" ht="14.1" customHeight="1"/>
    <row r="145" ht="14.1" customHeight="1"/>
    <row r="146" ht="14.1" customHeight="1"/>
    <row r="147" ht="14.1" customHeight="1"/>
    <row r="148" ht="14.1" customHeight="1"/>
    <row r="149" ht="14.1" customHeight="1"/>
    <row r="150" ht="14.1" customHeight="1"/>
    <row r="151" ht="14.1" customHeight="1"/>
    <row r="152" ht="14.1" customHeight="1"/>
    <row r="153" ht="14.1" customHeight="1"/>
    <row r="154" ht="14.1" customHeight="1"/>
    <row r="155" ht="14.1" customHeight="1"/>
    <row r="156" ht="14.1" customHeight="1"/>
    <row r="157" ht="14.1" customHeight="1"/>
    <row r="158" ht="14.1" customHeight="1"/>
    <row r="159" ht="14.1" customHeight="1"/>
    <row r="160" ht="14.1" customHeight="1"/>
    <row r="161" ht="14.1" customHeight="1"/>
    <row r="162" ht="14.1" customHeight="1"/>
    <row r="163" ht="14.1" customHeight="1"/>
    <row r="164" ht="14.1" customHeight="1"/>
    <row r="165" ht="14.1" customHeight="1"/>
    <row r="166" ht="14.1" customHeight="1"/>
    <row r="167" ht="14.1" customHeight="1"/>
    <row r="168" ht="14.1" customHeight="1"/>
    <row r="169" ht="14.1" customHeight="1"/>
    <row r="170" ht="14.1" customHeight="1"/>
    <row r="171" ht="14.1" customHeight="1"/>
    <row r="172" ht="14.1" customHeight="1"/>
    <row r="173" ht="14.1" customHeight="1"/>
    <row r="174" ht="14.1" customHeight="1"/>
    <row r="175" ht="14.1" customHeight="1"/>
    <row r="176" ht="14.1" customHeight="1"/>
    <row r="177" ht="14.1" customHeight="1"/>
    <row r="178" ht="14.1" customHeight="1"/>
    <row r="179" ht="14.1" customHeight="1"/>
    <row r="180" ht="14.1" customHeight="1"/>
    <row r="181" ht="14.1" customHeight="1"/>
    <row r="182" ht="14.1" customHeight="1"/>
    <row r="183" ht="14.1" customHeight="1"/>
    <row r="184" ht="14.1" customHeight="1"/>
    <row r="185" ht="14.1" customHeight="1"/>
    <row r="186" ht="14.1" customHeight="1"/>
    <row r="187" ht="14.1" customHeight="1"/>
    <row r="188" ht="14.1" customHeight="1"/>
    <row r="189" ht="14.1" customHeight="1"/>
    <row r="190" ht="14.1" customHeight="1"/>
    <row r="191" ht="14.1" customHeight="1"/>
    <row r="192" ht="14.1" customHeight="1"/>
    <row r="193" ht="14.1" customHeight="1"/>
    <row r="194" ht="14.1" customHeight="1"/>
    <row r="195" ht="14.1" customHeight="1"/>
    <row r="196" ht="14.1" customHeight="1"/>
    <row r="197" ht="14.1" customHeight="1"/>
    <row r="198" ht="14.1" customHeight="1"/>
    <row r="199" ht="14.1" customHeight="1"/>
    <row r="200" ht="14.1" customHeight="1"/>
    <row r="201" ht="14.1" customHeight="1"/>
    <row r="202" ht="14.1" customHeight="1"/>
    <row r="203" ht="14.1" customHeight="1"/>
    <row r="204" ht="14.1" customHeight="1"/>
    <row r="205" ht="14.1" customHeight="1"/>
    <row r="206" ht="14.1" customHeight="1"/>
    <row r="207" ht="14.1" customHeight="1"/>
    <row r="208" ht="14.1" customHeight="1"/>
    <row r="209" ht="14.1" customHeight="1"/>
    <row r="210" ht="14.1" customHeight="1"/>
    <row r="211" ht="14.1" customHeight="1"/>
    <row r="212" ht="14.1" customHeight="1"/>
    <row r="213" ht="14.1" customHeight="1"/>
    <row r="214" ht="14.1" customHeight="1"/>
    <row r="215" ht="14.1" customHeight="1"/>
    <row r="216" ht="14.1" customHeight="1"/>
    <row r="217" ht="14.1" customHeight="1"/>
    <row r="218" ht="14.1" customHeight="1"/>
    <row r="219" ht="14.1" customHeight="1"/>
    <row r="220" ht="14.1" customHeight="1"/>
    <row r="221" ht="14.1" customHeight="1"/>
    <row r="222" ht="14.1" customHeight="1"/>
    <row r="223" ht="14.1" customHeight="1"/>
    <row r="224" ht="14.1" customHeight="1"/>
    <row r="225" ht="14.1" customHeight="1"/>
    <row r="226" ht="14.1" customHeight="1"/>
    <row r="227" ht="14.1" customHeight="1"/>
    <row r="228" ht="14.1" customHeight="1"/>
    <row r="229" ht="14.1" customHeight="1"/>
    <row r="230" ht="14.1" customHeight="1"/>
    <row r="231" ht="14.1" customHeight="1"/>
    <row r="232" ht="14.1" customHeight="1"/>
    <row r="233" ht="14.1" customHeight="1"/>
    <row r="234" ht="14.1" customHeight="1"/>
    <row r="235" ht="14.1" customHeight="1"/>
    <row r="236" ht="14.1" customHeight="1"/>
    <row r="237" ht="14.1" customHeight="1"/>
    <row r="238" ht="14.1" customHeight="1"/>
    <row r="239" ht="14.1" customHeight="1"/>
    <row r="240" ht="14.1" customHeight="1"/>
    <row r="241" ht="14.1" customHeight="1"/>
    <row r="242" ht="14.1" customHeight="1"/>
    <row r="243" ht="14.1" customHeight="1"/>
    <row r="244" ht="14.1" customHeight="1"/>
    <row r="245" ht="14.1" customHeight="1"/>
    <row r="246" ht="14.1" customHeight="1"/>
    <row r="247" ht="14.1" customHeight="1"/>
    <row r="248" ht="14.1" customHeight="1"/>
    <row r="249" ht="14.1" customHeight="1"/>
    <row r="250" ht="14.1" customHeight="1"/>
    <row r="251" ht="14.1" customHeight="1"/>
    <row r="252" ht="14.1" customHeight="1"/>
    <row r="253" ht="14.1" customHeight="1"/>
    <row r="254" ht="14.1" customHeight="1"/>
    <row r="255" ht="14.1" customHeight="1"/>
    <row r="256" ht="14.1" customHeight="1"/>
    <row r="257" ht="14.1" customHeight="1"/>
    <row r="258" ht="14.1" customHeight="1"/>
    <row r="259" ht="14.1" customHeight="1"/>
    <row r="260" ht="14.1" customHeight="1"/>
    <row r="261" ht="14.1" customHeight="1"/>
    <row r="262" ht="14.1" customHeight="1"/>
    <row r="263" ht="14.1" customHeight="1"/>
    <row r="264" ht="14.1" customHeight="1"/>
    <row r="265" ht="14.1" customHeight="1"/>
    <row r="266" ht="14.1" customHeight="1"/>
  </sheetData>
  <sheetProtection algorithmName="SHA-512" hashValue="0loLJCJhL4ad+e9W1BFBlntzNt2hf75qC+V2eugpQkoXMOcFlTwiL5DSpVRXAf1cyQ/kgBnOXO/4cSPzCUKn4A==" saltValue="4etb9yyOEqZ9UduJqdtb6g==" spinCount="100000" sheet="1" autoFilter="0"/>
  <mergeCells count="381">
    <mergeCell ref="A1:S3"/>
    <mergeCell ref="T1:Z3"/>
    <mergeCell ref="AD1:AI1"/>
    <mergeCell ref="AD2:AF4"/>
    <mergeCell ref="AG2:AI4"/>
    <mergeCell ref="A4:S5"/>
    <mergeCell ref="AK7:AP8"/>
    <mergeCell ref="AQ7:AQ8"/>
    <mergeCell ref="V8:X8"/>
    <mergeCell ref="A9:AI9"/>
    <mergeCell ref="AK9:AP9"/>
    <mergeCell ref="A10:H10"/>
    <mergeCell ref="I10:J10"/>
    <mergeCell ref="K10:L10"/>
    <mergeCell ref="M10:T10"/>
    <mergeCell ref="U10:V10"/>
    <mergeCell ref="O7:P8"/>
    <mergeCell ref="Q7:R8"/>
    <mergeCell ref="S7:T8"/>
    <mergeCell ref="V7:X7"/>
    <mergeCell ref="Y7:AA8"/>
    <mergeCell ref="AB7:AI8"/>
    <mergeCell ref="A7:E8"/>
    <mergeCell ref="F7:F8"/>
    <mergeCell ref="G7:I8"/>
    <mergeCell ref="J7:J8"/>
    <mergeCell ref="K7:M8"/>
    <mergeCell ref="N7:N8"/>
    <mergeCell ref="W10:X10"/>
    <mergeCell ref="Y10:AF10"/>
    <mergeCell ref="AG10:AH10"/>
    <mergeCell ref="AK10:AP10"/>
    <mergeCell ref="A11:H11"/>
    <mergeCell ref="I11:J11"/>
    <mergeCell ref="K11:L11"/>
    <mergeCell ref="M11:T11"/>
    <mergeCell ref="U11:V11"/>
    <mergeCell ref="W11:X11"/>
    <mergeCell ref="Y11:AF11"/>
    <mergeCell ref="AG11:AH11"/>
    <mergeCell ref="AK11:AP11"/>
    <mergeCell ref="A12:H12"/>
    <mergeCell ref="I12:J12"/>
    <mergeCell ref="K12:L12"/>
    <mergeCell ref="M12:T12"/>
    <mergeCell ref="U12:V12"/>
    <mergeCell ref="W12:X12"/>
    <mergeCell ref="Y12:AF12"/>
    <mergeCell ref="AG12:AH12"/>
    <mergeCell ref="AK12:AP12"/>
    <mergeCell ref="A13:H13"/>
    <mergeCell ref="I13:J13"/>
    <mergeCell ref="K13:L13"/>
    <mergeCell ref="M13:T13"/>
    <mergeCell ref="U13:V13"/>
    <mergeCell ref="W13:X13"/>
    <mergeCell ref="Y13:AF13"/>
    <mergeCell ref="AG13:AH13"/>
    <mergeCell ref="AK13:AP13"/>
    <mergeCell ref="A14:AI14"/>
    <mergeCell ref="AK14:AP14"/>
    <mergeCell ref="B15:I15"/>
    <mergeCell ref="J15:L15"/>
    <mergeCell ref="M15:N15"/>
    <mergeCell ref="O15:V15"/>
    <mergeCell ref="W15:Y15"/>
    <mergeCell ref="Z15:AA15"/>
    <mergeCell ref="AB15:AG15"/>
    <mergeCell ref="A18:E18"/>
    <mergeCell ref="F18:AI18"/>
    <mergeCell ref="AK18:AP18"/>
    <mergeCell ref="B19:E19"/>
    <mergeCell ref="F19:AI19"/>
    <mergeCell ref="AK19:AP19"/>
    <mergeCell ref="AH15:AI15"/>
    <mergeCell ref="AK15:AP15"/>
    <mergeCell ref="A16:AI16"/>
    <mergeCell ref="AK16:AP16"/>
    <mergeCell ref="A17:E17"/>
    <mergeCell ref="F17:AI17"/>
    <mergeCell ref="AK17:AP17"/>
    <mergeCell ref="B20:E20"/>
    <mergeCell ref="F20:AI20"/>
    <mergeCell ref="AK20:AP20"/>
    <mergeCell ref="AR20:AR23"/>
    <mergeCell ref="B21:E21"/>
    <mergeCell ref="F21:AI21"/>
    <mergeCell ref="AK21:AP21"/>
    <mergeCell ref="B22:E22"/>
    <mergeCell ref="F22:AI22"/>
    <mergeCell ref="AK22:AP22"/>
    <mergeCell ref="BA23:BB23"/>
    <mergeCell ref="B24:E24"/>
    <mergeCell ref="F24:AI24"/>
    <mergeCell ref="AK24:AP24"/>
    <mergeCell ref="AY24:AZ24"/>
    <mergeCell ref="BA24:BB24"/>
    <mergeCell ref="AS22:AT22"/>
    <mergeCell ref="AU22:AV22"/>
    <mergeCell ref="AY22:AZ22"/>
    <mergeCell ref="BA22:BB22"/>
    <mergeCell ref="B23:E23"/>
    <mergeCell ref="F23:AI23"/>
    <mergeCell ref="AK23:AP23"/>
    <mergeCell ref="AS23:AT23"/>
    <mergeCell ref="AU23:AV23"/>
    <mergeCell ref="AY23:AZ23"/>
    <mergeCell ref="B27:E27"/>
    <mergeCell ref="F27:AI27"/>
    <mergeCell ref="AK27:AP27"/>
    <mergeCell ref="AS27:AT27"/>
    <mergeCell ref="AU27:AW27"/>
    <mergeCell ref="AY27:BB27"/>
    <mergeCell ref="B25:E25"/>
    <mergeCell ref="F25:AI25"/>
    <mergeCell ref="AK25:AP25"/>
    <mergeCell ref="AY25:AZ25"/>
    <mergeCell ref="BA25:BB25"/>
    <mergeCell ref="B26:E26"/>
    <mergeCell ref="F26:AI26"/>
    <mergeCell ref="AK26:AP26"/>
    <mergeCell ref="AS26:AW26"/>
    <mergeCell ref="BA28:BB28"/>
    <mergeCell ref="B29:E29"/>
    <mergeCell ref="F29:AI29"/>
    <mergeCell ref="AK29:AP29"/>
    <mergeCell ref="AS29:AT29"/>
    <mergeCell ref="AU29:AW29"/>
    <mergeCell ref="AY29:AZ29"/>
    <mergeCell ref="BA29:BB29"/>
    <mergeCell ref="B28:E28"/>
    <mergeCell ref="F28:AI28"/>
    <mergeCell ref="AK28:AP28"/>
    <mergeCell ref="AS28:AT28"/>
    <mergeCell ref="AU28:AW28"/>
    <mergeCell ref="AY28:AZ28"/>
    <mergeCell ref="A32:AI32"/>
    <mergeCell ref="AK32:AP32"/>
    <mergeCell ref="AS32:AT32"/>
    <mergeCell ref="AU32:AW32"/>
    <mergeCell ref="AY32:AZ32"/>
    <mergeCell ref="BA32:BB32"/>
    <mergeCell ref="BA30:BB30"/>
    <mergeCell ref="B31:E31"/>
    <mergeCell ref="F31:AI31"/>
    <mergeCell ref="AK31:AP31"/>
    <mergeCell ref="AS31:AT31"/>
    <mergeCell ref="AU31:AW31"/>
    <mergeCell ref="AY31:AZ31"/>
    <mergeCell ref="BA31:BB31"/>
    <mergeCell ref="B30:E30"/>
    <mergeCell ref="F30:AI30"/>
    <mergeCell ref="AK30:AP30"/>
    <mergeCell ref="AS30:AT30"/>
    <mergeCell ref="AU30:AW30"/>
    <mergeCell ref="AY30:AZ30"/>
    <mergeCell ref="BA33:BB33"/>
    <mergeCell ref="B34:E34"/>
    <mergeCell ref="F34:AI34"/>
    <mergeCell ref="AK34:AP34"/>
    <mergeCell ref="AS34:AT34"/>
    <mergeCell ref="AU34:AW34"/>
    <mergeCell ref="AY34:AZ34"/>
    <mergeCell ref="BA34:BB34"/>
    <mergeCell ref="B33:E33"/>
    <mergeCell ref="F33:AI33"/>
    <mergeCell ref="AK33:AP33"/>
    <mergeCell ref="AS33:AT33"/>
    <mergeCell ref="AU33:AW33"/>
    <mergeCell ref="AY33:AZ33"/>
    <mergeCell ref="AY35:AZ35"/>
    <mergeCell ref="BA35:BB35"/>
    <mergeCell ref="A36:E36"/>
    <mergeCell ref="F36:K36"/>
    <mergeCell ref="L36:O36"/>
    <mergeCell ref="P36:R36"/>
    <mergeCell ref="T36:V36"/>
    <mergeCell ref="W36:AB36"/>
    <mergeCell ref="AC36:AI36"/>
    <mergeCell ref="B35:E35"/>
    <mergeCell ref="F35:V35"/>
    <mergeCell ref="W35:AB35"/>
    <mergeCell ref="AC35:AI35"/>
    <mergeCell ref="AK35:AP35"/>
    <mergeCell ref="AS35:AT35"/>
    <mergeCell ref="AK36:AP36"/>
    <mergeCell ref="AS36:AT36"/>
    <mergeCell ref="AU36:AW36"/>
    <mergeCell ref="AU35:AW35"/>
    <mergeCell ref="A39:AI39"/>
    <mergeCell ref="AK39:AP39"/>
    <mergeCell ref="AS39:AT39"/>
    <mergeCell ref="AV39:AW39"/>
    <mergeCell ref="A38:E38"/>
    <mergeCell ref="F38:K38"/>
    <mergeCell ref="L38:O38"/>
    <mergeCell ref="P38:V38"/>
    <mergeCell ref="W38:AB38"/>
    <mergeCell ref="AC38:AI38"/>
    <mergeCell ref="AD40:AI40"/>
    <mergeCell ref="A37:E37"/>
    <mergeCell ref="F37:AI37"/>
    <mergeCell ref="AK40:AP40"/>
    <mergeCell ref="AS40:AT40"/>
    <mergeCell ref="AV40:AW40"/>
    <mergeCell ref="A41:D41"/>
    <mergeCell ref="E41:G41"/>
    <mergeCell ref="I41:K41"/>
    <mergeCell ref="L41:R41"/>
    <mergeCell ref="S41:V41"/>
    <mergeCell ref="W41:Y41"/>
    <mergeCell ref="AA41:AC41"/>
    <mergeCell ref="AD41:AI41"/>
    <mergeCell ref="AK41:AP41"/>
    <mergeCell ref="A40:D40"/>
    <mergeCell ref="E40:K40"/>
    <mergeCell ref="L40:R40"/>
    <mergeCell ref="S40:V40"/>
    <mergeCell ref="W40:AC40"/>
    <mergeCell ref="AK37:AP37"/>
    <mergeCell ref="AS37:AT37"/>
    <mergeCell ref="AU37:AW37"/>
    <mergeCell ref="AK38:AP38"/>
    <mergeCell ref="A42:D42"/>
    <mergeCell ref="E42:G42"/>
    <mergeCell ref="I42:K42"/>
    <mergeCell ref="L42:R42"/>
    <mergeCell ref="S42:V42"/>
    <mergeCell ref="W42:Y42"/>
    <mergeCell ref="AA42:AC42"/>
    <mergeCell ref="AK42:AP42"/>
    <mergeCell ref="AS42:AW42"/>
    <mergeCell ref="A43:D43"/>
    <mergeCell ref="E43:G43"/>
    <mergeCell ref="I43:K43"/>
    <mergeCell ref="L43:R43"/>
    <mergeCell ref="S43:V43"/>
    <mergeCell ref="W43:Y43"/>
    <mergeCell ref="AA43:AC43"/>
    <mergeCell ref="A44:D44"/>
    <mergeCell ref="E44:G44"/>
    <mergeCell ref="I44:K44"/>
    <mergeCell ref="L44:R44"/>
    <mergeCell ref="S44:V44"/>
    <mergeCell ref="W44:Y44"/>
    <mergeCell ref="AA44:AC44"/>
    <mergeCell ref="AD44:AI44"/>
    <mergeCell ref="AD42:AI42"/>
    <mergeCell ref="AK44:AP44"/>
    <mergeCell ref="R45:U45"/>
    <mergeCell ref="W45:X45"/>
    <mergeCell ref="Z45:AA45"/>
    <mergeCell ref="AC45:AD45"/>
    <mergeCell ref="AE45:AF45"/>
    <mergeCell ref="AK45:AP45"/>
    <mergeCell ref="AD43:AI43"/>
    <mergeCell ref="AK43:AP43"/>
    <mergeCell ref="B49:E49"/>
    <mergeCell ref="F49:AI49"/>
    <mergeCell ref="AK49:AP49"/>
    <mergeCell ref="B50:E50"/>
    <mergeCell ref="F50:AI50"/>
    <mergeCell ref="AK50:AP50"/>
    <mergeCell ref="A46:AI46"/>
    <mergeCell ref="AK46:AP46"/>
    <mergeCell ref="B47:E47"/>
    <mergeCell ref="F47:AI47"/>
    <mergeCell ref="AK47:AP47"/>
    <mergeCell ref="B48:E48"/>
    <mergeCell ref="F48:AI48"/>
    <mergeCell ref="AK48:AP48"/>
    <mergeCell ref="B53:E53"/>
    <mergeCell ref="F53:AI53"/>
    <mergeCell ref="AK53:AP53"/>
    <mergeCell ref="B54:E54"/>
    <mergeCell ref="F54:AI54"/>
    <mergeCell ref="AK54:AP54"/>
    <mergeCell ref="B51:E51"/>
    <mergeCell ref="F51:AI51"/>
    <mergeCell ref="AK51:AP51"/>
    <mergeCell ref="B52:E52"/>
    <mergeCell ref="F52:AI52"/>
    <mergeCell ref="AK52:AP52"/>
    <mergeCell ref="B57:E57"/>
    <mergeCell ref="F57:AI57"/>
    <mergeCell ref="AK57:AP57"/>
    <mergeCell ref="B58:E58"/>
    <mergeCell ref="F58:AI58"/>
    <mergeCell ref="AK58:AP58"/>
    <mergeCell ref="B55:E55"/>
    <mergeCell ref="F55:AI55"/>
    <mergeCell ref="AK55:AP55"/>
    <mergeCell ref="B56:E56"/>
    <mergeCell ref="F56:AI56"/>
    <mergeCell ref="AK56:AP56"/>
    <mergeCell ref="B61:E61"/>
    <mergeCell ref="F61:AI61"/>
    <mergeCell ref="AK61:AP61"/>
    <mergeCell ref="B62:E62"/>
    <mergeCell ref="F62:AI62"/>
    <mergeCell ref="AK62:AP62"/>
    <mergeCell ref="B59:E59"/>
    <mergeCell ref="F59:AI59"/>
    <mergeCell ref="AK59:AP59"/>
    <mergeCell ref="B60:E60"/>
    <mergeCell ref="F60:AI60"/>
    <mergeCell ref="AK60:AP60"/>
    <mergeCell ref="B65:E65"/>
    <mergeCell ref="F65:AI65"/>
    <mergeCell ref="AK65:AP65"/>
    <mergeCell ref="B66:E66"/>
    <mergeCell ref="F66:AI66"/>
    <mergeCell ref="AK66:AP66"/>
    <mergeCell ref="B63:E63"/>
    <mergeCell ref="F63:AI63"/>
    <mergeCell ref="AK63:AP63"/>
    <mergeCell ref="B64:E64"/>
    <mergeCell ref="F64:AI64"/>
    <mergeCell ref="AK64:AP64"/>
    <mergeCell ref="B69:E69"/>
    <mergeCell ref="F69:AI69"/>
    <mergeCell ref="AK69:AP69"/>
    <mergeCell ref="B70:E70"/>
    <mergeCell ref="F70:AI70"/>
    <mergeCell ref="AK70:AP70"/>
    <mergeCell ref="B67:E67"/>
    <mergeCell ref="F67:AI67"/>
    <mergeCell ref="AK67:AP67"/>
    <mergeCell ref="B68:E68"/>
    <mergeCell ref="F68:AI68"/>
    <mergeCell ref="AK68:AP68"/>
    <mergeCell ref="B73:E73"/>
    <mergeCell ref="F73:AI73"/>
    <mergeCell ref="AK73:AP73"/>
    <mergeCell ref="B74:E74"/>
    <mergeCell ref="F74:AI74"/>
    <mergeCell ref="AK74:AP74"/>
    <mergeCell ref="B71:E71"/>
    <mergeCell ref="F71:AI71"/>
    <mergeCell ref="AK71:AP71"/>
    <mergeCell ref="B72:E72"/>
    <mergeCell ref="F72:AI72"/>
    <mergeCell ref="AK72:AP72"/>
    <mergeCell ref="B77:E77"/>
    <mergeCell ref="F77:AI77"/>
    <mergeCell ref="AK77:AP77"/>
    <mergeCell ref="B78:E78"/>
    <mergeCell ref="F78:AI78"/>
    <mergeCell ref="AK78:AP78"/>
    <mergeCell ref="B75:E75"/>
    <mergeCell ref="F75:AI75"/>
    <mergeCell ref="AK75:AP75"/>
    <mergeCell ref="B76:E76"/>
    <mergeCell ref="F76:AI76"/>
    <mergeCell ref="AK76:AP76"/>
    <mergeCell ref="A81:AI81"/>
    <mergeCell ref="AK81:AP81"/>
    <mergeCell ref="B82:E82"/>
    <mergeCell ref="F82:AI82"/>
    <mergeCell ref="AK82:AP82"/>
    <mergeCell ref="B83:E83"/>
    <mergeCell ref="F83:AI83"/>
    <mergeCell ref="AK83:AP83"/>
    <mergeCell ref="B79:E79"/>
    <mergeCell ref="F79:AI79"/>
    <mergeCell ref="AK79:AP79"/>
    <mergeCell ref="B80:E80"/>
    <mergeCell ref="F80:AI80"/>
    <mergeCell ref="AK80:AP80"/>
    <mergeCell ref="B86:E86"/>
    <mergeCell ref="F86:AI86"/>
    <mergeCell ref="AK86:AP86"/>
    <mergeCell ref="AK87:AP87"/>
    <mergeCell ref="AK88:AP88"/>
    <mergeCell ref="AK89:AP89"/>
    <mergeCell ref="B84:E84"/>
    <mergeCell ref="F84:AI84"/>
    <mergeCell ref="AK84:AP84"/>
    <mergeCell ref="B85:E85"/>
    <mergeCell ref="F85:AI85"/>
    <mergeCell ref="AK85:AP85"/>
  </mergeCells>
  <phoneticPr fontId="2"/>
  <conditionalFormatting sqref="AQ20:AQ28 AQ30:AQ31 AQ9 AQ11:AQ12 AQ14 AQ33:AQ34">
    <cfRule type="containsBlanks" dxfId="191" priority="12">
      <formula>LEN(TRIM(AQ9))=0</formula>
    </cfRule>
  </conditionalFormatting>
  <conditionalFormatting sqref="BC11:CF11">
    <cfRule type="containsText" dxfId="190" priority="8" operator="containsText" text="青">
      <formula>NOT(ISERROR(SEARCH("青",BC11)))</formula>
    </cfRule>
    <cfRule type="containsText" dxfId="189" priority="9" operator="containsText" text="緑">
      <formula>NOT(ISERROR(SEARCH("緑",BC11)))</formula>
    </cfRule>
    <cfRule type="containsText" dxfId="188" priority="10" operator="containsText" text="黄">
      <formula>NOT(ISERROR(SEARCH("黄",BC11)))</formula>
    </cfRule>
    <cfRule type="containsText" dxfId="187" priority="11" operator="containsText" text="赤">
      <formula>NOT(ISERROR(SEARCH("赤",BC11)))</formula>
    </cfRule>
  </conditionalFormatting>
  <conditionalFormatting sqref="V7:X8">
    <cfRule type="containsBlanks" dxfId="186" priority="7">
      <formula>LEN(TRIM(V7))=0</formula>
    </cfRule>
  </conditionalFormatting>
  <conditionalFormatting sqref="AB7:AI8">
    <cfRule type="containsBlanks" dxfId="185" priority="6">
      <formula>LEN(TRIM(AB7))=0</formula>
    </cfRule>
  </conditionalFormatting>
  <conditionalFormatting sqref="A7:E8 G7:I8 K7:M8 O7:P8">
    <cfRule type="containsBlanks" dxfId="184" priority="5">
      <formula>LEN(TRIM(A7))=0</formula>
    </cfRule>
  </conditionalFormatting>
  <conditionalFormatting sqref="W15:Y15 AH15:AI15 J15:L15">
    <cfRule type="containsBlanks" dxfId="183" priority="4">
      <formula>LEN(TRIM(J15))=0</formula>
    </cfRule>
  </conditionalFormatting>
  <conditionalFormatting sqref="L41:R44">
    <cfRule type="cellIs" dxfId="182" priority="1" operator="equal">
      <formula>0</formula>
    </cfRule>
  </conditionalFormatting>
  <conditionalFormatting sqref="P36:R36 T36:V36 L38:O38 AC38:AI38 AC36:AI36">
    <cfRule type="containsBlanks" dxfId="181" priority="3">
      <formula>LEN(TRIM(L36))=0</formula>
    </cfRule>
  </conditionalFormatting>
  <conditionalFormatting sqref="W41:Y44 AA41:AI44">
    <cfRule type="cellIs" dxfId="180" priority="2" operator="equal">
      <formula>0</formula>
    </cfRule>
  </conditionalFormatting>
  <printOptions horizontalCentered="1" verticalCentered="1"/>
  <pageMargins left="0.70866141732283472" right="0.59055118110236227" top="0.55118110236220474" bottom="0.55118110236220474" header="0.31496062992125984" footer="0.31496062992125984"/>
  <pageSetup paperSize="9" orientation="portrait" horizontalDpi="300" verticalDpi="300" r:id="rId1"/>
  <headerFooter scaleWithDoc="0" alignWithMargins="0">
    <oddFooter>&amp;C&amp;P&amp;Rヒトトヒト株式会社</oddFooter>
  </headerFooter>
  <rowBreaks count="1" manualBreakCount="1">
    <brk id="44" max="34" man="1"/>
  </rowBreaks>
  <drawing r:id="rId2"/>
  <extLst>
    <ext xmlns:x14="http://schemas.microsoft.com/office/spreadsheetml/2009/9/main" uri="{CCE6A557-97BC-4b89-ADB6-D9C93CAAB3DF}">
      <x14:dataValidations xmlns:xm="http://schemas.microsoft.com/office/excel/2006/main" count="6">
        <x14:dataValidation type="list" allowBlank="1" showInputMessage="1" showErrorMessage="1" xr:uid="{ACAB1440-CE7D-4AE6-BB4B-B5B2927983DC}">
          <x14:formula1>
            <xm:f>初期値!$C$12:$C$27</xm:f>
          </x14:formula1>
          <xm:sqref>P36:R36 T36:V36</xm:sqref>
        </x14:dataValidation>
        <x14:dataValidation type="list" allowBlank="1" showInputMessage="1" showErrorMessage="1" xr:uid="{4CBC824E-A08D-48C6-B4B4-A80D6968F48A}">
          <x14:formula1>
            <xm:f>初期値!$G$12:$G$24</xm:f>
          </x14:formula1>
          <xm:sqref>V7:X8</xm:sqref>
        </x14:dataValidation>
        <x14:dataValidation type="list" allowBlank="1" showInputMessage="1" showErrorMessage="1" xr:uid="{6F5DD6B4-7BE7-4F49-B938-3B65AC15C1AD}">
          <x14:formula1>
            <xm:f>初期値!$E$12:$E$13</xm:f>
          </x14:formula1>
          <xm:sqref>L38:O38 AC38:AI38 AC36:AI36</xm:sqref>
        </x14:dataValidation>
        <x14:dataValidation type="list" allowBlank="1" showInputMessage="1" showErrorMessage="1" xr:uid="{B78122E9-1987-43F2-A07F-94BA2CC265E9}">
          <x14:formula1>
            <xm:f>初期値!$N$22:$N$23</xm:f>
          </x14:formula1>
          <xm:sqref>AW23</xm:sqref>
        </x14:dataValidation>
        <x14:dataValidation type="list" allowBlank="1" showInputMessage="1" showErrorMessage="1" xr:uid="{DEE44C7C-4364-4DAE-B297-E53754EF44EE}">
          <x14:formula1>
            <xm:f>初期値!$P$12:$P$27</xm:f>
          </x14:formula1>
          <xm:sqref>BA24:BB24 BA22:BB22 BA28:BB28 BA30:BB30 BA32:BB32 BA34:BB34</xm:sqref>
        </x14:dataValidation>
        <x14:dataValidation type="list" allowBlank="1" showInputMessage="1" showErrorMessage="1" xr:uid="{F0C0BCAF-DDC9-43BA-A04B-3F0D20432AF3}">
          <x14:formula1>
            <xm:f>初期値!$N$12:$N$19</xm:f>
          </x14:formula1>
          <xm:sqref>AU22:AV22</xm:sqref>
        </x14:dataValidation>
      </x14:dataValidations>
    </ext>
  </extLst>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5541040-2C4B-4D16-854A-C24D399FC6F8}">
  <sheetPr codeName="Sheet24"/>
  <dimension ref="A1:CG266"/>
  <sheetViews>
    <sheetView topLeftCell="A11" zoomScaleNormal="100" zoomScaleSheetLayoutView="100" workbookViewId="0">
      <selection activeCell="F30" sqref="F30:AI30"/>
    </sheetView>
  </sheetViews>
  <sheetFormatPr defaultColWidth="8.875" defaultRowHeight="13.5"/>
  <cols>
    <col min="1" max="42" width="2.25" style="23" customWidth="1"/>
    <col min="43" max="43" width="6" style="23" bestFit="1" customWidth="1"/>
    <col min="44" max="44" width="4.5" style="23" bestFit="1" customWidth="1"/>
    <col min="45" max="45" width="6" style="23" bestFit="1" customWidth="1"/>
    <col min="46" max="46" width="4.5" style="23" bestFit="1" customWidth="1"/>
    <col min="47" max="47" width="9" style="23" bestFit="1" customWidth="1"/>
    <col min="48" max="48" width="8.5" style="23" bestFit="1" customWidth="1"/>
    <col min="49" max="49" width="7.5" style="23" bestFit="1" customWidth="1"/>
    <col min="50" max="50" width="6.5" style="23" bestFit="1" customWidth="1"/>
    <col min="51" max="51" width="7.5" style="23" bestFit="1" customWidth="1"/>
    <col min="52" max="52" width="2.125" style="23" customWidth="1"/>
    <col min="53" max="54" width="7.375" style="23" customWidth="1"/>
    <col min="55" max="63" width="3.625" style="23" bestFit="1" customWidth="1"/>
    <col min="64" max="84" width="4" style="23" bestFit="1" customWidth="1"/>
    <col min="85" max="16384" width="8.875" style="23"/>
  </cols>
  <sheetData>
    <row r="1" spans="1:85" ht="14.1" customHeight="1">
      <c r="A1" s="510" t="s">
        <v>551</v>
      </c>
      <c r="B1" s="510"/>
      <c r="C1" s="510"/>
      <c r="D1" s="510"/>
      <c r="E1" s="510"/>
      <c r="F1" s="510"/>
      <c r="G1" s="510"/>
      <c r="H1" s="510"/>
      <c r="I1" s="510"/>
      <c r="J1" s="510"/>
      <c r="K1" s="510"/>
      <c r="L1" s="510"/>
      <c r="M1" s="510"/>
      <c r="N1" s="510"/>
      <c r="O1" s="510"/>
      <c r="P1" s="510"/>
      <c r="Q1" s="510"/>
      <c r="R1" s="510"/>
      <c r="S1" s="510"/>
      <c r="T1" s="388"/>
      <c r="U1" s="388"/>
      <c r="V1" s="388"/>
      <c r="W1" s="388"/>
      <c r="X1" s="388"/>
      <c r="Y1" s="388"/>
      <c r="Z1" s="388"/>
      <c r="AA1" s="24"/>
      <c r="AB1" s="32"/>
      <c r="AD1" s="252" t="s">
        <v>167</v>
      </c>
      <c r="AE1" s="252"/>
      <c r="AF1" s="252"/>
      <c r="AG1" s="252"/>
      <c r="AH1" s="252"/>
      <c r="AI1" s="252"/>
      <c r="AM1" s="123">
        <v>17</v>
      </c>
      <c r="BB1"/>
    </row>
    <row r="2" spans="1:85" ht="14.1" customHeight="1">
      <c r="A2" s="510"/>
      <c r="B2" s="510"/>
      <c r="C2" s="510"/>
      <c r="D2" s="510"/>
      <c r="E2" s="510"/>
      <c r="F2" s="510"/>
      <c r="G2" s="510"/>
      <c r="H2" s="510"/>
      <c r="I2" s="510"/>
      <c r="J2" s="510"/>
      <c r="K2" s="510"/>
      <c r="L2" s="510"/>
      <c r="M2" s="510"/>
      <c r="N2" s="510"/>
      <c r="O2" s="510"/>
      <c r="P2" s="510"/>
      <c r="Q2" s="510"/>
      <c r="R2" s="510"/>
      <c r="S2" s="510"/>
      <c r="T2" s="388"/>
      <c r="U2" s="388"/>
      <c r="V2" s="388"/>
      <c r="W2" s="388"/>
      <c r="X2" s="388"/>
      <c r="Y2" s="388"/>
      <c r="Z2" s="388"/>
      <c r="AA2" s="25"/>
      <c r="AB2" s="31"/>
      <c r="AD2" s="253"/>
      <c r="AE2" s="253"/>
      <c r="AF2" s="253"/>
      <c r="AG2" s="253"/>
      <c r="AH2" s="253"/>
      <c r="AI2" s="253"/>
      <c r="BA2"/>
    </row>
    <row r="3" spans="1:85" ht="14.1" customHeight="1">
      <c r="A3" s="510"/>
      <c r="B3" s="510"/>
      <c r="C3" s="510"/>
      <c r="D3" s="510"/>
      <c r="E3" s="510"/>
      <c r="F3" s="510"/>
      <c r="G3" s="510"/>
      <c r="H3" s="510"/>
      <c r="I3" s="510"/>
      <c r="J3" s="510"/>
      <c r="K3" s="510"/>
      <c r="L3" s="510"/>
      <c r="M3" s="510"/>
      <c r="N3" s="510"/>
      <c r="O3" s="510"/>
      <c r="P3" s="510"/>
      <c r="Q3" s="510"/>
      <c r="R3" s="510"/>
      <c r="S3" s="510"/>
      <c r="T3" s="388"/>
      <c r="U3" s="388"/>
      <c r="V3" s="388"/>
      <c r="W3" s="388"/>
      <c r="X3" s="388"/>
      <c r="Y3" s="388"/>
      <c r="Z3" s="388"/>
      <c r="AA3" s="25"/>
      <c r="AB3" s="31"/>
      <c r="AD3" s="253"/>
      <c r="AE3" s="253"/>
      <c r="AF3" s="253"/>
      <c r="AG3" s="253"/>
      <c r="AH3" s="253"/>
      <c r="AI3" s="253"/>
      <c r="BA3"/>
    </row>
    <row r="4" spans="1:85" ht="14.1" customHeight="1">
      <c r="A4" s="395" t="s">
        <v>552</v>
      </c>
      <c r="B4" s="395"/>
      <c r="C4" s="395"/>
      <c r="D4" s="395"/>
      <c r="E4" s="395"/>
      <c r="F4" s="395"/>
      <c r="G4" s="395"/>
      <c r="H4" s="395"/>
      <c r="I4" s="395"/>
      <c r="J4" s="395"/>
      <c r="K4" s="395"/>
      <c r="L4" s="395"/>
      <c r="M4" s="395"/>
      <c r="N4" s="395"/>
      <c r="O4" s="395"/>
      <c r="P4" s="395"/>
      <c r="Q4" s="395"/>
      <c r="R4" s="395"/>
      <c r="S4" s="395"/>
      <c r="T4" s="155"/>
      <c r="U4" s="155"/>
      <c r="V4" s="155"/>
      <c r="W4" s="155"/>
      <c r="X4" s="155"/>
      <c r="Y4" s="155"/>
      <c r="Z4" s="155"/>
      <c r="AA4" s="26"/>
      <c r="AB4" s="31"/>
      <c r="AD4" s="253"/>
      <c r="AE4" s="253"/>
      <c r="AF4" s="253"/>
      <c r="AG4" s="253"/>
      <c r="AH4" s="253"/>
      <c r="AI4" s="253"/>
      <c r="BA4"/>
    </row>
    <row r="5" spans="1:85" ht="14.1" customHeight="1">
      <c r="A5" s="395"/>
      <c r="B5" s="395"/>
      <c r="C5" s="395"/>
      <c r="D5" s="395"/>
      <c r="E5" s="395"/>
      <c r="F5" s="395"/>
      <c r="G5" s="395"/>
      <c r="H5" s="395"/>
      <c r="I5" s="395"/>
      <c r="J5" s="395"/>
      <c r="K5" s="395"/>
      <c r="L5" s="395"/>
      <c r="M5" s="395"/>
      <c r="N5" s="395"/>
      <c r="O5" s="395"/>
      <c r="P5" s="395"/>
      <c r="Q5" s="395"/>
      <c r="R5" s="395"/>
      <c r="S5" s="395"/>
      <c r="T5" s="155"/>
      <c r="U5" s="155"/>
      <c r="V5" s="155"/>
      <c r="W5" s="155"/>
      <c r="X5" s="155"/>
      <c r="Y5" s="155"/>
      <c r="Z5" s="155"/>
      <c r="AA5" s="26"/>
      <c r="AB5" s="31"/>
      <c r="AC5" s="31"/>
      <c r="AD5" s="31"/>
      <c r="AE5" s="31"/>
      <c r="AF5" s="31"/>
      <c r="AG5" s="31"/>
      <c r="AH5" s="31"/>
      <c r="AI5" s="31"/>
      <c r="BA5"/>
    </row>
    <row r="6" spans="1:85" ht="14.1" customHeight="1" thickBot="1">
      <c r="A6" s="27"/>
      <c r="B6" s="27"/>
      <c r="C6" s="27"/>
      <c r="D6" s="27"/>
      <c r="E6" s="27"/>
      <c r="F6" s="27"/>
      <c r="G6" s="27"/>
      <c r="H6" s="27"/>
      <c r="I6" s="27"/>
      <c r="BA6"/>
    </row>
    <row r="7" spans="1:85" ht="12" customHeight="1">
      <c r="A7" s="255">
        <f>DATE(初期値!A2,初期値!A3,AM1)</f>
        <v>46190</v>
      </c>
      <c r="B7" s="256"/>
      <c r="C7" s="256"/>
      <c r="D7" s="256"/>
      <c r="E7" s="256"/>
      <c r="F7" s="259" t="s">
        <v>169</v>
      </c>
      <c r="G7" s="236">
        <f>$A$7</f>
        <v>46190</v>
      </c>
      <c r="H7" s="236"/>
      <c r="I7" s="236"/>
      <c r="J7" s="239" t="s">
        <v>170</v>
      </c>
      <c r="K7" s="261">
        <f>$A$7</f>
        <v>46190</v>
      </c>
      <c r="L7" s="261"/>
      <c r="M7" s="261"/>
      <c r="N7" s="239" t="s">
        <v>3</v>
      </c>
      <c r="O7" s="520">
        <f>$A$7</f>
        <v>46190</v>
      </c>
      <c r="P7" s="520"/>
      <c r="Q7" s="239" t="s">
        <v>292</v>
      </c>
      <c r="R7" s="240"/>
      <c r="S7" s="522" t="s">
        <v>553</v>
      </c>
      <c r="T7" s="244"/>
      <c r="U7" s="29" t="s">
        <v>554</v>
      </c>
      <c r="V7" s="518" t="s">
        <v>23</v>
      </c>
      <c r="W7" s="518"/>
      <c r="X7" s="518"/>
      <c r="Y7" s="511" t="s">
        <v>555</v>
      </c>
      <c r="Z7" s="512"/>
      <c r="AA7" s="513"/>
      <c r="AB7" s="244" t="str">
        <f>L43</f>
        <v>片山薫</v>
      </c>
      <c r="AC7" s="244"/>
      <c r="AD7" s="244"/>
      <c r="AE7" s="244"/>
      <c r="AF7" s="244"/>
      <c r="AG7" s="244"/>
      <c r="AH7" s="244"/>
      <c r="AI7" s="245"/>
      <c r="AK7" s="425" t="s">
        <v>556</v>
      </c>
      <c r="AL7" s="425"/>
      <c r="AM7" s="425"/>
      <c r="AN7" s="425"/>
      <c r="AO7" s="425"/>
      <c r="AP7" s="425"/>
      <c r="AQ7" s="439" t="s">
        <v>557</v>
      </c>
      <c r="AR7" s="43"/>
      <c r="AS7" s="43"/>
      <c r="AT7" s="43"/>
      <c r="AU7" s="43"/>
      <c r="AV7" s="43"/>
      <c r="AW7" s="43"/>
      <c r="AX7" s="43"/>
      <c r="AY7" s="43"/>
      <c r="AZ7" s="43"/>
      <c r="BA7"/>
    </row>
    <row r="8" spans="1:85" ht="12" customHeight="1" thickBot="1">
      <c r="A8" s="257"/>
      <c r="B8" s="258"/>
      <c r="C8" s="258"/>
      <c r="D8" s="258"/>
      <c r="E8" s="258"/>
      <c r="F8" s="260"/>
      <c r="G8" s="237"/>
      <c r="H8" s="237"/>
      <c r="I8" s="237"/>
      <c r="J8" s="242"/>
      <c r="K8" s="262"/>
      <c r="L8" s="262"/>
      <c r="M8" s="262"/>
      <c r="N8" s="242"/>
      <c r="O8" s="521"/>
      <c r="P8" s="521"/>
      <c r="Q8" s="242"/>
      <c r="R8" s="243"/>
      <c r="S8" s="523"/>
      <c r="T8" s="246"/>
      <c r="U8" s="33" t="s">
        <v>558</v>
      </c>
      <c r="V8" s="519" t="s">
        <v>23</v>
      </c>
      <c r="W8" s="519"/>
      <c r="X8" s="519"/>
      <c r="Y8" s="514"/>
      <c r="Z8" s="515"/>
      <c r="AA8" s="516"/>
      <c r="AB8" s="246"/>
      <c r="AC8" s="246"/>
      <c r="AD8" s="246"/>
      <c r="AE8" s="246"/>
      <c r="AF8" s="246"/>
      <c r="AG8" s="246"/>
      <c r="AH8" s="246"/>
      <c r="AI8" s="247"/>
      <c r="AK8" s="425"/>
      <c r="AL8" s="425"/>
      <c r="AM8" s="425"/>
      <c r="AN8" s="425"/>
      <c r="AO8" s="425"/>
      <c r="AP8" s="425"/>
      <c r="AQ8" s="439"/>
      <c r="AR8" s="43"/>
      <c r="AS8" s="43"/>
      <c r="AT8" s="43"/>
      <c r="AU8" s="43"/>
      <c r="AV8" s="43"/>
      <c r="AW8" s="43"/>
      <c r="AX8" s="43"/>
      <c r="AY8" s="43"/>
      <c r="AZ8" s="43"/>
      <c r="BA8"/>
    </row>
    <row r="9" spans="1:85" ht="18" customHeight="1">
      <c r="A9" s="507" t="s">
        <v>559</v>
      </c>
      <c r="B9" s="508"/>
      <c r="C9" s="508"/>
      <c r="D9" s="508"/>
      <c r="E9" s="508"/>
      <c r="F9" s="508"/>
      <c r="G9" s="508"/>
      <c r="H9" s="508"/>
      <c r="I9" s="508"/>
      <c r="J9" s="508"/>
      <c r="K9" s="508"/>
      <c r="L9" s="508"/>
      <c r="M9" s="508"/>
      <c r="N9" s="508"/>
      <c r="O9" s="508"/>
      <c r="P9" s="508"/>
      <c r="Q9" s="508"/>
      <c r="R9" s="508"/>
      <c r="S9" s="508"/>
      <c r="T9" s="508"/>
      <c r="U9" s="508"/>
      <c r="V9" s="508"/>
      <c r="W9" s="508"/>
      <c r="X9" s="508"/>
      <c r="Y9" s="508"/>
      <c r="Z9" s="508"/>
      <c r="AA9" s="508"/>
      <c r="AB9" s="508"/>
      <c r="AC9" s="508"/>
      <c r="AD9" s="508"/>
      <c r="AE9" s="508"/>
      <c r="AF9" s="508"/>
      <c r="AG9" s="508"/>
      <c r="AH9" s="508"/>
      <c r="AI9" s="509"/>
      <c r="AK9" s="440" t="s">
        <v>560</v>
      </c>
      <c r="AL9" s="440"/>
      <c r="AM9" s="440"/>
      <c r="AN9" s="440"/>
      <c r="AO9" s="440"/>
      <c r="AP9" s="440"/>
      <c r="AQ9" s="42">
        <v>33</v>
      </c>
      <c r="AR9" s="43"/>
      <c r="AS9" s="44" t="s">
        <v>561</v>
      </c>
      <c r="AT9" s="44" t="s">
        <v>562</v>
      </c>
      <c r="AU9" s="44" t="s">
        <v>563</v>
      </c>
      <c r="AV9" s="44" t="s">
        <v>564</v>
      </c>
      <c r="AW9" s="45" t="s">
        <v>565</v>
      </c>
      <c r="AX9" s="45" t="s">
        <v>566</v>
      </c>
      <c r="AY9" s="44" t="s">
        <v>567</v>
      </c>
      <c r="AZ9" s="43"/>
      <c r="BB9" s="49" t="s">
        <v>568</v>
      </c>
      <c r="BC9" s="43"/>
      <c r="BD9" s="43"/>
      <c r="BE9" s="43"/>
      <c r="BF9" s="43"/>
      <c r="BG9" s="43"/>
      <c r="BH9" s="43"/>
      <c r="BI9" s="43"/>
      <c r="BJ9" s="43"/>
      <c r="BK9" s="43"/>
      <c r="BL9" s="43"/>
      <c r="BM9" s="43"/>
      <c r="BN9" s="43"/>
      <c r="BO9" s="43"/>
      <c r="BP9" s="43"/>
      <c r="BQ9" s="43"/>
      <c r="BR9" s="43"/>
      <c r="BS9" s="43"/>
      <c r="BT9" s="43"/>
      <c r="BU9" s="43"/>
      <c r="BV9" s="43"/>
      <c r="BW9" s="43"/>
      <c r="BX9" s="43"/>
      <c r="BY9" s="43"/>
      <c r="BZ9" s="43"/>
      <c r="CA9" s="43"/>
      <c r="CB9" s="43"/>
      <c r="CC9" s="43"/>
      <c r="CD9" s="43"/>
      <c r="CE9" s="43"/>
      <c r="CF9" s="43"/>
      <c r="CG9" s="43"/>
    </row>
    <row r="10" spans="1:85" ht="18" customHeight="1">
      <c r="A10" s="265" t="s">
        <v>569</v>
      </c>
      <c r="B10" s="266"/>
      <c r="C10" s="266"/>
      <c r="D10" s="266"/>
      <c r="E10" s="266"/>
      <c r="F10" s="266"/>
      <c r="G10" s="266"/>
      <c r="H10" s="266"/>
      <c r="I10" s="264">
        <f>AQ14</f>
        <v>0</v>
      </c>
      <c r="J10" s="264"/>
      <c r="K10" s="267" t="s">
        <v>176</v>
      </c>
      <c r="L10" s="268"/>
      <c r="M10" s="269" t="s">
        <v>570</v>
      </c>
      <c r="N10" s="266"/>
      <c r="O10" s="266"/>
      <c r="P10" s="266"/>
      <c r="Q10" s="266"/>
      <c r="R10" s="266"/>
      <c r="S10" s="266"/>
      <c r="T10" s="266"/>
      <c r="U10" s="264">
        <f>AQ37</f>
        <v>0</v>
      </c>
      <c r="V10" s="264"/>
      <c r="W10" s="267" t="s">
        <v>176</v>
      </c>
      <c r="X10" s="268"/>
      <c r="Y10" s="269" t="s">
        <v>571</v>
      </c>
      <c r="Z10" s="266"/>
      <c r="AA10" s="266"/>
      <c r="AB10" s="266"/>
      <c r="AC10" s="266"/>
      <c r="AD10" s="266"/>
      <c r="AE10" s="266"/>
      <c r="AF10" s="266"/>
      <c r="AG10" s="264">
        <f>AQ26+AQ25</f>
        <v>0</v>
      </c>
      <c r="AH10" s="264"/>
      <c r="AI10" s="28" t="s">
        <v>176</v>
      </c>
      <c r="AK10" s="440" t="s">
        <v>572</v>
      </c>
      <c r="AL10" s="440"/>
      <c r="AM10" s="440"/>
      <c r="AN10" s="440"/>
      <c r="AO10" s="440"/>
      <c r="AP10" s="440"/>
      <c r="AQ10" s="42"/>
      <c r="AR10" s="43"/>
      <c r="AS10" s="46">
        <v>1</v>
      </c>
      <c r="AT10" s="46"/>
      <c r="AU10" s="46" t="s">
        <v>20</v>
      </c>
      <c r="AV10" s="47" t="s">
        <v>573</v>
      </c>
      <c r="AW10" s="47" t="s">
        <v>574</v>
      </c>
      <c r="AX10" s="47">
        <v>0.33333333333333331</v>
      </c>
      <c r="AY10" s="47">
        <v>0.83333333333333337</v>
      </c>
      <c r="AZ10" s="43"/>
      <c r="BB10" s="49" t="s">
        <v>95</v>
      </c>
      <c r="BC10" s="120">
        <v>1</v>
      </c>
      <c r="BD10" s="120">
        <v>2</v>
      </c>
      <c r="BE10" s="120">
        <v>3</v>
      </c>
      <c r="BF10" s="120">
        <v>4</v>
      </c>
      <c r="BG10" s="120">
        <v>5</v>
      </c>
      <c r="BH10" s="120">
        <v>6</v>
      </c>
      <c r="BI10" s="120">
        <v>7</v>
      </c>
      <c r="BJ10" s="120">
        <v>8</v>
      </c>
      <c r="BK10" s="120">
        <v>9</v>
      </c>
      <c r="BL10" s="120">
        <v>10</v>
      </c>
      <c r="BM10" s="120">
        <v>11</v>
      </c>
      <c r="BN10" s="120">
        <v>12</v>
      </c>
      <c r="BO10" s="120">
        <v>13</v>
      </c>
      <c r="BP10" s="120">
        <v>14</v>
      </c>
      <c r="BQ10" s="120">
        <v>15</v>
      </c>
      <c r="BR10" s="120">
        <v>16</v>
      </c>
      <c r="BS10" s="120">
        <v>17</v>
      </c>
      <c r="BT10" s="120">
        <v>18</v>
      </c>
      <c r="BU10" s="120">
        <v>19</v>
      </c>
      <c r="BV10" s="120">
        <v>20</v>
      </c>
      <c r="BW10" s="120">
        <v>21</v>
      </c>
      <c r="BX10" s="120">
        <v>22</v>
      </c>
      <c r="BY10" s="120">
        <v>23</v>
      </c>
      <c r="BZ10" s="120">
        <v>24</v>
      </c>
      <c r="CA10" s="120">
        <v>25</v>
      </c>
      <c r="CB10" s="120">
        <v>26</v>
      </c>
      <c r="CC10" s="120">
        <v>27</v>
      </c>
      <c r="CD10" s="120">
        <v>28</v>
      </c>
      <c r="CE10" s="120">
        <v>29</v>
      </c>
      <c r="CF10" s="120">
        <v>30</v>
      </c>
      <c r="CG10" s="43"/>
    </row>
    <row r="11" spans="1:85" ht="18" customHeight="1">
      <c r="A11" s="265" t="s">
        <v>575</v>
      </c>
      <c r="B11" s="266"/>
      <c r="C11" s="266"/>
      <c r="D11" s="266"/>
      <c r="E11" s="266"/>
      <c r="F11" s="266"/>
      <c r="G11" s="266"/>
      <c r="H11" s="266"/>
      <c r="I11" s="264">
        <f>AQ27</f>
        <v>0</v>
      </c>
      <c r="J11" s="264"/>
      <c r="K11" s="267" t="s">
        <v>176</v>
      </c>
      <c r="L11" s="268"/>
      <c r="M11" s="269" t="s">
        <v>576</v>
      </c>
      <c r="N11" s="266"/>
      <c r="O11" s="266"/>
      <c r="P11" s="266"/>
      <c r="Q11" s="266"/>
      <c r="R11" s="266"/>
      <c r="S11" s="266"/>
      <c r="T11" s="266"/>
      <c r="U11" s="264">
        <f>AQ36</f>
        <v>0</v>
      </c>
      <c r="V11" s="264"/>
      <c r="W11" s="267" t="s">
        <v>176</v>
      </c>
      <c r="X11" s="268"/>
      <c r="Y11" s="269" t="s">
        <v>577</v>
      </c>
      <c r="Z11" s="266"/>
      <c r="AA11" s="266"/>
      <c r="AB11" s="266"/>
      <c r="AC11" s="266"/>
      <c r="AD11" s="266"/>
      <c r="AE11" s="266"/>
      <c r="AF11" s="266"/>
      <c r="AG11" s="264">
        <f>AQ34</f>
        <v>0</v>
      </c>
      <c r="AH11" s="264"/>
      <c r="AI11" s="28" t="s">
        <v>176</v>
      </c>
      <c r="AK11" s="441" t="s">
        <v>578</v>
      </c>
      <c r="AL11" s="442"/>
      <c r="AM11" s="442"/>
      <c r="AN11" s="442"/>
      <c r="AO11" s="442"/>
      <c r="AP11" s="443"/>
      <c r="AQ11" s="42">
        <v>27</v>
      </c>
      <c r="AR11" s="43"/>
      <c r="AS11" s="46">
        <v>2</v>
      </c>
      <c r="AT11" s="46"/>
      <c r="AU11" s="46"/>
      <c r="AV11" s="47" t="s">
        <v>579</v>
      </c>
      <c r="AW11" s="47" t="s">
        <v>580</v>
      </c>
      <c r="AX11" s="47">
        <v>0.33333333333333331</v>
      </c>
      <c r="AY11" s="47">
        <v>0.58333333333333337</v>
      </c>
      <c r="AZ11" s="43"/>
      <c r="BB11" s="121" t="s">
        <v>581</v>
      </c>
      <c r="BC11" s="138" t="s">
        <v>582</v>
      </c>
      <c r="BD11" s="138" t="s">
        <v>583</v>
      </c>
      <c r="BE11" s="138" t="s">
        <v>584</v>
      </c>
      <c r="BF11" s="138" t="s">
        <v>585</v>
      </c>
      <c r="BG11" s="139" t="s">
        <v>584</v>
      </c>
      <c r="BH11" s="138" t="s">
        <v>582</v>
      </c>
      <c r="BI11" s="138" t="s">
        <v>585</v>
      </c>
      <c r="BJ11" s="138" t="s">
        <v>583</v>
      </c>
      <c r="BK11" s="138" t="s">
        <v>584</v>
      </c>
      <c r="BL11" s="138" t="s">
        <v>583</v>
      </c>
      <c r="BM11" s="138" t="s">
        <v>585</v>
      </c>
      <c r="BN11" s="138" t="s">
        <v>582</v>
      </c>
      <c r="BO11" s="138" t="s">
        <v>584</v>
      </c>
      <c r="BP11" s="138" t="s">
        <v>585</v>
      </c>
      <c r="BQ11" s="138" t="s">
        <v>583</v>
      </c>
      <c r="BR11" s="138" t="s">
        <v>585</v>
      </c>
      <c r="BS11" s="138" t="s">
        <v>584</v>
      </c>
      <c r="BT11" s="138" t="s">
        <v>582</v>
      </c>
      <c r="BU11" s="138" t="s">
        <v>583</v>
      </c>
      <c r="BV11" s="138" t="s">
        <v>585</v>
      </c>
      <c r="BW11" s="138" t="s">
        <v>582</v>
      </c>
      <c r="BX11" s="138" t="s">
        <v>584</v>
      </c>
      <c r="BY11" s="138" t="s">
        <v>585</v>
      </c>
      <c r="BZ11" s="138" t="s">
        <v>583</v>
      </c>
      <c r="CA11" s="138" t="s">
        <v>582</v>
      </c>
      <c r="CB11" s="138" t="s">
        <v>585</v>
      </c>
      <c r="CC11" s="138" t="s">
        <v>584</v>
      </c>
      <c r="CD11" s="138" t="s">
        <v>582</v>
      </c>
      <c r="CE11" s="138" t="s">
        <v>585</v>
      </c>
      <c r="CF11" s="138" t="s">
        <v>583</v>
      </c>
      <c r="CG11" s="43"/>
    </row>
    <row r="12" spans="1:85" ht="18" customHeight="1">
      <c r="A12" s="265" t="s">
        <v>586</v>
      </c>
      <c r="B12" s="266"/>
      <c r="C12" s="266"/>
      <c r="D12" s="266"/>
      <c r="E12" s="266"/>
      <c r="F12" s="266"/>
      <c r="G12" s="266"/>
      <c r="H12" s="266"/>
      <c r="I12" s="264">
        <f>AQ33</f>
        <v>0</v>
      </c>
      <c r="J12" s="264"/>
      <c r="K12" s="267" t="s">
        <v>176</v>
      </c>
      <c r="L12" s="268"/>
      <c r="M12" s="269" t="s">
        <v>587</v>
      </c>
      <c r="N12" s="266"/>
      <c r="O12" s="266"/>
      <c r="P12" s="266"/>
      <c r="Q12" s="266"/>
      <c r="R12" s="266"/>
      <c r="S12" s="266"/>
      <c r="T12" s="266"/>
      <c r="U12" s="264">
        <f>AQ24</f>
        <v>0</v>
      </c>
      <c r="V12" s="264"/>
      <c r="W12" s="267" t="s">
        <v>176</v>
      </c>
      <c r="X12" s="268"/>
      <c r="Y12" s="269" t="s">
        <v>588</v>
      </c>
      <c r="Z12" s="266"/>
      <c r="AA12" s="266"/>
      <c r="AB12" s="266"/>
      <c r="AC12" s="266"/>
      <c r="AD12" s="266"/>
      <c r="AE12" s="266"/>
      <c r="AF12" s="266"/>
      <c r="AG12" s="264">
        <f>AQ20+AQ21+AQ22+AQ23</f>
        <v>0</v>
      </c>
      <c r="AH12" s="264"/>
      <c r="AI12" s="28" t="s">
        <v>176</v>
      </c>
      <c r="AK12" s="441" t="s">
        <v>589</v>
      </c>
      <c r="AL12" s="442"/>
      <c r="AM12" s="442"/>
      <c r="AN12" s="442"/>
      <c r="AO12" s="442"/>
      <c r="AP12" s="443"/>
      <c r="AQ12" s="42">
        <v>12</v>
      </c>
      <c r="AR12" s="43"/>
      <c r="AS12" s="46">
        <v>3</v>
      </c>
      <c r="AT12" s="46"/>
      <c r="AU12" s="46"/>
      <c r="AV12" s="47" t="s">
        <v>590</v>
      </c>
      <c r="AW12" s="47" t="s">
        <v>574</v>
      </c>
      <c r="AX12" s="47">
        <v>0.58333333333333337</v>
      </c>
      <c r="AY12" s="47">
        <v>0.83333333333333337</v>
      </c>
      <c r="AZ12" s="43"/>
      <c r="BB12" s="49"/>
      <c r="BC12" s="43"/>
      <c r="BD12" s="43"/>
      <c r="BE12" s="43"/>
      <c r="BF12" s="43"/>
      <c r="BG12" s="43"/>
      <c r="BH12" s="43"/>
      <c r="BI12" s="43"/>
      <c r="BJ12" s="43"/>
      <c r="BK12" s="43"/>
      <c r="BL12" s="43"/>
      <c r="BM12" s="43"/>
      <c r="BN12" s="43"/>
      <c r="BO12" s="43"/>
      <c r="BP12" s="43"/>
      <c r="BQ12" s="43"/>
      <c r="BR12" s="43"/>
      <c r="BS12" s="43"/>
      <c r="BT12" s="43"/>
      <c r="BU12" s="43"/>
      <c r="BV12" s="43"/>
      <c r="BW12" s="43"/>
      <c r="BX12" s="43"/>
      <c r="BY12" s="43"/>
      <c r="BZ12" s="43"/>
      <c r="CA12" s="43"/>
      <c r="CB12" s="43"/>
      <c r="CC12" s="43"/>
      <c r="CD12" s="43"/>
      <c r="CE12" s="43"/>
      <c r="CF12" s="43"/>
      <c r="CG12" s="43"/>
    </row>
    <row r="13" spans="1:85" ht="18" customHeight="1" thickBot="1">
      <c r="A13" s="517" t="s">
        <v>591</v>
      </c>
      <c r="B13" s="277"/>
      <c r="C13" s="277"/>
      <c r="D13" s="277"/>
      <c r="E13" s="277"/>
      <c r="F13" s="277"/>
      <c r="G13" s="277"/>
      <c r="H13" s="277"/>
      <c r="I13" s="272">
        <f>AQ30+AQ31</f>
        <v>0</v>
      </c>
      <c r="J13" s="272"/>
      <c r="K13" s="273" t="s">
        <v>176</v>
      </c>
      <c r="L13" s="274"/>
      <c r="M13" s="276" t="s">
        <v>592</v>
      </c>
      <c r="N13" s="277"/>
      <c r="O13" s="277"/>
      <c r="P13" s="277"/>
      <c r="Q13" s="277"/>
      <c r="R13" s="277"/>
      <c r="S13" s="277"/>
      <c r="T13" s="277"/>
      <c r="U13" s="272">
        <f>AQ28</f>
        <v>0</v>
      </c>
      <c r="V13" s="272"/>
      <c r="W13" s="273" t="s">
        <v>176</v>
      </c>
      <c r="X13" s="274"/>
      <c r="Y13" s="276" t="s">
        <v>593</v>
      </c>
      <c r="Z13" s="277"/>
      <c r="AA13" s="277"/>
      <c r="AB13" s="277"/>
      <c r="AC13" s="277"/>
      <c r="AD13" s="277"/>
      <c r="AE13" s="277"/>
      <c r="AF13" s="277"/>
      <c r="AG13" s="272">
        <f>AQ13</f>
        <v>0</v>
      </c>
      <c r="AH13" s="272"/>
      <c r="AI13" s="34" t="s">
        <v>176</v>
      </c>
      <c r="AK13" s="425" t="s">
        <v>594</v>
      </c>
      <c r="AL13" s="425"/>
      <c r="AM13" s="425"/>
      <c r="AN13" s="425"/>
      <c r="AO13" s="425"/>
      <c r="AP13" s="425"/>
      <c r="AQ13" s="42"/>
      <c r="AR13" s="43"/>
      <c r="AS13" s="46">
        <v>4</v>
      </c>
      <c r="AT13" s="46"/>
      <c r="AU13" s="46" t="s">
        <v>28</v>
      </c>
      <c r="AV13" s="47" t="s">
        <v>595</v>
      </c>
      <c r="AW13" s="47" t="s">
        <v>596</v>
      </c>
      <c r="AX13" s="47">
        <v>0.33333333333333331</v>
      </c>
      <c r="AY13" s="47">
        <v>0.83333333333333337</v>
      </c>
      <c r="AZ13" s="43"/>
      <c r="BB13" s="121" t="s">
        <v>597</v>
      </c>
      <c r="BC13" s="140" t="s">
        <v>20</v>
      </c>
      <c r="BD13" s="140" t="s">
        <v>119</v>
      </c>
      <c r="BE13" s="140" t="s">
        <v>20</v>
      </c>
      <c r="BF13" s="140" t="s">
        <v>20</v>
      </c>
      <c r="BG13" s="140" t="s">
        <v>20</v>
      </c>
      <c r="BH13" s="140" t="s">
        <v>20</v>
      </c>
      <c r="BI13" s="140" t="s">
        <v>80</v>
      </c>
      <c r="BJ13" s="140" t="s">
        <v>20</v>
      </c>
      <c r="BK13" s="140" t="s">
        <v>20</v>
      </c>
      <c r="BL13" s="140" t="s">
        <v>20</v>
      </c>
      <c r="BM13" s="140" t="s">
        <v>20</v>
      </c>
      <c r="BN13" s="140" t="s">
        <v>20</v>
      </c>
      <c r="BO13" s="140" t="s">
        <v>119</v>
      </c>
      <c r="BP13" s="140" t="s">
        <v>119</v>
      </c>
      <c r="BQ13" s="140" t="s">
        <v>20</v>
      </c>
      <c r="BR13" s="140" t="s">
        <v>119</v>
      </c>
      <c r="BS13" s="140" t="s">
        <v>20</v>
      </c>
      <c r="BT13" s="140" t="s">
        <v>20</v>
      </c>
      <c r="BU13" s="140" t="s">
        <v>20</v>
      </c>
      <c r="BV13" s="140" t="s">
        <v>119</v>
      </c>
      <c r="BW13" s="140" t="s">
        <v>119</v>
      </c>
      <c r="BX13" s="140" t="s">
        <v>20</v>
      </c>
      <c r="BY13" s="140" t="s">
        <v>119</v>
      </c>
      <c r="BZ13" s="140" t="s">
        <v>20</v>
      </c>
      <c r="CA13" s="140" t="s">
        <v>119</v>
      </c>
      <c r="CB13" s="140" t="s">
        <v>20</v>
      </c>
      <c r="CC13" s="140" t="s">
        <v>20</v>
      </c>
      <c r="CD13" s="140" t="s">
        <v>119</v>
      </c>
      <c r="CE13" s="140" t="s">
        <v>20</v>
      </c>
      <c r="CF13" s="140" t="s">
        <v>119</v>
      </c>
      <c r="CG13" s="43"/>
    </row>
    <row r="14" spans="1:85" ht="18" customHeight="1" thickBot="1">
      <c r="A14" s="452" t="s">
        <v>598</v>
      </c>
      <c r="B14" s="453"/>
      <c r="C14" s="453"/>
      <c r="D14" s="453"/>
      <c r="E14" s="453"/>
      <c r="F14" s="453"/>
      <c r="G14" s="453"/>
      <c r="H14" s="453"/>
      <c r="I14" s="453"/>
      <c r="J14" s="453"/>
      <c r="K14" s="453"/>
      <c r="L14" s="453"/>
      <c r="M14" s="453"/>
      <c r="N14" s="453"/>
      <c r="O14" s="453"/>
      <c r="P14" s="453"/>
      <c r="Q14" s="453"/>
      <c r="R14" s="453"/>
      <c r="S14" s="453"/>
      <c r="T14" s="453"/>
      <c r="U14" s="453"/>
      <c r="V14" s="453"/>
      <c r="W14" s="453"/>
      <c r="X14" s="453"/>
      <c r="Y14" s="453"/>
      <c r="Z14" s="453"/>
      <c r="AA14" s="453"/>
      <c r="AB14" s="453"/>
      <c r="AC14" s="453"/>
      <c r="AD14" s="453"/>
      <c r="AE14" s="453"/>
      <c r="AF14" s="453"/>
      <c r="AG14" s="453"/>
      <c r="AH14" s="453"/>
      <c r="AI14" s="454"/>
      <c r="AK14" s="440" t="s">
        <v>599</v>
      </c>
      <c r="AL14" s="440"/>
      <c r="AM14" s="440"/>
      <c r="AN14" s="440"/>
      <c r="AO14" s="440"/>
      <c r="AP14" s="440"/>
      <c r="AQ14" s="42">
        <v>0</v>
      </c>
      <c r="AR14" s="43"/>
      <c r="AS14" s="46">
        <v>5</v>
      </c>
      <c r="AT14" s="46"/>
      <c r="AU14" s="46" t="s">
        <v>602</v>
      </c>
      <c r="AV14" s="47" t="s">
        <v>600</v>
      </c>
      <c r="AW14" s="47" t="s">
        <v>596</v>
      </c>
      <c r="AX14" s="47">
        <v>0.33333333333333331</v>
      </c>
      <c r="AY14" s="47">
        <v>0.83333333333333337</v>
      </c>
      <c r="AZ14" s="43"/>
      <c r="BB14" s="121" t="s">
        <v>601</v>
      </c>
      <c r="BC14" s="162" t="s">
        <v>28</v>
      </c>
      <c r="BD14" s="162" t="s">
        <v>602</v>
      </c>
      <c r="BE14" s="162" t="s">
        <v>602</v>
      </c>
      <c r="BF14" s="162" t="s">
        <v>28</v>
      </c>
      <c r="BG14" s="162" t="s">
        <v>602</v>
      </c>
      <c r="BH14" s="162" t="s">
        <v>602</v>
      </c>
      <c r="BI14" s="162" t="s">
        <v>28</v>
      </c>
      <c r="BJ14" s="162" t="s">
        <v>28</v>
      </c>
      <c r="BK14" s="162" t="s">
        <v>602</v>
      </c>
      <c r="BL14" s="162" t="s">
        <v>28</v>
      </c>
      <c r="BM14" s="162" t="s">
        <v>602</v>
      </c>
      <c r="BN14" s="162" t="s">
        <v>28</v>
      </c>
      <c r="BO14" s="162" t="s">
        <v>28</v>
      </c>
      <c r="BP14" s="162" t="s">
        <v>76</v>
      </c>
      <c r="BQ14" s="162" t="s">
        <v>28</v>
      </c>
      <c r="BR14" s="162" t="s">
        <v>602</v>
      </c>
      <c r="BS14" s="162" t="s">
        <v>28</v>
      </c>
      <c r="BT14" s="162" t="s">
        <v>602</v>
      </c>
      <c r="BU14" s="162" t="s">
        <v>28</v>
      </c>
      <c r="BV14" s="162" t="s">
        <v>602</v>
      </c>
      <c r="BW14" s="162" t="s">
        <v>28</v>
      </c>
      <c r="BX14" s="162" t="s">
        <v>28</v>
      </c>
      <c r="BY14" s="162" t="s">
        <v>602</v>
      </c>
      <c r="BZ14" s="162" t="s">
        <v>28</v>
      </c>
      <c r="CA14" s="162" t="s">
        <v>602</v>
      </c>
      <c r="CB14" s="162" t="s">
        <v>28</v>
      </c>
      <c r="CC14" s="162" t="s">
        <v>28</v>
      </c>
      <c r="CD14" s="162" t="s">
        <v>76</v>
      </c>
      <c r="CE14" s="162" t="s">
        <v>28</v>
      </c>
      <c r="CF14" s="162" t="s">
        <v>602</v>
      </c>
      <c r="CG14" s="43"/>
    </row>
    <row r="15" spans="1:85" ht="18" customHeight="1" thickBot="1">
      <c r="A15" s="30" t="s">
        <v>189</v>
      </c>
      <c r="B15" s="264" t="s">
        <v>603</v>
      </c>
      <c r="C15" s="264"/>
      <c r="D15" s="264"/>
      <c r="E15" s="264"/>
      <c r="F15" s="264"/>
      <c r="G15" s="264"/>
      <c r="H15" s="264"/>
      <c r="I15" s="264"/>
      <c r="J15" s="278">
        <f>AQ9+AQ10</f>
        <v>33</v>
      </c>
      <c r="K15" s="278"/>
      <c r="L15" s="278"/>
      <c r="M15" s="264" t="s">
        <v>176</v>
      </c>
      <c r="N15" s="264"/>
      <c r="O15" s="264" t="s">
        <v>604</v>
      </c>
      <c r="P15" s="264"/>
      <c r="Q15" s="264"/>
      <c r="R15" s="264"/>
      <c r="S15" s="264"/>
      <c r="T15" s="264"/>
      <c r="U15" s="264"/>
      <c r="V15" s="264"/>
      <c r="W15" s="278">
        <f>AQ11+AQ12</f>
        <v>39</v>
      </c>
      <c r="X15" s="278"/>
      <c r="Y15" s="278"/>
      <c r="Z15" s="264" t="s">
        <v>176</v>
      </c>
      <c r="AA15" s="264"/>
      <c r="AB15" s="503" t="s">
        <v>605</v>
      </c>
      <c r="AC15" s="503"/>
      <c r="AD15" s="503"/>
      <c r="AE15" s="503"/>
      <c r="AF15" s="503"/>
      <c r="AG15" s="503"/>
      <c r="AH15" s="281" t="s">
        <v>584</v>
      </c>
      <c r="AI15" s="282"/>
      <c r="AK15" s="425" t="s">
        <v>606</v>
      </c>
      <c r="AL15" s="425"/>
      <c r="AM15" s="425"/>
      <c r="AN15" s="425"/>
      <c r="AO15" s="425"/>
      <c r="AP15" s="425"/>
      <c r="AQ15" s="42"/>
      <c r="AR15" s="43"/>
      <c r="AS15" s="46">
        <v>6</v>
      </c>
      <c r="AT15" s="46"/>
      <c r="AU15" s="46"/>
      <c r="AV15" s="47" t="s">
        <v>607</v>
      </c>
      <c r="AW15" s="47" t="s">
        <v>596</v>
      </c>
      <c r="AX15" s="47">
        <v>0.33333333333333331</v>
      </c>
      <c r="AY15" s="47">
        <v>0.83333333333333337</v>
      </c>
      <c r="AZ15" s="43"/>
      <c r="BB15" s="121" t="s">
        <v>31</v>
      </c>
      <c r="BC15" s="163" t="s">
        <v>119</v>
      </c>
      <c r="BD15" s="164"/>
      <c r="BE15" s="165" t="s">
        <v>28</v>
      </c>
      <c r="BF15" s="165" t="s">
        <v>119</v>
      </c>
      <c r="BG15" s="164"/>
      <c r="BH15" s="164"/>
      <c r="BI15" s="164"/>
      <c r="BJ15" s="164"/>
      <c r="BK15" s="165" t="s">
        <v>119</v>
      </c>
      <c r="BL15" s="165" t="s">
        <v>602</v>
      </c>
      <c r="BM15" s="165" t="s">
        <v>119</v>
      </c>
      <c r="BN15" s="165" t="s">
        <v>602</v>
      </c>
      <c r="BO15" s="164"/>
      <c r="BP15" s="164"/>
      <c r="BQ15" s="165" t="s">
        <v>608</v>
      </c>
      <c r="BR15" s="165" t="s">
        <v>20</v>
      </c>
      <c r="BS15" s="165" t="s">
        <v>602</v>
      </c>
      <c r="BT15" s="165" t="s">
        <v>119</v>
      </c>
      <c r="BU15" s="165" t="s">
        <v>602</v>
      </c>
      <c r="BV15" s="164"/>
      <c r="BW15" s="164"/>
      <c r="BX15" s="165" t="s">
        <v>119</v>
      </c>
      <c r="BY15" s="165" t="s">
        <v>20</v>
      </c>
      <c r="BZ15" s="165" t="s">
        <v>602</v>
      </c>
      <c r="CA15" s="165" t="s">
        <v>20</v>
      </c>
      <c r="CB15" s="165" t="s">
        <v>602</v>
      </c>
      <c r="CC15" s="165" t="s">
        <v>602</v>
      </c>
      <c r="CD15" s="164"/>
      <c r="CE15" s="165" t="s">
        <v>119</v>
      </c>
      <c r="CF15" s="165" t="s">
        <v>20</v>
      </c>
      <c r="CG15" s="43"/>
    </row>
    <row r="16" spans="1:85" ht="18" customHeight="1">
      <c r="A16" s="504" t="s">
        <v>609</v>
      </c>
      <c r="B16" s="505"/>
      <c r="C16" s="505"/>
      <c r="D16" s="505"/>
      <c r="E16" s="505"/>
      <c r="F16" s="505"/>
      <c r="G16" s="505"/>
      <c r="H16" s="505"/>
      <c r="I16" s="505"/>
      <c r="J16" s="505"/>
      <c r="K16" s="505"/>
      <c r="L16" s="505"/>
      <c r="M16" s="505"/>
      <c r="N16" s="505"/>
      <c r="O16" s="505"/>
      <c r="P16" s="505"/>
      <c r="Q16" s="505"/>
      <c r="R16" s="505"/>
      <c r="S16" s="505"/>
      <c r="T16" s="505"/>
      <c r="U16" s="505"/>
      <c r="V16" s="505"/>
      <c r="W16" s="505"/>
      <c r="X16" s="505"/>
      <c r="Y16" s="505"/>
      <c r="Z16" s="505"/>
      <c r="AA16" s="505"/>
      <c r="AB16" s="505"/>
      <c r="AC16" s="505"/>
      <c r="AD16" s="505"/>
      <c r="AE16" s="505"/>
      <c r="AF16" s="505"/>
      <c r="AG16" s="505"/>
      <c r="AH16" s="505"/>
      <c r="AI16" s="506"/>
      <c r="AK16" s="425" t="s">
        <v>610</v>
      </c>
      <c r="AL16" s="425"/>
      <c r="AM16" s="425"/>
      <c r="AN16" s="425"/>
      <c r="AO16" s="425"/>
      <c r="AP16" s="425"/>
      <c r="AQ16" s="42"/>
      <c r="AR16" s="43"/>
      <c r="AS16" s="46">
        <v>7</v>
      </c>
      <c r="AT16" s="46"/>
      <c r="AU16" s="46" t="s">
        <v>67</v>
      </c>
      <c r="AV16" s="47" t="s">
        <v>611</v>
      </c>
      <c r="AW16" s="47" t="s">
        <v>612</v>
      </c>
      <c r="AX16" s="47">
        <v>0.83333333333333337</v>
      </c>
      <c r="AY16" s="47" t="s">
        <v>613</v>
      </c>
      <c r="AZ16" s="43"/>
      <c r="BB16" s="121" t="s">
        <v>614</v>
      </c>
      <c r="BC16" s="142" t="s">
        <v>20</v>
      </c>
      <c r="BD16" s="140" t="s">
        <v>67</v>
      </c>
      <c r="BE16" s="142" t="s">
        <v>42</v>
      </c>
      <c r="BF16" s="142" t="s">
        <v>20</v>
      </c>
      <c r="BG16" s="142" t="s">
        <v>42</v>
      </c>
      <c r="BH16" s="142" t="s">
        <v>61</v>
      </c>
      <c r="BI16" s="142" t="s">
        <v>67</v>
      </c>
      <c r="BJ16" s="142" t="s">
        <v>67</v>
      </c>
      <c r="BK16" s="142" t="s">
        <v>42</v>
      </c>
      <c r="BL16" s="142" t="s">
        <v>42</v>
      </c>
      <c r="BM16" s="142" t="s">
        <v>67</v>
      </c>
      <c r="BN16" s="142" t="s">
        <v>67</v>
      </c>
      <c r="BO16" s="142" t="s">
        <v>42</v>
      </c>
      <c r="BP16" s="142" t="s">
        <v>67</v>
      </c>
      <c r="BQ16" s="142" t="s">
        <v>20</v>
      </c>
      <c r="BR16" s="142" t="s">
        <v>71</v>
      </c>
      <c r="BS16" s="142" t="s">
        <v>67</v>
      </c>
      <c r="BT16" s="142" t="s">
        <v>67</v>
      </c>
      <c r="BU16" s="142" t="s">
        <v>61</v>
      </c>
      <c r="BV16" s="142" t="s">
        <v>42</v>
      </c>
      <c r="BW16" s="142" t="s">
        <v>49</v>
      </c>
      <c r="BX16" s="142" t="s">
        <v>20</v>
      </c>
      <c r="BY16" s="142" t="s">
        <v>71</v>
      </c>
      <c r="BZ16" s="142" t="s">
        <v>42</v>
      </c>
      <c r="CA16" s="142" t="s">
        <v>20</v>
      </c>
      <c r="CB16" s="142" t="s">
        <v>61</v>
      </c>
      <c r="CC16" s="142" t="s">
        <v>42</v>
      </c>
      <c r="CD16" s="142" t="s">
        <v>49</v>
      </c>
      <c r="CE16" s="142" t="s">
        <v>20</v>
      </c>
      <c r="CF16" s="143" t="s">
        <v>71</v>
      </c>
      <c r="CG16" s="43"/>
    </row>
    <row r="17" spans="1:85" ht="18" customHeight="1">
      <c r="A17" s="396" t="s">
        <v>615</v>
      </c>
      <c r="B17" s="397"/>
      <c r="C17" s="397"/>
      <c r="D17" s="397"/>
      <c r="E17" s="397"/>
      <c r="F17" s="398" t="s">
        <v>616</v>
      </c>
      <c r="G17" s="398"/>
      <c r="H17" s="398"/>
      <c r="I17" s="398"/>
      <c r="J17" s="398"/>
      <c r="K17" s="398"/>
      <c r="L17" s="398"/>
      <c r="M17" s="398"/>
      <c r="N17" s="398"/>
      <c r="O17" s="398"/>
      <c r="P17" s="398"/>
      <c r="Q17" s="398"/>
      <c r="R17" s="398"/>
      <c r="S17" s="398"/>
      <c r="T17" s="398"/>
      <c r="U17" s="398"/>
      <c r="V17" s="398"/>
      <c r="W17" s="398"/>
      <c r="X17" s="398"/>
      <c r="Y17" s="398"/>
      <c r="Z17" s="398"/>
      <c r="AA17" s="398"/>
      <c r="AB17" s="398"/>
      <c r="AC17" s="398"/>
      <c r="AD17" s="398"/>
      <c r="AE17" s="398"/>
      <c r="AF17" s="398"/>
      <c r="AG17" s="398"/>
      <c r="AH17" s="398"/>
      <c r="AI17" s="399"/>
      <c r="AK17" s="425" t="s">
        <v>617</v>
      </c>
      <c r="AL17" s="425"/>
      <c r="AM17" s="425"/>
      <c r="AN17" s="425"/>
      <c r="AO17" s="425"/>
      <c r="AP17" s="425"/>
      <c r="AQ17" s="42"/>
      <c r="AR17" s="43"/>
      <c r="AS17" s="46">
        <v>8</v>
      </c>
      <c r="AT17" s="46"/>
      <c r="AU17" s="46" t="s">
        <v>42</v>
      </c>
      <c r="AV17" s="47" t="s">
        <v>618</v>
      </c>
      <c r="AW17" s="47" t="s">
        <v>612</v>
      </c>
      <c r="AX17" s="47">
        <v>0.83333333333333337</v>
      </c>
      <c r="AY17" s="47" t="s">
        <v>613</v>
      </c>
      <c r="AZ17" s="43"/>
      <c r="BB17" s="121" t="s">
        <v>619</v>
      </c>
      <c r="BC17" s="141" t="s">
        <v>67</v>
      </c>
      <c r="BD17" s="140" t="s">
        <v>42</v>
      </c>
      <c r="BE17" s="141" t="s">
        <v>71</v>
      </c>
      <c r="BF17" s="140" t="s">
        <v>67</v>
      </c>
      <c r="BG17" s="140" t="s">
        <v>61</v>
      </c>
      <c r="BH17" s="140" t="s">
        <v>42</v>
      </c>
      <c r="BI17" s="140" t="s">
        <v>49</v>
      </c>
      <c r="BJ17" s="140" t="s">
        <v>61</v>
      </c>
      <c r="BK17" s="140" t="s">
        <v>71</v>
      </c>
      <c r="BL17" s="140" t="s">
        <v>67</v>
      </c>
      <c r="BM17" s="140" t="s">
        <v>49</v>
      </c>
      <c r="BN17" s="140" t="s">
        <v>49</v>
      </c>
      <c r="BO17" s="140" t="s">
        <v>61</v>
      </c>
      <c r="BP17" s="140" t="s">
        <v>49</v>
      </c>
      <c r="BQ17" s="140" t="s">
        <v>67</v>
      </c>
      <c r="BR17" s="140" t="s">
        <v>42</v>
      </c>
      <c r="BS17" s="140" t="s">
        <v>42</v>
      </c>
      <c r="BT17" s="140" t="s">
        <v>49</v>
      </c>
      <c r="BU17" s="140" t="s">
        <v>42</v>
      </c>
      <c r="BV17" s="140" t="s">
        <v>61</v>
      </c>
      <c r="BW17" s="140" t="s">
        <v>71</v>
      </c>
      <c r="BX17" s="140" t="s">
        <v>67</v>
      </c>
      <c r="BY17" s="140" t="s">
        <v>42</v>
      </c>
      <c r="BZ17" s="140" t="s">
        <v>67</v>
      </c>
      <c r="CA17" s="140" t="s">
        <v>67</v>
      </c>
      <c r="CB17" s="140" t="s">
        <v>49</v>
      </c>
      <c r="CC17" s="140" t="s">
        <v>61</v>
      </c>
      <c r="CD17" s="140" t="s">
        <v>71</v>
      </c>
      <c r="CE17" s="140" t="s">
        <v>67</v>
      </c>
      <c r="CF17" s="140" t="s">
        <v>42</v>
      </c>
      <c r="CG17" s="43"/>
    </row>
    <row r="18" spans="1:85" ht="18" customHeight="1">
      <c r="A18" s="501" t="s">
        <v>620</v>
      </c>
      <c r="B18" s="502"/>
      <c r="C18" s="502"/>
      <c r="D18" s="502"/>
      <c r="E18" s="502"/>
      <c r="F18" s="400" t="s">
        <v>616</v>
      </c>
      <c r="G18" s="400"/>
      <c r="H18" s="400"/>
      <c r="I18" s="400"/>
      <c r="J18" s="400"/>
      <c r="K18" s="400"/>
      <c r="L18" s="400"/>
      <c r="M18" s="400"/>
      <c r="N18" s="400"/>
      <c r="O18" s="400"/>
      <c r="P18" s="400"/>
      <c r="Q18" s="400"/>
      <c r="R18" s="400"/>
      <c r="S18" s="400"/>
      <c r="T18" s="400"/>
      <c r="U18" s="400"/>
      <c r="V18" s="400"/>
      <c r="W18" s="400"/>
      <c r="X18" s="400"/>
      <c r="Y18" s="400"/>
      <c r="Z18" s="400"/>
      <c r="AA18" s="400"/>
      <c r="AB18" s="400"/>
      <c r="AC18" s="400"/>
      <c r="AD18" s="400"/>
      <c r="AE18" s="400"/>
      <c r="AF18" s="400"/>
      <c r="AG18" s="400"/>
      <c r="AH18" s="400"/>
      <c r="AI18" s="401"/>
      <c r="AK18" s="425" t="s">
        <v>621</v>
      </c>
      <c r="AL18" s="425"/>
      <c r="AM18" s="425"/>
      <c r="AN18" s="425"/>
      <c r="AO18" s="425"/>
      <c r="AP18" s="425"/>
      <c r="AQ18" s="42"/>
      <c r="AR18" s="43"/>
      <c r="AS18" s="46">
        <v>9</v>
      </c>
      <c r="AT18" s="46"/>
      <c r="AU18" s="46"/>
      <c r="AV18" s="47" t="s">
        <v>622</v>
      </c>
      <c r="AW18" s="47" t="s">
        <v>612</v>
      </c>
      <c r="AX18" s="47">
        <v>0.83333333333333337</v>
      </c>
      <c r="AY18" s="47" t="s">
        <v>613</v>
      </c>
      <c r="AZ18" s="43"/>
    </row>
    <row r="19" spans="1:85" ht="18" customHeight="1" thickBot="1">
      <c r="A19" s="35" t="s">
        <v>189</v>
      </c>
      <c r="B19" s="405">
        <v>0.39583333333333331</v>
      </c>
      <c r="C19" s="405"/>
      <c r="D19" s="405"/>
      <c r="E19" s="405"/>
      <c r="F19" s="402" t="s">
        <v>854</v>
      </c>
      <c r="G19" s="402"/>
      <c r="H19" s="402"/>
      <c r="I19" s="402"/>
      <c r="J19" s="402"/>
      <c r="K19" s="402"/>
      <c r="L19" s="402"/>
      <c r="M19" s="402"/>
      <c r="N19" s="402"/>
      <c r="O19" s="402"/>
      <c r="P19" s="402"/>
      <c r="Q19" s="402"/>
      <c r="R19" s="402"/>
      <c r="S19" s="402"/>
      <c r="T19" s="402"/>
      <c r="U19" s="402"/>
      <c r="V19" s="402"/>
      <c r="W19" s="402"/>
      <c r="X19" s="402"/>
      <c r="Y19" s="402"/>
      <c r="Z19" s="402"/>
      <c r="AA19" s="402"/>
      <c r="AB19" s="402"/>
      <c r="AC19" s="402"/>
      <c r="AD19" s="402"/>
      <c r="AE19" s="402"/>
      <c r="AF19" s="402"/>
      <c r="AG19" s="402"/>
      <c r="AH19" s="402"/>
      <c r="AI19" s="403"/>
      <c r="AK19" s="524" t="s">
        <v>623</v>
      </c>
      <c r="AL19" s="524"/>
      <c r="AM19" s="524"/>
      <c r="AN19" s="524"/>
      <c r="AO19" s="524"/>
      <c r="AP19" s="524"/>
      <c r="AQ19" s="58"/>
      <c r="AR19" s="43"/>
      <c r="AS19" s="46">
        <v>10</v>
      </c>
      <c r="AT19" s="46"/>
      <c r="AU19" s="46"/>
      <c r="AV19" s="47" t="s">
        <v>111</v>
      </c>
      <c r="AW19" s="47" t="s">
        <v>612</v>
      </c>
      <c r="AX19" s="47">
        <v>0.83333333333333337</v>
      </c>
      <c r="AY19" s="47" t="s">
        <v>613</v>
      </c>
      <c r="AZ19" s="43"/>
    </row>
    <row r="20" spans="1:85" ht="18" customHeight="1">
      <c r="A20" s="36" t="s">
        <v>189</v>
      </c>
      <c r="B20" s="404">
        <v>0.45833333333333331</v>
      </c>
      <c r="C20" s="404"/>
      <c r="D20" s="404"/>
      <c r="E20" s="404"/>
      <c r="F20" s="288" t="s">
        <v>855</v>
      </c>
      <c r="G20" s="288"/>
      <c r="H20" s="288"/>
      <c r="I20" s="288"/>
      <c r="J20" s="288"/>
      <c r="K20" s="288"/>
      <c r="L20" s="288"/>
      <c r="M20" s="288"/>
      <c r="N20" s="288"/>
      <c r="O20" s="288"/>
      <c r="P20" s="288"/>
      <c r="Q20" s="288"/>
      <c r="R20" s="288"/>
      <c r="S20" s="288"/>
      <c r="T20" s="288"/>
      <c r="U20" s="288"/>
      <c r="V20" s="288"/>
      <c r="W20" s="288"/>
      <c r="X20" s="288"/>
      <c r="Y20" s="288"/>
      <c r="Z20" s="288"/>
      <c r="AA20" s="288"/>
      <c r="AB20" s="288"/>
      <c r="AC20" s="288"/>
      <c r="AD20" s="288"/>
      <c r="AE20" s="288"/>
      <c r="AF20" s="288"/>
      <c r="AG20" s="288"/>
      <c r="AH20" s="288"/>
      <c r="AI20" s="289"/>
      <c r="AK20" s="447" t="s">
        <v>624</v>
      </c>
      <c r="AL20" s="448"/>
      <c r="AM20" s="448"/>
      <c r="AN20" s="448"/>
      <c r="AO20" s="448"/>
      <c r="AP20" s="448"/>
      <c r="AQ20" s="62"/>
      <c r="AR20" s="426" t="s">
        <v>625</v>
      </c>
      <c r="AS20" s="146">
        <v>11</v>
      </c>
      <c r="AT20" s="46"/>
      <c r="AU20" s="46"/>
      <c r="AV20" s="47" t="s">
        <v>111</v>
      </c>
      <c r="AW20" s="47" t="s">
        <v>612</v>
      </c>
      <c r="AX20" s="47">
        <v>0.83333333333333337</v>
      </c>
      <c r="AY20" s="47" t="s">
        <v>613</v>
      </c>
      <c r="AZ20" s="43"/>
    </row>
    <row r="21" spans="1:85" ht="18" customHeight="1" thickBot="1">
      <c r="A21" s="36" t="s">
        <v>189</v>
      </c>
      <c r="B21" s="404">
        <v>0.54166666666666663</v>
      </c>
      <c r="C21" s="404"/>
      <c r="D21" s="404"/>
      <c r="E21" s="404"/>
      <c r="F21" s="288" t="s">
        <v>856</v>
      </c>
      <c r="G21" s="288"/>
      <c r="H21" s="288"/>
      <c r="I21" s="288"/>
      <c r="J21" s="288"/>
      <c r="K21" s="288"/>
      <c r="L21" s="288"/>
      <c r="M21" s="288"/>
      <c r="N21" s="288"/>
      <c r="O21" s="288"/>
      <c r="P21" s="288"/>
      <c r="Q21" s="288"/>
      <c r="R21" s="288"/>
      <c r="S21" s="288"/>
      <c r="T21" s="288"/>
      <c r="U21" s="288"/>
      <c r="V21" s="288"/>
      <c r="W21" s="288"/>
      <c r="X21" s="288"/>
      <c r="Y21" s="288"/>
      <c r="Z21" s="288"/>
      <c r="AA21" s="288"/>
      <c r="AB21" s="288"/>
      <c r="AC21" s="288"/>
      <c r="AD21" s="288"/>
      <c r="AE21" s="288"/>
      <c r="AF21" s="288"/>
      <c r="AG21" s="288"/>
      <c r="AH21" s="288"/>
      <c r="AI21" s="289"/>
      <c r="AK21" s="429" t="s">
        <v>626</v>
      </c>
      <c r="AL21" s="430"/>
      <c r="AM21" s="430"/>
      <c r="AN21" s="430"/>
      <c r="AO21" s="430"/>
      <c r="AP21" s="430"/>
      <c r="AQ21" s="63"/>
      <c r="AR21" s="427"/>
      <c r="AW21" s="43"/>
      <c r="AX21" s="43"/>
      <c r="AY21" s="43"/>
      <c r="AZ21" s="43"/>
    </row>
    <row r="22" spans="1:85" ht="18" customHeight="1">
      <c r="A22" s="36" t="s">
        <v>189</v>
      </c>
      <c r="B22" s="404">
        <v>0.57708333333333328</v>
      </c>
      <c r="C22" s="404"/>
      <c r="D22" s="404"/>
      <c r="E22" s="404"/>
      <c r="F22" s="288" t="s">
        <v>857</v>
      </c>
      <c r="G22" s="288"/>
      <c r="H22" s="288"/>
      <c r="I22" s="288"/>
      <c r="J22" s="288"/>
      <c r="K22" s="288"/>
      <c r="L22" s="288"/>
      <c r="M22" s="288"/>
      <c r="N22" s="288"/>
      <c r="O22" s="288"/>
      <c r="P22" s="288"/>
      <c r="Q22" s="288"/>
      <c r="R22" s="288"/>
      <c r="S22" s="288"/>
      <c r="T22" s="288"/>
      <c r="U22" s="288"/>
      <c r="V22" s="288"/>
      <c r="W22" s="288"/>
      <c r="X22" s="288"/>
      <c r="Y22" s="288"/>
      <c r="Z22" s="288"/>
      <c r="AA22" s="288"/>
      <c r="AB22" s="288"/>
      <c r="AC22" s="288"/>
      <c r="AD22" s="288"/>
      <c r="AE22" s="288"/>
      <c r="AF22" s="288"/>
      <c r="AG22" s="288"/>
      <c r="AH22" s="288"/>
      <c r="AI22" s="289"/>
      <c r="AK22" s="429" t="s">
        <v>627</v>
      </c>
      <c r="AL22" s="430"/>
      <c r="AM22" s="430"/>
      <c r="AN22" s="430"/>
      <c r="AO22" s="430"/>
      <c r="AP22" s="430"/>
      <c r="AQ22" s="63"/>
      <c r="AR22" s="427"/>
      <c r="AS22" s="433" t="s">
        <v>628</v>
      </c>
      <c r="AT22" s="434"/>
      <c r="AU22" s="435"/>
      <c r="AV22" s="435"/>
      <c r="AW22" s="60" t="s">
        <v>74</v>
      </c>
      <c r="AY22" s="413" t="s">
        <v>629</v>
      </c>
      <c r="AZ22" s="413"/>
      <c r="BA22" s="412"/>
      <c r="BB22" s="412"/>
    </row>
    <row r="23" spans="1:85" ht="18" customHeight="1" thickBot="1">
      <c r="A23" s="36" t="s">
        <v>189</v>
      </c>
      <c r="B23" s="404">
        <v>0.625</v>
      </c>
      <c r="C23" s="404"/>
      <c r="D23" s="404"/>
      <c r="E23" s="404"/>
      <c r="F23" s="288" t="s">
        <v>858</v>
      </c>
      <c r="G23" s="288"/>
      <c r="H23" s="288"/>
      <c r="I23" s="288"/>
      <c r="J23" s="288"/>
      <c r="K23" s="288"/>
      <c r="L23" s="288"/>
      <c r="M23" s="288"/>
      <c r="N23" s="288"/>
      <c r="O23" s="288"/>
      <c r="P23" s="288"/>
      <c r="Q23" s="288"/>
      <c r="R23" s="288"/>
      <c r="S23" s="288"/>
      <c r="T23" s="288"/>
      <c r="U23" s="288"/>
      <c r="V23" s="288"/>
      <c r="W23" s="288"/>
      <c r="X23" s="288"/>
      <c r="Y23" s="288"/>
      <c r="Z23" s="288"/>
      <c r="AA23" s="288"/>
      <c r="AB23" s="288"/>
      <c r="AC23" s="288"/>
      <c r="AD23" s="288"/>
      <c r="AE23" s="288"/>
      <c r="AF23" s="288"/>
      <c r="AG23" s="288"/>
      <c r="AH23" s="288"/>
      <c r="AI23" s="289"/>
      <c r="AK23" s="431" t="s">
        <v>630</v>
      </c>
      <c r="AL23" s="432"/>
      <c r="AM23" s="432"/>
      <c r="AN23" s="432"/>
      <c r="AO23" s="432"/>
      <c r="AP23" s="432"/>
      <c r="AQ23" s="64"/>
      <c r="AR23" s="428"/>
      <c r="AS23" s="536" t="s">
        <v>631</v>
      </c>
      <c r="AT23" s="246"/>
      <c r="AU23" s="537"/>
      <c r="AV23" s="537"/>
      <c r="AW23" s="56" t="s">
        <v>632</v>
      </c>
      <c r="AY23" s="413" t="s">
        <v>633</v>
      </c>
      <c r="AZ23" s="413"/>
      <c r="BA23" s="412"/>
      <c r="BB23" s="412"/>
    </row>
    <row r="24" spans="1:85" ht="18" customHeight="1" thickBot="1">
      <c r="A24" s="36"/>
      <c r="B24" s="404"/>
      <c r="C24" s="404"/>
      <c r="D24" s="404"/>
      <c r="E24" s="404"/>
      <c r="F24" s="288" t="s">
        <v>859</v>
      </c>
      <c r="G24" s="288"/>
      <c r="H24" s="288"/>
      <c r="I24" s="288"/>
      <c r="J24" s="288"/>
      <c r="K24" s="288"/>
      <c r="L24" s="288"/>
      <c r="M24" s="288"/>
      <c r="N24" s="288"/>
      <c r="O24" s="288"/>
      <c r="P24" s="288"/>
      <c r="Q24" s="288"/>
      <c r="R24" s="288"/>
      <c r="S24" s="288"/>
      <c r="T24" s="288"/>
      <c r="U24" s="288"/>
      <c r="V24" s="288"/>
      <c r="W24" s="288"/>
      <c r="X24" s="288"/>
      <c r="Y24" s="288"/>
      <c r="Z24" s="288"/>
      <c r="AA24" s="288"/>
      <c r="AB24" s="288"/>
      <c r="AC24" s="288"/>
      <c r="AD24" s="288"/>
      <c r="AE24" s="288"/>
      <c r="AF24" s="288"/>
      <c r="AG24" s="288"/>
      <c r="AH24" s="288"/>
      <c r="AI24" s="289"/>
      <c r="AK24" s="527" t="s">
        <v>634</v>
      </c>
      <c r="AL24" s="528"/>
      <c r="AM24" s="528"/>
      <c r="AN24" s="528"/>
      <c r="AO24" s="528"/>
      <c r="AP24" s="528"/>
      <c r="AQ24" s="65"/>
      <c r="AR24" s="43"/>
      <c r="AY24" s="413" t="s">
        <v>635</v>
      </c>
      <c r="AZ24" s="413"/>
      <c r="BA24" s="412"/>
      <c r="BB24" s="412"/>
    </row>
    <row r="25" spans="1:85" ht="18" customHeight="1">
      <c r="A25" s="36" t="s">
        <v>189</v>
      </c>
      <c r="B25" s="404">
        <v>0.66666666666666663</v>
      </c>
      <c r="C25" s="404"/>
      <c r="D25" s="404"/>
      <c r="E25" s="404"/>
      <c r="F25" s="288" t="s">
        <v>860</v>
      </c>
      <c r="G25" s="288"/>
      <c r="H25" s="288"/>
      <c r="I25" s="288"/>
      <c r="J25" s="288"/>
      <c r="K25" s="288"/>
      <c r="L25" s="288"/>
      <c r="M25" s="288"/>
      <c r="N25" s="288"/>
      <c r="O25" s="288"/>
      <c r="P25" s="288"/>
      <c r="Q25" s="288"/>
      <c r="R25" s="288"/>
      <c r="S25" s="288"/>
      <c r="T25" s="288"/>
      <c r="U25" s="288"/>
      <c r="V25" s="288"/>
      <c r="W25" s="288"/>
      <c r="X25" s="288"/>
      <c r="Y25" s="288"/>
      <c r="Z25" s="288"/>
      <c r="AA25" s="288"/>
      <c r="AB25" s="288"/>
      <c r="AC25" s="288"/>
      <c r="AD25" s="288"/>
      <c r="AE25" s="288"/>
      <c r="AF25" s="288"/>
      <c r="AG25" s="288"/>
      <c r="AH25" s="288"/>
      <c r="AI25" s="289"/>
      <c r="AK25" s="529" t="s">
        <v>636</v>
      </c>
      <c r="AL25" s="529"/>
      <c r="AM25" s="529"/>
      <c r="AN25" s="529"/>
      <c r="AO25" s="529"/>
      <c r="AP25" s="529"/>
      <c r="AQ25" s="66"/>
      <c r="AR25" s="43"/>
      <c r="AY25" s="413" t="s">
        <v>637</v>
      </c>
      <c r="AZ25" s="413"/>
      <c r="BA25" s="412"/>
      <c r="BB25" s="412"/>
    </row>
    <row r="26" spans="1:85" ht="18" customHeight="1">
      <c r="A26" s="36"/>
      <c r="B26" s="404"/>
      <c r="C26" s="404"/>
      <c r="D26" s="404"/>
      <c r="E26" s="404"/>
      <c r="F26" s="288" t="s">
        <v>861</v>
      </c>
      <c r="G26" s="288"/>
      <c r="H26" s="288"/>
      <c r="I26" s="288"/>
      <c r="J26" s="288"/>
      <c r="K26" s="288"/>
      <c r="L26" s="288"/>
      <c r="M26" s="288"/>
      <c r="N26" s="288"/>
      <c r="O26" s="288"/>
      <c r="P26" s="288"/>
      <c r="Q26" s="288"/>
      <c r="R26" s="288"/>
      <c r="S26" s="288"/>
      <c r="T26" s="288"/>
      <c r="U26" s="288"/>
      <c r="V26" s="288"/>
      <c r="W26" s="288"/>
      <c r="X26" s="288"/>
      <c r="Y26" s="288"/>
      <c r="Z26" s="288"/>
      <c r="AA26" s="288"/>
      <c r="AB26" s="288"/>
      <c r="AC26" s="288"/>
      <c r="AD26" s="288"/>
      <c r="AE26" s="288"/>
      <c r="AF26" s="288"/>
      <c r="AG26" s="288"/>
      <c r="AH26" s="288"/>
      <c r="AI26" s="289"/>
      <c r="AK26" s="436" t="s">
        <v>638</v>
      </c>
      <c r="AL26" s="436"/>
      <c r="AM26" s="436"/>
      <c r="AN26" s="436"/>
      <c r="AO26" s="436"/>
      <c r="AP26" s="436"/>
      <c r="AQ26" s="67"/>
      <c r="AR26" s="43"/>
      <c r="AS26" s="548" t="s">
        <v>639</v>
      </c>
      <c r="AT26" s="549"/>
      <c r="AU26" s="549"/>
      <c r="AV26" s="549"/>
      <c r="AW26" s="550"/>
      <c r="AY26" s="147"/>
      <c r="AZ26" s="147"/>
      <c r="BA26" s="147"/>
      <c r="BB26" s="147"/>
    </row>
    <row r="27" spans="1:85" ht="18" customHeight="1">
      <c r="A27" s="36" t="s">
        <v>189</v>
      </c>
      <c r="B27" s="404">
        <v>0.75</v>
      </c>
      <c r="C27" s="404"/>
      <c r="D27" s="404"/>
      <c r="E27" s="404"/>
      <c r="F27" s="288" t="s">
        <v>460</v>
      </c>
      <c r="G27" s="288"/>
      <c r="H27" s="288"/>
      <c r="I27" s="288"/>
      <c r="J27" s="288"/>
      <c r="K27" s="288"/>
      <c r="L27" s="288"/>
      <c r="M27" s="288"/>
      <c r="N27" s="288"/>
      <c r="O27" s="288"/>
      <c r="P27" s="288"/>
      <c r="Q27" s="288"/>
      <c r="R27" s="288"/>
      <c r="S27" s="288"/>
      <c r="T27" s="288"/>
      <c r="U27" s="288"/>
      <c r="V27" s="288"/>
      <c r="W27" s="288"/>
      <c r="X27" s="288"/>
      <c r="Y27" s="288"/>
      <c r="Z27" s="288"/>
      <c r="AA27" s="288"/>
      <c r="AB27" s="288"/>
      <c r="AC27" s="288"/>
      <c r="AD27" s="288"/>
      <c r="AE27" s="288"/>
      <c r="AF27" s="288"/>
      <c r="AG27" s="288"/>
      <c r="AH27" s="288"/>
      <c r="AI27" s="289"/>
      <c r="AK27" s="436" t="s">
        <v>640</v>
      </c>
      <c r="AL27" s="436"/>
      <c r="AM27" s="436"/>
      <c r="AN27" s="436"/>
      <c r="AO27" s="436"/>
      <c r="AP27" s="436"/>
      <c r="AQ27" s="67"/>
      <c r="AR27" s="43"/>
      <c r="AS27" s="458" t="s">
        <v>641</v>
      </c>
      <c r="AT27" s="460"/>
      <c r="AU27" s="458" t="s">
        <v>642</v>
      </c>
      <c r="AV27" s="459"/>
      <c r="AW27" s="460"/>
      <c r="AY27" s="411" t="s">
        <v>643</v>
      </c>
      <c r="AZ27" s="411"/>
      <c r="BA27" s="411"/>
      <c r="BB27" s="411"/>
    </row>
    <row r="28" spans="1:85" ht="18" customHeight="1" thickBot="1">
      <c r="A28" s="36" t="s">
        <v>189</v>
      </c>
      <c r="B28" s="404">
        <v>0.9</v>
      </c>
      <c r="C28" s="404"/>
      <c r="D28" s="404"/>
      <c r="E28" s="404"/>
      <c r="F28" s="288" t="s">
        <v>862</v>
      </c>
      <c r="G28" s="288"/>
      <c r="H28" s="288"/>
      <c r="I28" s="288"/>
      <c r="J28" s="288"/>
      <c r="K28" s="288"/>
      <c r="L28" s="288"/>
      <c r="M28" s="288"/>
      <c r="N28" s="288"/>
      <c r="O28" s="288"/>
      <c r="P28" s="288"/>
      <c r="Q28" s="288"/>
      <c r="R28" s="288"/>
      <c r="S28" s="288"/>
      <c r="T28" s="288"/>
      <c r="U28" s="288"/>
      <c r="V28" s="288"/>
      <c r="W28" s="288"/>
      <c r="X28" s="288"/>
      <c r="Y28" s="288"/>
      <c r="Z28" s="288"/>
      <c r="AA28" s="288"/>
      <c r="AB28" s="288"/>
      <c r="AC28" s="288"/>
      <c r="AD28" s="288"/>
      <c r="AE28" s="288"/>
      <c r="AF28" s="288"/>
      <c r="AG28" s="288"/>
      <c r="AH28" s="288"/>
      <c r="AI28" s="289"/>
      <c r="AK28" s="436" t="s">
        <v>644</v>
      </c>
      <c r="AL28" s="436"/>
      <c r="AM28" s="436"/>
      <c r="AN28" s="436"/>
      <c r="AO28" s="436"/>
      <c r="AP28" s="436"/>
      <c r="AQ28" s="67"/>
      <c r="AR28" s="43"/>
      <c r="AS28" s="538" t="s">
        <v>645</v>
      </c>
      <c r="AT28" s="539"/>
      <c r="AU28" s="533" t="s">
        <v>646</v>
      </c>
      <c r="AV28" s="534"/>
      <c r="AW28" s="535"/>
      <c r="AY28" s="413" t="s">
        <v>647</v>
      </c>
      <c r="AZ28" s="413"/>
      <c r="BA28" s="412"/>
      <c r="BB28" s="412"/>
    </row>
    <row r="29" spans="1:85" ht="18" customHeight="1" thickBot="1">
      <c r="A29" s="36" t="s">
        <v>189</v>
      </c>
      <c r="B29" s="404">
        <v>0.29166666666666669</v>
      </c>
      <c r="C29" s="404"/>
      <c r="D29" s="404"/>
      <c r="E29" s="404"/>
      <c r="F29" s="288" t="s">
        <v>689</v>
      </c>
      <c r="G29" s="288"/>
      <c r="H29" s="288"/>
      <c r="I29" s="288"/>
      <c r="J29" s="288"/>
      <c r="K29" s="288"/>
      <c r="L29" s="288"/>
      <c r="M29" s="288"/>
      <c r="N29" s="288"/>
      <c r="O29" s="288"/>
      <c r="P29" s="288"/>
      <c r="Q29" s="288"/>
      <c r="R29" s="288"/>
      <c r="S29" s="288"/>
      <c r="T29" s="288"/>
      <c r="U29" s="288"/>
      <c r="V29" s="288"/>
      <c r="W29" s="288"/>
      <c r="X29" s="288"/>
      <c r="Y29" s="288"/>
      <c r="Z29" s="288"/>
      <c r="AA29" s="288"/>
      <c r="AB29" s="288"/>
      <c r="AC29" s="288"/>
      <c r="AD29" s="288"/>
      <c r="AE29" s="288"/>
      <c r="AF29" s="288"/>
      <c r="AG29" s="288"/>
      <c r="AH29" s="288"/>
      <c r="AI29" s="289"/>
      <c r="AK29" s="524"/>
      <c r="AL29" s="524"/>
      <c r="AM29" s="524"/>
      <c r="AN29" s="524"/>
      <c r="AO29" s="524"/>
      <c r="AP29" s="524"/>
      <c r="AQ29" s="58"/>
      <c r="AR29" s="43"/>
      <c r="AS29" s="551"/>
      <c r="AT29" s="552"/>
      <c r="AU29" s="434"/>
      <c r="AV29" s="434"/>
      <c r="AW29" s="553"/>
      <c r="AY29" s="413" t="s">
        <v>633</v>
      </c>
      <c r="AZ29" s="413"/>
      <c r="BA29" s="412"/>
      <c r="BB29" s="412"/>
    </row>
    <row r="30" spans="1:85" ht="18" customHeight="1">
      <c r="A30" s="36"/>
      <c r="B30" s="404"/>
      <c r="C30" s="404"/>
      <c r="D30" s="404"/>
      <c r="E30" s="404"/>
      <c r="F30" s="288"/>
      <c r="G30" s="288"/>
      <c r="H30" s="288"/>
      <c r="I30" s="288"/>
      <c r="J30" s="288"/>
      <c r="K30" s="288"/>
      <c r="L30" s="288"/>
      <c r="M30" s="288"/>
      <c r="N30" s="288"/>
      <c r="O30" s="288"/>
      <c r="P30" s="288"/>
      <c r="Q30" s="288"/>
      <c r="R30" s="288"/>
      <c r="S30" s="288"/>
      <c r="T30" s="288"/>
      <c r="U30" s="288"/>
      <c r="V30" s="288"/>
      <c r="W30" s="288"/>
      <c r="X30" s="288"/>
      <c r="Y30" s="288"/>
      <c r="Z30" s="288"/>
      <c r="AA30" s="288"/>
      <c r="AB30" s="288"/>
      <c r="AC30" s="288"/>
      <c r="AD30" s="288"/>
      <c r="AE30" s="288"/>
      <c r="AF30" s="288"/>
      <c r="AG30" s="288"/>
      <c r="AH30" s="288"/>
      <c r="AI30" s="289"/>
      <c r="AK30" s="449" t="s">
        <v>648</v>
      </c>
      <c r="AL30" s="450"/>
      <c r="AM30" s="450"/>
      <c r="AN30" s="450"/>
      <c r="AO30" s="450"/>
      <c r="AP30" s="450"/>
      <c r="AQ30" s="62"/>
      <c r="AR30" s="43"/>
      <c r="AS30" s="554"/>
      <c r="AT30" s="532"/>
      <c r="AU30" s="439"/>
      <c r="AV30" s="439"/>
      <c r="AW30" s="555"/>
      <c r="AY30" s="413" t="s">
        <v>649</v>
      </c>
      <c r="AZ30" s="413"/>
      <c r="BA30" s="412"/>
      <c r="BB30" s="412"/>
    </row>
    <row r="31" spans="1:85" ht="18" customHeight="1" thickBot="1">
      <c r="A31" s="37"/>
      <c r="B31" s="466"/>
      <c r="C31" s="466"/>
      <c r="D31" s="466"/>
      <c r="E31" s="466"/>
      <c r="F31" s="467"/>
      <c r="G31" s="467"/>
      <c r="H31" s="467"/>
      <c r="I31" s="467"/>
      <c r="J31" s="467"/>
      <c r="K31" s="467"/>
      <c r="L31" s="467"/>
      <c r="M31" s="467"/>
      <c r="N31" s="467"/>
      <c r="O31" s="467"/>
      <c r="P31" s="467"/>
      <c r="Q31" s="467"/>
      <c r="R31" s="467"/>
      <c r="S31" s="467"/>
      <c r="T31" s="467"/>
      <c r="U31" s="467"/>
      <c r="V31" s="467"/>
      <c r="W31" s="467"/>
      <c r="X31" s="467"/>
      <c r="Y31" s="467"/>
      <c r="Z31" s="467"/>
      <c r="AA31" s="467"/>
      <c r="AB31" s="467"/>
      <c r="AC31" s="467"/>
      <c r="AD31" s="467"/>
      <c r="AE31" s="467"/>
      <c r="AF31" s="467"/>
      <c r="AG31" s="467"/>
      <c r="AH31" s="467"/>
      <c r="AI31" s="468"/>
      <c r="AK31" s="451" t="s">
        <v>650</v>
      </c>
      <c r="AL31" s="416"/>
      <c r="AM31" s="416"/>
      <c r="AN31" s="416"/>
      <c r="AO31" s="416"/>
      <c r="AP31" s="416"/>
      <c r="AQ31" s="64"/>
      <c r="AR31" s="48"/>
      <c r="AS31" s="556"/>
      <c r="AT31" s="557"/>
      <c r="AU31" s="424"/>
      <c r="AV31" s="424"/>
      <c r="AW31" s="491"/>
      <c r="AY31" s="413" t="s">
        <v>637</v>
      </c>
      <c r="AZ31" s="413"/>
      <c r="BA31" s="412"/>
      <c r="BB31" s="412"/>
    </row>
    <row r="32" spans="1:85" ht="18" customHeight="1" thickBot="1">
      <c r="A32" s="406" t="s">
        <v>651</v>
      </c>
      <c r="B32" s="407"/>
      <c r="C32" s="407"/>
      <c r="D32" s="407"/>
      <c r="E32" s="407"/>
      <c r="F32" s="407"/>
      <c r="G32" s="407"/>
      <c r="H32" s="407"/>
      <c r="I32" s="407"/>
      <c r="J32" s="407"/>
      <c r="K32" s="407"/>
      <c r="L32" s="407"/>
      <c r="M32" s="407"/>
      <c r="N32" s="407"/>
      <c r="O32" s="407"/>
      <c r="P32" s="407"/>
      <c r="Q32" s="407"/>
      <c r="R32" s="407"/>
      <c r="S32" s="407"/>
      <c r="T32" s="407"/>
      <c r="U32" s="407"/>
      <c r="V32" s="407"/>
      <c r="W32" s="407"/>
      <c r="X32" s="407"/>
      <c r="Y32" s="407"/>
      <c r="Z32" s="407"/>
      <c r="AA32" s="407"/>
      <c r="AB32" s="407"/>
      <c r="AC32" s="407"/>
      <c r="AD32" s="407"/>
      <c r="AE32" s="407"/>
      <c r="AF32" s="407"/>
      <c r="AG32" s="407"/>
      <c r="AH32" s="407"/>
      <c r="AI32" s="408"/>
      <c r="AK32" s="531"/>
      <c r="AL32" s="531"/>
      <c r="AM32" s="531"/>
      <c r="AN32" s="531"/>
      <c r="AO32" s="531"/>
      <c r="AP32" s="531"/>
      <c r="AQ32" s="61"/>
      <c r="AR32" s="48"/>
      <c r="AS32" s="558"/>
      <c r="AT32" s="558"/>
      <c r="AU32" s="559"/>
      <c r="AV32" s="559"/>
      <c r="AW32" s="559"/>
      <c r="AY32" s="413" t="s">
        <v>652</v>
      </c>
      <c r="AZ32" s="413"/>
      <c r="BA32" s="412"/>
      <c r="BB32" s="412"/>
    </row>
    <row r="33" spans="1:80" ht="18" customHeight="1">
      <c r="A33" s="39"/>
      <c r="B33" s="546" t="s">
        <v>653</v>
      </c>
      <c r="C33" s="546"/>
      <c r="D33" s="546"/>
      <c r="E33" s="546"/>
      <c r="F33" s="417" t="str" cm="1">
        <f t="array" ref="F33">_xlfn.TEXTJOIN("/",TRUE,IF(AS29:AS31&lt;&gt;"",TEXT(AS29:AS31,"h:mm")&amp;" "&amp;AU29:AU31,""))</f>
        <v/>
      </c>
      <c r="G33" s="418"/>
      <c r="H33" s="418"/>
      <c r="I33" s="418"/>
      <c r="J33" s="418"/>
      <c r="K33" s="418"/>
      <c r="L33" s="418"/>
      <c r="M33" s="418"/>
      <c r="N33" s="418"/>
      <c r="O33" s="418"/>
      <c r="P33" s="418"/>
      <c r="Q33" s="418"/>
      <c r="R33" s="418"/>
      <c r="S33" s="418"/>
      <c r="T33" s="418"/>
      <c r="U33" s="418"/>
      <c r="V33" s="418"/>
      <c r="W33" s="418"/>
      <c r="X33" s="418"/>
      <c r="Y33" s="418"/>
      <c r="Z33" s="418"/>
      <c r="AA33" s="418"/>
      <c r="AB33" s="418"/>
      <c r="AC33" s="418"/>
      <c r="AD33" s="418"/>
      <c r="AE33" s="418"/>
      <c r="AF33" s="418"/>
      <c r="AG33" s="418"/>
      <c r="AH33" s="418"/>
      <c r="AI33" s="419"/>
      <c r="AK33" s="449" t="s">
        <v>654</v>
      </c>
      <c r="AL33" s="450"/>
      <c r="AM33" s="450"/>
      <c r="AN33" s="450"/>
      <c r="AO33" s="450"/>
      <c r="AP33" s="450"/>
      <c r="AQ33" s="60"/>
      <c r="AR33" s="48"/>
      <c r="AS33" s="532"/>
      <c r="AT33" s="532"/>
      <c r="AU33" s="439"/>
      <c r="AV33" s="439"/>
      <c r="AW33" s="439"/>
      <c r="AY33" s="413" t="s">
        <v>655</v>
      </c>
      <c r="AZ33" s="413"/>
      <c r="BA33" s="412"/>
      <c r="BB33" s="412"/>
    </row>
    <row r="34" spans="1:80" ht="18" customHeight="1" thickBot="1">
      <c r="A34" s="39"/>
      <c r="B34" s="546" t="s">
        <v>656</v>
      </c>
      <c r="C34" s="546"/>
      <c r="D34" s="546"/>
      <c r="E34" s="546"/>
      <c r="F34" s="420" t="s">
        <v>79</v>
      </c>
      <c r="G34" s="420"/>
      <c r="H34" s="420"/>
      <c r="I34" s="420"/>
      <c r="J34" s="420"/>
      <c r="K34" s="420"/>
      <c r="L34" s="420"/>
      <c r="M34" s="420"/>
      <c r="N34" s="420"/>
      <c r="O34" s="420"/>
      <c r="P34" s="420"/>
      <c r="Q34" s="420"/>
      <c r="R34" s="420"/>
      <c r="S34" s="420"/>
      <c r="T34" s="420"/>
      <c r="U34" s="420"/>
      <c r="V34" s="420"/>
      <c r="W34" s="420"/>
      <c r="X34" s="420"/>
      <c r="Y34" s="420"/>
      <c r="Z34" s="420"/>
      <c r="AA34" s="420"/>
      <c r="AB34" s="420"/>
      <c r="AC34" s="421"/>
      <c r="AD34" s="421"/>
      <c r="AE34" s="421"/>
      <c r="AF34" s="421"/>
      <c r="AG34" s="421"/>
      <c r="AH34" s="421"/>
      <c r="AI34" s="422"/>
      <c r="AK34" s="451" t="s">
        <v>657</v>
      </c>
      <c r="AL34" s="416"/>
      <c r="AM34" s="416"/>
      <c r="AN34" s="416"/>
      <c r="AO34" s="416"/>
      <c r="AP34" s="416"/>
      <c r="AQ34" s="56"/>
      <c r="AR34" s="48"/>
      <c r="AS34" s="532"/>
      <c r="AT34" s="532"/>
      <c r="AU34" s="439"/>
      <c r="AV34" s="439"/>
      <c r="AW34" s="439"/>
      <c r="AY34" s="413" t="s">
        <v>658</v>
      </c>
      <c r="AZ34" s="413"/>
      <c r="BA34" s="412"/>
      <c r="BB34" s="412"/>
    </row>
    <row r="35" spans="1:80" ht="18" customHeight="1" thickBot="1">
      <c r="A35" s="57"/>
      <c r="B35" s="547" t="s">
        <v>659</v>
      </c>
      <c r="C35" s="547"/>
      <c r="D35" s="547"/>
      <c r="E35" s="547"/>
      <c r="F35" s="389" t="s">
        <v>660</v>
      </c>
      <c r="G35" s="389"/>
      <c r="H35" s="389"/>
      <c r="I35" s="389"/>
      <c r="J35" s="389"/>
      <c r="K35" s="389"/>
      <c r="L35" s="389"/>
      <c r="M35" s="389"/>
      <c r="N35" s="389"/>
      <c r="O35" s="389"/>
      <c r="P35" s="389"/>
      <c r="Q35" s="389"/>
      <c r="R35" s="389"/>
      <c r="S35" s="389"/>
      <c r="T35" s="389"/>
      <c r="U35" s="389"/>
      <c r="V35" s="389"/>
      <c r="W35" s="390" t="s">
        <v>661</v>
      </c>
      <c r="X35" s="391"/>
      <c r="Y35" s="391"/>
      <c r="Z35" s="391"/>
      <c r="AA35" s="391"/>
      <c r="AB35" s="391"/>
      <c r="AC35" s="392" t="s">
        <v>662</v>
      </c>
      <c r="AD35" s="393"/>
      <c r="AE35" s="393"/>
      <c r="AF35" s="393"/>
      <c r="AG35" s="393"/>
      <c r="AH35" s="393"/>
      <c r="AI35" s="394"/>
      <c r="AK35" s="531"/>
      <c r="AL35" s="531"/>
      <c r="AM35" s="531"/>
      <c r="AN35" s="531"/>
      <c r="AO35" s="531"/>
      <c r="AP35" s="531"/>
      <c r="AQ35" s="61"/>
      <c r="AR35" s="48"/>
      <c r="AS35" s="532"/>
      <c r="AT35" s="532"/>
      <c r="AU35" s="439"/>
      <c r="AV35" s="439"/>
      <c r="AW35" s="439"/>
      <c r="AY35" s="413" t="s">
        <v>663</v>
      </c>
      <c r="AZ35" s="413"/>
      <c r="BA35" s="412"/>
      <c r="BB35" s="412"/>
    </row>
    <row r="36" spans="1:80" ht="18" customHeight="1" thickBot="1">
      <c r="A36" s="492" t="s">
        <v>664</v>
      </c>
      <c r="B36" s="493"/>
      <c r="C36" s="493"/>
      <c r="D36" s="493"/>
      <c r="E36" s="493"/>
      <c r="F36" s="498">
        <v>4.1666666666666664E-2</v>
      </c>
      <c r="G36" s="439"/>
      <c r="H36" s="439"/>
      <c r="I36" s="439"/>
      <c r="J36" s="439"/>
      <c r="K36" s="439"/>
      <c r="L36" s="499" t="s">
        <v>665</v>
      </c>
      <c r="M36" s="489"/>
      <c r="N36" s="489"/>
      <c r="O36" s="500"/>
      <c r="P36" s="410" t="s">
        <v>43</v>
      </c>
      <c r="Q36" s="410"/>
      <c r="R36" s="410"/>
      <c r="S36" s="55" t="s">
        <v>666</v>
      </c>
      <c r="T36" s="410" t="s">
        <v>72</v>
      </c>
      <c r="U36" s="410"/>
      <c r="V36" s="530"/>
      <c r="W36" s="489" t="s">
        <v>667</v>
      </c>
      <c r="X36" s="489"/>
      <c r="Y36" s="489"/>
      <c r="Z36" s="489"/>
      <c r="AA36" s="489"/>
      <c r="AB36" s="489"/>
      <c r="AC36" s="490" t="s">
        <v>722</v>
      </c>
      <c r="AD36" s="487"/>
      <c r="AE36" s="487"/>
      <c r="AF36" s="487"/>
      <c r="AG36" s="487"/>
      <c r="AH36" s="487"/>
      <c r="AI36" s="488"/>
      <c r="AK36" s="525" t="s">
        <v>668</v>
      </c>
      <c r="AL36" s="526"/>
      <c r="AM36" s="526"/>
      <c r="AN36" s="526"/>
      <c r="AO36" s="526"/>
      <c r="AP36" s="526"/>
      <c r="AQ36" s="117"/>
      <c r="AR36" s="48"/>
      <c r="AS36" s="532"/>
      <c r="AT36" s="532"/>
      <c r="AU36" s="439"/>
      <c r="AV36" s="439"/>
      <c r="AW36" s="439"/>
      <c r="BH36" s="50"/>
      <c r="BI36" s="51"/>
    </row>
    <row r="37" spans="1:80" ht="18" customHeight="1" thickBot="1">
      <c r="A37" s="494" t="s">
        <v>669</v>
      </c>
      <c r="B37" s="495"/>
      <c r="C37" s="495"/>
      <c r="D37" s="495"/>
      <c r="E37" s="495"/>
      <c r="F37" s="487"/>
      <c r="G37" s="487"/>
      <c r="H37" s="487"/>
      <c r="I37" s="487"/>
      <c r="J37" s="487"/>
      <c r="K37" s="487"/>
      <c r="L37" s="487"/>
      <c r="M37" s="487"/>
      <c r="N37" s="487"/>
      <c r="O37" s="487"/>
      <c r="P37" s="487"/>
      <c r="Q37" s="487"/>
      <c r="R37" s="487"/>
      <c r="S37" s="487"/>
      <c r="T37" s="487"/>
      <c r="U37" s="487"/>
      <c r="V37" s="487"/>
      <c r="W37" s="487"/>
      <c r="X37" s="487"/>
      <c r="Y37" s="487"/>
      <c r="Z37" s="487"/>
      <c r="AA37" s="487"/>
      <c r="AB37" s="487"/>
      <c r="AC37" s="487"/>
      <c r="AD37" s="487"/>
      <c r="AE37" s="487"/>
      <c r="AF37" s="487"/>
      <c r="AG37" s="487"/>
      <c r="AH37" s="487"/>
      <c r="AI37" s="488"/>
      <c r="AK37" s="544" t="s">
        <v>240</v>
      </c>
      <c r="AL37" s="545"/>
      <c r="AM37" s="545"/>
      <c r="AN37" s="545"/>
      <c r="AO37" s="545"/>
      <c r="AP37" s="545"/>
      <c r="AQ37" s="122"/>
      <c r="AR37" s="48"/>
      <c r="AS37" s="532"/>
      <c r="AT37" s="532"/>
      <c r="AU37" s="439"/>
      <c r="AV37" s="439"/>
      <c r="AW37" s="439"/>
      <c r="BH37" s="50"/>
      <c r="BI37" s="51"/>
    </row>
    <row r="38" spans="1:80" ht="18" customHeight="1" thickBot="1">
      <c r="A38" s="496" t="s">
        <v>670</v>
      </c>
      <c r="B38" s="497"/>
      <c r="C38" s="497"/>
      <c r="D38" s="497"/>
      <c r="E38" s="497"/>
      <c r="F38" s="416" t="s">
        <v>667</v>
      </c>
      <c r="G38" s="416"/>
      <c r="H38" s="416"/>
      <c r="I38" s="416"/>
      <c r="J38" s="416"/>
      <c r="K38" s="416"/>
      <c r="L38" s="424" t="s">
        <v>722</v>
      </c>
      <c r="M38" s="424"/>
      <c r="N38" s="424"/>
      <c r="O38" s="424"/>
      <c r="P38" s="416" t="s">
        <v>671</v>
      </c>
      <c r="Q38" s="416"/>
      <c r="R38" s="416"/>
      <c r="S38" s="416"/>
      <c r="T38" s="416"/>
      <c r="U38" s="416"/>
      <c r="V38" s="416"/>
      <c r="W38" s="416" t="s">
        <v>667</v>
      </c>
      <c r="X38" s="416"/>
      <c r="Y38" s="416"/>
      <c r="Z38" s="416"/>
      <c r="AA38" s="416"/>
      <c r="AB38" s="416"/>
      <c r="AC38" s="424" t="s">
        <v>722</v>
      </c>
      <c r="AD38" s="424"/>
      <c r="AE38" s="424"/>
      <c r="AF38" s="424"/>
      <c r="AG38" s="424"/>
      <c r="AH38" s="424"/>
      <c r="AI38" s="491"/>
      <c r="AK38" s="543"/>
      <c r="AL38" s="543"/>
      <c r="AM38" s="543"/>
      <c r="AN38" s="543"/>
      <c r="AO38" s="543"/>
      <c r="AP38" s="543"/>
      <c r="AQ38" s="59"/>
      <c r="AR38" s="48"/>
      <c r="BC38" s="50"/>
      <c r="BD38" s="51"/>
    </row>
    <row r="39" spans="1:80" ht="18" customHeight="1">
      <c r="A39" s="452" t="s">
        <v>672</v>
      </c>
      <c r="B39" s="453"/>
      <c r="C39" s="453"/>
      <c r="D39" s="453"/>
      <c r="E39" s="453"/>
      <c r="F39" s="453"/>
      <c r="G39" s="453"/>
      <c r="H39" s="453"/>
      <c r="I39" s="453"/>
      <c r="J39" s="453"/>
      <c r="K39" s="453"/>
      <c r="L39" s="453"/>
      <c r="M39" s="453"/>
      <c r="N39" s="453"/>
      <c r="O39" s="453"/>
      <c r="P39" s="453"/>
      <c r="Q39" s="453"/>
      <c r="R39" s="453"/>
      <c r="S39" s="453"/>
      <c r="T39" s="453"/>
      <c r="U39" s="453"/>
      <c r="V39" s="453"/>
      <c r="W39" s="453"/>
      <c r="X39" s="453"/>
      <c r="Y39" s="453"/>
      <c r="Z39" s="453"/>
      <c r="AA39" s="453"/>
      <c r="AB39" s="453"/>
      <c r="AC39" s="453"/>
      <c r="AD39" s="453"/>
      <c r="AE39" s="453"/>
      <c r="AF39" s="453"/>
      <c r="AG39" s="453"/>
      <c r="AH39" s="453"/>
      <c r="AI39" s="454"/>
      <c r="AK39" s="444" t="s">
        <v>673</v>
      </c>
      <c r="AL39" s="444"/>
      <c r="AM39" s="444"/>
      <c r="AN39" s="444"/>
      <c r="AO39" s="444"/>
      <c r="AP39" s="444"/>
      <c r="AQ39" s="42"/>
      <c r="AR39" s="48"/>
      <c r="AS39" s="423" t="s">
        <v>526</v>
      </c>
      <c r="AT39" s="423"/>
      <c r="AU39" s="148">
        <v>36</v>
      </c>
      <c r="AV39" s="423" t="s">
        <v>528</v>
      </c>
      <c r="AW39" s="423"/>
      <c r="BC39" s="50"/>
      <c r="BD39" s="51"/>
    </row>
    <row r="40" spans="1:80" ht="18" customHeight="1">
      <c r="A40" s="464" t="s">
        <v>674</v>
      </c>
      <c r="B40" s="459"/>
      <c r="C40" s="459"/>
      <c r="D40" s="459"/>
      <c r="E40" s="470" t="s">
        <v>675</v>
      </c>
      <c r="F40" s="471"/>
      <c r="G40" s="471"/>
      <c r="H40" s="471"/>
      <c r="I40" s="471"/>
      <c r="J40" s="471"/>
      <c r="K40" s="472"/>
      <c r="L40" s="458" t="s">
        <v>676</v>
      </c>
      <c r="M40" s="459"/>
      <c r="N40" s="459"/>
      <c r="O40" s="459"/>
      <c r="P40" s="459"/>
      <c r="Q40" s="459"/>
      <c r="R40" s="460"/>
      <c r="S40" s="458" t="s">
        <v>677</v>
      </c>
      <c r="T40" s="459"/>
      <c r="U40" s="459"/>
      <c r="V40" s="459"/>
      <c r="W40" s="470" t="s">
        <v>675</v>
      </c>
      <c r="X40" s="471"/>
      <c r="Y40" s="471"/>
      <c r="Z40" s="471"/>
      <c r="AA40" s="471"/>
      <c r="AB40" s="471"/>
      <c r="AC40" s="472"/>
      <c r="AD40" s="458" t="s">
        <v>678</v>
      </c>
      <c r="AE40" s="459"/>
      <c r="AF40" s="459"/>
      <c r="AG40" s="459"/>
      <c r="AH40" s="459"/>
      <c r="AI40" s="463"/>
      <c r="AK40" s="444" t="s">
        <v>679</v>
      </c>
      <c r="AL40" s="444"/>
      <c r="AM40" s="444"/>
      <c r="AN40" s="444"/>
      <c r="AO40" s="444"/>
      <c r="AP40" s="444"/>
      <c r="AQ40" s="42"/>
      <c r="AR40" s="48"/>
      <c r="AS40" s="423" t="s">
        <v>527</v>
      </c>
      <c r="AT40" s="423"/>
      <c r="AU40" s="148">
        <v>17</v>
      </c>
      <c r="AV40" s="560">
        <v>0.81</v>
      </c>
      <c r="AW40" s="560"/>
      <c r="BC40" s="50"/>
      <c r="BD40" s="51"/>
    </row>
    <row r="41" spans="1:80" ht="18" customHeight="1">
      <c r="A41" s="464" t="s">
        <v>16</v>
      </c>
      <c r="B41" s="459"/>
      <c r="C41" s="459"/>
      <c r="D41" s="459"/>
      <c r="E41" s="469">
        <f>AX10</f>
        <v>0.33333333333333331</v>
      </c>
      <c r="F41" s="456"/>
      <c r="G41" s="456"/>
      <c r="H41" s="144" t="s">
        <v>680</v>
      </c>
      <c r="I41" s="456">
        <f>AY10</f>
        <v>0.83333333333333337</v>
      </c>
      <c r="J41" s="456"/>
      <c r="K41" s="457"/>
      <c r="L41" s="458" t="str">
        <f>AU10</f>
        <v>三角龍彦</v>
      </c>
      <c r="M41" s="459"/>
      <c r="N41" s="459"/>
      <c r="O41" s="459"/>
      <c r="P41" s="459"/>
      <c r="Q41" s="459"/>
      <c r="R41" s="460"/>
      <c r="S41" s="409" t="s">
        <v>31</v>
      </c>
      <c r="T41" s="410"/>
      <c r="U41" s="410"/>
      <c r="V41" s="410"/>
      <c r="W41" s="414">
        <v>0.39583333333333331</v>
      </c>
      <c r="X41" s="415"/>
      <c r="Y41" s="415"/>
      <c r="Z41" s="40" t="s">
        <v>680</v>
      </c>
      <c r="AA41" s="415">
        <v>0.77083333333333337</v>
      </c>
      <c r="AB41" s="415"/>
      <c r="AC41" s="461"/>
      <c r="AD41" s="409" t="str">
        <f>AU14</f>
        <v>木村重明</v>
      </c>
      <c r="AE41" s="410"/>
      <c r="AF41" s="410"/>
      <c r="AG41" s="410"/>
      <c r="AH41" s="410"/>
      <c r="AI41" s="462"/>
      <c r="AK41" s="444" t="s">
        <v>681</v>
      </c>
      <c r="AL41" s="444"/>
      <c r="AM41" s="444"/>
      <c r="AN41" s="444"/>
      <c r="AO41" s="444"/>
      <c r="AP41" s="444"/>
      <c r="AQ41" s="42"/>
      <c r="AR41" s="48"/>
      <c r="BC41" s="50"/>
      <c r="BD41" s="51"/>
    </row>
    <row r="42" spans="1:80" ht="18" customHeight="1">
      <c r="A42" s="464" t="s">
        <v>24</v>
      </c>
      <c r="B42" s="459"/>
      <c r="C42" s="459"/>
      <c r="D42" s="459"/>
      <c r="E42" s="469">
        <f>AX13</f>
        <v>0.33333333333333331</v>
      </c>
      <c r="F42" s="456"/>
      <c r="G42" s="456"/>
      <c r="H42" s="144" t="s">
        <v>680</v>
      </c>
      <c r="I42" s="456">
        <f>AY12</f>
        <v>0.83333333333333337</v>
      </c>
      <c r="J42" s="456"/>
      <c r="K42" s="457"/>
      <c r="L42" s="458" t="str">
        <f>AU13</f>
        <v>松葉眞</v>
      </c>
      <c r="M42" s="459"/>
      <c r="N42" s="459"/>
      <c r="O42" s="459"/>
      <c r="P42" s="459"/>
      <c r="Q42" s="459"/>
      <c r="R42" s="460"/>
      <c r="S42" s="409"/>
      <c r="T42" s="410"/>
      <c r="U42" s="410"/>
      <c r="V42" s="410"/>
      <c r="W42" s="414"/>
      <c r="X42" s="415"/>
      <c r="Y42" s="415"/>
      <c r="Z42" s="136"/>
      <c r="AA42" s="415"/>
      <c r="AB42" s="415"/>
      <c r="AC42" s="461"/>
      <c r="AD42" s="409">
        <f>AU15</f>
        <v>0</v>
      </c>
      <c r="AE42" s="410"/>
      <c r="AF42" s="410"/>
      <c r="AG42" s="410"/>
      <c r="AH42" s="410"/>
      <c r="AI42" s="462"/>
      <c r="AK42" s="445" t="s">
        <v>682</v>
      </c>
      <c r="AL42" s="445"/>
      <c r="AM42" s="445"/>
      <c r="AN42" s="445"/>
      <c r="AO42" s="445"/>
      <c r="AP42" s="445"/>
      <c r="AQ42" s="42"/>
      <c r="AR42" s="48"/>
      <c r="AS42" s="561" t="s">
        <v>683</v>
      </c>
      <c r="AT42" s="561"/>
      <c r="AU42" s="561"/>
      <c r="AV42" s="561"/>
      <c r="AW42" s="561"/>
      <c r="BC42" s="50"/>
      <c r="BD42" s="51"/>
    </row>
    <row r="43" spans="1:80" ht="18" customHeight="1">
      <c r="A43" s="464" t="s">
        <v>38</v>
      </c>
      <c r="B43" s="459"/>
      <c r="C43" s="459"/>
      <c r="D43" s="459"/>
      <c r="E43" s="469">
        <f>AX16</f>
        <v>0.83333333333333337</v>
      </c>
      <c r="F43" s="456"/>
      <c r="G43" s="456"/>
      <c r="H43" s="144" t="s">
        <v>680</v>
      </c>
      <c r="I43" s="456" t="str">
        <f>AY16</f>
        <v>翌8:00</v>
      </c>
      <c r="J43" s="456"/>
      <c r="K43" s="457"/>
      <c r="L43" s="458" t="str">
        <f>AU16</f>
        <v>片山薫</v>
      </c>
      <c r="M43" s="459"/>
      <c r="N43" s="459"/>
      <c r="O43" s="459"/>
      <c r="P43" s="459"/>
      <c r="Q43" s="459"/>
      <c r="R43" s="460"/>
      <c r="S43" s="409"/>
      <c r="T43" s="410"/>
      <c r="U43" s="410"/>
      <c r="V43" s="410"/>
      <c r="W43" s="414"/>
      <c r="X43" s="415"/>
      <c r="Y43" s="415"/>
      <c r="Z43" s="136"/>
      <c r="AA43" s="415"/>
      <c r="AB43" s="415"/>
      <c r="AC43" s="461"/>
      <c r="AD43" s="486">
        <f>AU18</f>
        <v>0</v>
      </c>
      <c r="AE43" s="410"/>
      <c r="AF43" s="410"/>
      <c r="AG43" s="410"/>
      <c r="AH43" s="410"/>
      <c r="AI43" s="462"/>
      <c r="AK43" s="444" t="s">
        <v>684</v>
      </c>
      <c r="AL43" s="444"/>
      <c r="AM43" s="444"/>
      <c r="AN43" s="444"/>
      <c r="AO43" s="444"/>
      <c r="AP43" s="444"/>
      <c r="AQ43" s="42"/>
      <c r="AR43" s="43"/>
      <c r="AW43"/>
      <c r="AX43"/>
      <c r="AY43"/>
      <c r="AZ43"/>
      <c r="BA43"/>
      <c r="BB43"/>
      <c r="BC43" s="50"/>
      <c r="BD43" s="51"/>
      <c r="BE43"/>
      <c r="BF43"/>
      <c r="BG43"/>
      <c r="BH43"/>
      <c r="BI43"/>
      <c r="BJ43"/>
      <c r="BK43"/>
      <c r="BL43"/>
      <c r="BM43"/>
      <c r="BN43"/>
      <c r="BO43"/>
      <c r="BP43"/>
      <c r="BQ43"/>
      <c r="BR43"/>
      <c r="BS43"/>
      <c r="BT43"/>
      <c r="BU43"/>
      <c r="BV43"/>
      <c r="BW43"/>
      <c r="BX43"/>
      <c r="BY43"/>
      <c r="BZ43"/>
      <c r="CA43"/>
      <c r="CB43"/>
    </row>
    <row r="44" spans="1:80" ht="18" customHeight="1" thickBot="1">
      <c r="A44" s="473" t="s">
        <v>45</v>
      </c>
      <c r="B44" s="474"/>
      <c r="C44" s="474"/>
      <c r="D44" s="474"/>
      <c r="E44" s="475">
        <f>AX17</f>
        <v>0.83333333333333337</v>
      </c>
      <c r="F44" s="476"/>
      <c r="G44" s="476"/>
      <c r="H44" s="145" t="s">
        <v>680</v>
      </c>
      <c r="I44" s="476" t="str">
        <f>AY17</f>
        <v>翌8:00</v>
      </c>
      <c r="J44" s="476"/>
      <c r="K44" s="477"/>
      <c r="L44" s="478" t="str">
        <f>AU17</f>
        <v>山本喜久</v>
      </c>
      <c r="M44" s="478"/>
      <c r="N44" s="478"/>
      <c r="O44" s="478"/>
      <c r="P44" s="478"/>
      <c r="Q44" s="478"/>
      <c r="R44" s="478"/>
      <c r="S44" s="479"/>
      <c r="T44" s="480"/>
      <c r="U44" s="480"/>
      <c r="V44" s="480"/>
      <c r="W44" s="481"/>
      <c r="X44" s="482"/>
      <c r="Y44" s="482"/>
      <c r="Z44" s="137"/>
      <c r="AA44" s="482"/>
      <c r="AB44" s="482"/>
      <c r="AC44" s="483"/>
      <c r="AD44" s="484">
        <f>AU19</f>
        <v>0</v>
      </c>
      <c r="AE44" s="480"/>
      <c r="AF44" s="480"/>
      <c r="AG44" s="480"/>
      <c r="AH44" s="480"/>
      <c r="AI44" s="485"/>
      <c r="AK44" s="446" t="s">
        <v>685</v>
      </c>
      <c r="AL44" s="446"/>
      <c r="AM44" s="446"/>
      <c r="AN44" s="446"/>
      <c r="AO44" s="446"/>
      <c r="AP44" s="446"/>
      <c r="AQ44" s="42"/>
      <c r="AR44" s="43"/>
      <c r="BC44" s="50"/>
      <c r="BD44" s="51"/>
    </row>
    <row r="45" spans="1:80" ht="18" customHeight="1" thickBot="1">
      <c r="A45" s="27"/>
      <c r="B45" s="27"/>
      <c r="C45" s="27"/>
      <c r="D45" s="27"/>
      <c r="E45" s="27"/>
      <c r="F45" s="27"/>
      <c r="G45" s="27"/>
      <c r="H45" s="27"/>
      <c r="I45" s="27"/>
      <c r="R45" s="307">
        <f>A7</f>
        <v>46190</v>
      </c>
      <c r="S45" s="308"/>
      <c r="T45" s="308"/>
      <c r="U45" s="308"/>
      <c r="V45" s="23" t="s">
        <v>169</v>
      </c>
      <c r="W45" s="309">
        <f>G7</f>
        <v>46190</v>
      </c>
      <c r="X45" s="308"/>
      <c r="Y45" s="23" t="s">
        <v>170</v>
      </c>
      <c r="Z45" s="310">
        <f>K7</f>
        <v>46190</v>
      </c>
      <c r="AA45" s="308"/>
      <c r="AB45" s="23" t="s">
        <v>3</v>
      </c>
      <c r="AC45" s="455">
        <f>O7</f>
        <v>46190</v>
      </c>
      <c r="AD45" s="308"/>
      <c r="AE45" s="308" t="s">
        <v>292</v>
      </c>
      <c r="AF45" s="308"/>
      <c r="AK45" s="425" t="s">
        <v>686</v>
      </c>
      <c r="AL45" s="425"/>
      <c r="AM45" s="425"/>
      <c r="AN45" s="425"/>
      <c r="AO45" s="425"/>
      <c r="AP45" s="425"/>
      <c r="AQ45" s="42"/>
      <c r="AR45" s="43"/>
      <c r="BC45" s="50"/>
      <c r="BD45" s="51"/>
    </row>
    <row r="46" spans="1:80" customFormat="1" ht="18" customHeight="1">
      <c r="A46" s="452" t="s">
        <v>598</v>
      </c>
      <c r="B46" s="453"/>
      <c r="C46" s="453"/>
      <c r="D46" s="453"/>
      <c r="E46" s="453"/>
      <c r="F46" s="453"/>
      <c r="G46" s="453"/>
      <c r="H46" s="453"/>
      <c r="I46" s="453"/>
      <c r="J46" s="453"/>
      <c r="K46" s="453"/>
      <c r="L46" s="453"/>
      <c r="M46" s="453"/>
      <c r="N46" s="453"/>
      <c r="O46" s="453"/>
      <c r="P46" s="453"/>
      <c r="Q46" s="453"/>
      <c r="R46" s="453"/>
      <c r="S46" s="453"/>
      <c r="T46" s="453"/>
      <c r="U46" s="453"/>
      <c r="V46" s="453"/>
      <c r="W46" s="453"/>
      <c r="X46" s="453"/>
      <c r="Y46" s="453"/>
      <c r="Z46" s="453"/>
      <c r="AA46" s="453"/>
      <c r="AB46" s="453"/>
      <c r="AC46" s="453"/>
      <c r="AD46" s="453"/>
      <c r="AE46" s="453"/>
      <c r="AF46" s="453"/>
      <c r="AG46" s="453"/>
      <c r="AH46" s="453"/>
      <c r="AI46" s="454"/>
      <c r="AK46" s="425" t="s">
        <v>687</v>
      </c>
      <c r="AL46" s="425"/>
      <c r="AM46" s="425"/>
      <c r="AN46" s="425"/>
      <c r="AO46" s="425"/>
      <c r="AP46" s="425"/>
      <c r="AQ46" s="42"/>
      <c r="AR46" s="43"/>
      <c r="AW46" s="23"/>
      <c r="AX46" s="23"/>
      <c r="AY46" s="23"/>
      <c r="AZ46" s="23"/>
      <c r="BA46" s="23"/>
      <c r="BB46" s="23"/>
      <c r="BC46" s="50"/>
      <c r="BD46" s="51"/>
      <c r="BE46" s="23"/>
      <c r="BF46" s="23"/>
      <c r="BG46" s="23"/>
      <c r="BH46" s="23"/>
      <c r="BI46" s="23"/>
      <c r="BJ46" s="23"/>
      <c r="BK46" s="23"/>
      <c r="BL46" s="23"/>
      <c r="BM46" s="23"/>
      <c r="BN46" s="23"/>
      <c r="BO46" s="23"/>
      <c r="BP46" s="23"/>
      <c r="BQ46" s="23"/>
      <c r="BR46" s="23"/>
      <c r="BS46" s="23"/>
      <c r="BT46" s="23"/>
      <c r="BU46" s="23"/>
      <c r="BV46" s="23"/>
      <c r="BW46" s="23"/>
      <c r="BX46" s="23"/>
      <c r="BY46" s="23"/>
      <c r="BZ46" s="23"/>
      <c r="CA46" s="23"/>
      <c r="CB46" s="23"/>
    </row>
    <row r="47" spans="1:80" ht="18" customHeight="1">
      <c r="A47" s="36"/>
      <c r="B47" s="404"/>
      <c r="C47" s="404"/>
      <c r="D47" s="404"/>
      <c r="E47" s="404"/>
      <c r="F47" s="288"/>
      <c r="G47" s="288"/>
      <c r="H47" s="288"/>
      <c r="I47" s="288"/>
      <c r="J47" s="288"/>
      <c r="K47" s="288"/>
      <c r="L47" s="288"/>
      <c r="M47" s="288"/>
      <c r="N47" s="288"/>
      <c r="O47" s="288"/>
      <c r="P47" s="288"/>
      <c r="Q47" s="288"/>
      <c r="R47" s="288"/>
      <c r="S47" s="288"/>
      <c r="T47" s="288"/>
      <c r="U47" s="288"/>
      <c r="V47" s="288"/>
      <c r="W47" s="288"/>
      <c r="X47" s="288"/>
      <c r="Y47" s="288"/>
      <c r="Z47" s="288"/>
      <c r="AA47" s="288"/>
      <c r="AB47" s="288"/>
      <c r="AC47" s="288"/>
      <c r="AD47" s="288"/>
      <c r="AE47" s="288"/>
      <c r="AF47" s="288"/>
      <c r="AG47" s="288"/>
      <c r="AH47" s="288"/>
      <c r="AI47" s="289"/>
      <c r="AK47" s="425" t="s">
        <v>688</v>
      </c>
      <c r="AL47" s="425"/>
      <c r="AM47" s="425"/>
      <c r="AN47" s="425"/>
      <c r="AO47" s="425"/>
      <c r="AP47" s="425"/>
      <c r="AQ47" s="42"/>
      <c r="AR47" s="43"/>
      <c r="AS47" s="120" t="s">
        <v>189</v>
      </c>
      <c r="AT47" s="43" t="s">
        <v>728</v>
      </c>
      <c r="AU47" s="43"/>
      <c r="BC47" s="50"/>
      <c r="BD47" s="51"/>
    </row>
    <row r="48" spans="1:80" ht="18" customHeight="1">
      <c r="A48" s="36"/>
      <c r="B48" s="404"/>
      <c r="C48" s="404"/>
      <c r="D48" s="404"/>
      <c r="E48" s="404"/>
      <c r="F48" s="288"/>
      <c r="G48" s="288"/>
      <c r="H48" s="288"/>
      <c r="I48" s="288"/>
      <c r="J48" s="288"/>
      <c r="K48" s="288"/>
      <c r="L48" s="288"/>
      <c r="M48" s="288"/>
      <c r="N48" s="288"/>
      <c r="O48" s="288"/>
      <c r="P48" s="288"/>
      <c r="Q48" s="288"/>
      <c r="R48" s="288"/>
      <c r="S48" s="288"/>
      <c r="T48" s="288"/>
      <c r="U48" s="288"/>
      <c r="V48" s="288"/>
      <c r="W48" s="288"/>
      <c r="X48" s="288"/>
      <c r="Y48" s="288"/>
      <c r="Z48" s="288"/>
      <c r="AA48" s="288"/>
      <c r="AB48" s="288"/>
      <c r="AC48" s="288"/>
      <c r="AD48" s="288"/>
      <c r="AE48" s="288"/>
      <c r="AF48" s="288"/>
      <c r="AG48" s="288"/>
      <c r="AH48" s="288"/>
      <c r="AI48" s="289"/>
      <c r="AK48" s="425" t="s">
        <v>690</v>
      </c>
      <c r="AL48" s="425"/>
      <c r="AM48" s="425"/>
      <c r="AN48" s="425"/>
      <c r="AO48" s="425"/>
      <c r="AP48" s="425"/>
      <c r="AQ48" s="42"/>
      <c r="AR48" s="43"/>
      <c r="AS48" s="43"/>
      <c r="AT48" s="43"/>
      <c r="AU48" s="43"/>
      <c r="BC48" s="50"/>
      <c r="BD48" s="51"/>
    </row>
    <row r="49" spans="1:61" ht="18" customHeight="1">
      <c r="A49" s="36"/>
      <c r="B49" s="404"/>
      <c r="C49" s="404"/>
      <c r="D49" s="404"/>
      <c r="E49" s="404"/>
      <c r="F49" s="288"/>
      <c r="G49" s="288"/>
      <c r="H49" s="288"/>
      <c r="I49" s="288"/>
      <c r="J49" s="288"/>
      <c r="K49" s="288"/>
      <c r="L49" s="288"/>
      <c r="M49" s="288"/>
      <c r="N49" s="288"/>
      <c r="O49" s="288"/>
      <c r="P49" s="288"/>
      <c r="Q49" s="288"/>
      <c r="R49" s="288"/>
      <c r="S49" s="288"/>
      <c r="T49" s="288"/>
      <c r="U49" s="288"/>
      <c r="V49" s="288"/>
      <c r="W49" s="288"/>
      <c r="X49" s="288"/>
      <c r="Y49" s="288"/>
      <c r="Z49" s="288"/>
      <c r="AA49" s="288"/>
      <c r="AB49" s="288"/>
      <c r="AC49" s="288"/>
      <c r="AD49" s="288"/>
      <c r="AE49" s="288"/>
      <c r="AF49" s="288"/>
      <c r="AG49" s="288"/>
      <c r="AH49" s="288"/>
      <c r="AI49" s="289"/>
      <c r="AK49" s="425" t="s">
        <v>691</v>
      </c>
      <c r="AL49" s="425"/>
      <c r="AM49" s="425"/>
      <c r="AN49" s="425"/>
      <c r="AO49" s="425"/>
      <c r="AP49" s="425"/>
      <c r="AQ49" s="42"/>
      <c r="AR49" s="43"/>
      <c r="AS49" s="43"/>
      <c r="AT49" s="43"/>
      <c r="AU49" s="43"/>
      <c r="BC49" s="50"/>
      <c r="BD49" s="51"/>
    </row>
    <row r="50" spans="1:61" ht="18" customHeight="1">
      <c r="A50" s="36"/>
      <c r="B50" s="404"/>
      <c r="C50" s="404"/>
      <c r="D50" s="404"/>
      <c r="E50" s="404"/>
      <c r="F50" s="288"/>
      <c r="G50" s="288"/>
      <c r="H50" s="288"/>
      <c r="I50" s="288"/>
      <c r="J50" s="288"/>
      <c r="K50" s="288"/>
      <c r="L50" s="288"/>
      <c r="M50" s="288"/>
      <c r="N50" s="288"/>
      <c r="O50" s="288"/>
      <c r="P50" s="288"/>
      <c r="Q50" s="288"/>
      <c r="R50" s="288"/>
      <c r="S50" s="288"/>
      <c r="T50" s="288"/>
      <c r="U50" s="288"/>
      <c r="V50" s="288"/>
      <c r="W50" s="288"/>
      <c r="X50" s="288"/>
      <c r="Y50" s="288"/>
      <c r="Z50" s="288"/>
      <c r="AA50" s="288"/>
      <c r="AB50" s="288"/>
      <c r="AC50" s="288"/>
      <c r="AD50" s="288"/>
      <c r="AE50" s="288"/>
      <c r="AF50" s="288"/>
      <c r="AG50" s="288"/>
      <c r="AH50" s="288"/>
      <c r="AI50" s="289"/>
      <c r="AK50" s="425" t="s">
        <v>692</v>
      </c>
      <c r="AL50" s="425"/>
      <c r="AM50" s="425"/>
      <c r="AN50" s="425"/>
      <c r="AO50" s="425"/>
      <c r="AP50" s="425"/>
      <c r="AQ50" s="42"/>
      <c r="AR50" s="43"/>
      <c r="AS50" s="43"/>
      <c r="AT50" s="43"/>
      <c r="AU50" s="43"/>
      <c r="BC50" s="50"/>
      <c r="BD50" s="51"/>
    </row>
    <row r="51" spans="1:61" ht="18" customHeight="1">
      <c r="A51" s="36"/>
      <c r="B51" s="404"/>
      <c r="C51" s="404"/>
      <c r="D51" s="404"/>
      <c r="E51" s="404"/>
      <c r="F51" s="288"/>
      <c r="G51" s="288"/>
      <c r="H51" s="288"/>
      <c r="I51" s="288"/>
      <c r="J51" s="288"/>
      <c r="K51" s="288"/>
      <c r="L51" s="288"/>
      <c r="M51" s="288"/>
      <c r="N51" s="288"/>
      <c r="O51" s="288"/>
      <c r="P51" s="288"/>
      <c r="Q51" s="288"/>
      <c r="R51" s="288"/>
      <c r="S51" s="288"/>
      <c r="T51" s="288"/>
      <c r="U51" s="288"/>
      <c r="V51" s="288"/>
      <c r="W51" s="288"/>
      <c r="X51" s="288"/>
      <c r="Y51" s="288"/>
      <c r="Z51" s="288"/>
      <c r="AA51" s="288"/>
      <c r="AB51" s="288"/>
      <c r="AC51" s="288"/>
      <c r="AD51" s="288"/>
      <c r="AE51" s="288"/>
      <c r="AF51" s="288"/>
      <c r="AG51" s="288"/>
      <c r="AH51" s="288"/>
      <c r="AI51" s="289"/>
      <c r="AK51" s="425" t="s">
        <v>693</v>
      </c>
      <c r="AL51" s="425"/>
      <c r="AM51" s="425"/>
      <c r="AN51" s="425"/>
      <c r="AO51" s="425"/>
      <c r="AP51" s="425"/>
      <c r="AQ51" s="42"/>
      <c r="AR51" s="43"/>
      <c r="AS51" s="43"/>
      <c r="AT51" s="43"/>
      <c r="AU51" s="43"/>
      <c r="BC51" s="50"/>
      <c r="BD51" s="51"/>
    </row>
    <row r="52" spans="1:61" ht="18" customHeight="1">
      <c r="A52" s="36"/>
      <c r="B52" s="404"/>
      <c r="C52" s="404"/>
      <c r="D52" s="404"/>
      <c r="E52" s="404"/>
      <c r="F52" s="288"/>
      <c r="G52" s="288"/>
      <c r="H52" s="288"/>
      <c r="I52" s="288"/>
      <c r="J52" s="288"/>
      <c r="K52" s="288"/>
      <c r="L52" s="288"/>
      <c r="M52" s="288"/>
      <c r="N52" s="288"/>
      <c r="O52" s="288"/>
      <c r="P52" s="288"/>
      <c r="Q52" s="288"/>
      <c r="R52" s="288"/>
      <c r="S52" s="288"/>
      <c r="T52" s="288"/>
      <c r="U52" s="288"/>
      <c r="V52" s="288"/>
      <c r="W52" s="288"/>
      <c r="X52" s="288"/>
      <c r="Y52" s="288"/>
      <c r="Z52" s="288"/>
      <c r="AA52" s="288"/>
      <c r="AB52" s="288"/>
      <c r="AC52" s="288"/>
      <c r="AD52" s="288"/>
      <c r="AE52" s="288"/>
      <c r="AF52" s="288"/>
      <c r="AG52" s="288"/>
      <c r="AH52" s="288"/>
      <c r="AI52" s="289"/>
      <c r="AK52" s="425" t="s">
        <v>694</v>
      </c>
      <c r="AL52" s="425"/>
      <c r="AM52" s="425"/>
      <c r="AN52" s="425"/>
      <c r="AO52" s="425"/>
      <c r="AP52" s="425"/>
      <c r="AQ52" s="42"/>
      <c r="AR52" s="43"/>
      <c r="AS52" s="43"/>
      <c r="AV52" s="43"/>
      <c r="AW52" s="43"/>
      <c r="AX52" s="43"/>
      <c r="AY52" s="43"/>
      <c r="AZ52" s="43"/>
      <c r="BA52" s="43"/>
      <c r="BH52" s="52"/>
      <c r="BI52" s="51"/>
    </row>
    <row r="53" spans="1:61" ht="18" customHeight="1">
      <c r="A53" s="36"/>
      <c r="B53" s="404"/>
      <c r="C53" s="404"/>
      <c r="D53" s="404"/>
      <c r="E53" s="404"/>
      <c r="F53" s="288"/>
      <c r="G53" s="288"/>
      <c r="H53" s="288"/>
      <c r="I53" s="288"/>
      <c r="J53" s="288"/>
      <c r="K53" s="288"/>
      <c r="L53" s="288"/>
      <c r="M53" s="288"/>
      <c r="N53" s="288"/>
      <c r="O53" s="288"/>
      <c r="P53" s="288"/>
      <c r="Q53" s="288"/>
      <c r="R53" s="288"/>
      <c r="S53" s="288"/>
      <c r="T53" s="288"/>
      <c r="U53" s="288"/>
      <c r="V53" s="288"/>
      <c r="W53" s="288"/>
      <c r="X53" s="288"/>
      <c r="Y53" s="288"/>
      <c r="Z53" s="288"/>
      <c r="AA53" s="288"/>
      <c r="AB53" s="288"/>
      <c r="AC53" s="288"/>
      <c r="AD53" s="288"/>
      <c r="AE53" s="288"/>
      <c r="AF53" s="288"/>
      <c r="AG53" s="288"/>
      <c r="AH53" s="288"/>
      <c r="AI53" s="289"/>
      <c r="AK53" s="425" t="s">
        <v>695</v>
      </c>
      <c r="AL53" s="425"/>
      <c r="AM53" s="425"/>
      <c r="AN53" s="425"/>
      <c r="AO53" s="425"/>
      <c r="AP53" s="425"/>
      <c r="AQ53" s="42"/>
      <c r="AR53" s="43"/>
      <c r="AS53" s="43"/>
      <c r="AT53" s="43"/>
      <c r="AU53" s="43"/>
      <c r="AV53" s="43"/>
      <c r="AW53" s="43"/>
      <c r="AX53" s="43"/>
      <c r="AY53" s="43"/>
      <c r="AZ53" s="43"/>
      <c r="BH53" s="50"/>
      <c r="BI53" s="51"/>
    </row>
    <row r="54" spans="1:61" ht="18" customHeight="1">
      <c r="A54" s="36"/>
      <c r="B54" s="404"/>
      <c r="C54" s="404"/>
      <c r="D54" s="404"/>
      <c r="E54" s="404"/>
      <c r="F54" s="288"/>
      <c r="G54" s="288"/>
      <c r="H54" s="288"/>
      <c r="I54" s="288"/>
      <c r="J54" s="288"/>
      <c r="K54" s="288"/>
      <c r="L54" s="288"/>
      <c r="M54" s="288"/>
      <c r="N54" s="288"/>
      <c r="O54" s="288"/>
      <c r="P54" s="288"/>
      <c r="Q54" s="288"/>
      <c r="R54" s="288"/>
      <c r="S54" s="288"/>
      <c r="T54" s="288"/>
      <c r="U54" s="288"/>
      <c r="V54" s="288"/>
      <c r="W54" s="288"/>
      <c r="X54" s="288"/>
      <c r="Y54" s="288"/>
      <c r="Z54" s="288"/>
      <c r="AA54" s="288"/>
      <c r="AB54" s="288"/>
      <c r="AC54" s="288"/>
      <c r="AD54" s="288"/>
      <c r="AE54" s="288"/>
      <c r="AF54" s="288"/>
      <c r="AG54" s="288"/>
      <c r="AH54" s="288"/>
      <c r="AI54" s="289"/>
      <c r="AK54" s="425" t="s">
        <v>696</v>
      </c>
      <c r="AL54" s="425"/>
      <c r="AM54" s="425"/>
      <c r="AN54" s="425"/>
      <c r="AO54" s="425"/>
      <c r="AP54" s="425"/>
      <c r="AQ54" s="42"/>
      <c r="AR54" s="43"/>
      <c r="AS54" s="43"/>
      <c r="AT54" s="43"/>
      <c r="AU54" s="43"/>
      <c r="AV54" s="43"/>
      <c r="AW54" s="43"/>
      <c r="AX54" s="43"/>
      <c r="AY54" s="43"/>
      <c r="AZ54" s="43"/>
      <c r="BH54" s="50"/>
      <c r="BI54" s="51"/>
    </row>
    <row r="55" spans="1:61" ht="18" customHeight="1">
      <c r="A55" s="36"/>
      <c r="B55" s="404"/>
      <c r="C55" s="404"/>
      <c r="D55" s="404"/>
      <c r="E55" s="404"/>
      <c r="F55" s="288"/>
      <c r="G55" s="288"/>
      <c r="H55" s="288"/>
      <c r="I55" s="288"/>
      <c r="J55" s="288"/>
      <c r="K55" s="288"/>
      <c r="L55" s="288"/>
      <c r="M55" s="288"/>
      <c r="N55" s="288"/>
      <c r="O55" s="288"/>
      <c r="P55" s="288"/>
      <c r="Q55" s="288"/>
      <c r="R55" s="288"/>
      <c r="S55" s="288"/>
      <c r="T55" s="288"/>
      <c r="U55" s="288"/>
      <c r="V55" s="288"/>
      <c r="W55" s="288"/>
      <c r="X55" s="288"/>
      <c r="Y55" s="288"/>
      <c r="Z55" s="288"/>
      <c r="AA55" s="288"/>
      <c r="AB55" s="288"/>
      <c r="AC55" s="288"/>
      <c r="AD55" s="288"/>
      <c r="AE55" s="288"/>
      <c r="AF55" s="288"/>
      <c r="AG55" s="288"/>
      <c r="AH55" s="288"/>
      <c r="AI55" s="289"/>
      <c r="AK55" s="425" t="s">
        <v>697</v>
      </c>
      <c r="AL55" s="425"/>
      <c r="AM55" s="425"/>
      <c r="AN55" s="425"/>
      <c r="AO55" s="425"/>
      <c r="AP55" s="425"/>
      <c r="AQ55" s="42"/>
      <c r="AR55" s="43"/>
      <c r="AS55" s="43"/>
      <c r="AT55" s="43"/>
      <c r="AU55" s="43"/>
      <c r="AV55" s="43"/>
      <c r="AW55" s="43"/>
      <c r="AX55" s="43"/>
      <c r="AY55" s="43"/>
      <c r="AZ55" s="43"/>
      <c r="BH55" s="50"/>
      <c r="BI55" s="51"/>
    </row>
    <row r="56" spans="1:61" ht="18" customHeight="1">
      <c r="A56" s="36"/>
      <c r="B56" s="404"/>
      <c r="C56" s="404"/>
      <c r="D56" s="404"/>
      <c r="E56" s="404"/>
      <c r="F56" s="288"/>
      <c r="G56" s="288"/>
      <c r="H56" s="288"/>
      <c r="I56" s="288"/>
      <c r="J56" s="288"/>
      <c r="K56" s="288"/>
      <c r="L56" s="288"/>
      <c r="M56" s="288"/>
      <c r="N56" s="288"/>
      <c r="O56" s="288"/>
      <c r="P56" s="288"/>
      <c r="Q56" s="288"/>
      <c r="R56" s="288"/>
      <c r="S56" s="288"/>
      <c r="T56" s="288"/>
      <c r="U56" s="288"/>
      <c r="V56" s="288"/>
      <c r="W56" s="288"/>
      <c r="X56" s="288"/>
      <c r="Y56" s="288"/>
      <c r="Z56" s="288"/>
      <c r="AA56" s="288"/>
      <c r="AB56" s="288"/>
      <c r="AC56" s="288"/>
      <c r="AD56" s="288"/>
      <c r="AE56" s="288"/>
      <c r="AF56" s="288"/>
      <c r="AG56" s="288"/>
      <c r="AH56" s="288"/>
      <c r="AI56" s="289"/>
      <c r="AK56" s="425" t="s">
        <v>698</v>
      </c>
      <c r="AL56" s="425"/>
      <c r="AM56" s="425"/>
      <c r="AN56" s="425"/>
      <c r="AO56" s="425"/>
      <c r="AP56" s="425"/>
      <c r="AQ56" s="42"/>
      <c r="AR56" s="43"/>
      <c r="AS56" s="43"/>
      <c r="AT56" s="43"/>
      <c r="AU56" s="43"/>
      <c r="AV56" s="43"/>
      <c r="AW56" s="43"/>
      <c r="AX56" s="43"/>
      <c r="AY56" s="43"/>
      <c r="AZ56" s="43"/>
      <c r="BH56" s="52"/>
      <c r="BI56" s="51"/>
    </row>
    <row r="57" spans="1:61" ht="18" customHeight="1">
      <c r="A57" s="36"/>
      <c r="B57" s="404"/>
      <c r="C57" s="404"/>
      <c r="D57" s="404"/>
      <c r="E57" s="404"/>
      <c r="F57" s="288"/>
      <c r="G57" s="288"/>
      <c r="H57" s="288"/>
      <c r="I57" s="288"/>
      <c r="J57" s="288"/>
      <c r="K57" s="288"/>
      <c r="L57" s="288"/>
      <c r="M57" s="288"/>
      <c r="N57" s="288"/>
      <c r="O57" s="288"/>
      <c r="P57" s="288"/>
      <c r="Q57" s="288"/>
      <c r="R57" s="288"/>
      <c r="S57" s="288"/>
      <c r="T57" s="288"/>
      <c r="U57" s="288"/>
      <c r="V57" s="288"/>
      <c r="W57" s="288"/>
      <c r="X57" s="288"/>
      <c r="Y57" s="288"/>
      <c r="Z57" s="288"/>
      <c r="AA57" s="288"/>
      <c r="AB57" s="288"/>
      <c r="AC57" s="288"/>
      <c r="AD57" s="288"/>
      <c r="AE57" s="288"/>
      <c r="AF57" s="288"/>
      <c r="AG57" s="288"/>
      <c r="AH57" s="288"/>
      <c r="AI57" s="289"/>
      <c r="AK57" s="425" t="s">
        <v>699</v>
      </c>
      <c r="AL57" s="425"/>
      <c r="AM57" s="425"/>
      <c r="AN57" s="425"/>
      <c r="AO57" s="425"/>
      <c r="AP57" s="425"/>
      <c r="AQ57" s="42"/>
      <c r="AR57" s="43"/>
      <c r="AS57" s="43"/>
      <c r="AT57" s="43"/>
      <c r="AU57" s="43"/>
      <c r="AV57" s="43"/>
      <c r="AW57" s="43"/>
      <c r="AX57" s="43"/>
      <c r="AY57" s="43"/>
      <c r="AZ57" s="43"/>
      <c r="BH57" s="50"/>
      <c r="BI57" s="51"/>
    </row>
    <row r="58" spans="1:61" ht="18" customHeight="1">
      <c r="A58" s="36"/>
      <c r="B58" s="404"/>
      <c r="C58" s="404"/>
      <c r="D58" s="404"/>
      <c r="E58" s="404"/>
      <c r="F58" s="288"/>
      <c r="G58" s="288"/>
      <c r="H58" s="288"/>
      <c r="I58" s="288"/>
      <c r="J58" s="288"/>
      <c r="K58" s="288"/>
      <c r="L58" s="288"/>
      <c r="M58" s="288"/>
      <c r="N58" s="288"/>
      <c r="O58" s="288"/>
      <c r="P58" s="288"/>
      <c r="Q58" s="288"/>
      <c r="R58" s="288"/>
      <c r="S58" s="288"/>
      <c r="T58" s="288"/>
      <c r="U58" s="288"/>
      <c r="V58" s="288"/>
      <c r="W58" s="288"/>
      <c r="X58" s="288"/>
      <c r="Y58" s="288"/>
      <c r="Z58" s="288"/>
      <c r="AA58" s="288"/>
      <c r="AB58" s="288"/>
      <c r="AC58" s="288"/>
      <c r="AD58" s="288"/>
      <c r="AE58" s="288"/>
      <c r="AF58" s="288"/>
      <c r="AG58" s="288"/>
      <c r="AH58" s="288"/>
      <c r="AI58" s="289"/>
      <c r="AK58" s="425" t="s">
        <v>700</v>
      </c>
      <c r="AL58" s="425"/>
      <c r="AM58" s="425"/>
      <c r="AN58" s="425"/>
      <c r="AO58" s="425"/>
      <c r="AP58" s="425"/>
      <c r="AQ58" s="42"/>
      <c r="AR58" s="43"/>
      <c r="AS58" s="43"/>
      <c r="AT58" s="43"/>
      <c r="AU58" s="43"/>
      <c r="AV58" s="43"/>
      <c r="AW58" s="43"/>
      <c r="AX58" s="43"/>
      <c r="AY58" s="43"/>
      <c r="AZ58" s="43"/>
      <c r="BH58" s="50"/>
      <c r="BI58" s="51"/>
    </row>
    <row r="59" spans="1:61" ht="18" customHeight="1">
      <c r="A59" s="36"/>
      <c r="B59" s="404"/>
      <c r="C59" s="404"/>
      <c r="D59" s="404"/>
      <c r="E59" s="404"/>
      <c r="F59" s="288"/>
      <c r="G59" s="288"/>
      <c r="H59" s="288"/>
      <c r="I59" s="288"/>
      <c r="J59" s="288"/>
      <c r="K59" s="288"/>
      <c r="L59" s="288"/>
      <c r="M59" s="288"/>
      <c r="N59" s="288"/>
      <c r="O59" s="288"/>
      <c r="P59" s="288"/>
      <c r="Q59" s="288"/>
      <c r="R59" s="288"/>
      <c r="S59" s="288"/>
      <c r="T59" s="288"/>
      <c r="U59" s="288"/>
      <c r="V59" s="288"/>
      <c r="W59" s="288"/>
      <c r="X59" s="288"/>
      <c r="Y59" s="288"/>
      <c r="Z59" s="288"/>
      <c r="AA59" s="288"/>
      <c r="AB59" s="288"/>
      <c r="AC59" s="288"/>
      <c r="AD59" s="288"/>
      <c r="AE59" s="288"/>
      <c r="AF59" s="288"/>
      <c r="AG59" s="288"/>
      <c r="AH59" s="288"/>
      <c r="AI59" s="289"/>
      <c r="AK59" s="425" t="s">
        <v>701</v>
      </c>
      <c r="AL59" s="425"/>
      <c r="AM59" s="425"/>
      <c r="AN59" s="425"/>
      <c r="AO59" s="425"/>
      <c r="AP59" s="425"/>
      <c r="AQ59" s="42"/>
      <c r="AR59" s="43"/>
      <c r="AS59" s="43"/>
      <c r="AT59" s="43"/>
      <c r="AU59" s="43"/>
      <c r="AV59" s="43"/>
      <c r="AW59" s="43"/>
      <c r="AX59" s="43"/>
      <c r="AY59" s="43"/>
      <c r="AZ59" s="43"/>
      <c r="BH59" s="50"/>
      <c r="BI59" s="51"/>
    </row>
    <row r="60" spans="1:61" ht="18" customHeight="1">
      <c r="A60" s="36"/>
      <c r="B60" s="404"/>
      <c r="C60" s="404"/>
      <c r="D60" s="404"/>
      <c r="E60" s="404"/>
      <c r="F60" s="288"/>
      <c r="G60" s="288"/>
      <c r="H60" s="288"/>
      <c r="I60" s="288"/>
      <c r="J60" s="288"/>
      <c r="K60" s="288"/>
      <c r="L60" s="288"/>
      <c r="M60" s="288"/>
      <c r="N60" s="288"/>
      <c r="O60" s="288"/>
      <c r="P60" s="288"/>
      <c r="Q60" s="288"/>
      <c r="R60" s="288"/>
      <c r="S60" s="288"/>
      <c r="T60" s="288"/>
      <c r="U60" s="288"/>
      <c r="V60" s="288"/>
      <c r="W60" s="288"/>
      <c r="X60" s="288"/>
      <c r="Y60" s="288"/>
      <c r="Z60" s="288"/>
      <c r="AA60" s="288"/>
      <c r="AB60" s="288"/>
      <c r="AC60" s="288"/>
      <c r="AD60" s="288"/>
      <c r="AE60" s="288"/>
      <c r="AF60" s="288"/>
      <c r="AG60" s="288"/>
      <c r="AH60" s="288"/>
      <c r="AI60" s="289"/>
      <c r="AK60" s="425" t="s">
        <v>702</v>
      </c>
      <c r="AL60" s="425"/>
      <c r="AM60" s="425"/>
      <c r="AN60" s="425"/>
      <c r="AO60" s="425"/>
      <c r="AP60" s="425"/>
      <c r="AQ60" s="42"/>
      <c r="AR60" s="43"/>
      <c r="AS60" s="43"/>
      <c r="AT60" s="43"/>
      <c r="AU60" s="43"/>
      <c r="AV60" s="43"/>
      <c r="AW60" s="43"/>
      <c r="AX60" s="43"/>
      <c r="AY60" s="43"/>
      <c r="AZ60" s="43"/>
      <c r="BH60" s="52"/>
      <c r="BI60" s="51"/>
    </row>
    <row r="61" spans="1:61" ht="18" customHeight="1">
      <c r="A61" s="36"/>
      <c r="B61" s="404"/>
      <c r="C61" s="404"/>
      <c r="D61" s="404"/>
      <c r="E61" s="404"/>
      <c r="F61" s="288"/>
      <c r="G61" s="288"/>
      <c r="H61" s="288"/>
      <c r="I61" s="288"/>
      <c r="J61" s="288"/>
      <c r="K61" s="288"/>
      <c r="L61" s="288"/>
      <c r="M61" s="288"/>
      <c r="N61" s="288"/>
      <c r="O61" s="288"/>
      <c r="P61" s="288"/>
      <c r="Q61" s="288"/>
      <c r="R61" s="288"/>
      <c r="S61" s="288"/>
      <c r="T61" s="288"/>
      <c r="U61" s="288"/>
      <c r="V61" s="288"/>
      <c r="W61" s="288"/>
      <c r="X61" s="288"/>
      <c r="Y61" s="288"/>
      <c r="Z61" s="288"/>
      <c r="AA61" s="288"/>
      <c r="AB61" s="288"/>
      <c r="AC61" s="288"/>
      <c r="AD61" s="288"/>
      <c r="AE61" s="288"/>
      <c r="AF61" s="288"/>
      <c r="AG61" s="288"/>
      <c r="AH61" s="288"/>
      <c r="AI61" s="289"/>
      <c r="AK61" s="425" t="s">
        <v>703</v>
      </c>
      <c r="AL61" s="425"/>
      <c r="AM61" s="425"/>
      <c r="AN61" s="425"/>
      <c r="AO61" s="425"/>
      <c r="AP61" s="425"/>
      <c r="AQ61" s="42"/>
      <c r="AR61" s="43"/>
      <c r="AS61" s="43"/>
      <c r="AT61" s="43"/>
      <c r="AU61" s="43"/>
      <c r="AV61" s="43"/>
      <c r="AW61" s="43"/>
      <c r="AX61" s="43"/>
      <c r="AY61" s="43"/>
      <c r="AZ61" s="43"/>
      <c r="BH61" s="50"/>
      <c r="BI61" s="51"/>
    </row>
    <row r="62" spans="1:61" ht="18" customHeight="1">
      <c r="A62" s="36"/>
      <c r="B62" s="404"/>
      <c r="C62" s="404"/>
      <c r="D62" s="404"/>
      <c r="E62" s="404"/>
      <c r="F62" s="288"/>
      <c r="G62" s="288"/>
      <c r="H62" s="288"/>
      <c r="I62" s="288"/>
      <c r="J62" s="288"/>
      <c r="K62" s="288"/>
      <c r="L62" s="288"/>
      <c r="M62" s="288"/>
      <c r="N62" s="288"/>
      <c r="O62" s="288"/>
      <c r="P62" s="288"/>
      <c r="Q62" s="288"/>
      <c r="R62" s="288"/>
      <c r="S62" s="288"/>
      <c r="T62" s="288"/>
      <c r="U62" s="288"/>
      <c r="V62" s="288"/>
      <c r="W62" s="288"/>
      <c r="X62" s="288"/>
      <c r="Y62" s="288"/>
      <c r="Z62" s="288"/>
      <c r="AA62" s="288"/>
      <c r="AB62" s="288"/>
      <c r="AC62" s="288"/>
      <c r="AD62" s="288"/>
      <c r="AE62" s="288"/>
      <c r="AF62" s="288"/>
      <c r="AG62" s="288"/>
      <c r="AH62" s="288"/>
      <c r="AI62" s="289"/>
      <c r="AK62" s="425"/>
      <c r="AL62" s="425"/>
      <c r="AM62" s="425"/>
      <c r="AN62" s="425"/>
      <c r="AO62" s="425"/>
      <c r="AP62" s="425"/>
      <c r="AQ62" s="42"/>
      <c r="AR62" s="43"/>
      <c r="AS62" s="43"/>
      <c r="AT62" s="43"/>
      <c r="AU62" s="43"/>
      <c r="AV62" s="43"/>
      <c r="AW62" s="43"/>
      <c r="AX62" s="43"/>
      <c r="AY62" s="43"/>
      <c r="AZ62" s="43"/>
      <c r="BH62" s="50"/>
      <c r="BI62" s="51"/>
    </row>
    <row r="63" spans="1:61" ht="18" customHeight="1">
      <c r="A63" s="36"/>
      <c r="B63" s="404"/>
      <c r="C63" s="404"/>
      <c r="D63" s="404"/>
      <c r="E63" s="404"/>
      <c r="F63" s="288"/>
      <c r="G63" s="288"/>
      <c r="H63" s="288"/>
      <c r="I63" s="288"/>
      <c r="J63" s="288"/>
      <c r="K63" s="288"/>
      <c r="L63" s="288"/>
      <c r="M63" s="288"/>
      <c r="N63" s="288"/>
      <c r="O63" s="288"/>
      <c r="P63" s="288"/>
      <c r="Q63" s="288"/>
      <c r="R63" s="288"/>
      <c r="S63" s="288"/>
      <c r="T63" s="288"/>
      <c r="U63" s="288"/>
      <c r="V63" s="288"/>
      <c r="W63" s="288"/>
      <c r="X63" s="288"/>
      <c r="Y63" s="288"/>
      <c r="Z63" s="288"/>
      <c r="AA63" s="288"/>
      <c r="AB63" s="288"/>
      <c r="AC63" s="288"/>
      <c r="AD63" s="288"/>
      <c r="AE63" s="288"/>
      <c r="AF63" s="288"/>
      <c r="AG63" s="288"/>
      <c r="AH63" s="288"/>
      <c r="AI63" s="289"/>
      <c r="AK63" s="425"/>
      <c r="AL63" s="425"/>
      <c r="AM63" s="425"/>
      <c r="AN63" s="425"/>
      <c r="AO63" s="425"/>
      <c r="AP63" s="425"/>
      <c r="AQ63" s="42"/>
      <c r="AR63" s="43"/>
      <c r="AS63" s="43"/>
      <c r="AT63" s="43"/>
      <c r="AU63" s="43"/>
      <c r="AV63" s="43"/>
      <c r="AW63" s="43"/>
      <c r="AX63" s="43"/>
      <c r="AY63" s="43"/>
      <c r="AZ63" s="43"/>
      <c r="BH63" s="52"/>
      <c r="BI63" s="51"/>
    </row>
    <row r="64" spans="1:61" ht="18" customHeight="1">
      <c r="A64" s="36"/>
      <c r="B64" s="404"/>
      <c r="C64" s="404"/>
      <c r="D64" s="404"/>
      <c r="E64" s="404"/>
      <c r="F64" s="288"/>
      <c r="G64" s="288"/>
      <c r="H64" s="288"/>
      <c r="I64" s="288"/>
      <c r="J64" s="288"/>
      <c r="K64" s="288"/>
      <c r="L64" s="288"/>
      <c r="M64" s="288"/>
      <c r="N64" s="288"/>
      <c r="O64" s="288"/>
      <c r="P64" s="288"/>
      <c r="Q64" s="288"/>
      <c r="R64" s="288"/>
      <c r="S64" s="288"/>
      <c r="T64" s="288"/>
      <c r="U64" s="288"/>
      <c r="V64" s="288"/>
      <c r="W64" s="288"/>
      <c r="X64" s="288"/>
      <c r="Y64" s="288"/>
      <c r="Z64" s="288"/>
      <c r="AA64" s="288"/>
      <c r="AB64" s="288"/>
      <c r="AC64" s="288"/>
      <c r="AD64" s="288"/>
      <c r="AE64" s="288"/>
      <c r="AF64" s="288"/>
      <c r="AG64" s="288"/>
      <c r="AH64" s="288"/>
      <c r="AI64" s="289"/>
      <c r="AK64" s="425"/>
      <c r="AL64" s="425"/>
      <c r="AM64" s="425"/>
      <c r="AN64" s="425"/>
      <c r="AO64" s="425"/>
      <c r="AP64" s="425"/>
      <c r="AQ64" s="42"/>
      <c r="AR64" s="43"/>
      <c r="AS64" s="43"/>
      <c r="AT64" s="43"/>
      <c r="AU64" s="43"/>
      <c r="AV64" s="43"/>
      <c r="AW64" s="43"/>
      <c r="AX64" s="43"/>
      <c r="AY64" s="43"/>
      <c r="AZ64" s="43"/>
      <c r="BH64" s="52"/>
      <c r="BI64" s="51"/>
    </row>
    <row r="65" spans="1:61" ht="18" customHeight="1">
      <c r="A65" s="36"/>
      <c r="B65" s="404"/>
      <c r="C65" s="404"/>
      <c r="D65" s="404"/>
      <c r="E65" s="404"/>
      <c r="F65" s="288"/>
      <c r="G65" s="288"/>
      <c r="H65" s="288"/>
      <c r="I65" s="288"/>
      <c r="J65" s="288"/>
      <c r="K65" s="288"/>
      <c r="L65" s="288"/>
      <c r="M65" s="288"/>
      <c r="N65" s="288"/>
      <c r="O65" s="288"/>
      <c r="P65" s="288"/>
      <c r="Q65" s="288"/>
      <c r="R65" s="288"/>
      <c r="S65" s="288"/>
      <c r="T65" s="288"/>
      <c r="U65" s="288"/>
      <c r="V65" s="288"/>
      <c r="W65" s="288"/>
      <c r="X65" s="288"/>
      <c r="Y65" s="288"/>
      <c r="Z65" s="288"/>
      <c r="AA65" s="288"/>
      <c r="AB65" s="288"/>
      <c r="AC65" s="288"/>
      <c r="AD65" s="288"/>
      <c r="AE65" s="288"/>
      <c r="AF65" s="288"/>
      <c r="AG65" s="288"/>
      <c r="AH65" s="288"/>
      <c r="AI65" s="289"/>
      <c r="AK65" s="425"/>
      <c r="AL65" s="425"/>
      <c r="AM65" s="425"/>
      <c r="AN65" s="425"/>
      <c r="AO65" s="425"/>
      <c r="AP65" s="425"/>
      <c r="AQ65" s="42"/>
      <c r="AR65" s="43"/>
      <c r="AS65" s="43"/>
      <c r="AT65" s="43"/>
      <c r="AU65" s="43"/>
      <c r="AV65" s="43"/>
      <c r="AW65" s="43"/>
      <c r="AX65" s="43"/>
      <c r="AY65" s="43"/>
      <c r="AZ65" s="43"/>
      <c r="BH65" s="50"/>
      <c r="BI65" s="51"/>
    </row>
    <row r="66" spans="1:61" ht="18" customHeight="1">
      <c r="A66" s="36"/>
      <c r="B66" s="404"/>
      <c r="C66" s="404"/>
      <c r="D66" s="404"/>
      <c r="E66" s="404"/>
      <c r="F66" s="288"/>
      <c r="G66" s="288"/>
      <c r="H66" s="288"/>
      <c r="I66" s="288"/>
      <c r="J66" s="288"/>
      <c r="K66" s="288"/>
      <c r="L66" s="288"/>
      <c r="M66" s="288"/>
      <c r="N66" s="288"/>
      <c r="O66" s="288"/>
      <c r="P66" s="288"/>
      <c r="Q66" s="288"/>
      <c r="R66" s="288"/>
      <c r="S66" s="288"/>
      <c r="T66" s="288"/>
      <c r="U66" s="288"/>
      <c r="V66" s="288"/>
      <c r="W66" s="288"/>
      <c r="X66" s="288"/>
      <c r="Y66" s="288"/>
      <c r="Z66" s="288"/>
      <c r="AA66" s="288"/>
      <c r="AB66" s="288"/>
      <c r="AC66" s="288"/>
      <c r="AD66" s="288"/>
      <c r="AE66" s="288"/>
      <c r="AF66" s="288"/>
      <c r="AG66" s="288"/>
      <c r="AH66" s="288"/>
      <c r="AI66" s="289"/>
      <c r="AK66" s="425"/>
      <c r="AL66" s="425"/>
      <c r="AM66" s="425"/>
      <c r="AN66" s="425"/>
      <c r="AO66" s="425"/>
      <c r="AP66" s="425"/>
      <c r="AQ66" s="42"/>
      <c r="AR66" s="43"/>
      <c r="AS66" s="43"/>
      <c r="AT66" s="43"/>
      <c r="AU66" s="43"/>
      <c r="AV66" s="43"/>
      <c r="AW66" s="43"/>
      <c r="AX66" s="43"/>
      <c r="AY66" s="43"/>
      <c r="AZ66" s="43"/>
      <c r="BH66" s="50"/>
      <c r="BI66" s="51"/>
    </row>
    <row r="67" spans="1:61" ht="18" customHeight="1">
      <c r="A67" s="36"/>
      <c r="B67" s="404"/>
      <c r="C67" s="404"/>
      <c r="D67" s="404"/>
      <c r="E67" s="404"/>
      <c r="F67" s="288"/>
      <c r="G67" s="288"/>
      <c r="H67" s="288"/>
      <c r="I67" s="288"/>
      <c r="J67" s="288"/>
      <c r="K67" s="288"/>
      <c r="L67" s="288"/>
      <c r="M67" s="288"/>
      <c r="N67" s="288"/>
      <c r="O67" s="288"/>
      <c r="P67" s="288"/>
      <c r="Q67" s="288"/>
      <c r="R67" s="288"/>
      <c r="S67" s="288"/>
      <c r="T67" s="288"/>
      <c r="U67" s="288"/>
      <c r="V67" s="288"/>
      <c r="W67" s="288"/>
      <c r="X67" s="288"/>
      <c r="Y67" s="288"/>
      <c r="Z67" s="288"/>
      <c r="AA67" s="288"/>
      <c r="AB67" s="288"/>
      <c r="AC67" s="288"/>
      <c r="AD67" s="288"/>
      <c r="AE67" s="288"/>
      <c r="AF67" s="288"/>
      <c r="AG67" s="288"/>
      <c r="AH67" s="288"/>
      <c r="AI67" s="289"/>
      <c r="AK67" s="425"/>
      <c r="AL67" s="425"/>
      <c r="AM67" s="425"/>
      <c r="AN67" s="425"/>
      <c r="AO67" s="425"/>
      <c r="AP67" s="425"/>
      <c r="AQ67" s="67"/>
      <c r="AR67" s="43"/>
      <c r="AS67" s="43"/>
      <c r="AT67" s="43"/>
      <c r="AU67" s="43"/>
      <c r="AV67" s="43"/>
      <c r="AW67" s="43"/>
      <c r="AX67" s="43"/>
      <c r="AY67" s="43"/>
      <c r="AZ67" s="43"/>
      <c r="BH67" s="50"/>
      <c r="BI67" s="51"/>
    </row>
    <row r="68" spans="1:61" ht="18" customHeight="1">
      <c r="A68" s="36"/>
      <c r="B68" s="404"/>
      <c r="C68" s="404"/>
      <c r="D68" s="404"/>
      <c r="E68" s="404"/>
      <c r="F68" s="288"/>
      <c r="G68" s="288"/>
      <c r="H68" s="288"/>
      <c r="I68" s="288"/>
      <c r="J68" s="288"/>
      <c r="K68" s="288"/>
      <c r="L68" s="288"/>
      <c r="M68" s="288"/>
      <c r="N68" s="288"/>
      <c r="O68" s="288"/>
      <c r="P68" s="288"/>
      <c r="Q68" s="288"/>
      <c r="R68" s="288"/>
      <c r="S68" s="288"/>
      <c r="T68" s="288"/>
      <c r="U68" s="288"/>
      <c r="V68" s="288"/>
      <c r="W68" s="288"/>
      <c r="X68" s="288"/>
      <c r="Y68" s="288"/>
      <c r="Z68" s="288"/>
      <c r="AA68" s="288"/>
      <c r="AB68" s="288"/>
      <c r="AC68" s="288"/>
      <c r="AD68" s="288"/>
      <c r="AE68" s="288"/>
      <c r="AF68" s="288"/>
      <c r="AG68" s="288"/>
      <c r="AH68" s="288"/>
      <c r="AI68" s="289"/>
      <c r="AK68" s="425"/>
      <c r="AL68" s="425"/>
      <c r="AM68" s="425"/>
      <c r="AN68" s="425"/>
      <c r="AO68" s="425"/>
      <c r="AP68" s="425"/>
      <c r="AQ68" s="67"/>
      <c r="AR68" s="43"/>
      <c r="AS68" s="43"/>
      <c r="AT68" s="43"/>
      <c r="AU68" s="43"/>
      <c r="AV68" s="43"/>
      <c r="AW68" s="43"/>
      <c r="AX68" s="43"/>
      <c r="AY68" s="43"/>
      <c r="AZ68" s="43"/>
      <c r="BH68" s="50"/>
      <c r="BI68" s="51"/>
    </row>
    <row r="69" spans="1:61" ht="18" customHeight="1">
      <c r="A69" s="36"/>
      <c r="B69" s="404"/>
      <c r="C69" s="404"/>
      <c r="D69" s="404"/>
      <c r="E69" s="404"/>
      <c r="F69" s="288"/>
      <c r="G69" s="288"/>
      <c r="H69" s="288"/>
      <c r="I69" s="288"/>
      <c r="J69" s="288"/>
      <c r="K69" s="288"/>
      <c r="L69" s="288"/>
      <c r="M69" s="288"/>
      <c r="N69" s="288"/>
      <c r="O69" s="288"/>
      <c r="P69" s="288"/>
      <c r="Q69" s="288"/>
      <c r="R69" s="288"/>
      <c r="S69" s="288"/>
      <c r="T69" s="288"/>
      <c r="U69" s="288"/>
      <c r="V69" s="288"/>
      <c r="W69" s="288"/>
      <c r="X69" s="288"/>
      <c r="Y69" s="288"/>
      <c r="Z69" s="288"/>
      <c r="AA69" s="288"/>
      <c r="AB69" s="288"/>
      <c r="AC69" s="288"/>
      <c r="AD69" s="288"/>
      <c r="AE69" s="288"/>
      <c r="AF69" s="288"/>
      <c r="AG69" s="288"/>
      <c r="AH69" s="288"/>
      <c r="AI69" s="289"/>
      <c r="AK69" s="425"/>
      <c r="AL69" s="425"/>
      <c r="AM69" s="425"/>
      <c r="AN69" s="425"/>
      <c r="AO69" s="425"/>
      <c r="AP69" s="425"/>
      <c r="AQ69" s="42"/>
      <c r="AR69" s="43"/>
      <c r="AS69" s="43"/>
      <c r="AT69" s="43"/>
      <c r="AU69" s="43"/>
      <c r="AV69" s="43"/>
      <c r="AW69" s="43"/>
      <c r="AX69" s="43"/>
      <c r="AY69" s="43"/>
      <c r="AZ69" s="43"/>
      <c r="BH69" s="50"/>
      <c r="BI69" s="51"/>
    </row>
    <row r="70" spans="1:61" ht="18" customHeight="1">
      <c r="A70" s="36"/>
      <c r="B70" s="404"/>
      <c r="C70" s="404"/>
      <c r="D70" s="404"/>
      <c r="E70" s="404"/>
      <c r="F70" s="288"/>
      <c r="G70" s="288"/>
      <c r="H70" s="288"/>
      <c r="I70" s="288"/>
      <c r="J70" s="288"/>
      <c r="K70" s="288"/>
      <c r="L70" s="288"/>
      <c r="M70" s="288"/>
      <c r="N70" s="288"/>
      <c r="O70" s="288"/>
      <c r="P70" s="288"/>
      <c r="Q70" s="288"/>
      <c r="R70" s="288"/>
      <c r="S70" s="288"/>
      <c r="T70" s="288"/>
      <c r="U70" s="288"/>
      <c r="V70" s="288"/>
      <c r="W70" s="288"/>
      <c r="X70" s="288"/>
      <c r="Y70" s="288"/>
      <c r="Z70" s="288"/>
      <c r="AA70" s="288"/>
      <c r="AB70" s="288"/>
      <c r="AC70" s="288"/>
      <c r="AD70" s="288"/>
      <c r="AE70" s="288"/>
      <c r="AF70" s="288"/>
      <c r="AG70" s="288"/>
      <c r="AH70" s="288"/>
      <c r="AI70" s="289"/>
      <c r="AK70" s="425"/>
      <c r="AL70" s="425"/>
      <c r="AM70" s="425"/>
      <c r="AN70" s="425"/>
      <c r="AO70" s="425"/>
      <c r="AP70" s="425"/>
      <c r="AQ70" s="42"/>
      <c r="AR70" s="43"/>
      <c r="AS70" s="43"/>
      <c r="AT70" s="43"/>
      <c r="AU70" s="43"/>
      <c r="AV70" s="43"/>
      <c r="AW70" s="43"/>
      <c r="AX70" s="43"/>
      <c r="AY70" s="43"/>
      <c r="AZ70" s="43"/>
      <c r="BH70" s="50"/>
      <c r="BI70" s="51"/>
    </row>
    <row r="71" spans="1:61" ht="18" customHeight="1">
      <c r="A71" s="36"/>
      <c r="B71" s="404"/>
      <c r="C71" s="404"/>
      <c r="D71" s="404"/>
      <c r="E71" s="404"/>
      <c r="F71" s="288"/>
      <c r="G71" s="288"/>
      <c r="H71" s="288"/>
      <c r="I71" s="288"/>
      <c r="J71" s="288"/>
      <c r="K71" s="288"/>
      <c r="L71" s="288"/>
      <c r="M71" s="288"/>
      <c r="N71" s="288"/>
      <c r="O71" s="288"/>
      <c r="P71" s="288"/>
      <c r="Q71" s="288"/>
      <c r="R71" s="288"/>
      <c r="S71" s="288"/>
      <c r="T71" s="288"/>
      <c r="U71" s="288"/>
      <c r="V71" s="288"/>
      <c r="W71" s="288"/>
      <c r="X71" s="288"/>
      <c r="Y71" s="288"/>
      <c r="Z71" s="288"/>
      <c r="AA71" s="288"/>
      <c r="AB71" s="288"/>
      <c r="AC71" s="288"/>
      <c r="AD71" s="288"/>
      <c r="AE71" s="288"/>
      <c r="AF71" s="288"/>
      <c r="AG71" s="288"/>
      <c r="AH71" s="288"/>
      <c r="AI71" s="289"/>
      <c r="AK71" s="425"/>
      <c r="AL71" s="425"/>
      <c r="AM71" s="425"/>
      <c r="AN71" s="425"/>
      <c r="AO71" s="425"/>
      <c r="AP71" s="425"/>
      <c r="AQ71" s="42"/>
      <c r="AR71" s="43"/>
      <c r="AS71" s="43"/>
      <c r="AT71" s="43"/>
      <c r="AU71" s="43"/>
      <c r="AV71" s="43"/>
      <c r="AW71" s="43"/>
      <c r="AX71" s="43"/>
      <c r="AY71" s="43"/>
      <c r="AZ71" s="43"/>
      <c r="BH71" s="52"/>
      <c r="BI71" s="51"/>
    </row>
    <row r="72" spans="1:61" ht="18" customHeight="1">
      <c r="A72" s="36"/>
      <c r="B72" s="404"/>
      <c r="C72" s="404"/>
      <c r="D72" s="404"/>
      <c r="E72" s="404"/>
      <c r="F72" s="288"/>
      <c r="G72" s="288"/>
      <c r="H72" s="288"/>
      <c r="I72" s="288"/>
      <c r="J72" s="288"/>
      <c r="K72" s="288"/>
      <c r="L72" s="288"/>
      <c r="M72" s="288"/>
      <c r="N72" s="288"/>
      <c r="O72" s="288"/>
      <c r="P72" s="288"/>
      <c r="Q72" s="288"/>
      <c r="R72" s="288"/>
      <c r="S72" s="288"/>
      <c r="T72" s="288"/>
      <c r="U72" s="288"/>
      <c r="V72" s="288"/>
      <c r="W72" s="288"/>
      <c r="X72" s="288"/>
      <c r="Y72" s="288"/>
      <c r="Z72" s="288"/>
      <c r="AA72" s="288"/>
      <c r="AB72" s="288"/>
      <c r="AC72" s="288"/>
      <c r="AD72" s="288"/>
      <c r="AE72" s="288"/>
      <c r="AF72" s="288"/>
      <c r="AG72" s="288"/>
      <c r="AH72" s="288"/>
      <c r="AI72" s="289"/>
      <c r="AK72" s="425"/>
      <c r="AL72" s="425"/>
      <c r="AM72" s="425"/>
      <c r="AN72" s="425"/>
      <c r="AO72" s="425"/>
      <c r="AP72" s="425"/>
      <c r="AQ72" s="42"/>
      <c r="AR72" s="43"/>
      <c r="AS72" s="43"/>
      <c r="AT72" s="43"/>
      <c r="AU72" s="43"/>
      <c r="AV72" s="43"/>
      <c r="AW72" s="43"/>
      <c r="AX72" s="43"/>
      <c r="AY72" s="43"/>
      <c r="AZ72" s="43"/>
      <c r="BH72" s="53"/>
      <c r="BI72" s="51"/>
    </row>
    <row r="73" spans="1:61" ht="18" customHeight="1">
      <c r="A73" s="36"/>
      <c r="B73" s="404"/>
      <c r="C73" s="404"/>
      <c r="D73" s="404"/>
      <c r="E73" s="404"/>
      <c r="F73" s="288"/>
      <c r="G73" s="288"/>
      <c r="H73" s="288"/>
      <c r="I73" s="288"/>
      <c r="J73" s="288"/>
      <c r="K73" s="288"/>
      <c r="L73" s="288"/>
      <c r="M73" s="288"/>
      <c r="N73" s="288"/>
      <c r="O73" s="288"/>
      <c r="P73" s="288"/>
      <c r="Q73" s="288"/>
      <c r="R73" s="288"/>
      <c r="S73" s="288"/>
      <c r="T73" s="288"/>
      <c r="U73" s="288"/>
      <c r="V73" s="288"/>
      <c r="W73" s="288"/>
      <c r="X73" s="288"/>
      <c r="Y73" s="288"/>
      <c r="Z73" s="288"/>
      <c r="AA73" s="288"/>
      <c r="AB73" s="288"/>
      <c r="AC73" s="288"/>
      <c r="AD73" s="288"/>
      <c r="AE73" s="288"/>
      <c r="AF73" s="288"/>
      <c r="AG73" s="288"/>
      <c r="AH73" s="288"/>
      <c r="AI73" s="289"/>
      <c r="AK73" s="425"/>
      <c r="AL73" s="425"/>
      <c r="AM73" s="425"/>
      <c r="AN73" s="425"/>
      <c r="AO73" s="425"/>
      <c r="AP73" s="425"/>
      <c r="AQ73" s="42"/>
      <c r="AR73" s="43"/>
      <c r="AS73" s="43"/>
      <c r="AT73" s="43"/>
      <c r="AU73" s="43"/>
      <c r="AV73" s="43"/>
      <c r="AW73" s="43"/>
      <c r="AX73" s="43"/>
      <c r="AY73" s="43"/>
      <c r="AZ73" s="43"/>
      <c r="BH73" s="54"/>
      <c r="BI73" s="51"/>
    </row>
    <row r="74" spans="1:61" ht="18" customHeight="1">
      <c r="A74" s="36"/>
      <c r="B74" s="404"/>
      <c r="C74" s="404"/>
      <c r="D74" s="404"/>
      <c r="E74" s="404"/>
      <c r="F74" s="288"/>
      <c r="G74" s="288"/>
      <c r="H74" s="288"/>
      <c r="I74" s="288"/>
      <c r="J74" s="288"/>
      <c r="K74" s="288"/>
      <c r="L74" s="288"/>
      <c r="M74" s="288"/>
      <c r="N74" s="288"/>
      <c r="O74" s="288"/>
      <c r="P74" s="288"/>
      <c r="Q74" s="288"/>
      <c r="R74" s="288"/>
      <c r="S74" s="288"/>
      <c r="T74" s="288"/>
      <c r="U74" s="288"/>
      <c r="V74" s="288"/>
      <c r="W74" s="288"/>
      <c r="X74" s="288"/>
      <c r="Y74" s="288"/>
      <c r="Z74" s="288"/>
      <c r="AA74" s="288"/>
      <c r="AB74" s="288"/>
      <c r="AC74" s="288"/>
      <c r="AD74" s="288"/>
      <c r="AE74" s="288"/>
      <c r="AF74" s="288"/>
      <c r="AG74" s="288"/>
      <c r="AH74" s="288"/>
      <c r="AI74" s="289"/>
      <c r="AK74" s="425"/>
      <c r="AL74" s="425"/>
      <c r="AM74" s="425"/>
      <c r="AN74" s="425"/>
      <c r="AO74" s="425"/>
      <c r="AP74" s="425"/>
      <c r="AQ74" s="42"/>
      <c r="AR74" s="43"/>
      <c r="AS74" s="43"/>
      <c r="AT74" s="43"/>
      <c r="AU74" s="43"/>
      <c r="AV74" s="43"/>
      <c r="AW74" s="43"/>
      <c r="AX74" s="43"/>
      <c r="AY74" s="43"/>
      <c r="AZ74" s="43"/>
      <c r="BH74" s="54"/>
      <c r="BI74" s="51"/>
    </row>
    <row r="75" spans="1:61" ht="18" customHeight="1">
      <c r="A75" s="36"/>
      <c r="B75" s="404"/>
      <c r="C75" s="404"/>
      <c r="D75" s="404"/>
      <c r="E75" s="404"/>
      <c r="F75" s="288"/>
      <c r="G75" s="288"/>
      <c r="H75" s="288"/>
      <c r="I75" s="288"/>
      <c r="J75" s="288"/>
      <c r="K75" s="288"/>
      <c r="L75" s="288"/>
      <c r="M75" s="288"/>
      <c r="N75" s="288"/>
      <c r="O75" s="288"/>
      <c r="P75" s="288"/>
      <c r="Q75" s="288"/>
      <c r="R75" s="288"/>
      <c r="S75" s="288"/>
      <c r="T75" s="288"/>
      <c r="U75" s="288"/>
      <c r="V75" s="288"/>
      <c r="W75" s="288"/>
      <c r="X75" s="288"/>
      <c r="Y75" s="288"/>
      <c r="Z75" s="288"/>
      <c r="AA75" s="288"/>
      <c r="AB75" s="288"/>
      <c r="AC75" s="288"/>
      <c r="AD75" s="288"/>
      <c r="AE75" s="288"/>
      <c r="AF75" s="288"/>
      <c r="AG75" s="288"/>
      <c r="AH75" s="288"/>
      <c r="AI75" s="289"/>
      <c r="AK75" s="425"/>
      <c r="AL75" s="425"/>
      <c r="AM75" s="425"/>
      <c r="AN75" s="425"/>
      <c r="AO75" s="425"/>
      <c r="AP75" s="425"/>
      <c r="AQ75" s="42"/>
      <c r="AR75" s="43"/>
      <c r="AS75" s="43"/>
      <c r="AT75" s="43"/>
      <c r="AU75" s="43"/>
      <c r="AV75" s="43"/>
      <c r="AW75" s="43"/>
      <c r="AX75" s="43"/>
      <c r="AY75" s="43"/>
      <c r="AZ75" s="43"/>
      <c r="BH75" s="53"/>
      <c r="BI75" s="51"/>
    </row>
    <row r="76" spans="1:61" ht="18" customHeight="1">
      <c r="A76" s="36"/>
      <c r="B76" s="404"/>
      <c r="C76" s="404"/>
      <c r="D76" s="404"/>
      <c r="E76" s="404"/>
      <c r="F76" s="288"/>
      <c r="G76" s="288"/>
      <c r="H76" s="288"/>
      <c r="I76" s="288"/>
      <c r="J76" s="288"/>
      <c r="K76" s="288"/>
      <c r="L76" s="288"/>
      <c r="M76" s="288"/>
      <c r="N76" s="288"/>
      <c r="O76" s="288"/>
      <c r="P76" s="288"/>
      <c r="Q76" s="288"/>
      <c r="R76" s="288"/>
      <c r="S76" s="288"/>
      <c r="T76" s="288"/>
      <c r="U76" s="288"/>
      <c r="V76" s="288"/>
      <c r="W76" s="288"/>
      <c r="X76" s="288"/>
      <c r="Y76" s="288"/>
      <c r="Z76" s="288"/>
      <c r="AA76" s="288"/>
      <c r="AB76" s="288"/>
      <c r="AC76" s="288"/>
      <c r="AD76" s="288"/>
      <c r="AE76" s="288"/>
      <c r="AF76" s="288"/>
      <c r="AG76" s="288"/>
      <c r="AH76" s="288"/>
      <c r="AI76" s="289"/>
      <c r="AK76" s="425"/>
      <c r="AL76" s="425"/>
      <c r="AM76" s="425"/>
      <c r="AN76" s="425"/>
      <c r="AO76" s="425"/>
      <c r="AP76" s="425"/>
      <c r="AQ76" s="42"/>
      <c r="AR76" s="43"/>
      <c r="AS76" s="43"/>
      <c r="AT76" s="43"/>
      <c r="AU76" s="43"/>
      <c r="AV76" s="43"/>
      <c r="AW76" s="43"/>
      <c r="AX76" s="43"/>
      <c r="AY76" s="43"/>
      <c r="AZ76" s="43"/>
      <c r="BH76" s="53"/>
      <c r="BI76" s="51"/>
    </row>
    <row r="77" spans="1:61" ht="18" customHeight="1">
      <c r="A77" s="36"/>
      <c r="B77" s="404"/>
      <c r="C77" s="404"/>
      <c r="D77" s="404"/>
      <c r="E77" s="404"/>
      <c r="F77" s="288"/>
      <c r="G77" s="288"/>
      <c r="H77" s="288"/>
      <c r="I77" s="288"/>
      <c r="J77" s="288"/>
      <c r="K77" s="288"/>
      <c r="L77" s="288"/>
      <c r="M77" s="288"/>
      <c r="N77" s="288"/>
      <c r="O77" s="288"/>
      <c r="P77" s="288"/>
      <c r="Q77" s="288"/>
      <c r="R77" s="288"/>
      <c r="S77" s="288"/>
      <c r="T77" s="288"/>
      <c r="U77" s="288"/>
      <c r="V77" s="288"/>
      <c r="W77" s="288"/>
      <c r="X77" s="288"/>
      <c r="Y77" s="288"/>
      <c r="Z77" s="288"/>
      <c r="AA77" s="288"/>
      <c r="AB77" s="288"/>
      <c r="AC77" s="288"/>
      <c r="AD77" s="288"/>
      <c r="AE77" s="288"/>
      <c r="AF77" s="288"/>
      <c r="AG77" s="288"/>
      <c r="AH77" s="288"/>
      <c r="AI77" s="289"/>
      <c r="AK77" s="425"/>
      <c r="AL77" s="425"/>
      <c r="AM77" s="425"/>
      <c r="AN77" s="425"/>
      <c r="AO77" s="425"/>
      <c r="AP77" s="425"/>
      <c r="AQ77" s="42"/>
      <c r="AR77" s="43"/>
      <c r="AS77" s="43"/>
      <c r="AT77" s="43"/>
      <c r="AU77" s="43"/>
      <c r="AV77" s="43"/>
      <c r="AW77" s="43"/>
      <c r="AX77" s="43"/>
      <c r="AY77" s="43"/>
      <c r="AZ77" s="43"/>
      <c r="BH77" s="54"/>
      <c r="BI77" s="51"/>
    </row>
    <row r="78" spans="1:61" ht="18" customHeight="1">
      <c r="A78" s="36"/>
      <c r="B78" s="404"/>
      <c r="C78" s="404"/>
      <c r="D78" s="404"/>
      <c r="E78" s="404"/>
      <c r="F78" s="288"/>
      <c r="G78" s="288"/>
      <c r="H78" s="288"/>
      <c r="I78" s="288"/>
      <c r="J78" s="288"/>
      <c r="K78" s="288"/>
      <c r="L78" s="288"/>
      <c r="M78" s="288"/>
      <c r="N78" s="288"/>
      <c r="O78" s="288"/>
      <c r="P78" s="288"/>
      <c r="Q78" s="288"/>
      <c r="R78" s="288"/>
      <c r="S78" s="288"/>
      <c r="T78" s="288"/>
      <c r="U78" s="288"/>
      <c r="V78" s="288"/>
      <c r="W78" s="288"/>
      <c r="X78" s="288"/>
      <c r="Y78" s="288"/>
      <c r="Z78" s="288"/>
      <c r="AA78" s="288"/>
      <c r="AB78" s="288"/>
      <c r="AC78" s="288"/>
      <c r="AD78" s="288"/>
      <c r="AE78" s="288"/>
      <c r="AF78" s="288"/>
      <c r="AG78" s="288"/>
      <c r="AH78" s="288"/>
      <c r="AI78" s="289"/>
      <c r="AK78" s="425"/>
      <c r="AL78" s="425"/>
      <c r="AM78" s="425"/>
      <c r="AN78" s="425"/>
      <c r="AO78" s="425"/>
      <c r="AP78" s="425"/>
      <c r="AQ78" s="42"/>
      <c r="AR78" s="43"/>
      <c r="AS78" s="43"/>
      <c r="AT78" s="43"/>
      <c r="AU78" s="43"/>
      <c r="AV78" s="43"/>
      <c r="AW78" s="43"/>
      <c r="AX78" s="43"/>
      <c r="AY78" s="43"/>
      <c r="AZ78" s="43"/>
      <c r="BH78" s="54"/>
      <c r="BI78" s="51"/>
    </row>
    <row r="79" spans="1:61" ht="18" customHeight="1">
      <c r="A79" s="36"/>
      <c r="B79" s="404"/>
      <c r="C79" s="404"/>
      <c r="D79" s="404"/>
      <c r="E79" s="404"/>
      <c r="F79" s="288"/>
      <c r="G79" s="288"/>
      <c r="H79" s="288"/>
      <c r="I79" s="288"/>
      <c r="J79" s="288"/>
      <c r="K79" s="288"/>
      <c r="L79" s="288"/>
      <c r="M79" s="288"/>
      <c r="N79" s="288"/>
      <c r="O79" s="288"/>
      <c r="P79" s="288"/>
      <c r="Q79" s="288"/>
      <c r="R79" s="288"/>
      <c r="S79" s="288"/>
      <c r="T79" s="288"/>
      <c r="U79" s="288"/>
      <c r="V79" s="288"/>
      <c r="W79" s="288"/>
      <c r="X79" s="288"/>
      <c r="Y79" s="288"/>
      <c r="Z79" s="288"/>
      <c r="AA79" s="288"/>
      <c r="AB79" s="288"/>
      <c r="AC79" s="288"/>
      <c r="AD79" s="288"/>
      <c r="AE79" s="288"/>
      <c r="AF79" s="288"/>
      <c r="AG79" s="288"/>
      <c r="AH79" s="288"/>
      <c r="AI79" s="289"/>
      <c r="AK79" s="425"/>
      <c r="AL79" s="425"/>
      <c r="AM79" s="425"/>
      <c r="AN79" s="425"/>
      <c r="AO79" s="425"/>
      <c r="AP79" s="425"/>
      <c r="AQ79" s="42"/>
      <c r="AR79" s="43"/>
      <c r="AS79" s="43"/>
      <c r="AT79" s="43"/>
      <c r="AU79" s="43"/>
      <c r="AV79" s="43"/>
      <c r="AW79" s="43"/>
      <c r="AX79" s="43"/>
      <c r="AY79" s="43"/>
      <c r="AZ79" s="43"/>
      <c r="BH79" s="54"/>
      <c r="BI79" s="51"/>
    </row>
    <row r="80" spans="1:61" ht="18" customHeight="1">
      <c r="A80" s="37"/>
      <c r="B80" s="466"/>
      <c r="C80" s="466"/>
      <c r="D80" s="466"/>
      <c r="E80" s="466"/>
      <c r="F80" s="467"/>
      <c r="G80" s="467"/>
      <c r="H80" s="467"/>
      <c r="I80" s="467"/>
      <c r="J80" s="467"/>
      <c r="K80" s="467"/>
      <c r="L80" s="467"/>
      <c r="M80" s="467"/>
      <c r="N80" s="467"/>
      <c r="O80" s="467"/>
      <c r="P80" s="467"/>
      <c r="Q80" s="467"/>
      <c r="R80" s="467"/>
      <c r="S80" s="467"/>
      <c r="T80" s="467"/>
      <c r="U80" s="467"/>
      <c r="V80" s="467"/>
      <c r="W80" s="467"/>
      <c r="X80" s="467"/>
      <c r="Y80" s="467"/>
      <c r="Z80" s="467"/>
      <c r="AA80" s="467"/>
      <c r="AB80" s="467"/>
      <c r="AC80" s="467"/>
      <c r="AD80" s="467"/>
      <c r="AE80" s="467"/>
      <c r="AF80" s="467"/>
      <c r="AG80" s="467"/>
      <c r="AH80" s="467"/>
      <c r="AI80" s="468"/>
      <c r="AK80" s="425"/>
      <c r="AL80" s="425"/>
      <c r="AM80" s="425"/>
      <c r="AN80" s="425"/>
      <c r="AO80" s="425"/>
      <c r="AP80" s="425"/>
      <c r="AQ80" s="42"/>
      <c r="AR80" s="43"/>
      <c r="AS80" s="43"/>
      <c r="AT80" s="43"/>
      <c r="AU80" s="43"/>
      <c r="AV80" s="43"/>
      <c r="AW80" s="43"/>
      <c r="AX80" s="43"/>
      <c r="AY80" s="43"/>
      <c r="AZ80" s="43"/>
      <c r="BH80" s="54"/>
      <c r="BI80" s="51"/>
    </row>
    <row r="81" spans="1:61" ht="18" customHeight="1">
      <c r="A81" s="406" t="s">
        <v>704</v>
      </c>
      <c r="B81" s="407"/>
      <c r="C81" s="407"/>
      <c r="D81" s="407"/>
      <c r="E81" s="407"/>
      <c r="F81" s="407"/>
      <c r="G81" s="407"/>
      <c r="H81" s="407"/>
      <c r="I81" s="407"/>
      <c r="J81" s="407"/>
      <c r="K81" s="407"/>
      <c r="L81" s="407"/>
      <c r="M81" s="407"/>
      <c r="N81" s="407"/>
      <c r="O81" s="407"/>
      <c r="P81" s="407"/>
      <c r="Q81" s="407"/>
      <c r="R81" s="407"/>
      <c r="S81" s="407"/>
      <c r="T81" s="407"/>
      <c r="U81" s="407"/>
      <c r="V81" s="407"/>
      <c r="W81" s="407"/>
      <c r="X81" s="407"/>
      <c r="Y81" s="407"/>
      <c r="Z81" s="407"/>
      <c r="AA81" s="407"/>
      <c r="AB81" s="407"/>
      <c r="AC81" s="407"/>
      <c r="AD81" s="407"/>
      <c r="AE81" s="407"/>
      <c r="AF81" s="407"/>
      <c r="AG81" s="407"/>
      <c r="AH81" s="407"/>
      <c r="AI81" s="408"/>
      <c r="AK81" s="425"/>
      <c r="AL81" s="425"/>
      <c r="AM81" s="425"/>
      <c r="AN81" s="425"/>
      <c r="AO81" s="425"/>
      <c r="AP81" s="425"/>
      <c r="AQ81" s="42"/>
      <c r="AR81" s="43"/>
      <c r="AS81" s="43"/>
      <c r="AT81" s="43"/>
      <c r="AU81" s="43"/>
      <c r="AV81" s="43"/>
      <c r="AW81" s="43"/>
      <c r="AX81" s="43"/>
      <c r="AY81" s="43"/>
      <c r="AZ81" s="43"/>
      <c r="BH81" s="53"/>
      <c r="BI81" s="51"/>
    </row>
    <row r="82" spans="1:61" ht="18" customHeight="1">
      <c r="A82" s="38"/>
      <c r="B82" s="465">
        <v>45644</v>
      </c>
      <c r="C82" s="465"/>
      <c r="D82" s="465"/>
      <c r="E82" s="465"/>
      <c r="F82" s="288" t="s">
        <v>837</v>
      </c>
      <c r="G82" s="288"/>
      <c r="H82" s="288"/>
      <c r="I82" s="288"/>
      <c r="J82" s="288"/>
      <c r="K82" s="288"/>
      <c r="L82" s="288"/>
      <c r="M82" s="288"/>
      <c r="N82" s="288"/>
      <c r="O82" s="288"/>
      <c r="P82" s="288"/>
      <c r="Q82" s="288"/>
      <c r="R82" s="288"/>
      <c r="S82" s="288"/>
      <c r="T82" s="288"/>
      <c r="U82" s="288"/>
      <c r="V82" s="288"/>
      <c r="W82" s="288"/>
      <c r="X82" s="288"/>
      <c r="Y82" s="288"/>
      <c r="Z82" s="288"/>
      <c r="AA82" s="288"/>
      <c r="AB82" s="288"/>
      <c r="AC82" s="288"/>
      <c r="AD82" s="288"/>
      <c r="AE82" s="288"/>
      <c r="AF82" s="288"/>
      <c r="AG82" s="288"/>
      <c r="AH82" s="288"/>
      <c r="AI82" s="289"/>
      <c r="AK82" s="425"/>
      <c r="AL82" s="425"/>
      <c r="AM82" s="425"/>
      <c r="AN82" s="425"/>
      <c r="AO82" s="425"/>
      <c r="AP82" s="425"/>
      <c r="AQ82" s="42"/>
      <c r="AR82" s="43"/>
      <c r="AS82" s="43"/>
      <c r="AT82" s="43"/>
      <c r="AU82" s="43"/>
      <c r="AV82" s="43"/>
      <c r="AW82" s="43"/>
      <c r="AX82" s="43"/>
      <c r="AY82" s="43"/>
      <c r="AZ82" s="43"/>
      <c r="BH82" s="53"/>
      <c r="BI82" s="51"/>
    </row>
    <row r="83" spans="1:61" ht="18" customHeight="1">
      <c r="A83" s="38"/>
      <c r="B83" s="465">
        <v>46160</v>
      </c>
      <c r="C83" s="465"/>
      <c r="D83" s="465"/>
      <c r="E83" s="465"/>
      <c r="F83" s="288" t="s">
        <v>838</v>
      </c>
      <c r="G83" s="288"/>
      <c r="H83" s="288"/>
      <c r="I83" s="288"/>
      <c r="J83" s="288"/>
      <c r="K83" s="288"/>
      <c r="L83" s="288"/>
      <c r="M83" s="288"/>
      <c r="N83" s="288"/>
      <c r="O83" s="288"/>
      <c r="P83" s="288"/>
      <c r="Q83" s="288"/>
      <c r="R83" s="288"/>
      <c r="S83" s="288"/>
      <c r="T83" s="288"/>
      <c r="U83" s="288"/>
      <c r="V83" s="288"/>
      <c r="W83" s="288"/>
      <c r="X83" s="288"/>
      <c r="Y83" s="288"/>
      <c r="Z83" s="288"/>
      <c r="AA83" s="288"/>
      <c r="AB83" s="288"/>
      <c r="AC83" s="288"/>
      <c r="AD83" s="288"/>
      <c r="AE83" s="288"/>
      <c r="AF83" s="288"/>
      <c r="AG83" s="288"/>
      <c r="AH83" s="288"/>
      <c r="AI83" s="289"/>
      <c r="AK83" s="425"/>
      <c r="AL83" s="425"/>
      <c r="AM83" s="425"/>
      <c r="AN83" s="425"/>
      <c r="AO83" s="425"/>
      <c r="AP83" s="425"/>
      <c r="AQ83" s="42"/>
      <c r="AR83" s="43"/>
      <c r="AS83" s="43"/>
      <c r="AT83" s="43"/>
      <c r="AU83" s="43"/>
      <c r="AV83" s="43"/>
      <c r="AW83" s="43"/>
      <c r="AX83" s="43"/>
      <c r="AY83" s="43"/>
      <c r="AZ83" s="43"/>
      <c r="BH83" s="53"/>
      <c r="BI83" s="51"/>
    </row>
    <row r="84" spans="1:61" ht="18" customHeight="1">
      <c r="A84" s="38"/>
      <c r="B84" s="465"/>
      <c r="C84" s="465"/>
      <c r="D84" s="465"/>
      <c r="E84" s="465"/>
      <c r="F84" s="288"/>
      <c r="G84" s="288"/>
      <c r="H84" s="288"/>
      <c r="I84" s="288"/>
      <c r="J84" s="288"/>
      <c r="K84" s="288"/>
      <c r="L84" s="288"/>
      <c r="M84" s="288"/>
      <c r="N84" s="288"/>
      <c r="O84" s="288"/>
      <c r="P84" s="288"/>
      <c r="Q84" s="288"/>
      <c r="R84" s="288"/>
      <c r="S84" s="288"/>
      <c r="T84" s="288"/>
      <c r="U84" s="288"/>
      <c r="V84" s="288"/>
      <c r="W84" s="288"/>
      <c r="X84" s="288"/>
      <c r="Y84" s="288"/>
      <c r="Z84" s="288"/>
      <c r="AA84" s="288"/>
      <c r="AB84" s="288"/>
      <c r="AC84" s="288"/>
      <c r="AD84" s="288"/>
      <c r="AE84" s="288"/>
      <c r="AF84" s="288"/>
      <c r="AG84" s="288"/>
      <c r="AH84" s="288"/>
      <c r="AI84" s="289"/>
      <c r="AK84" s="425"/>
      <c r="AL84" s="425"/>
      <c r="AM84" s="425"/>
      <c r="AN84" s="425"/>
      <c r="AO84" s="425"/>
      <c r="AP84" s="425"/>
      <c r="AQ84" s="42"/>
      <c r="AR84" s="43"/>
      <c r="AS84" s="43"/>
      <c r="AT84" s="43"/>
      <c r="AU84" s="43"/>
      <c r="AV84" s="43"/>
      <c r="AW84" s="43"/>
      <c r="AX84" s="43"/>
      <c r="AY84" s="43"/>
      <c r="AZ84" s="43"/>
    </row>
    <row r="85" spans="1:61" ht="18" customHeight="1">
      <c r="A85" s="38"/>
      <c r="B85" s="465"/>
      <c r="C85" s="465"/>
      <c r="D85" s="465"/>
      <c r="E85" s="465"/>
      <c r="F85" s="288"/>
      <c r="G85" s="288"/>
      <c r="H85" s="288"/>
      <c r="I85" s="288"/>
      <c r="J85" s="288"/>
      <c r="K85" s="288"/>
      <c r="L85" s="288"/>
      <c r="M85" s="288"/>
      <c r="N85" s="288"/>
      <c r="O85" s="288"/>
      <c r="P85" s="288"/>
      <c r="Q85" s="288"/>
      <c r="R85" s="288"/>
      <c r="S85" s="288"/>
      <c r="T85" s="288"/>
      <c r="U85" s="288"/>
      <c r="V85" s="288"/>
      <c r="W85" s="288"/>
      <c r="X85" s="288"/>
      <c r="Y85" s="288"/>
      <c r="Z85" s="288"/>
      <c r="AA85" s="288"/>
      <c r="AB85" s="288"/>
      <c r="AC85" s="288"/>
      <c r="AD85" s="288"/>
      <c r="AE85" s="288"/>
      <c r="AF85" s="288"/>
      <c r="AG85" s="288"/>
      <c r="AH85" s="288"/>
      <c r="AI85" s="289"/>
      <c r="AK85" s="425"/>
      <c r="AL85" s="425"/>
      <c r="AM85" s="425"/>
      <c r="AN85" s="425"/>
      <c r="AO85" s="425"/>
      <c r="AP85" s="425"/>
      <c r="AQ85" s="42"/>
      <c r="AR85" s="43"/>
      <c r="AS85" s="43"/>
      <c r="AT85" s="43"/>
      <c r="AU85" s="43"/>
      <c r="AV85" s="43"/>
      <c r="AW85" s="43"/>
      <c r="AX85" s="43"/>
      <c r="AY85" s="43"/>
      <c r="AZ85" s="43"/>
    </row>
    <row r="86" spans="1:61" ht="18" customHeight="1" thickBot="1">
      <c r="A86" s="41"/>
      <c r="B86" s="540"/>
      <c r="C86" s="540"/>
      <c r="D86" s="540"/>
      <c r="E86" s="540"/>
      <c r="F86" s="541"/>
      <c r="G86" s="541"/>
      <c r="H86" s="541"/>
      <c r="I86" s="541"/>
      <c r="J86" s="541"/>
      <c r="K86" s="541"/>
      <c r="L86" s="541"/>
      <c r="M86" s="541"/>
      <c r="N86" s="541"/>
      <c r="O86" s="541"/>
      <c r="P86" s="541"/>
      <c r="Q86" s="541"/>
      <c r="R86" s="541"/>
      <c r="S86" s="541"/>
      <c r="T86" s="541"/>
      <c r="U86" s="541"/>
      <c r="V86" s="541"/>
      <c r="W86" s="541"/>
      <c r="X86" s="541"/>
      <c r="Y86" s="541"/>
      <c r="Z86" s="541"/>
      <c r="AA86" s="541"/>
      <c r="AB86" s="541"/>
      <c r="AC86" s="541"/>
      <c r="AD86" s="541"/>
      <c r="AE86" s="541"/>
      <c r="AF86" s="541"/>
      <c r="AG86" s="541"/>
      <c r="AH86" s="541"/>
      <c r="AI86" s="542"/>
      <c r="AK86" s="425"/>
      <c r="AL86" s="425"/>
      <c r="AM86" s="425"/>
      <c r="AN86" s="425"/>
      <c r="AO86" s="425"/>
      <c r="AP86" s="425"/>
      <c r="AQ86" s="42"/>
      <c r="AR86" s="43"/>
      <c r="AS86" s="43"/>
      <c r="AT86" s="43"/>
      <c r="AU86" s="43"/>
      <c r="AV86" s="43"/>
      <c r="AW86" s="43"/>
      <c r="AX86" s="43"/>
      <c r="AY86" s="43"/>
      <c r="AZ86" s="43"/>
    </row>
    <row r="87" spans="1:61" ht="14.1" customHeight="1">
      <c r="AK87" s="438"/>
      <c r="AL87" s="438"/>
      <c r="AM87" s="438"/>
      <c r="AN87" s="438"/>
      <c r="AO87" s="438"/>
      <c r="AP87" s="438"/>
      <c r="AQ87" s="119"/>
    </row>
    <row r="88" spans="1:61" ht="14.1" customHeight="1">
      <c r="AK88" s="437"/>
      <c r="AL88" s="437"/>
      <c r="AM88" s="437"/>
      <c r="AN88" s="437"/>
      <c r="AO88" s="437"/>
      <c r="AP88" s="437"/>
      <c r="AQ88" s="120"/>
    </row>
    <row r="89" spans="1:61" ht="14.1" customHeight="1">
      <c r="AK89" s="437"/>
      <c r="AL89" s="437"/>
      <c r="AM89" s="437"/>
      <c r="AN89" s="437"/>
      <c r="AO89" s="437"/>
      <c r="AP89" s="437"/>
      <c r="AQ89" s="120"/>
    </row>
    <row r="90" spans="1:61" ht="14.1" customHeight="1"/>
    <row r="91" spans="1:61" ht="14.1" customHeight="1"/>
    <row r="92" spans="1:61" ht="14.1" customHeight="1"/>
    <row r="93" spans="1:61" ht="14.1" customHeight="1"/>
    <row r="94" spans="1:61" ht="14.1" customHeight="1"/>
    <row r="95" spans="1:61" ht="14.1" customHeight="1"/>
    <row r="96" spans="1:61" ht="14.1" customHeight="1"/>
    <row r="97" ht="14.1" customHeight="1"/>
    <row r="98" ht="14.1" customHeight="1"/>
    <row r="99" ht="14.1" customHeight="1"/>
    <row r="100" ht="14.1" customHeight="1"/>
    <row r="101" ht="14.1" customHeight="1"/>
    <row r="102" ht="14.1" customHeight="1"/>
    <row r="103" ht="14.1" customHeight="1"/>
    <row r="104" ht="14.1" customHeight="1"/>
    <row r="105" ht="14.1" customHeight="1"/>
    <row r="106" ht="14.1" customHeight="1"/>
    <row r="107" ht="14.1" customHeight="1"/>
    <row r="108" ht="14.1" customHeight="1"/>
    <row r="109" ht="14.1" customHeight="1"/>
    <row r="110" ht="14.1" customHeight="1"/>
    <row r="111" ht="14.1" customHeight="1"/>
    <row r="112" ht="14.1" customHeight="1"/>
    <row r="113" ht="14.1" customHeight="1"/>
    <row r="114" ht="14.1" customHeight="1"/>
    <row r="115" ht="14.1" customHeight="1"/>
    <row r="116" ht="14.1" customHeight="1"/>
    <row r="117" ht="14.1" customHeight="1"/>
    <row r="118" ht="14.1" customHeight="1"/>
    <row r="119" ht="14.1" customHeight="1"/>
    <row r="120" ht="14.1" customHeight="1"/>
    <row r="121" ht="14.1" customHeight="1"/>
    <row r="122" ht="14.1" customHeight="1"/>
    <row r="123" ht="14.1" customHeight="1"/>
    <row r="124" ht="14.1" customHeight="1"/>
    <row r="125" ht="14.1" customHeight="1"/>
    <row r="126" ht="14.1" customHeight="1"/>
    <row r="127" ht="14.1" customHeight="1"/>
    <row r="128" ht="14.1" customHeight="1"/>
    <row r="129" ht="14.1" customHeight="1"/>
    <row r="130" ht="14.1" customHeight="1"/>
    <row r="131" ht="14.1" customHeight="1"/>
    <row r="132" ht="14.1" customHeight="1"/>
    <row r="133" ht="14.1" customHeight="1"/>
    <row r="134" ht="14.1" customHeight="1"/>
    <row r="135" ht="14.1" customHeight="1"/>
    <row r="136" ht="14.1" customHeight="1"/>
    <row r="137" ht="14.1" customHeight="1"/>
    <row r="138" ht="14.1" customHeight="1"/>
    <row r="139" ht="14.1" customHeight="1"/>
    <row r="140" ht="14.1" customHeight="1"/>
    <row r="141" ht="14.1" customHeight="1"/>
    <row r="142" ht="14.1" customHeight="1"/>
    <row r="143" ht="14.1" customHeight="1"/>
    <row r="144" ht="14.1" customHeight="1"/>
    <row r="145" ht="14.1" customHeight="1"/>
    <row r="146" ht="14.1" customHeight="1"/>
    <row r="147" ht="14.1" customHeight="1"/>
    <row r="148" ht="14.1" customHeight="1"/>
    <row r="149" ht="14.1" customHeight="1"/>
    <row r="150" ht="14.1" customHeight="1"/>
    <row r="151" ht="14.1" customHeight="1"/>
    <row r="152" ht="14.1" customHeight="1"/>
    <row r="153" ht="14.1" customHeight="1"/>
    <row r="154" ht="14.1" customHeight="1"/>
    <row r="155" ht="14.1" customHeight="1"/>
    <row r="156" ht="14.1" customHeight="1"/>
    <row r="157" ht="14.1" customHeight="1"/>
    <row r="158" ht="14.1" customHeight="1"/>
    <row r="159" ht="14.1" customHeight="1"/>
    <row r="160" ht="14.1" customHeight="1"/>
    <row r="161" ht="14.1" customHeight="1"/>
    <row r="162" ht="14.1" customHeight="1"/>
    <row r="163" ht="14.1" customHeight="1"/>
    <row r="164" ht="14.1" customHeight="1"/>
    <row r="165" ht="14.1" customHeight="1"/>
    <row r="166" ht="14.1" customHeight="1"/>
    <row r="167" ht="14.1" customHeight="1"/>
    <row r="168" ht="14.1" customHeight="1"/>
    <row r="169" ht="14.1" customHeight="1"/>
    <row r="170" ht="14.1" customHeight="1"/>
    <row r="171" ht="14.1" customHeight="1"/>
    <row r="172" ht="14.1" customHeight="1"/>
    <row r="173" ht="14.1" customHeight="1"/>
    <row r="174" ht="14.1" customHeight="1"/>
    <row r="175" ht="14.1" customHeight="1"/>
    <row r="176" ht="14.1" customHeight="1"/>
    <row r="177" ht="14.1" customHeight="1"/>
    <row r="178" ht="14.1" customHeight="1"/>
    <row r="179" ht="14.1" customHeight="1"/>
    <row r="180" ht="14.1" customHeight="1"/>
    <row r="181" ht="14.1" customHeight="1"/>
    <row r="182" ht="14.1" customHeight="1"/>
    <row r="183" ht="14.1" customHeight="1"/>
    <row r="184" ht="14.1" customHeight="1"/>
    <row r="185" ht="14.1" customHeight="1"/>
    <row r="186" ht="14.1" customHeight="1"/>
    <row r="187" ht="14.1" customHeight="1"/>
    <row r="188" ht="14.1" customHeight="1"/>
    <row r="189" ht="14.1" customHeight="1"/>
    <row r="190" ht="14.1" customHeight="1"/>
    <row r="191" ht="14.1" customHeight="1"/>
    <row r="192" ht="14.1" customHeight="1"/>
    <row r="193" ht="14.1" customHeight="1"/>
    <row r="194" ht="14.1" customHeight="1"/>
    <row r="195" ht="14.1" customHeight="1"/>
    <row r="196" ht="14.1" customHeight="1"/>
    <row r="197" ht="14.1" customHeight="1"/>
    <row r="198" ht="14.1" customHeight="1"/>
    <row r="199" ht="14.1" customHeight="1"/>
    <row r="200" ht="14.1" customHeight="1"/>
    <row r="201" ht="14.1" customHeight="1"/>
    <row r="202" ht="14.1" customHeight="1"/>
    <row r="203" ht="14.1" customHeight="1"/>
    <row r="204" ht="14.1" customHeight="1"/>
    <row r="205" ht="14.1" customHeight="1"/>
    <row r="206" ht="14.1" customHeight="1"/>
    <row r="207" ht="14.1" customHeight="1"/>
    <row r="208" ht="14.1" customHeight="1"/>
    <row r="209" ht="14.1" customHeight="1"/>
    <row r="210" ht="14.1" customHeight="1"/>
    <row r="211" ht="14.1" customHeight="1"/>
    <row r="212" ht="14.1" customHeight="1"/>
    <row r="213" ht="14.1" customHeight="1"/>
    <row r="214" ht="14.1" customHeight="1"/>
    <row r="215" ht="14.1" customHeight="1"/>
    <row r="216" ht="14.1" customHeight="1"/>
    <row r="217" ht="14.1" customHeight="1"/>
    <row r="218" ht="14.1" customHeight="1"/>
    <row r="219" ht="14.1" customHeight="1"/>
    <row r="220" ht="14.1" customHeight="1"/>
    <row r="221" ht="14.1" customHeight="1"/>
    <row r="222" ht="14.1" customHeight="1"/>
    <row r="223" ht="14.1" customHeight="1"/>
    <row r="224" ht="14.1" customHeight="1"/>
    <row r="225" ht="14.1" customHeight="1"/>
    <row r="226" ht="14.1" customHeight="1"/>
    <row r="227" ht="14.1" customHeight="1"/>
    <row r="228" ht="14.1" customHeight="1"/>
    <row r="229" ht="14.1" customHeight="1"/>
    <row r="230" ht="14.1" customHeight="1"/>
    <row r="231" ht="14.1" customHeight="1"/>
    <row r="232" ht="14.1" customHeight="1"/>
    <row r="233" ht="14.1" customHeight="1"/>
    <row r="234" ht="14.1" customHeight="1"/>
    <row r="235" ht="14.1" customHeight="1"/>
    <row r="236" ht="14.1" customHeight="1"/>
    <row r="237" ht="14.1" customHeight="1"/>
    <row r="238" ht="14.1" customHeight="1"/>
    <row r="239" ht="14.1" customHeight="1"/>
    <row r="240" ht="14.1" customHeight="1"/>
    <row r="241" ht="14.1" customHeight="1"/>
    <row r="242" ht="14.1" customHeight="1"/>
    <row r="243" ht="14.1" customHeight="1"/>
    <row r="244" ht="14.1" customHeight="1"/>
    <row r="245" ht="14.1" customHeight="1"/>
    <row r="246" ht="14.1" customHeight="1"/>
    <row r="247" ht="14.1" customHeight="1"/>
    <row r="248" ht="14.1" customHeight="1"/>
    <row r="249" ht="14.1" customHeight="1"/>
    <row r="250" ht="14.1" customHeight="1"/>
    <row r="251" ht="14.1" customHeight="1"/>
    <row r="252" ht="14.1" customHeight="1"/>
    <row r="253" ht="14.1" customHeight="1"/>
    <row r="254" ht="14.1" customHeight="1"/>
    <row r="255" ht="14.1" customHeight="1"/>
    <row r="256" ht="14.1" customHeight="1"/>
    <row r="257" ht="14.1" customHeight="1"/>
    <row r="258" ht="14.1" customHeight="1"/>
    <row r="259" ht="14.1" customHeight="1"/>
    <row r="260" ht="14.1" customHeight="1"/>
    <row r="261" ht="14.1" customHeight="1"/>
    <row r="262" ht="14.1" customHeight="1"/>
    <row r="263" ht="14.1" customHeight="1"/>
    <row r="264" ht="14.1" customHeight="1"/>
    <row r="265" ht="14.1" customHeight="1"/>
    <row r="266" ht="14.1" customHeight="1"/>
  </sheetData>
  <sheetProtection algorithmName="SHA-512" hashValue="0loLJCJhL4ad+e9W1BFBlntzNt2hf75qC+V2eugpQkoXMOcFlTwiL5DSpVRXAf1cyQ/kgBnOXO/4cSPzCUKn4A==" saltValue="4etb9yyOEqZ9UduJqdtb6g==" spinCount="100000" sheet="1" autoFilter="0"/>
  <mergeCells count="381">
    <mergeCell ref="A1:S3"/>
    <mergeCell ref="T1:Z3"/>
    <mergeCell ref="AD1:AI1"/>
    <mergeCell ref="AD2:AF4"/>
    <mergeCell ref="AG2:AI4"/>
    <mergeCell ref="A4:S5"/>
    <mergeCell ref="AK7:AP8"/>
    <mergeCell ref="AQ7:AQ8"/>
    <mergeCell ref="V8:X8"/>
    <mergeCell ref="A9:AI9"/>
    <mergeCell ref="AK9:AP9"/>
    <mergeCell ref="A10:H10"/>
    <mergeCell ref="I10:J10"/>
    <mergeCell ref="K10:L10"/>
    <mergeCell ref="M10:T10"/>
    <mergeCell ref="U10:V10"/>
    <mergeCell ref="O7:P8"/>
    <mergeCell ref="Q7:R8"/>
    <mergeCell ref="S7:T8"/>
    <mergeCell ref="V7:X7"/>
    <mergeCell ref="Y7:AA8"/>
    <mergeCell ref="AB7:AI8"/>
    <mergeCell ref="A7:E8"/>
    <mergeCell ref="F7:F8"/>
    <mergeCell ref="G7:I8"/>
    <mergeCell ref="J7:J8"/>
    <mergeCell ref="K7:M8"/>
    <mergeCell ref="N7:N8"/>
    <mergeCell ref="W10:X10"/>
    <mergeCell ref="Y10:AF10"/>
    <mergeCell ref="AG10:AH10"/>
    <mergeCell ref="AK10:AP10"/>
    <mergeCell ref="A11:H11"/>
    <mergeCell ref="I11:J11"/>
    <mergeCell ref="K11:L11"/>
    <mergeCell ref="M11:T11"/>
    <mergeCell ref="U11:V11"/>
    <mergeCell ref="W11:X11"/>
    <mergeCell ref="Y11:AF11"/>
    <mergeCell ref="AG11:AH11"/>
    <mergeCell ref="AK11:AP11"/>
    <mergeCell ref="A12:H12"/>
    <mergeCell ref="I12:J12"/>
    <mergeCell ref="K12:L12"/>
    <mergeCell ref="M12:T12"/>
    <mergeCell ref="U12:V12"/>
    <mergeCell ref="W12:X12"/>
    <mergeCell ref="Y12:AF12"/>
    <mergeCell ref="AG12:AH12"/>
    <mergeCell ref="AK12:AP12"/>
    <mergeCell ref="A13:H13"/>
    <mergeCell ref="I13:J13"/>
    <mergeCell ref="K13:L13"/>
    <mergeCell ref="M13:T13"/>
    <mergeCell ref="U13:V13"/>
    <mergeCell ref="W13:X13"/>
    <mergeCell ref="Y13:AF13"/>
    <mergeCell ref="AG13:AH13"/>
    <mergeCell ref="AK13:AP13"/>
    <mergeCell ref="A14:AI14"/>
    <mergeCell ref="AK14:AP14"/>
    <mergeCell ref="B15:I15"/>
    <mergeCell ref="J15:L15"/>
    <mergeCell ref="M15:N15"/>
    <mergeCell ref="O15:V15"/>
    <mergeCell ref="W15:Y15"/>
    <mergeCell ref="Z15:AA15"/>
    <mergeCell ref="AB15:AG15"/>
    <mergeCell ref="A18:E18"/>
    <mergeCell ref="F18:AI18"/>
    <mergeCell ref="AK18:AP18"/>
    <mergeCell ref="B19:E19"/>
    <mergeCell ref="F19:AI19"/>
    <mergeCell ref="AK19:AP19"/>
    <mergeCell ref="AH15:AI15"/>
    <mergeCell ref="AK15:AP15"/>
    <mergeCell ref="A16:AI16"/>
    <mergeCell ref="AK16:AP16"/>
    <mergeCell ref="A17:E17"/>
    <mergeCell ref="F17:AI17"/>
    <mergeCell ref="AK17:AP17"/>
    <mergeCell ref="B20:E20"/>
    <mergeCell ref="F20:AI20"/>
    <mergeCell ref="AK20:AP20"/>
    <mergeCell ref="AR20:AR23"/>
    <mergeCell ref="B21:E21"/>
    <mergeCell ref="F21:AI21"/>
    <mergeCell ref="AK21:AP21"/>
    <mergeCell ref="B22:E22"/>
    <mergeCell ref="F22:AI22"/>
    <mergeCell ref="AK22:AP22"/>
    <mergeCell ref="BA23:BB23"/>
    <mergeCell ref="B24:E24"/>
    <mergeCell ref="F24:AI24"/>
    <mergeCell ref="AK24:AP24"/>
    <mergeCell ref="AY24:AZ24"/>
    <mergeCell ref="BA24:BB24"/>
    <mergeCell ref="AS22:AT22"/>
    <mergeCell ref="AU22:AV22"/>
    <mergeCell ref="AY22:AZ22"/>
    <mergeCell ref="BA22:BB22"/>
    <mergeCell ref="B23:E23"/>
    <mergeCell ref="F23:AI23"/>
    <mergeCell ref="AK23:AP23"/>
    <mergeCell ref="AS23:AT23"/>
    <mergeCell ref="AU23:AV23"/>
    <mergeCell ref="AY23:AZ23"/>
    <mergeCell ref="B27:E27"/>
    <mergeCell ref="F27:AI27"/>
    <mergeCell ref="AK27:AP27"/>
    <mergeCell ref="AS27:AT27"/>
    <mergeCell ref="AU27:AW27"/>
    <mergeCell ref="AY27:BB27"/>
    <mergeCell ref="B25:E25"/>
    <mergeCell ref="F25:AI25"/>
    <mergeCell ref="AK25:AP25"/>
    <mergeCell ref="AY25:AZ25"/>
    <mergeCell ref="BA25:BB25"/>
    <mergeCell ref="B26:E26"/>
    <mergeCell ref="F26:AI26"/>
    <mergeCell ref="AK26:AP26"/>
    <mergeCell ref="AS26:AW26"/>
    <mergeCell ref="BA28:BB28"/>
    <mergeCell ref="B29:E29"/>
    <mergeCell ref="F29:AI29"/>
    <mergeCell ref="AK29:AP29"/>
    <mergeCell ref="AS29:AT29"/>
    <mergeCell ref="AU29:AW29"/>
    <mergeCell ref="AY29:AZ29"/>
    <mergeCell ref="BA29:BB29"/>
    <mergeCell ref="B28:E28"/>
    <mergeCell ref="F28:AI28"/>
    <mergeCell ref="AK28:AP28"/>
    <mergeCell ref="AS28:AT28"/>
    <mergeCell ref="AU28:AW28"/>
    <mergeCell ref="AY28:AZ28"/>
    <mergeCell ref="A32:AI32"/>
    <mergeCell ref="AK32:AP32"/>
    <mergeCell ref="AS32:AT32"/>
    <mergeCell ref="AU32:AW32"/>
    <mergeCell ref="AY32:AZ32"/>
    <mergeCell ref="BA32:BB32"/>
    <mergeCell ref="BA30:BB30"/>
    <mergeCell ref="B31:E31"/>
    <mergeCell ref="F31:AI31"/>
    <mergeCell ref="AK31:AP31"/>
    <mergeCell ref="AS31:AT31"/>
    <mergeCell ref="AU31:AW31"/>
    <mergeCell ref="AY31:AZ31"/>
    <mergeCell ref="BA31:BB31"/>
    <mergeCell ref="B30:E30"/>
    <mergeCell ref="F30:AI30"/>
    <mergeCell ref="AK30:AP30"/>
    <mergeCell ref="AS30:AT30"/>
    <mergeCell ref="AU30:AW30"/>
    <mergeCell ref="AY30:AZ30"/>
    <mergeCell ref="BA33:BB33"/>
    <mergeCell ref="B34:E34"/>
    <mergeCell ref="F34:AI34"/>
    <mergeCell ref="AK34:AP34"/>
    <mergeCell ref="AS34:AT34"/>
    <mergeCell ref="AU34:AW34"/>
    <mergeCell ref="AY34:AZ34"/>
    <mergeCell ref="BA34:BB34"/>
    <mergeCell ref="B33:E33"/>
    <mergeCell ref="F33:AI33"/>
    <mergeCell ref="AK33:AP33"/>
    <mergeCell ref="AS33:AT33"/>
    <mergeCell ref="AU33:AW33"/>
    <mergeCell ref="AY33:AZ33"/>
    <mergeCell ref="AY35:AZ35"/>
    <mergeCell ref="BA35:BB35"/>
    <mergeCell ref="A36:E36"/>
    <mergeCell ref="F36:K36"/>
    <mergeCell ref="L36:O36"/>
    <mergeCell ref="P36:R36"/>
    <mergeCell ref="T36:V36"/>
    <mergeCell ref="W36:AB36"/>
    <mergeCell ref="AC36:AI36"/>
    <mergeCell ref="B35:E35"/>
    <mergeCell ref="F35:V35"/>
    <mergeCell ref="W35:AB35"/>
    <mergeCell ref="AC35:AI35"/>
    <mergeCell ref="AK35:AP35"/>
    <mergeCell ref="AS35:AT35"/>
    <mergeCell ref="AK36:AP36"/>
    <mergeCell ref="AS36:AT36"/>
    <mergeCell ref="AU36:AW36"/>
    <mergeCell ref="AU35:AW35"/>
    <mergeCell ref="A39:AI39"/>
    <mergeCell ref="AK39:AP39"/>
    <mergeCell ref="AS39:AT39"/>
    <mergeCell ref="AV39:AW39"/>
    <mergeCell ref="A38:E38"/>
    <mergeCell ref="F38:K38"/>
    <mergeCell ref="L38:O38"/>
    <mergeCell ref="P38:V38"/>
    <mergeCell ref="W38:AB38"/>
    <mergeCell ref="AC38:AI38"/>
    <mergeCell ref="AD40:AI40"/>
    <mergeCell ref="A37:E37"/>
    <mergeCell ref="F37:AI37"/>
    <mergeCell ref="AK40:AP40"/>
    <mergeCell ref="AS40:AT40"/>
    <mergeCell ref="AV40:AW40"/>
    <mergeCell ref="A41:D41"/>
    <mergeCell ref="E41:G41"/>
    <mergeCell ref="I41:K41"/>
    <mergeCell ref="L41:R41"/>
    <mergeCell ref="S41:V41"/>
    <mergeCell ref="W41:Y41"/>
    <mergeCell ref="AA41:AC41"/>
    <mergeCell ref="AD41:AI41"/>
    <mergeCell ref="AK41:AP41"/>
    <mergeCell ref="A40:D40"/>
    <mergeCell ref="E40:K40"/>
    <mergeCell ref="L40:R40"/>
    <mergeCell ref="S40:V40"/>
    <mergeCell ref="W40:AC40"/>
    <mergeCell ref="AK37:AP37"/>
    <mergeCell ref="AS37:AT37"/>
    <mergeCell ref="AU37:AW37"/>
    <mergeCell ref="AK38:AP38"/>
    <mergeCell ref="A42:D42"/>
    <mergeCell ref="E42:G42"/>
    <mergeCell ref="I42:K42"/>
    <mergeCell ref="L42:R42"/>
    <mergeCell ref="S42:V42"/>
    <mergeCell ref="W42:Y42"/>
    <mergeCell ref="AA42:AC42"/>
    <mergeCell ref="AK42:AP42"/>
    <mergeCell ref="AS42:AW42"/>
    <mergeCell ref="A43:D43"/>
    <mergeCell ref="E43:G43"/>
    <mergeCell ref="I43:K43"/>
    <mergeCell ref="L43:R43"/>
    <mergeCell ref="S43:V43"/>
    <mergeCell ref="W43:Y43"/>
    <mergeCell ref="AA43:AC43"/>
    <mergeCell ref="A44:D44"/>
    <mergeCell ref="E44:G44"/>
    <mergeCell ref="I44:K44"/>
    <mergeCell ref="L44:R44"/>
    <mergeCell ref="S44:V44"/>
    <mergeCell ref="W44:Y44"/>
    <mergeCell ref="AA44:AC44"/>
    <mergeCell ref="AD44:AI44"/>
    <mergeCell ref="AD42:AI42"/>
    <mergeCell ref="AK44:AP44"/>
    <mergeCell ref="R45:U45"/>
    <mergeCell ref="W45:X45"/>
    <mergeCell ref="Z45:AA45"/>
    <mergeCell ref="AC45:AD45"/>
    <mergeCell ref="AE45:AF45"/>
    <mergeCell ref="AK45:AP45"/>
    <mergeCell ref="AD43:AI43"/>
    <mergeCell ref="AK43:AP43"/>
    <mergeCell ref="B49:E49"/>
    <mergeCell ref="F49:AI49"/>
    <mergeCell ref="AK49:AP49"/>
    <mergeCell ref="B50:E50"/>
    <mergeCell ref="F50:AI50"/>
    <mergeCell ref="AK50:AP50"/>
    <mergeCell ref="A46:AI46"/>
    <mergeCell ref="AK46:AP46"/>
    <mergeCell ref="B47:E47"/>
    <mergeCell ref="F47:AI47"/>
    <mergeCell ref="AK47:AP47"/>
    <mergeCell ref="B48:E48"/>
    <mergeCell ref="F48:AI48"/>
    <mergeCell ref="AK48:AP48"/>
    <mergeCell ref="B53:E53"/>
    <mergeCell ref="F53:AI53"/>
    <mergeCell ref="AK53:AP53"/>
    <mergeCell ref="B54:E54"/>
    <mergeCell ref="F54:AI54"/>
    <mergeCell ref="AK54:AP54"/>
    <mergeCell ref="B51:E51"/>
    <mergeCell ref="F51:AI51"/>
    <mergeCell ref="AK51:AP51"/>
    <mergeCell ref="B52:E52"/>
    <mergeCell ref="F52:AI52"/>
    <mergeCell ref="AK52:AP52"/>
    <mergeCell ref="B57:E57"/>
    <mergeCell ref="F57:AI57"/>
    <mergeCell ref="AK57:AP57"/>
    <mergeCell ref="B58:E58"/>
    <mergeCell ref="F58:AI58"/>
    <mergeCell ref="AK58:AP58"/>
    <mergeCell ref="B55:E55"/>
    <mergeCell ref="F55:AI55"/>
    <mergeCell ref="AK55:AP55"/>
    <mergeCell ref="B56:E56"/>
    <mergeCell ref="F56:AI56"/>
    <mergeCell ref="AK56:AP56"/>
    <mergeCell ref="B61:E61"/>
    <mergeCell ref="F61:AI61"/>
    <mergeCell ref="AK61:AP61"/>
    <mergeCell ref="B62:E62"/>
    <mergeCell ref="F62:AI62"/>
    <mergeCell ref="AK62:AP62"/>
    <mergeCell ref="B59:E59"/>
    <mergeCell ref="F59:AI59"/>
    <mergeCell ref="AK59:AP59"/>
    <mergeCell ref="B60:E60"/>
    <mergeCell ref="F60:AI60"/>
    <mergeCell ref="AK60:AP60"/>
    <mergeCell ref="B65:E65"/>
    <mergeCell ref="F65:AI65"/>
    <mergeCell ref="AK65:AP65"/>
    <mergeCell ref="B66:E66"/>
    <mergeCell ref="F66:AI66"/>
    <mergeCell ref="AK66:AP66"/>
    <mergeCell ref="B63:E63"/>
    <mergeCell ref="F63:AI63"/>
    <mergeCell ref="AK63:AP63"/>
    <mergeCell ref="B64:E64"/>
    <mergeCell ref="F64:AI64"/>
    <mergeCell ref="AK64:AP64"/>
    <mergeCell ref="B69:E69"/>
    <mergeCell ref="F69:AI69"/>
    <mergeCell ref="AK69:AP69"/>
    <mergeCell ref="B70:E70"/>
    <mergeCell ref="F70:AI70"/>
    <mergeCell ref="AK70:AP70"/>
    <mergeCell ref="B67:E67"/>
    <mergeCell ref="F67:AI67"/>
    <mergeCell ref="AK67:AP67"/>
    <mergeCell ref="B68:E68"/>
    <mergeCell ref="F68:AI68"/>
    <mergeCell ref="AK68:AP68"/>
    <mergeCell ref="B73:E73"/>
    <mergeCell ref="F73:AI73"/>
    <mergeCell ref="AK73:AP73"/>
    <mergeCell ref="B74:E74"/>
    <mergeCell ref="F74:AI74"/>
    <mergeCell ref="AK74:AP74"/>
    <mergeCell ref="B71:E71"/>
    <mergeCell ref="F71:AI71"/>
    <mergeCell ref="AK71:AP71"/>
    <mergeCell ref="B72:E72"/>
    <mergeCell ref="F72:AI72"/>
    <mergeCell ref="AK72:AP72"/>
    <mergeCell ref="B77:E77"/>
    <mergeCell ref="F77:AI77"/>
    <mergeCell ref="AK77:AP77"/>
    <mergeCell ref="B78:E78"/>
    <mergeCell ref="F78:AI78"/>
    <mergeCell ref="AK78:AP78"/>
    <mergeCell ref="B75:E75"/>
    <mergeCell ref="F75:AI75"/>
    <mergeCell ref="AK75:AP75"/>
    <mergeCell ref="B76:E76"/>
    <mergeCell ref="F76:AI76"/>
    <mergeCell ref="AK76:AP76"/>
    <mergeCell ref="A81:AI81"/>
    <mergeCell ref="AK81:AP81"/>
    <mergeCell ref="B82:E82"/>
    <mergeCell ref="F82:AI82"/>
    <mergeCell ref="AK82:AP82"/>
    <mergeCell ref="B83:E83"/>
    <mergeCell ref="F83:AI83"/>
    <mergeCell ref="AK83:AP83"/>
    <mergeCell ref="B79:E79"/>
    <mergeCell ref="F79:AI79"/>
    <mergeCell ref="AK79:AP79"/>
    <mergeCell ref="B80:E80"/>
    <mergeCell ref="F80:AI80"/>
    <mergeCell ref="AK80:AP80"/>
    <mergeCell ref="B86:E86"/>
    <mergeCell ref="F86:AI86"/>
    <mergeCell ref="AK86:AP86"/>
    <mergeCell ref="AK87:AP87"/>
    <mergeCell ref="AK88:AP88"/>
    <mergeCell ref="AK89:AP89"/>
    <mergeCell ref="B84:E84"/>
    <mergeCell ref="F84:AI84"/>
    <mergeCell ref="AK84:AP84"/>
    <mergeCell ref="B85:E85"/>
    <mergeCell ref="F85:AI85"/>
    <mergeCell ref="AK85:AP85"/>
  </mergeCells>
  <phoneticPr fontId="2"/>
  <conditionalFormatting sqref="AQ20:AQ28 AQ30:AQ31 AQ9 AQ11:AQ12 AQ14 AQ33:AQ34">
    <cfRule type="containsBlanks" dxfId="179" priority="12">
      <formula>LEN(TRIM(AQ9))=0</formula>
    </cfRule>
  </conditionalFormatting>
  <conditionalFormatting sqref="BC11:CF11">
    <cfRule type="containsText" dxfId="178" priority="8" operator="containsText" text="青">
      <formula>NOT(ISERROR(SEARCH("青",BC11)))</formula>
    </cfRule>
    <cfRule type="containsText" dxfId="177" priority="9" operator="containsText" text="緑">
      <formula>NOT(ISERROR(SEARCH("緑",BC11)))</formula>
    </cfRule>
    <cfRule type="containsText" dxfId="176" priority="10" operator="containsText" text="黄">
      <formula>NOT(ISERROR(SEARCH("黄",BC11)))</formula>
    </cfRule>
    <cfRule type="containsText" dxfId="175" priority="11" operator="containsText" text="赤">
      <formula>NOT(ISERROR(SEARCH("赤",BC11)))</formula>
    </cfRule>
  </conditionalFormatting>
  <conditionalFormatting sqref="V7:X8">
    <cfRule type="containsBlanks" dxfId="174" priority="7">
      <formula>LEN(TRIM(V7))=0</formula>
    </cfRule>
  </conditionalFormatting>
  <conditionalFormatting sqref="AB7:AI8">
    <cfRule type="containsBlanks" dxfId="173" priority="6">
      <formula>LEN(TRIM(AB7))=0</formula>
    </cfRule>
  </conditionalFormatting>
  <conditionalFormatting sqref="A7:E8 G7:I8 K7:M8 O7:P8">
    <cfRule type="containsBlanks" dxfId="172" priority="5">
      <formula>LEN(TRIM(A7))=0</formula>
    </cfRule>
  </conditionalFormatting>
  <conditionalFormatting sqref="W15:Y15 AH15:AI15 J15:L15">
    <cfRule type="containsBlanks" dxfId="171" priority="4">
      <formula>LEN(TRIM(J15))=0</formula>
    </cfRule>
  </conditionalFormatting>
  <conditionalFormatting sqref="L41:R44">
    <cfRule type="cellIs" dxfId="170" priority="1" operator="equal">
      <formula>0</formula>
    </cfRule>
  </conditionalFormatting>
  <conditionalFormatting sqref="P36:R36 T36:V36 L38:O38 AC38:AI38 AC36:AI36">
    <cfRule type="containsBlanks" dxfId="169" priority="3">
      <formula>LEN(TRIM(L36))=0</formula>
    </cfRule>
  </conditionalFormatting>
  <conditionalFormatting sqref="W41:Y44 AA41:AI44">
    <cfRule type="cellIs" dxfId="168" priority="2" operator="equal">
      <formula>0</formula>
    </cfRule>
  </conditionalFormatting>
  <printOptions horizontalCentered="1" verticalCentered="1"/>
  <pageMargins left="0.70866141732283472" right="0.59055118110236227" top="0.55118110236220474" bottom="0.55118110236220474" header="0.31496062992125984" footer="0.31496062992125984"/>
  <pageSetup paperSize="9" orientation="portrait" horizontalDpi="300" verticalDpi="300" r:id="rId1"/>
  <headerFooter scaleWithDoc="0" alignWithMargins="0">
    <oddFooter>&amp;C&amp;P&amp;Rヒトトヒト株式会社</oddFooter>
  </headerFooter>
  <rowBreaks count="1" manualBreakCount="1">
    <brk id="44" max="34" man="1"/>
  </rowBreaks>
  <drawing r:id="rId2"/>
  <extLst>
    <ext xmlns:x14="http://schemas.microsoft.com/office/spreadsheetml/2009/9/main" uri="{CCE6A557-97BC-4b89-ADB6-D9C93CAAB3DF}">
      <x14:dataValidations xmlns:xm="http://schemas.microsoft.com/office/excel/2006/main" count="6">
        <x14:dataValidation type="list" allowBlank="1" showInputMessage="1" showErrorMessage="1" xr:uid="{0B831FD2-E39A-410A-B14B-6B3A6ED2DB90}">
          <x14:formula1>
            <xm:f>初期値!$C$12:$C$27</xm:f>
          </x14:formula1>
          <xm:sqref>P36:R36 T36:V36</xm:sqref>
        </x14:dataValidation>
        <x14:dataValidation type="list" allowBlank="1" showInputMessage="1" showErrorMessage="1" xr:uid="{9827165E-053E-447D-89EB-AAC3F728BF79}">
          <x14:formula1>
            <xm:f>初期値!$G$12:$G$24</xm:f>
          </x14:formula1>
          <xm:sqref>V7:X8</xm:sqref>
        </x14:dataValidation>
        <x14:dataValidation type="list" allowBlank="1" showInputMessage="1" showErrorMessage="1" xr:uid="{5634410B-2FF8-4868-9981-EB254F954DE7}">
          <x14:formula1>
            <xm:f>初期値!$E$12:$E$13</xm:f>
          </x14:formula1>
          <xm:sqref>L38:O38 AC38:AI38 AC36:AI36</xm:sqref>
        </x14:dataValidation>
        <x14:dataValidation type="list" allowBlank="1" showInputMessage="1" showErrorMessage="1" xr:uid="{A5265866-3A88-42A0-BB52-9EC90A7AABA8}">
          <x14:formula1>
            <xm:f>初期値!$N$22:$N$23</xm:f>
          </x14:formula1>
          <xm:sqref>AW23</xm:sqref>
        </x14:dataValidation>
        <x14:dataValidation type="list" allowBlank="1" showInputMessage="1" showErrorMessage="1" xr:uid="{3FFE8490-B575-4422-AB00-A1F9C893D6DE}">
          <x14:formula1>
            <xm:f>初期値!$P$12:$P$27</xm:f>
          </x14:formula1>
          <xm:sqref>BA24:BB24 BA22:BB22 BA28:BB28 BA30:BB30 BA32:BB32 BA34:BB34</xm:sqref>
        </x14:dataValidation>
        <x14:dataValidation type="list" allowBlank="1" showInputMessage="1" showErrorMessage="1" xr:uid="{CD0B24BF-6739-49EB-BA79-9AB0D2E3A00E}">
          <x14:formula1>
            <xm:f>初期値!$N$12:$N$19</xm:f>
          </x14:formula1>
          <xm:sqref>AU22:AV22</xm:sqref>
        </x14:dataValidation>
      </x14:dataValidations>
    </ext>
  </extLst>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DA50194-710D-46C7-9AAD-5D10EE60268C}">
  <sheetPr codeName="Sheet25"/>
  <dimension ref="A1:CG266"/>
  <sheetViews>
    <sheetView topLeftCell="A16" zoomScaleNormal="100" zoomScaleSheetLayoutView="100" workbookViewId="0">
      <selection activeCell="F26" sqref="F26:AI26"/>
    </sheetView>
  </sheetViews>
  <sheetFormatPr defaultColWidth="8.875" defaultRowHeight="13.5"/>
  <cols>
    <col min="1" max="42" width="2.25" style="23" customWidth="1"/>
    <col min="43" max="43" width="6" style="23" bestFit="1" customWidth="1"/>
    <col min="44" max="44" width="4.5" style="23" bestFit="1" customWidth="1"/>
    <col min="45" max="45" width="6" style="23" bestFit="1" customWidth="1"/>
    <col min="46" max="46" width="4.5" style="23" bestFit="1" customWidth="1"/>
    <col min="47" max="47" width="9" style="23" bestFit="1" customWidth="1"/>
    <col min="48" max="48" width="8.5" style="23" bestFit="1" customWidth="1"/>
    <col min="49" max="49" width="7.5" style="23" bestFit="1" customWidth="1"/>
    <col min="50" max="50" width="6.5" style="23" bestFit="1" customWidth="1"/>
    <col min="51" max="51" width="7.5" style="23" bestFit="1" customWidth="1"/>
    <col min="52" max="52" width="2.125" style="23" customWidth="1"/>
    <col min="53" max="54" width="7.375" style="23" customWidth="1"/>
    <col min="55" max="63" width="3.625" style="23" bestFit="1" customWidth="1"/>
    <col min="64" max="84" width="4" style="23" bestFit="1" customWidth="1"/>
    <col min="85" max="16384" width="8.875" style="23"/>
  </cols>
  <sheetData>
    <row r="1" spans="1:85" ht="14.1" customHeight="1">
      <c r="A1" s="510" t="s">
        <v>551</v>
      </c>
      <c r="B1" s="510"/>
      <c r="C1" s="510"/>
      <c r="D1" s="510"/>
      <c r="E1" s="510"/>
      <c r="F1" s="510"/>
      <c r="G1" s="510"/>
      <c r="H1" s="510"/>
      <c r="I1" s="510"/>
      <c r="J1" s="510"/>
      <c r="K1" s="510"/>
      <c r="L1" s="510"/>
      <c r="M1" s="510"/>
      <c r="N1" s="510"/>
      <c r="O1" s="510"/>
      <c r="P1" s="510"/>
      <c r="Q1" s="510"/>
      <c r="R1" s="510"/>
      <c r="S1" s="510"/>
      <c r="T1" s="388"/>
      <c r="U1" s="388"/>
      <c r="V1" s="388"/>
      <c r="W1" s="388"/>
      <c r="X1" s="388"/>
      <c r="Y1" s="388"/>
      <c r="Z1" s="388"/>
      <c r="AA1" s="24"/>
      <c r="AB1" s="32"/>
      <c r="AD1" s="252" t="s">
        <v>167</v>
      </c>
      <c r="AE1" s="252"/>
      <c r="AF1" s="252"/>
      <c r="AG1" s="252"/>
      <c r="AH1" s="252"/>
      <c r="AI1" s="252"/>
      <c r="AM1" s="123">
        <v>18</v>
      </c>
      <c r="BB1"/>
    </row>
    <row r="2" spans="1:85" ht="14.1" customHeight="1">
      <c r="A2" s="510"/>
      <c r="B2" s="510"/>
      <c r="C2" s="510"/>
      <c r="D2" s="510"/>
      <c r="E2" s="510"/>
      <c r="F2" s="510"/>
      <c r="G2" s="510"/>
      <c r="H2" s="510"/>
      <c r="I2" s="510"/>
      <c r="J2" s="510"/>
      <c r="K2" s="510"/>
      <c r="L2" s="510"/>
      <c r="M2" s="510"/>
      <c r="N2" s="510"/>
      <c r="O2" s="510"/>
      <c r="P2" s="510"/>
      <c r="Q2" s="510"/>
      <c r="R2" s="510"/>
      <c r="S2" s="510"/>
      <c r="T2" s="388"/>
      <c r="U2" s="388"/>
      <c r="V2" s="388"/>
      <c r="W2" s="388"/>
      <c r="X2" s="388"/>
      <c r="Y2" s="388"/>
      <c r="Z2" s="388"/>
      <c r="AA2" s="25"/>
      <c r="AB2" s="31"/>
      <c r="AD2" s="253"/>
      <c r="AE2" s="253"/>
      <c r="AF2" s="253"/>
      <c r="AG2" s="253"/>
      <c r="AH2" s="253"/>
      <c r="AI2" s="253"/>
      <c r="BA2"/>
    </row>
    <row r="3" spans="1:85" ht="14.1" customHeight="1">
      <c r="A3" s="510"/>
      <c r="B3" s="510"/>
      <c r="C3" s="510"/>
      <c r="D3" s="510"/>
      <c r="E3" s="510"/>
      <c r="F3" s="510"/>
      <c r="G3" s="510"/>
      <c r="H3" s="510"/>
      <c r="I3" s="510"/>
      <c r="J3" s="510"/>
      <c r="K3" s="510"/>
      <c r="L3" s="510"/>
      <c r="M3" s="510"/>
      <c r="N3" s="510"/>
      <c r="O3" s="510"/>
      <c r="P3" s="510"/>
      <c r="Q3" s="510"/>
      <c r="R3" s="510"/>
      <c r="S3" s="510"/>
      <c r="T3" s="388"/>
      <c r="U3" s="388"/>
      <c r="V3" s="388"/>
      <c r="W3" s="388"/>
      <c r="X3" s="388"/>
      <c r="Y3" s="388"/>
      <c r="Z3" s="388"/>
      <c r="AA3" s="25"/>
      <c r="AB3" s="31"/>
      <c r="AD3" s="253"/>
      <c r="AE3" s="253"/>
      <c r="AF3" s="253"/>
      <c r="AG3" s="253"/>
      <c r="AH3" s="253"/>
      <c r="AI3" s="253"/>
      <c r="BA3"/>
    </row>
    <row r="4" spans="1:85" ht="14.1" customHeight="1">
      <c r="A4" s="395" t="s">
        <v>552</v>
      </c>
      <c r="B4" s="395"/>
      <c r="C4" s="395"/>
      <c r="D4" s="395"/>
      <c r="E4" s="395"/>
      <c r="F4" s="395"/>
      <c r="G4" s="395"/>
      <c r="H4" s="395"/>
      <c r="I4" s="395"/>
      <c r="J4" s="395"/>
      <c r="K4" s="395"/>
      <c r="L4" s="395"/>
      <c r="M4" s="395"/>
      <c r="N4" s="395"/>
      <c r="O4" s="395"/>
      <c r="P4" s="395"/>
      <c r="Q4" s="395"/>
      <c r="R4" s="395"/>
      <c r="S4" s="395"/>
      <c r="T4" s="155"/>
      <c r="U4" s="155"/>
      <c r="V4" s="155"/>
      <c r="W4" s="155"/>
      <c r="X4" s="155"/>
      <c r="Y4" s="155"/>
      <c r="Z4" s="155"/>
      <c r="AA4" s="26"/>
      <c r="AB4" s="31"/>
      <c r="AD4" s="253"/>
      <c r="AE4" s="253"/>
      <c r="AF4" s="253"/>
      <c r="AG4" s="253"/>
      <c r="AH4" s="253"/>
      <c r="AI4" s="253"/>
      <c r="BA4"/>
    </row>
    <row r="5" spans="1:85" ht="14.1" customHeight="1">
      <c r="A5" s="395"/>
      <c r="B5" s="395"/>
      <c r="C5" s="395"/>
      <c r="D5" s="395"/>
      <c r="E5" s="395"/>
      <c r="F5" s="395"/>
      <c r="G5" s="395"/>
      <c r="H5" s="395"/>
      <c r="I5" s="395"/>
      <c r="J5" s="395"/>
      <c r="K5" s="395"/>
      <c r="L5" s="395"/>
      <c r="M5" s="395"/>
      <c r="N5" s="395"/>
      <c r="O5" s="395"/>
      <c r="P5" s="395"/>
      <c r="Q5" s="395"/>
      <c r="R5" s="395"/>
      <c r="S5" s="395"/>
      <c r="T5" s="155"/>
      <c r="U5" s="155"/>
      <c r="V5" s="155"/>
      <c r="W5" s="155"/>
      <c r="X5" s="155"/>
      <c r="Y5" s="155"/>
      <c r="Z5" s="155"/>
      <c r="AA5" s="26"/>
      <c r="AB5" s="31"/>
      <c r="AC5" s="31"/>
      <c r="AD5" s="31"/>
      <c r="AE5" s="31"/>
      <c r="AF5" s="31"/>
      <c r="AG5" s="31"/>
      <c r="AH5" s="31"/>
      <c r="AI5" s="31"/>
      <c r="BA5"/>
    </row>
    <row r="6" spans="1:85" ht="14.1" customHeight="1" thickBot="1">
      <c r="A6" s="27"/>
      <c r="B6" s="27"/>
      <c r="C6" s="27"/>
      <c r="D6" s="27"/>
      <c r="E6" s="27"/>
      <c r="F6" s="27"/>
      <c r="G6" s="27"/>
      <c r="H6" s="27"/>
      <c r="I6" s="27"/>
      <c r="BA6"/>
    </row>
    <row r="7" spans="1:85" ht="12" customHeight="1">
      <c r="A7" s="255">
        <f>DATE(初期値!A2,初期値!A3,AM1)</f>
        <v>46191</v>
      </c>
      <c r="B7" s="256"/>
      <c r="C7" s="256"/>
      <c r="D7" s="256"/>
      <c r="E7" s="256"/>
      <c r="F7" s="259" t="s">
        <v>169</v>
      </c>
      <c r="G7" s="236">
        <f>$A$7</f>
        <v>46191</v>
      </c>
      <c r="H7" s="236"/>
      <c r="I7" s="236"/>
      <c r="J7" s="239" t="s">
        <v>170</v>
      </c>
      <c r="K7" s="261">
        <f>$A$7</f>
        <v>46191</v>
      </c>
      <c r="L7" s="261"/>
      <c r="M7" s="261"/>
      <c r="N7" s="239" t="s">
        <v>3</v>
      </c>
      <c r="O7" s="520">
        <f>$A$7</f>
        <v>46191</v>
      </c>
      <c r="P7" s="520"/>
      <c r="Q7" s="239" t="s">
        <v>292</v>
      </c>
      <c r="R7" s="240"/>
      <c r="S7" s="522" t="s">
        <v>553</v>
      </c>
      <c r="T7" s="244"/>
      <c r="U7" s="29" t="s">
        <v>554</v>
      </c>
      <c r="V7" s="518" t="s">
        <v>63</v>
      </c>
      <c r="W7" s="518"/>
      <c r="X7" s="518"/>
      <c r="Y7" s="511" t="s">
        <v>555</v>
      </c>
      <c r="Z7" s="512"/>
      <c r="AA7" s="513"/>
      <c r="AB7" s="244" t="str">
        <f>L43</f>
        <v>片山薫</v>
      </c>
      <c r="AC7" s="244"/>
      <c r="AD7" s="244"/>
      <c r="AE7" s="244"/>
      <c r="AF7" s="244"/>
      <c r="AG7" s="244"/>
      <c r="AH7" s="244"/>
      <c r="AI7" s="245"/>
      <c r="AK7" s="425" t="s">
        <v>556</v>
      </c>
      <c r="AL7" s="425"/>
      <c r="AM7" s="425"/>
      <c r="AN7" s="425"/>
      <c r="AO7" s="425"/>
      <c r="AP7" s="425"/>
      <c r="AQ7" s="439" t="s">
        <v>557</v>
      </c>
      <c r="AR7" s="43"/>
      <c r="AS7" s="43"/>
      <c r="AT7" s="43"/>
      <c r="AU7" s="43"/>
      <c r="AV7" s="43"/>
      <c r="AW7" s="43"/>
      <c r="AX7" s="43"/>
      <c r="AY7" s="43"/>
      <c r="AZ7" s="43"/>
      <c r="BA7"/>
    </row>
    <row r="8" spans="1:85" ht="12" customHeight="1" thickBot="1">
      <c r="A8" s="257"/>
      <c r="B8" s="258"/>
      <c r="C8" s="258"/>
      <c r="D8" s="258"/>
      <c r="E8" s="258"/>
      <c r="F8" s="260"/>
      <c r="G8" s="237"/>
      <c r="H8" s="237"/>
      <c r="I8" s="237"/>
      <c r="J8" s="242"/>
      <c r="K8" s="262"/>
      <c r="L8" s="262"/>
      <c r="M8" s="262"/>
      <c r="N8" s="242"/>
      <c r="O8" s="521"/>
      <c r="P8" s="521"/>
      <c r="Q8" s="242"/>
      <c r="R8" s="243"/>
      <c r="S8" s="523"/>
      <c r="T8" s="246"/>
      <c r="U8" s="33" t="s">
        <v>558</v>
      </c>
      <c r="V8" s="519" t="s">
        <v>37</v>
      </c>
      <c r="W8" s="519"/>
      <c r="X8" s="519"/>
      <c r="Y8" s="514"/>
      <c r="Z8" s="515"/>
      <c r="AA8" s="516"/>
      <c r="AB8" s="246"/>
      <c r="AC8" s="246"/>
      <c r="AD8" s="246"/>
      <c r="AE8" s="246"/>
      <c r="AF8" s="246"/>
      <c r="AG8" s="246"/>
      <c r="AH8" s="246"/>
      <c r="AI8" s="247"/>
      <c r="AK8" s="425"/>
      <c r="AL8" s="425"/>
      <c r="AM8" s="425"/>
      <c r="AN8" s="425"/>
      <c r="AO8" s="425"/>
      <c r="AP8" s="425"/>
      <c r="AQ8" s="439"/>
      <c r="AR8" s="43"/>
      <c r="AS8" s="43"/>
      <c r="AT8" s="43"/>
      <c r="AU8" s="43"/>
      <c r="AV8" s="43"/>
      <c r="AW8" s="43"/>
      <c r="AX8" s="43"/>
      <c r="AY8" s="43"/>
      <c r="AZ8" s="43"/>
      <c r="BA8"/>
    </row>
    <row r="9" spans="1:85" ht="18" customHeight="1">
      <c r="A9" s="507" t="s">
        <v>559</v>
      </c>
      <c r="B9" s="508"/>
      <c r="C9" s="508"/>
      <c r="D9" s="508"/>
      <c r="E9" s="508"/>
      <c r="F9" s="508"/>
      <c r="G9" s="508"/>
      <c r="H9" s="508"/>
      <c r="I9" s="508"/>
      <c r="J9" s="508"/>
      <c r="K9" s="508"/>
      <c r="L9" s="508"/>
      <c r="M9" s="508"/>
      <c r="N9" s="508"/>
      <c r="O9" s="508"/>
      <c r="P9" s="508"/>
      <c r="Q9" s="508"/>
      <c r="R9" s="508"/>
      <c r="S9" s="508"/>
      <c r="T9" s="508"/>
      <c r="U9" s="508"/>
      <c r="V9" s="508"/>
      <c r="W9" s="508"/>
      <c r="X9" s="508"/>
      <c r="Y9" s="508"/>
      <c r="Z9" s="508"/>
      <c r="AA9" s="508"/>
      <c r="AB9" s="508"/>
      <c r="AC9" s="508"/>
      <c r="AD9" s="508"/>
      <c r="AE9" s="508"/>
      <c r="AF9" s="508"/>
      <c r="AG9" s="508"/>
      <c r="AH9" s="508"/>
      <c r="AI9" s="509"/>
      <c r="AK9" s="440" t="s">
        <v>560</v>
      </c>
      <c r="AL9" s="440"/>
      <c r="AM9" s="440"/>
      <c r="AN9" s="440"/>
      <c r="AO9" s="440"/>
      <c r="AP9" s="440"/>
      <c r="AQ9" s="42">
        <v>85</v>
      </c>
      <c r="AR9" s="43"/>
      <c r="AS9" s="44" t="s">
        <v>561</v>
      </c>
      <c r="AT9" s="44" t="s">
        <v>562</v>
      </c>
      <c r="AU9" s="44" t="s">
        <v>563</v>
      </c>
      <c r="AV9" s="44" t="s">
        <v>564</v>
      </c>
      <c r="AW9" s="45" t="s">
        <v>565</v>
      </c>
      <c r="AX9" s="45" t="s">
        <v>566</v>
      </c>
      <c r="AY9" s="44" t="s">
        <v>567</v>
      </c>
      <c r="AZ9" s="43"/>
      <c r="BB9" s="49" t="s">
        <v>568</v>
      </c>
      <c r="BC9" s="43"/>
      <c r="BD9" s="43"/>
      <c r="BE9" s="43"/>
      <c r="BF9" s="43"/>
      <c r="BG9" s="43"/>
      <c r="BH9" s="43"/>
      <c r="BI9" s="43"/>
      <c r="BJ9" s="43"/>
      <c r="BK9" s="43"/>
      <c r="BL9" s="43"/>
      <c r="BM9" s="43"/>
      <c r="BN9" s="43"/>
      <c r="BO9" s="43"/>
      <c r="BP9" s="43"/>
      <c r="BQ9" s="43"/>
      <c r="BR9" s="43"/>
      <c r="BS9" s="43"/>
      <c r="BT9" s="43"/>
      <c r="BU9" s="43"/>
      <c r="BV9" s="43"/>
      <c r="BW9" s="43"/>
      <c r="BX9" s="43"/>
      <c r="BY9" s="43"/>
      <c r="BZ9" s="43"/>
      <c r="CA9" s="43"/>
      <c r="CB9" s="43"/>
      <c r="CC9" s="43"/>
      <c r="CD9" s="43"/>
      <c r="CE9" s="43"/>
      <c r="CF9" s="43"/>
      <c r="CG9" s="43"/>
    </row>
    <row r="10" spans="1:85" ht="18" customHeight="1">
      <c r="A10" s="265" t="s">
        <v>569</v>
      </c>
      <c r="B10" s="266"/>
      <c r="C10" s="266"/>
      <c r="D10" s="266"/>
      <c r="E10" s="266"/>
      <c r="F10" s="266"/>
      <c r="G10" s="266"/>
      <c r="H10" s="266"/>
      <c r="I10" s="264">
        <f>AQ14</f>
        <v>2</v>
      </c>
      <c r="J10" s="264"/>
      <c r="K10" s="267" t="s">
        <v>176</v>
      </c>
      <c r="L10" s="268"/>
      <c r="M10" s="269" t="s">
        <v>570</v>
      </c>
      <c r="N10" s="266"/>
      <c r="O10" s="266"/>
      <c r="P10" s="266"/>
      <c r="Q10" s="266"/>
      <c r="R10" s="266"/>
      <c r="S10" s="266"/>
      <c r="T10" s="266"/>
      <c r="U10" s="264">
        <f>AQ37</f>
        <v>0</v>
      </c>
      <c r="V10" s="264"/>
      <c r="W10" s="267" t="s">
        <v>176</v>
      </c>
      <c r="X10" s="268"/>
      <c r="Y10" s="269" t="s">
        <v>571</v>
      </c>
      <c r="Z10" s="266"/>
      <c r="AA10" s="266"/>
      <c r="AB10" s="266"/>
      <c r="AC10" s="266"/>
      <c r="AD10" s="266"/>
      <c r="AE10" s="266"/>
      <c r="AF10" s="266"/>
      <c r="AG10" s="264">
        <f>AQ26+AQ25</f>
        <v>0</v>
      </c>
      <c r="AH10" s="264"/>
      <c r="AI10" s="28" t="s">
        <v>176</v>
      </c>
      <c r="AK10" s="440" t="s">
        <v>572</v>
      </c>
      <c r="AL10" s="440"/>
      <c r="AM10" s="440"/>
      <c r="AN10" s="440"/>
      <c r="AO10" s="440"/>
      <c r="AP10" s="440"/>
      <c r="AQ10" s="42"/>
      <c r="AR10" s="43"/>
      <c r="AS10" s="46">
        <v>1</v>
      </c>
      <c r="AT10" s="46"/>
      <c r="AU10" s="46" t="s">
        <v>20</v>
      </c>
      <c r="AV10" s="47" t="s">
        <v>573</v>
      </c>
      <c r="AW10" s="47" t="s">
        <v>574</v>
      </c>
      <c r="AX10" s="47">
        <v>0.33333333333333331</v>
      </c>
      <c r="AY10" s="47">
        <v>0.83333333333333337</v>
      </c>
      <c r="AZ10" s="43"/>
      <c r="BB10" s="49" t="s">
        <v>95</v>
      </c>
      <c r="BC10" s="120">
        <v>1</v>
      </c>
      <c r="BD10" s="120">
        <v>2</v>
      </c>
      <c r="BE10" s="120">
        <v>3</v>
      </c>
      <c r="BF10" s="120">
        <v>4</v>
      </c>
      <c r="BG10" s="120">
        <v>5</v>
      </c>
      <c r="BH10" s="120">
        <v>6</v>
      </c>
      <c r="BI10" s="120">
        <v>7</v>
      </c>
      <c r="BJ10" s="120">
        <v>8</v>
      </c>
      <c r="BK10" s="120">
        <v>9</v>
      </c>
      <c r="BL10" s="120">
        <v>10</v>
      </c>
      <c r="BM10" s="120">
        <v>11</v>
      </c>
      <c r="BN10" s="120">
        <v>12</v>
      </c>
      <c r="BO10" s="120">
        <v>13</v>
      </c>
      <c r="BP10" s="120">
        <v>14</v>
      </c>
      <c r="BQ10" s="120">
        <v>15</v>
      </c>
      <c r="BR10" s="120">
        <v>16</v>
      </c>
      <c r="BS10" s="120">
        <v>17</v>
      </c>
      <c r="BT10" s="120">
        <v>18</v>
      </c>
      <c r="BU10" s="120">
        <v>19</v>
      </c>
      <c r="BV10" s="120">
        <v>20</v>
      </c>
      <c r="BW10" s="120">
        <v>21</v>
      </c>
      <c r="BX10" s="120">
        <v>22</v>
      </c>
      <c r="BY10" s="120">
        <v>23</v>
      </c>
      <c r="BZ10" s="120">
        <v>24</v>
      </c>
      <c r="CA10" s="120">
        <v>25</v>
      </c>
      <c r="CB10" s="120">
        <v>26</v>
      </c>
      <c r="CC10" s="120">
        <v>27</v>
      </c>
      <c r="CD10" s="120">
        <v>28</v>
      </c>
      <c r="CE10" s="120">
        <v>29</v>
      </c>
      <c r="CF10" s="120">
        <v>30</v>
      </c>
      <c r="CG10" s="43"/>
    </row>
    <row r="11" spans="1:85" ht="18" customHeight="1">
      <c r="A11" s="265" t="s">
        <v>575</v>
      </c>
      <c r="B11" s="266"/>
      <c r="C11" s="266"/>
      <c r="D11" s="266"/>
      <c r="E11" s="266"/>
      <c r="F11" s="266"/>
      <c r="G11" s="266"/>
      <c r="H11" s="266"/>
      <c r="I11" s="264">
        <f>AQ27</f>
        <v>0</v>
      </c>
      <c r="J11" s="264"/>
      <c r="K11" s="267" t="s">
        <v>176</v>
      </c>
      <c r="L11" s="268"/>
      <c r="M11" s="269" t="s">
        <v>576</v>
      </c>
      <c r="N11" s="266"/>
      <c r="O11" s="266"/>
      <c r="P11" s="266"/>
      <c r="Q11" s="266"/>
      <c r="R11" s="266"/>
      <c r="S11" s="266"/>
      <c r="T11" s="266"/>
      <c r="U11" s="264">
        <f>AQ36</f>
        <v>0</v>
      </c>
      <c r="V11" s="264"/>
      <c r="W11" s="267" t="s">
        <v>176</v>
      </c>
      <c r="X11" s="268"/>
      <c r="Y11" s="269" t="s">
        <v>577</v>
      </c>
      <c r="Z11" s="266"/>
      <c r="AA11" s="266"/>
      <c r="AB11" s="266"/>
      <c r="AC11" s="266"/>
      <c r="AD11" s="266"/>
      <c r="AE11" s="266"/>
      <c r="AF11" s="266"/>
      <c r="AG11" s="264">
        <f>AQ34</f>
        <v>0</v>
      </c>
      <c r="AH11" s="264"/>
      <c r="AI11" s="28" t="s">
        <v>176</v>
      </c>
      <c r="AK11" s="441" t="s">
        <v>578</v>
      </c>
      <c r="AL11" s="442"/>
      <c r="AM11" s="442"/>
      <c r="AN11" s="442"/>
      <c r="AO11" s="442"/>
      <c r="AP11" s="443"/>
      <c r="AQ11" s="42">
        <v>26</v>
      </c>
      <c r="AR11" s="43"/>
      <c r="AS11" s="46">
        <v>2</v>
      </c>
      <c r="AT11" s="46"/>
      <c r="AU11" s="46"/>
      <c r="AV11" s="47" t="s">
        <v>579</v>
      </c>
      <c r="AW11" s="47" t="s">
        <v>580</v>
      </c>
      <c r="AX11" s="47">
        <v>0.33333333333333331</v>
      </c>
      <c r="AY11" s="47">
        <v>0.58333333333333337</v>
      </c>
      <c r="AZ11" s="43"/>
      <c r="BB11" s="121" t="s">
        <v>581</v>
      </c>
      <c r="BC11" s="138" t="s">
        <v>582</v>
      </c>
      <c r="BD11" s="138" t="s">
        <v>583</v>
      </c>
      <c r="BE11" s="138" t="s">
        <v>584</v>
      </c>
      <c r="BF11" s="138" t="s">
        <v>585</v>
      </c>
      <c r="BG11" s="139" t="s">
        <v>584</v>
      </c>
      <c r="BH11" s="138" t="s">
        <v>582</v>
      </c>
      <c r="BI11" s="138" t="s">
        <v>585</v>
      </c>
      <c r="BJ11" s="138" t="s">
        <v>583</v>
      </c>
      <c r="BK11" s="138" t="s">
        <v>584</v>
      </c>
      <c r="BL11" s="138" t="s">
        <v>583</v>
      </c>
      <c r="BM11" s="138" t="s">
        <v>585</v>
      </c>
      <c r="BN11" s="138" t="s">
        <v>582</v>
      </c>
      <c r="BO11" s="138" t="s">
        <v>584</v>
      </c>
      <c r="BP11" s="138" t="s">
        <v>585</v>
      </c>
      <c r="BQ11" s="138" t="s">
        <v>583</v>
      </c>
      <c r="BR11" s="138" t="s">
        <v>585</v>
      </c>
      <c r="BS11" s="138" t="s">
        <v>584</v>
      </c>
      <c r="BT11" s="138" t="s">
        <v>582</v>
      </c>
      <c r="BU11" s="138" t="s">
        <v>583</v>
      </c>
      <c r="BV11" s="138" t="s">
        <v>585</v>
      </c>
      <c r="BW11" s="138" t="s">
        <v>582</v>
      </c>
      <c r="BX11" s="138" t="s">
        <v>584</v>
      </c>
      <c r="BY11" s="138" t="s">
        <v>585</v>
      </c>
      <c r="BZ11" s="138" t="s">
        <v>583</v>
      </c>
      <c r="CA11" s="138" t="s">
        <v>582</v>
      </c>
      <c r="CB11" s="138" t="s">
        <v>585</v>
      </c>
      <c r="CC11" s="138" t="s">
        <v>584</v>
      </c>
      <c r="CD11" s="138" t="s">
        <v>582</v>
      </c>
      <c r="CE11" s="138" t="s">
        <v>585</v>
      </c>
      <c r="CF11" s="138" t="s">
        <v>583</v>
      </c>
      <c r="CG11" s="43"/>
    </row>
    <row r="12" spans="1:85" ht="18" customHeight="1">
      <c r="A12" s="265" t="s">
        <v>586</v>
      </c>
      <c r="B12" s="266"/>
      <c r="C12" s="266"/>
      <c r="D12" s="266"/>
      <c r="E12" s="266"/>
      <c r="F12" s="266"/>
      <c r="G12" s="266"/>
      <c r="H12" s="266"/>
      <c r="I12" s="264">
        <f>AQ33</f>
        <v>0</v>
      </c>
      <c r="J12" s="264"/>
      <c r="K12" s="267" t="s">
        <v>176</v>
      </c>
      <c r="L12" s="268"/>
      <c r="M12" s="269" t="s">
        <v>587</v>
      </c>
      <c r="N12" s="266"/>
      <c r="O12" s="266"/>
      <c r="P12" s="266"/>
      <c r="Q12" s="266"/>
      <c r="R12" s="266"/>
      <c r="S12" s="266"/>
      <c r="T12" s="266"/>
      <c r="U12" s="264">
        <f>AQ24</f>
        <v>0</v>
      </c>
      <c r="V12" s="264"/>
      <c r="W12" s="267" t="s">
        <v>176</v>
      </c>
      <c r="X12" s="268"/>
      <c r="Y12" s="269" t="s">
        <v>588</v>
      </c>
      <c r="Z12" s="266"/>
      <c r="AA12" s="266"/>
      <c r="AB12" s="266"/>
      <c r="AC12" s="266"/>
      <c r="AD12" s="266"/>
      <c r="AE12" s="266"/>
      <c r="AF12" s="266"/>
      <c r="AG12" s="264">
        <f>AQ20+AQ21+AQ22+AQ23</f>
        <v>0</v>
      </c>
      <c r="AH12" s="264"/>
      <c r="AI12" s="28" t="s">
        <v>176</v>
      </c>
      <c r="AK12" s="441" t="s">
        <v>589</v>
      </c>
      <c r="AL12" s="442"/>
      <c r="AM12" s="442"/>
      <c r="AN12" s="442"/>
      <c r="AO12" s="442"/>
      <c r="AP12" s="443"/>
      <c r="AQ12" s="42">
        <v>14</v>
      </c>
      <c r="AR12" s="43"/>
      <c r="AS12" s="46">
        <v>3</v>
      </c>
      <c r="AT12" s="46"/>
      <c r="AU12" s="46"/>
      <c r="AV12" s="47" t="s">
        <v>590</v>
      </c>
      <c r="AW12" s="47" t="s">
        <v>574</v>
      </c>
      <c r="AX12" s="47">
        <v>0.58333333333333337</v>
      </c>
      <c r="AY12" s="47">
        <v>0.83333333333333337</v>
      </c>
      <c r="AZ12" s="43"/>
      <c r="BB12" s="49"/>
      <c r="BC12" s="43"/>
      <c r="BD12" s="43"/>
      <c r="BE12" s="43"/>
      <c r="BF12" s="43"/>
      <c r="BG12" s="43"/>
      <c r="BH12" s="43"/>
      <c r="BI12" s="43"/>
      <c r="BJ12" s="43"/>
      <c r="BK12" s="43"/>
      <c r="BL12" s="43"/>
      <c r="BM12" s="43"/>
      <c r="BN12" s="43"/>
      <c r="BO12" s="43"/>
      <c r="BP12" s="43"/>
      <c r="BQ12" s="43"/>
      <c r="BR12" s="43"/>
      <c r="BS12" s="43"/>
      <c r="BT12" s="43"/>
      <c r="BU12" s="43"/>
      <c r="BV12" s="43"/>
      <c r="BW12" s="43"/>
      <c r="BX12" s="43"/>
      <c r="BY12" s="43"/>
      <c r="BZ12" s="43"/>
      <c r="CA12" s="43"/>
      <c r="CB12" s="43"/>
      <c r="CC12" s="43"/>
      <c r="CD12" s="43"/>
      <c r="CE12" s="43"/>
      <c r="CF12" s="43"/>
      <c r="CG12" s="43"/>
    </row>
    <row r="13" spans="1:85" ht="18" customHeight="1" thickBot="1">
      <c r="A13" s="517" t="s">
        <v>591</v>
      </c>
      <c r="B13" s="277"/>
      <c r="C13" s="277"/>
      <c r="D13" s="277"/>
      <c r="E13" s="277"/>
      <c r="F13" s="277"/>
      <c r="G13" s="277"/>
      <c r="H13" s="277"/>
      <c r="I13" s="272">
        <f>AQ30+AQ31</f>
        <v>0</v>
      </c>
      <c r="J13" s="272"/>
      <c r="K13" s="273" t="s">
        <v>176</v>
      </c>
      <c r="L13" s="274"/>
      <c r="M13" s="276" t="s">
        <v>592</v>
      </c>
      <c r="N13" s="277"/>
      <c r="O13" s="277"/>
      <c r="P13" s="277"/>
      <c r="Q13" s="277"/>
      <c r="R13" s="277"/>
      <c r="S13" s="277"/>
      <c r="T13" s="277"/>
      <c r="U13" s="272">
        <f>AQ28</f>
        <v>0</v>
      </c>
      <c r="V13" s="272"/>
      <c r="W13" s="273" t="s">
        <v>176</v>
      </c>
      <c r="X13" s="274"/>
      <c r="Y13" s="276" t="s">
        <v>593</v>
      </c>
      <c r="Z13" s="277"/>
      <c r="AA13" s="277"/>
      <c r="AB13" s="277"/>
      <c r="AC13" s="277"/>
      <c r="AD13" s="277"/>
      <c r="AE13" s="277"/>
      <c r="AF13" s="277"/>
      <c r="AG13" s="272">
        <f>AQ13</f>
        <v>0</v>
      </c>
      <c r="AH13" s="272"/>
      <c r="AI13" s="34" t="s">
        <v>176</v>
      </c>
      <c r="AK13" s="425" t="s">
        <v>594</v>
      </c>
      <c r="AL13" s="425"/>
      <c r="AM13" s="425"/>
      <c r="AN13" s="425"/>
      <c r="AO13" s="425"/>
      <c r="AP13" s="425"/>
      <c r="AQ13" s="42"/>
      <c r="AR13" s="43"/>
      <c r="AS13" s="46">
        <v>4</v>
      </c>
      <c r="AT13" s="46"/>
      <c r="AU13" s="46" t="s">
        <v>602</v>
      </c>
      <c r="AV13" s="47" t="s">
        <v>595</v>
      </c>
      <c r="AW13" s="47" t="s">
        <v>596</v>
      </c>
      <c r="AX13" s="47">
        <v>0.33333333333333331</v>
      </c>
      <c r="AY13" s="47">
        <v>0.83333333333333337</v>
      </c>
      <c r="AZ13" s="43"/>
      <c r="BB13" s="121" t="s">
        <v>597</v>
      </c>
      <c r="BC13" s="140" t="s">
        <v>20</v>
      </c>
      <c r="BD13" s="140" t="s">
        <v>119</v>
      </c>
      <c r="BE13" s="140" t="s">
        <v>20</v>
      </c>
      <c r="BF13" s="140" t="s">
        <v>20</v>
      </c>
      <c r="BG13" s="140" t="s">
        <v>20</v>
      </c>
      <c r="BH13" s="140" t="s">
        <v>20</v>
      </c>
      <c r="BI13" s="140" t="s">
        <v>80</v>
      </c>
      <c r="BJ13" s="140" t="s">
        <v>20</v>
      </c>
      <c r="BK13" s="140" t="s">
        <v>20</v>
      </c>
      <c r="BL13" s="140" t="s">
        <v>20</v>
      </c>
      <c r="BM13" s="140" t="s">
        <v>20</v>
      </c>
      <c r="BN13" s="140" t="s">
        <v>20</v>
      </c>
      <c r="BO13" s="140" t="s">
        <v>119</v>
      </c>
      <c r="BP13" s="140" t="s">
        <v>119</v>
      </c>
      <c r="BQ13" s="140" t="s">
        <v>20</v>
      </c>
      <c r="BR13" s="140" t="s">
        <v>119</v>
      </c>
      <c r="BS13" s="140" t="s">
        <v>20</v>
      </c>
      <c r="BT13" s="140" t="s">
        <v>20</v>
      </c>
      <c r="BU13" s="140" t="s">
        <v>20</v>
      </c>
      <c r="BV13" s="140" t="s">
        <v>119</v>
      </c>
      <c r="BW13" s="140" t="s">
        <v>119</v>
      </c>
      <c r="BX13" s="140" t="s">
        <v>20</v>
      </c>
      <c r="BY13" s="140" t="s">
        <v>119</v>
      </c>
      <c r="BZ13" s="140" t="s">
        <v>20</v>
      </c>
      <c r="CA13" s="140" t="s">
        <v>119</v>
      </c>
      <c r="CB13" s="140" t="s">
        <v>20</v>
      </c>
      <c r="CC13" s="140" t="s">
        <v>20</v>
      </c>
      <c r="CD13" s="140" t="s">
        <v>119</v>
      </c>
      <c r="CE13" s="140" t="s">
        <v>20</v>
      </c>
      <c r="CF13" s="140" t="s">
        <v>119</v>
      </c>
      <c r="CG13" s="43"/>
    </row>
    <row r="14" spans="1:85" ht="18" customHeight="1" thickBot="1">
      <c r="A14" s="452" t="s">
        <v>598</v>
      </c>
      <c r="B14" s="453"/>
      <c r="C14" s="453"/>
      <c r="D14" s="453"/>
      <c r="E14" s="453"/>
      <c r="F14" s="453"/>
      <c r="G14" s="453"/>
      <c r="H14" s="453"/>
      <c r="I14" s="453"/>
      <c r="J14" s="453"/>
      <c r="K14" s="453"/>
      <c r="L14" s="453"/>
      <c r="M14" s="453"/>
      <c r="N14" s="453"/>
      <c r="O14" s="453"/>
      <c r="P14" s="453"/>
      <c r="Q14" s="453"/>
      <c r="R14" s="453"/>
      <c r="S14" s="453"/>
      <c r="T14" s="453"/>
      <c r="U14" s="453"/>
      <c r="V14" s="453"/>
      <c r="W14" s="453"/>
      <c r="X14" s="453"/>
      <c r="Y14" s="453"/>
      <c r="Z14" s="453"/>
      <c r="AA14" s="453"/>
      <c r="AB14" s="453"/>
      <c r="AC14" s="453"/>
      <c r="AD14" s="453"/>
      <c r="AE14" s="453"/>
      <c r="AF14" s="453"/>
      <c r="AG14" s="453"/>
      <c r="AH14" s="453"/>
      <c r="AI14" s="454"/>
      <c r="AK14" s="440" t="s">
        <v>599</v>
      </c>
      <c r="AL14" s="440"/>
      <c r="AM14" s="440"/>
      <c r="AN14" s="440"/>
      <c r="AO14" s="440"/>
      <c r="AP14" s="440"/>
      <c r="AQ14" s="42">
        <v>2</v>
      </c>
      <c r="AR14" s="43"/>
      <c r="AS14" s="46">
        <v>5</v>
      </c>
      <c r="AT14" s="46"/>
      <c r="AU14" s="46" t="s">
        <v>119</v>
      </c>
      <c r="AV14" s="47" t="s">
        <v>600</v>
      </c>
      <c r="AW14" s="47" t="s">
        <v>596</v>
      </c>
      <c r="AX14" s="47">
        <v>0.33333333333333331</v>
      </c>
      <c r="AY14" s="47">
        <v>0.83333333333333337</v>
      </c>
      <c r="AZ14" s="43"/>
      <c r="BB14" s="121" t="s">
        <v>601</v>
      </c>
      <c r="BC14" s="162" t="s">
        <v>28</v>
      </c>
      <c r="BD14" s="162" t="s">
        <v>602</v>
      </c>
      <c r="BE14" s="162" t="s">
        <v>602</v>
      </c>
      <c r="BF14" s="162" t="s">
        <v>28</v>
      </c>
      <c r="BG14" s="162" t="s">
        <v>602</v>
      </c>
      <c r="BH14" s="162" t="s">
        <v>602</v>
      </c>
      <c r="BI14" s="162" t="s">
        <v>28</v>
      </c>
      <c r="BJ14" s="162" t="s">
        <v>28</v>
      </c>
      <c r="BK14" s="162" t="s">
        <v>602</v>
      </c>
      <c r="BL14" s="162" t="s">
        <v>28</v>
      </c>
      <c r="BM14" s="162" t="s">
        <v>602</v>
      </c>
      <c r="BN14" s="162" t="s">
        <v>28</v>
      </c>
      <c r="BO14" s="162" t="s">
        <v>28</v>
      </c>
      <c r="BP14" s="162" t="s">
        <v>76</v>
      </c>
      <c r="BQ14" s="162" t="s">
        <v>28</v>
      </c>
      <c r="BR14" s="162" t="s">
        <v>602</v>
      </c>
      <c r="BS14" s="162" t="s">
        <v>28</v>
      </c>
      <c r="BT14" s="162" t="s">
        <v>602</v>
      </c>
      <c r="BU14" s="162" t="s">
        <v>28</v>
      </c>
      <c r="BV14" s="162" t="s">
        <v>602</v>
      </c>
      <c r="BW14" s="162" t="s">
        <v>28</v>
      </c>
      <c r="BX14" s="162" t="s">
        <v>28</v>
      </c>
      <c r="BY14" s="162" t="s">
        <v>602</v>
      </c>
      <c r="BZ14" s="162" t="s">
        <v>28</v>
      </c>
      <c r="CA14" s="162" t="s">
        <v>602</v>
      </c>
      <c r="CB14" s="162" t="s">
        <v>28</v>
      </c>
      <c r="CC14" s="162" t="s">
        <v>28</v>
      </c>
      <c r="CD14" s="162" t="s">
        <v>76</v>
      </c>
      <c r="CE14" s="162" t="s">
        <v>28</v>
      </c>
      <c r="CF14" s="162" t="s">
        <v>602</v>
      </c>
      <c r="CG14" s="43"/>
    </row>
    <row r="15" spans="1:85" ht="18" customHeight="1" thickBot="1">
      <c r="A15" s="30" t="s">
        <v>189</v>
      </c>
      <c r="B15" s="264" t="s">
        <v>603</v>
      </c>
      <c r="C15" s="264"/>
      <c r="D15" s="264"/>
      <c r="E15" s="264"/>
      <c r="F15" s="264"/>
      <c r="G15" s="264"/>
      <c r="H15" s="264"/>
      <c r="I15" s="264"/>
      <c r="J15" s="278">
        <f>AQ9+AQ10</f>
        <v>85</v>
      </c>
      <c r="K15" s="278"/>
      <c r="L15" s="278"/>
      <c r="M15" s="264" t="s">
        <v>176</v>
      </c>
      <c r="N15" s="264"/>
      <c r="O15" s="264" t="s">
        <v>604</v>
      </c>
      <c r="P15" s="264"/>
      <c r="Q15" s="264"/>
      <c r="R15" s="264"/>
      <c r="S15" s="264"/>
      <c r="T15" s="264"/>
      <c r="U15" s="264"/>
      <c r="V15" s="264"/>
      <c r="W15" s="278">
        <f>AQ11+AQ12</f>
        <v>40</v>
      </c>
      <c r="X15" s="278"/>
      <c r="Y15" s="278"/>
      <c r="Z15" s="264" t="s">
        <v>176</v>
      </c>
      <c r="AA15" s="264"/>
      <c r="AB15" s="503" t="s">
        <v>605</v>
      </c>
      <c r="AC15" s="503"/>
      <c r="AD15" s="503"/>
      <c r="AE15" s="503"/>
      <c r="AF15" s="503"/>
      <c r="AG15" s="503"/>
      <c r="AH15" s="281" t="s">
        <v>582</v>
      </c>
      <c r="AI15" s="282"/>
      <c r="AK15" s="425" t="s">
        <v>606</v>
      </c>
      <c r="AL15" s="425"/>
      <c r="AM15" s="425"/>
      <c r="AN15" s="425"/>
      <c r="AO15" s="425"/>
      <c r="AP15" s="425"/>
      <c r="AQ15" s="42"/>
      <c r="AR15" s="43"/>
      <c r="AS15" s="46">
        <v>6</v>
      </c>
      <c r="AT15" s="46"/>
      <c r="AU15" s="46"/>
      <c r="AV15" s="47" t="s">
        <v>607</v>
      </c>
      <c r="AW15" s="47" t="s">
        <v>596</v>
      </c>
      <c r="AX15" s="47">
        <v>0.33333333333333331</v>
      </c>
      <c r="AY15" s="47">
        <v>0.83333333333333337</v>
      </c>
      <c r="AZ15" s="43"/>
      <c r="BB15" s="121" t="s">
        <v>31</v>
      </c>
      <c r="BC15" s="163" t="s">
        <v>119</v>
      </c>
      <c r="BD15" s="164"/>
      <c r="BE15" s="165" t="s">
        <v>28</v>
      </c>
      <c r="BF15" s="165" t="s">
        <v>119</v>
      </c>
      <c r="BG15" s="164"/>
      <c r="BH15" s="164"/>
      <c r="BI15" s="164"/>
      <c r="BJ15" s="164"/>
      <c r="BK15" s="165" t="s">
        <v>119</v>
      </c>
      <c r="BL15" s="165" t="s">
        <v>602</v>
      </c>
      <c r="BM15" s="165" t="s">
        <v>119</v>
      </c>
      <c r="BN15" s="165" t="s">
        <v>602</v>
      </c>
      <c r="BO15" s="164"/>
      <c r="BP15" s="164"/>
      <c r="BQ15" s="165" t="s">
        <v>608</v>
      </c>
      <c r="BR15" s="165" t="s">
        <v>20</v>
      </c>
      <c r="BS15" s="165" t="s">
        <v>602</v>
      </c>
      <c r="BT15" s="165" t="s">
        <v>119</v>
      </c>
      <c r="BU15" s="165" t="s">
        <v>602</v>
      </c>
      <c r="BV15" s="164"/>
      <c r="BW15" s="164"/>
      <c r="BX15" s="165" t="s">
        <v>119</v>
      </c>
      <c r="BY15" s="165" t="s">
        <v>20</v>
      </c>
      <c r="BZ15" s="165" t="s">
        <v>602</v>
      </c>
      <c r="CA15" s="165" t="s">
        <v>20</v>
      </c>
      <c r="CB15" s="165" t="s">
        <v>602</v>
      </c>
      <c r="CC15" s="165" t="s">
        <v>602</v>
      </c>
      <c r="CD15" s="164"/>
      <c r="CE15" s="165" t="s">
        <v>119</v>
      </c>
      <c r="CF15" s="165" t="s">
        <v>20</v>
      </c>
      <c r="CG15" s="43"/>
    </row>
    <row r="16" spans="1:85" ht="18" customHeight="1">
      <c r="A16" s="504" t="s">
        <v>609</v>
      </c>
      <c r="B16" s="505"/>
      <c r="C16" s="505"/>
      <c r="D16" s="505"/>
      <c r="E16" s="505"/>
      <c r="F16" s="505"/>
      <c r="G16" s="505"/>
      <c r="H16" s="505"/>
      <c r="I16" s="505"/>
      <c r="J16" s="505"/>
      <c r="K16" s="505"/>
      <c r="L16" s="505"/>
      <c r="M16" s="505"/>
      <c r="N16" s="505"/>
      <c r="O16" s="505"/>
      <c r="P16" s="505"/>
      <c r="Q16" s="505"/>
      <c r="R16" s="505"/>
      <c r="S16" s="505"/>
      <c r="T16" s="505"/>
      <c r="U16" s="505"/>
      <c r="V16" s="505"/>
      <c r="W16" s="505"/>
      <c r="X16" s="505"/>
      <c r="Y16" s="505"/>
      <c r="Z16" s="505"/>
      <c r="AA16" s="505"/>
      <c r="AB16" s="505"/>
      <c r="AC16" s="505"/>
      <c r="AD16" s="505"/>
      <c r="AE16" s="505"/>
      <c r="AF16" s="505"/>
      <c r="AG16" s="505"/>
      <c r="AH16" s="505"/>
      <c r="AI16" s="506"/>
      <c r="AK16" s="425" t="s">
        <v>610</v>
      </c>
      <c r="AL16" s="425"/>
      <c r="AM16" s="425"/>
      <c r="AN16" s="425"/>
      <c r="AO16" s="425"/>
      <c r="AP16" s="425"/>
      <c r="AQ16" s="42"/>
      <c r="AR16" s="43"/>
      <c r="AS16" s="46">
        <v>7</v>
      </c>
      <c r="AT16" s="46"/>
      <c r="AU16" s="46" t="s">
        <v>67</v>
      </c>
      <c r="AV16" s="47" t="s">
        <v>611</v>
      </c>
      <c r="AW16" s="47" t="s">
        <v>612</v>
      </c>
      <c r="AX16" s="47">
        <v>0.83333333333333337</v>
      </c>
      <c r="AY16" s="47" t="s">
        <v>613</v>
      </c>
      <c r="AZ16" s="43"/>
      <c r="BB16" s="121" t="s">
        <v>614</v>
      </c>
      <c r="BC16" s="142" t="s">
        <v>20</v>
      </c>
      <c r="BD16" s="140" t="s">
        <v>67</v>
      </c>
      <c r="BE16" s="142" t="s">
        <v>42</v>
      </c>
      <c r="BF16" s="142" t="s">
        <v>20</v>
      </c>
      <c r="BG16" s="142" t="s">
        <v>42</v>
      </c>
      <c r="BH16" s="142" t="s">
        <v>61</v>
      </c>
      <c r="BI16" s="142" t="s">
        <v>67</v>
      </c>
      <c r="BJ16" s="142" t="s">
        <v>67</v>
      </c>
      <c r="BK16" s="142" t="s">
        <v>42</v>
      </c>
      <c r="BL16" s="142" t="s">
        <v>42</v>
      </c>
      <c r="BM16" s="142" t="s">
        <v>67</v>
      </c>
      <c r="BN16" s="142" t="s">
        <v>67</v>
      </c>
      <c r="BO16" s="142" t="s">
        <v>42</v>
      </c>
      <c r="BP16" s="142" t="s">
        <v>67</v>
      </c>
      <c r="BQ16" s="142" t="s">
        <v>20</v>
      </c>
      <c r="BR16" s="142" t="s">
        <v>71</v>
      </c>
      <c r="BS16" s="142" t="s">
        <v>67</v>
      </c>
      <c r="BT16" s="142" t="s">
        <v>67</v>
      </c>
      <c r="BU16" s="142" t="s">
        <v>61</v>
      </c>
      <c r="BV16" s="142" t="s">
        <v>42</v>
      </c>
      <c r="BW16" s="142" t="s">
        <v>49</v>
      </c>
      <c r="BX16" s="142" t="s">
        <v>20</v>
      </c>
      <c r="BY16" s="142" t="s">
        <v>71</v>
      </c>
      <c r="BZ16" s="142" t="s">
        <v>42</v>
      </c>
      <c r="CA16" s="142" t="s">
        <v>20</v>
      </c>
      <c r="CB16" s="142" t="s">
        <v>61</v>
      </c>
      <c r="CC16" s="142" t="s">
        <v>42</v>
      </c>
      <c r="CD16" s="142" t="s">
        <v>49</v>
      </c>
      <c r="CE16" s="142" t="s">
        <v>20</v>
      </c>
      <c r="CF16" s="143" t="s">
        <v>71</v>
      </c>
      <c r="CG16" s="43"/>
    </row>
    <row r="17" spans="1:85" ht="18" customHeight="1">
      <c r="A17" s="396" t="s">
        <v>615</v>
      </c>
      <c r="B17" s="397"/>
      <c r="C17" s="397"/>
      <c r="D17" s="397"/>
      <c r="E17" s="397"/>
      <c r="F17" s="398" t="s">
        <v>616</v>
      </c>
      <c r="G17" s="398"/>
      <c r="H17" s="398"/>
      <c r="I17" s="398"/>
      <c r="J17" s="398"/>
      <c r="K17" s="398"/>
      <c r="L17" s="398"/>
      <c r="M17" s="398"/>
      <c r="N17" s="398"/>
      <c r="O17" s="398"/>
      <c r="P17" s="398"/>
      <c r="Q17" s="398"/>
      <c r="R17" s="398"/>
      <c r="S17" s="398"/>
      <c r="T17" s="398"/>
      <c r="U17" s="398"/>
      <c r="V17" s="398"/>
      <c r="W17" s="398"/>
      <c r="X17" s="398"/>
      <c r="Y17" s="398"/>
      <c r="Z17" s="398"/>
      <c r="AA17" s="398"/>
      <c r="AB17" s="398"/>
      <c r="AC17" s="398"/>
      <c r="AD17" s="398"/>
      <c r="AE17" s="398"/>
      <c r="AF17" s="398"/>
      <c r="AG17" s="398"/>
      <c r="AH17" s="398"/>
      <c r="AI17" s="399"/>
      <c r="AK17" s="425" t="s">
        <v>617</v>
      </c>
      <c r="AL17" s="425"/>
      <c r="AM17" s="425"/>
      <c r="AN17" s="425"/>
      <c r="AO17" s="425"/>
      <c r="AP17" s="425"/>
      <c r="AQ17" s="42"/>
      <c r="AR17" s="43"/>
      <c r="AS17" s="46">
        <v>8</v>
      </c>
      <c r="AT17" s="46"/>
      <c r="AU17" s="46" t="s">
        <v>49</v>
      </c>
      <c r="AV17" s="47" t="s">
        <v>618</v>
      </c>
      <c r="AW17" s="47" t="s">
        <v>612</v>
      </c>
      <c r="AX17" s="47">
        <v>0.83333333333333337</v>
      </c>
      <c r="AY17" s="47" t="s">
        <v>613</v>
      </c>
      <c r="AZ17" s="43"/>
      <c r="BB17" s="121" t="s">
        <v>619</v>
      </c>
      <c r="BC17" s="141" t="s">
        <v>67</v>
      </c>
      <c r="BD17" s="140" t="s">
        <v>42</v>
      </c>
      <c r="BE17" s="141" t="s">
        <v>71</v>
      </c>
      <c r="BF17" s="140" t="s">
        <v>67</v>
      </c>
      <c r="BG17" s="140" t="s">
        <v>61</v>
      </c>
      <c r="BH17" s="140" t="s">
        <v>42</v>
      </c>
      <c r="BI17" s="140" t="s">
        <v>49</v>
      </c>
      <c r="BJ17" s="140" t="s">
        <v>61</v>
      </c>
      <c r="BK17" s="140" t="s">
        <v>71</v>
      </c>
      <c r="BL17" s="140" t="s">
        <v>67</v>
      </c>
      <c r="BM17" s="140" t="s">
        <v>49</v>
      </c>
      <c r="BN17" s="140" t="s">
        <v>49</v>
      </c>
      <c r="BO17" s="140" t="s">
        <v>61</v>
      </c>
      <c r="BP17" s="140" t="s">
        <v>49</v>
      </c>
      <c r="BQ17" s="140" t="s">
        <v>67</v>
      </c>
      <c r="BR17" s="140" t="s">
        <v>42</v>
      </c>
      <c r="BS17" s="140" t="s">
        <v>42</v>
      </c>
      <c r="BT17" s="140" t="s">
        <v>49</v>
      </c>
      <c r="BU17" s="140" t="s">
        <v>42</v>
      </c>
      <c r="BV17" s="140" t="s">
        <v>61</v>
      </c>
      <c r="BW17" s="140" t="s">
        <v>71</v>
      </c>
      <c r="BX17" s="140" t="s">
        <v>67</v>
      </c>
      <c r="BY17" s="140" t="s">
        <v>42</v>
      </c>
      <c r="BZ17" s="140" t="s">
        <v>67</v>
      </c>
      <c r="CA17" s="140" t="s">
        <v>67</v>
      </c>
      <c r="CB17" s="140" t="s">
        <v>49</v>
      </c>
      <c r="CC17" s="140" t="s">
        <v>61</v>
      </c>
      <c r="CD17" s="140" t="s">
        <v>71</v>
      </c>
      <c r="CE17" s="140" t="s">
        <v>67</v>
      </c>
      <c r="CF17" s="140" t="s">
        <v>42</v>
      </c>
      <c r="CG17" s="43"/>
    </row>
    <row r="18" spans="1:85" ht="18" customHeight="1">
      <c r="A18" s="501" t="s">
        <v>620</v>
      </c>
      <c r="B18" s="502"/>
      <c r="C18" s="502"/>
      <c r="D18" s="502"/>
      <c r="E18" s="502"/>
      <c r="F18" s="400" t="s">
        <v>616</v>
      </c>
      <c r="G18" s="400"/>
      <c r="H18" s="400"/>
      <c r="I18" s="400"/>
      <c r="J18" s="400"/>
      <c r="K18" s="400"/>
      <c r="L18" s="400"/>
      <c r="M18" s="400"/>
      <c r="N18" s="400"/>
      <c r="O18" s="400"/>
      <c r="P18" s="400"/>
      <c r="Q18" s="400"/>
      <c r="R18" s="400"/>
      <c r="S18" s="400"/>
      <c r="T18" s="400"/>
      <c r="U18" s="400"/>
      <c r="V18" s="400"/>
      <c r="W18" s="400"/>
      <c r="X18" s="400"/>
      <c r="Y18" s="400"/>
      <c r="Z18" s="400"/>
      <c r="AA18" s="400"/>
      <c r="AB18" s="400"/>
      <c r="AC18" s="400"/>
      <c r="AD18" s="400"/>
      <c r="AE18" s="400"/>
      <c r="AF18" s="400"/>
      <c r="AG18" s="400"/>
      <c r="AH18" s="400"/>
      <c r="AI18" s="401"/>
      <c r="AK18" s="425" t="s">
        <v>621</v>
      </c>
      <c r="AL18" s="425"/>
      <c r="AM18" s="425"/>
      <c r="AN18" s="425"/>
      <c r="AO18" s="425"/>
      <c r="AP18" s="425"/>
      <c r="AQ18" s="42"/>
      <c r="AR18" s="43"/>
      <c r="AS18" s="46">
        <v>9</v>
      </c>
      <c r="AT18" s="46"/>
      <c r="AU18" s="46"/>
      <c r="AV18" s="47" t="s">
        <v>622</v>
      </c>
      <c r="AW18" s="47" t="s">
        <v>612</v>
      </c>
      <c r="AX18" s="47">
        <v>0.83333333333333337</v>
      </c>
      <c r="AY18" s="47" t="s">
        <v>613</v>
      </c>
      <c r="AZ18" s="43"/>
    </row>
    <row r="19" spans="1:85" ht="18" customHeight="1" thickBot="1">
      <c r="A19" s="35" t="s">
        <v>189</v>
      </c>
      <c r="B19" s="405">
        <v>0.39583333333333331</v>
      </c>
      <c r="C19" s="405"/>
      <c r="D19" s="405"/>
      <c r="E19" s="405"/>
      <c r="F19" s="402" t="s">
        <v>863</v>
      </c>
      <c r="G19" s="402"/>
      <c r="H19" s="402"/>
      <c r="I19" s="402"/>
      <c r="J19" s="402"/>
      <c r="K19" s="402"/>
      <c r="L19" s="402"/>
      <c r="M19" s="402"/>
      <c r="N19" s="402"/>
      <c r="O19" s="402"/>
      <c r="P19" s="402"/>
      <c r="Q19" s="402"/>
      <c r="R19" s="402"/>
      <c r="S19" s="402"/>
      <c r="T19" s="402"/>
      <c r="U19" s="402"/>
      <c r="V19" s="402"/>
      <c r="W19" s="402"/>
      <c r="X19" s="402"/>
      <c r="Y19" s="402"/>
      <c r="Z19" s="402"/>
      <c r="AA19" s="402"/>
      <c r="AB19" s="402"/>
      <c r="AC19" s="402"/>
      <c r="AD19" s="402"/>
      <c r="AE19" s="402"/>
      <c r="AF19" s="402"/>
      <c r="AG19" s="402"/>
      <c r="AH19" s="402"/>
      <c r="AI19" s="403"/>
      <c r="AK19" s="524" t="s">
        <v>623</v>
      </c>
      <c r="AL19" s="524"/>
      <c r="AM19" s="524"/>
      <c r="AN19" s="524"/>
      <c r="AO19" s="524"/>
      <c r="AP19" s="524"/>
      <c r="AQ19" s="58"/>
      <c r="AR19" s="43"/>
      <c r="AS19" s="46">
        <v>10</v>
      </c>
      <c r="AT19" s="46"/>
      <c r="AU19" s="46"/>
      <c r="AV19" s="47" t="s">
        <v>111</v>
      </c>
      <c r="AW19" s="47" t="s">
        <v>612</v>
      </c>
      <c r="AX19" s="47">
        <v>0.83333333333333337</v>
      </c>
      <c r="AY19" s="47" t="s">
        <v>613</v>
      </c>
      <c r="AZ19" s="43"/>
    </row>
    <row r="20" spans="1:85" ht="18" customHeight="1">
      <c r="A20" s="36"/>
      <c r="B20" s="404">
        <v>0.5</v>
      </c>
      <c r="C20" s="404"/>
      <c r="D20" s="404"/>
      <c r="E20" s="404"/>
      <c r="F20" s="288" t="s">
        <v>864</v>
      </c>
      <c r="G20" s="288"/>
      <c r="H20" s="288"/>
      <c r="I20" s="288"/>
      <c r="J20" s="288"/>
      <c r="K20" s="288"/>
      <c r="L20" s="288"/>
      <c r="M20" s="288"/>
      <c r="N20" s="288"/>
      <c r="O20" s="288"/>
      <c r="P20" s="288"/>
      <c r="Q20" s="288"/>
      <c r="R20" s="288"/>
      <c r="S20" s="288"/>
      <c r="T20" s="288"/>
      <c r="U20" s="288"/>
      <c r="V20" s="288"/>
      <c r="W20" s="288"/>
      <c r="X20" s="288"/>
      <c r="Y20" s="288"/>
      <c r="Z20" s="288"/>
      <c r="AA20" s="288"/>
      <c r="AB20" s="288"/>
      <c r="AC20" s="288"/>
      <c r="AD20" s="288"/>
      <c r="AE20" s="288"/>
      <c r="AF20" s="288"/>
      <c r="AG20" s="288"/>
      <c r="AH20" s="288"/>
      <c r="AI20" s="289"/>
      <c r="AK20" s="447" t="s">
        <v>624</v>
      </c>
      <c r="AL20" s="448"/>
      <c r="AM20" s="448"/>
      <c r="AN20" s="448"/>
      <c r="AO20" s="448"/>
      <c r="AP20" s="448"/>
      <c r="AQ20" s="62"/>
      <c r="AR20" s="426" t="s">
        <v>625</v>
      </c>
      <c r="AS20" s="146">
        <v>11</v>
      </c>
      <c r="AT20" s="46"/>
      <c r="AU20" s="46"/>
      <c r="AV20" s="47" t="s">
        <v>111</v>
      </c>
      <c r="AW20" s="47" t="s">
        <v>612</v>
      </c>
      <c r="AX20" s="47">
        <v>0.83333333333333337</v>
      </c>
      <c r="AY20" s="47" t="s">
        <v>613</v>
      </c>
      <c r="AZ20" s="43"/>
    </row>
    <row r="21" spans="1:85" ht="18" customHeight="1" thickBot="1">
      <c r="A21" s="36" t="s">
        <v>189</v>
      </c>
      <c r="B21" s="404">
        <v>0.55763888888888891</v>
      </c>
      <c r="C21" s="404"/>
      <c r="D21" s="404"/>
      <c r="E21" s="404"/>
      <c r="F21" s="288" t="s">
        <v>865</v>
      </c>
      <c r="G21" s="288"/>
      <c r="H21" s="288"/>
      <c r="I21" s="288"/>
      <c r="J21" s="288"/>
      <c r="K21" s="288"/>
      <c r="L21" s="288"/>
      <c r="M21" s="288"/>
      <c r="N21" s="288"/>
      <c r="O21" s="288"/>
      <c r="P21" s="288"/>
      <c r="Q21" s="288"/>
      <c r="R21" s="288"/>
      <c r="S21" s="288"/>
      <c r="T21" s="288"/>
      <c r="U21" s="288"/>
      <c r="V21" s="288"/>
      <c r="W21" s="288"/>
      <c r="X21" s="288"/>
      <c r="Y21" s="288"/>
      <c r="Z21" s="288"/>
      <c r="AA21" s="288"/>
      <c r="AB21" s="288"/>
      <c r="AC21" s="288"/>
      <c r="AD21" s="288"/>
      <c r="AE21" s="288"/>
      <c r="AF21" s="288"/>
      <c r="AG21" s="288"/>
      <c r="AH21" s="288"/>
      <c r="AI21" s="289"/>
      <c r="AK21" s="429" t="s">
        <v>626</v>
      </c>
      <c r="AL21" s="430"/>
      <c r="AM21" s="430"/>
      <c r="AN21" s="430"/>
      <c r="AO21" s="430"/>
      <c r="AP21" s="430"/>
      <c r="AQ21" s="63"/>
      <c r="AR21" s="427"/>
      <c r="AW21" s="43"/>
      <c r="AX21" s="43"/>
      <c r="AY21" s="43"/>
      <c r="AZ21" s="43"/>
    </row>
    <row r="22" spans="1:85" ht="18" customHeight="1">
      <c r="A22" s="36"/>
      <c r="B22" s="404"/>
      <c r="C22" s="404"/>
      <c r="D22" s="404"/>
      <c r="E22" s="404"/>
      <c r="F22" s="288" t="s">
        <v>866</v>
      </c>
      <c r="G22" s="288"/>
      <c r="H22" s="288"/>
      <c r="I22" s="288"/>
      <c r="J22" s="288"/>
      <c r="K22" s="288"/>
      <c r="L22" s="288"/>
      <c r="M22" s="288"/>
      <c r="N22" s="288"/>
      <c r="O22" s="288"/>
      <c r="P22" s="288"/>
      <c r="Q22" s="288"/>
      <c r="R22" s="288"/>
      <c r="S22" s="288"/>
      <c r="T22" s="288"/>
      <c r="U22" s="288"/>
      <c r="V22" s="288"/>
      <c r="W22" s="288"/>
      <c r="X22" s="288"/>
      <c r="Y22" s="288"/>
      <c r="Z22" s="288"/>
      <c r="AA22" s="288"/>
      <c r="AB22" s="288"/>
      <c r="AC22" s="288"/>
      <c r="AD22" s="288"/>
      <c r="AE22" s="288"/>
      <c r="AF22" s="288"/>
      <c r="AG22" s="288"/>
      <c r="AH22" s="288"/>
      <c r="AI22" s="289"/>
      <c r="AK22" s="429" t="s">
        <v>627</v>
      </c>
      <c r="AL22" s="430"/>
      <c r="AM22" s="430"/>
      <c r="AN22" s="430"/>
      <c r="AO22" s="430"/>
      <c r="AP22" s="430"/>
      <c r="AQ22" s="63"/>
      <c r="AR22" s="427"/>
      <c r="AS22" s="433" t="s">
        <v>628</v>
      </c>
      <c r="AT22" s="434"/>
      <c r="AU22" s="435"/>
      <c r="AV22" s="435"/>
      <c r="AW22" s="60" t="s">
        <v>74</v>
      </c>
      <c r="AY22" s="413" t="s">
        <v>629</v>
      </c>
      <c r="AZ22" s="413"/>
      <c r="BA22" s="412"/>
      <c r="BB22" s="412"/>
    </row>
    <row r="23" spans="1:85" ht="18" customHeight="1" thickBot="1">
      <c r="A23" s="36" t="s">
        <v>189</v>
      </c>
      <c r="B23" s="404">
        <v>0.56944444444444442</v>
      </c>
      <c r="C23" s="404"/>
      <c r="D23" s="404"/>
      <c r="E23" s="404"/>
      <c r="F23" s="288" t="s">
        <v>821</v>
      </c>
      <c r="G23" s="288"/>
      <c r="H23" s="288"/>
      <c r="I23" s="288"/>
      <c r="J23" s="288"/>
      <c r="K23" s="288"/>
      <c r="L23" s="288"/>
      <c r="M23" s="288"/>
      <c r="N23" s="288"/>
      <c r="O23" s="288"/>
      <c r="P23" s="288"/>
      <c r="Q23" s="288"/>
      <c r="R23" s="288"/>
      <c r="S23" s="288"/>
      <c r="T23" s="288"/>
      <c r="U23" s="288"/>
      <c r="V23" s="288"/>
      <c r="W23" s="288"/>
      <c r="X23" s="288"/>
      <c r="Y23" s="288"/>
      <c r="Z23" s="288"/>
      <c r="AA23" s="288"/>
      <c r="AB23" s="288"/>
      <c r="AC23" s="288"/>
      <c r="AD23" s="288"/>
      <c r="AE23" s="288"/>
      <c r="AF23" s="288"/>
      <c r="AG23" s="288"/>
      <c r="AH23" s="288"/>
      <c r="AI23" s="289"/>
      <c r="AK23" s="431" t="s">
        <v>630</v>
      </c>
      <c r="AL23" s="432"/>
      <c r="AM23" s="432"/>
      <c r="AN23" s="432"/>
      <c r="AO23" s="432"/>
      <c r="AP23" s="432"/>
      <c r="AQ23" s="64"/>
      <c r="AR23" s="428"/>
      <c r="AS23" s="536" t="s">
        <v>631</v>
      </c>
      <c r="AT23" s="246"/>
      <c r="AU23" s="537"/>
      <c r="AV23" s="537"/>
      <c r="AW23" s="56" t="s">
        <v>632</v>
      </c>
      <c r="AY23" s="413" t="s">
        <v>633</v>
      </c>
      <c r="AZ23" s="413"/>
      <c r="BA23" s="412"/>
      <c r="BB23" s="412"/>
    </row>
    <row r="24" spans="1:85" ht="18" customHeight="1" thickBot="1">
      <c r="A24" s="36" t="s">
        <v>189</v>
      </c>
      <c r="B24" s="404">
        <v>0.57916666666666672</v>
      </c>
      <c r="C24" s="404"/>
      <c r="D24" s="404"/>
      <c r="E24" s="404"/>
      <c r="F24" s="288" t="s">
        <v>867</v>
      </c>
      <c r="G24" s="288"/>
      <c r="H24" s="288"/>
      <c r="I24" s="288"/>
      <c r="J24" s="288"/>
      <c r="K24" s="288"/>
      <c r="L24" s="288"/>
      <c r="M24" s="288"/>
      <c r="N24" s="288"/>
      <c r="O24" s="288"/>
      <c r="P24" s="288"/>
      <c r="Q24" s="288"/>
      <c r="R24" s="288"/>
      <c r="S24" s="288"/>
      <c r="T24" s="288"/>
      <c r="U24" s="288"/>
      <c r="V24" s="288"/>
      <c r="W24" s="288"/>
      <c r="X24" s="288"/>
      <c r="Y24" s="288"/>
      <c r="Z24" s="288"/>
      <c r="AA24" s="288"/>
      <c r="AB24" s="288"/>
      <c r="AC24" s="288"/>
      <c r="AD24" s="288"/>
      <c r="AE24" s="288"/>
      <c r="AF24" s="288"/>
      <c r="AG24" s="288"/>
      <c r="AH24" s="288"/>
      <c r="AI24" s="289"/>
      <c r="AK24" s="527" t="s">
        <v>634</v>
      </c>
      <c r="AL24" s="528"/>
      <c r="AM24" s="528"/>
      <c r="AN24" s="528"/>
      <c r="AO24" s="528"/>
      <c r="AP24" s="528"/>
      <c r="AQ24" s="65"/>
      <c r="AR24" s="43"/>
      <c r="AY24" s="413" t="s">
        <v>635</v>
      </c>
      <c r="AZ24" s="413"/>
      <c r="BA24" s="412"/>
      <c r="BB24" s="412"/>
    </row>
    <row r="25" spans="1:85" ht="18" customHeight="1">
      <c r="A25" s="36"/>
      <c r="B25" s="404">
        <v>0.59722222222222221</v>
      </c>
      <c r="C25" s="404"/>
      <c r="D25" s="404"/>
      <c r="E25" s="404"/>
      <c r="F25" s="288" t="s">
        <v>868</v>
      </c>
      <c r="G25" s="288"/>
      <c r="H25" s="288"/>
      <c r="I25" s="288"/>
      <c r="J25" s="288"/>
      <c r="K25" s="288"/>
      <c r="L25" s="288"/>
      <c r="M25" s="288"/>
      <c r="N25" s="288"/>
      <c r="O25" s="288"/>
      <c r="P25" s="288"/>
      <c r="Q25" s="288"/>
      <c r="R25" s="288"/>
      <c r="S25" s="288"/>
      <c r="T25" s="288"/>
      <c r="U25" s="288"/>
      <c r="V25" s="288"/>
      <c r="W25" s="288"/>
      <c r="X25" s="288"/>
      <c r="Y25" s="288"/>
      <c r="Z25" s="288"/>
      <c r="AA25" s="288"/>
      <c r="AB25" s="288"/>
      <c r="AC25" s="288"/>
      <c r="AD25" s="288"/>
      <c r="AE25" s="288"/>
      <c r="AF25" s="288"/>
      <c r="AG25" s="288"/>
      <c r="AH25" s="288"/>
      <c r="AI25" s="289"/>
      <c r="AK25" s="529" t="s">
        <v>636</v>
      </c>
      <c r="AL25" s="529"/>
      <c r="AM25" s="529"/>
      <c r="AN25" s="529"/>
      <c r="AO25" s="529"/>
      <c r="AP25" s="529"/>
      <c r="AQ25" s="66"/>
      <c r="AR25" s="43"/>
      <c r="AY25" s="413" t="s">
        <v>637</v>
      </c>
      <c r="AZ25" s="413"/>
      <c r="BA25" s="412"/>
      <c r="BB25" s="412"/>
    </row>
    <row r="26" spans="1:85" ht="18" customHeight="1">
      <c r="A26" s="36" t="s">
        <v>189</v>
      </c>
      <c r="B26" s="404">
        <v>0.60416666666666663</v>
      </c>
      <c r="C26" s="404"/>
      <c r="D26" s="404"/>
      <c r="E26" s="404"/>
      <c r="F26" s="288" t="s">
        <v>869</v>
      </c>
      <c r="G26" s="288"/>
      <c r="H26" s="288"/>
      <c r="I26" s="288"/>
      <c r="J26" s="288"/>
      <c r="K26" s="288"/>
      <c r="L26" s="288"/>
      <c r="M26" s="288"/>
      <c r="N26" s="288"/>
      <c r="O26" s="288"/>
      <c r="P26" s="288"/>
      <c r="Q26" s="288"/>
      <c r="R26" s="288"/>
      <c r="S26" s="288"/>
      <c r="T26" s="288"/>
      <c r="U26" s="288"/>
      <c r="V26" s="288"/>
      <c r="W26" s="288"/>
      <c r="X26" s="288"/>
      <c r="Y26" s="288"/>
      <c r="Z26" s="288"/>
      <c r="AA26" s="288"/>
      <c r="AB26" s="288"/>
      <c r="AC26" s="288"/>
      <c r="AD26" s="288"/>
      <c r="AE26" s="288"/>
      <c r="AF26" s="288"/>
      <c r="AG26" s="288"/>
      <c r="AH26" s="288"/>
      <c r="AI26" s="289"/>
      <c r="AK26" s="436" t="s">
        <v>638</v>
      </c>
      <c r="AL26" s="436"/>
      <c r="AM26" s="436"/>
      <c r="AN26" s="436"/>
      <c r="AO26" s="436"/>
      <c r="AP26" s="436"/>
      <c r="AQ26" s="67"/>
      <c r="AR26" s="43"/>
      <c r="AS26" s="548" t="s">
        <v>639</v>
      </c>
      <c r="AT26" s="549"/>
      <c r="AU26" s="549"/>
      <c r="AV26" s="549"/>
      <c r="AW26" s="550"/>
      <c r="AY26" s="147"/>
      <c r="AZ26" s="147"/>
      <c r="BA26" s="147"/>
      <c r="BB26" s="147"/>
    </row>
    <row r="27" spans="1:85" ht="18" customHeight="1">
      <c r="A27" s="36" t="s">
        <v>189</v>
      </c>
      <c r="B27" s="404">
        <v>0.75208333333333333</v>
      </c>
      <c r="C27" s="404"/>
      <c r="D27" s="404"/>
      <c r="E27" s="404"/>
      <c r="F27" s="288" t="s">
        <v>870</v>
      </c>
      <c r="G27" s="288"/>
      <c r="H27" s="288"/>
      <c r="I27" s="288"/>
      <c r="J27" s="288"/>
      <c r="K27" s="288"/>
      <c r="L27" s="288"/>
      <c r="M27" s="288"/>
      <c r="N27" s="288"/>
      <c r="O27" s="288"/>
      <c r="P27" s="288"/>
      <c r="Q27" s="288"/>
      <c r="R27" s="288"/>
      <c r="S27" s="288"/>
      <c r="T27" s="288"/>
      <c r="U27" s="288"/>
      <c r="V27" s="288"/>
      <c r="W27" s="288"/>
      <c r="X27" s="288"/>
      <c r="Y27" s="288"/>
      <c r="Z27" s="288"/>
      <c r="AA27" s="288"/>
      <c r="AB27" s="288"/>
      <c r="AC27" s="288"/>
      <c r="AD27" s="288"/>
      <c r="AE27" s="288"/>
      <c r="AF27" s="288"/>
      <c r="AG27" s="288"/>
      <c r="AH27" s="288"/>
      <c r="AI27" s="289"/>
      <c r="AK27" s="436" t="s">
        <v>640</v>
      </c>
      <c r="AL27" s="436"/>
      <c r="AM27" s="436"/>
      <c r="AN27" s="436"/>
      <c r="AO27" s="436"/>
      <c r="AP27" s="436"/>
      <c r="AQ27" s="67"/>
      <c r="AR27" s="43"/>
      <c r="AS27" s="458" t="s">
        <v>641</v>
      </c>
      <c r="AT27" s="460"/>
      <c r="AU27" s="458" t="s">
        <v>642</v>
      </c>
      <c r="AV27" s="459"/>
      <c r="AW27" s="460"/>
      <c r="AY27" s="411" t="s">
        <v>643</v>
      </c>
      <c r="AZ27" s="411"/>
      <c r="BA27" s="411"/>
      <c r="BB27" s="411"/>
    </row>
    <row r="28" spans="1:85" ht="18" customHeight="1" thickBot="1">
      <c r="A28" s="36"/>
      <c r="B28" s="404">
        <v>0.75624999999999998</v>
      </c>
      <c r="C28" s="404"/>
      <c r="D28" s="404"/>
      <c r="E28" s="404"/>
      <c r="F28" s="288" t="s">
        <v>866</v>
      </c>
      <c r="G28" s="288"/>
      <c r="H28" s="288"/>
      <c r="I28" s="288"/>
      <c r="J28" s="288"/>
      <c r="K28" s="288"/>
      <c r="L28" s="288"/>
      <c r="M28" s="288"/>
      <c r="N28" s="288"/>
      <c r="O28" s="288"/>
      <c r="P28" s="288"/>
      <c r="Q28" s="288"/>
      <c r="R28" s="288"/>
      <c r="S28" s="288"/>
      <c r="T28" s="288"/>
      <c r="U28" s="288"/>
      <c r="V28" s="288"/>
      <c r="W28" s="288"/>
      <c r="X28" s="288"/>
      <c r="Y28" s="288"/>
      <c r="Z28" s="288"/>
      <c r="AA28" s="288"/>
      <c r="AB28" s="288"/>
      <c r="AC28" s="288"/>
      <c r="AD28" s="288"/>
      <c r="AE28" s="288"/>
      <c r="AF28" s="288"/>
      <c r="AG28" s="288"/>
      <c r="AH28" s="288"/>
      <c r="AI28" s="289"/>
      <c r="AK28" s="436" t="s">
        <v>644</v>
      </c>
      <c r="AL28" s="436"/>
      <c r="AM28" s="436"/>
      <c r="AN28" s="436"/>
      <c r="AO28" s="436"/>
      <c r="AP28" s="436"/>
      <c r="AQ28" s="67"/>
      <c r="AR28" s="43"/>
      <c r="AS28" s="538" t="s">
        <v>645</v>
      </c>
      <c r="AT28" s="539"/>
      <c r="AU28" s="533" t="s">
        <v>646</v>
      </c>
      <c r="AV28" s="534"/>
      <c r="AW28" s="535"/>
      <c r="AY28" s="413" t="s">
        <v>647</v>
      </c>
      <c r="AZ28" s="413"/>
      <c r="BA28" s="412"/>
      <c r="BB28" s="412"/>
    </row>
    <row r="29" spans="1:85" ht="18" customHeight="1" thickBot="1">
      <c r="A29" s="36" t="s">
        <v>189</v>
      </c>
      <c r="B29" s="404">
        <v>0.89583333333333337</v>
      </c>
      <c r="C29" s="404"/>
      <c r="D29" s="404"/>
      <c r="E29" s="404"/>
      <c r="F29" s="288" t="s">
        <v>783</v>
      </c>
      <c r="G29" s="288"/>
      <c r="H29" s="288"/>
      <c r="I29" s="288"/>
      <c r="J29" s="288"/>
      <c r="K29" s="288"/>
      <c r="L29" s="288"/>
      <c r="M29" s="288"/>
      <c r="N29" s="288"/>
      <c r="O29" s="288"/>
      <c r="P29" s="288"/>
      <c r="Q29" s="288"/>
      <c r="R29" s="288"/>
      <c r="S29" s="288"/>
      <c r="T29" s="288"/>
      <c r="U29" s="288"/>
      <c r="V29" s="288"/>
      <c r="W29" s="288"/>
      <c r="X29" s="288"/>
      <c r="Y29" s="288"/>
      <c r="Z29" s="288"/>
      <c r="AA29" s="288"/>
      <c r="AB29" s="288"/>
      <c r="AC29" s="288"/>
      <c r="AD29" s="288"/>
      <c r="AE29" s="288"/>
      <c r="AF29" s="288"/>
      <c r="AG29" s="288"/>
      <c r="AH29" s="288"/>
      <c r="AI29" s="289"/>
      <c r="AK29" s="524"/>
      <c r="AL29" s="524"/>
      <c r="AM29" s="524"/>
      <c r="AN29" s="524"/>
      <c r="AO29" s="524"/>
      <c r="AP29" s="524"/>
      <c r="AQ29" s="58"/>
      <c r="AR29" s="43"/>
      <c r="AS29" s="551">
        <v>1.2784722222222222</v>
      </c>
      <c r="AT29" s="552"/>
      <c r="AU29" s="434" t="s">
        <v>646</v>
      </c>
      <c r="AV29" s="434"/>
      <c r="AW29" s="553"/>
      <c r="AY29" s="413" t="s">
        <v>633</v>
      </c>
      <c r="AZ29" s="413"/>
      <c r="BA29" s="412"/>
      <c r="BB29" s="412"/>
    </row>
    <row r="30" spans="1:85" ht="18" customHeight="1">
      <c r="A30" s="36" t="s">
        <v>189</v>
      </c>
      <c r="B30" s="404">
        <v>0.29652777777777778</v>
      </c>
      <c r="C30" s="404"/>
      <c r="D30" s="404"/>
      <c r="E30" s="404"/>
      <c r="F30" s="288" t="s">
        <v>689</v>
      </c>
      <c r="G30" s="288"/>
      <c r="H30" s="288"/>
      <c r="I30" s="288"/>
      <c r="J30" s="288"/>
      <c r="K30" s="288"/>
      <c r="L30" s="288"/>
      <c r="M30" s="288"/>
      <c r="N30" s="288"/>
      <c r="O30" s="288"/>
      <c r="P30" s="288"/>
      <c r="Q30" s="288"/>
      <c r="R30" s="288"/>
      <c r="S30" s="288"/>
      <c r="T30" s="288"/>
      <c r="U30" s="288"/>
      <c r="V30" s="288"/>
      <c r="W30" s="288"/>
      <c r="X30" s="288"/>
      <c r="Y30" s="288"/>
      <c r="Z30" s="288"/>
      <c r="AA30" s="288"/>
      <c r="AB30" s="288"/>
      <c r="AC30" s="288"/>
      <c r="AD30" s="288"/>
      <c r="AE30" s="288"/>
      <c r="AF30" s="288"/>
      <c r="AG30" s="288"/>
      <c r="AH30" s="288"/>
      <c r="AI30" s="289"/>
      <c r="AK30" s="449" t="s">
        <v>648</v>
      </c>
      <c r="AL30" s="450"/>
      <c r="AM30" s="450"/>
      <c r="AN30" s="450"/>
      <c r="AO30" s="450"/>
      <c r="AP30" s="450"/>
      <c r="AQ30" s="62"/>
      <c r="AR30" s="43"/>
      <c r="AS30" s="554">
        <v>1.2763888888888888</v>
      </c>
      <c r="AT30" s="532"/>
      <c r="AU30" s="439" t="s">
        <v>799</v>
      </c>
      <c r="AV30" s="439"/>
      <c r="AW30" s="555"/>
      <c r="AY30" s="413" t="s">
        <v>649</v>
      </c>
      <c r="AZ30" s="413"/>
      <c r="BA30" s="412"/>
      <c r="BB30" s="412"/>
    </row>
    <row r="31" spans="1:85" ht="18" customHeight="1" thickBot="1">
      <c r="A31" s="37"/>
      <c r="B31" s="466"/>
      <c r="C31" s="466"/>
      <c r="D31" s="466"/>
      <c r="E31" s="466"/>
      <c r="F31" s="467"/>
      <c r="G31" s="467"/>
      <c r="H31" s="467"/>
      <c r="I31" s="467"/>
      <c r="J31" s="467"/>
      <c r="K31" s="467"/>
      <c r="L31" s="467"/>
      <c r="M31" s="467"/>
      <c r="N31" s="467"/>
      <c r="O31" s="467"/>
      <c r="P31" s="467"/>
      <c r="Q31" s="467"/>
      <c r="R31" s="467"/>
      <c r="S31" s="467"/>
      <c r="T31" s="467"/>
      <c r="U31" s="467"/>
      <c r="V31" s="467"/>
      <c r="W31" s="467"/>
      <c r="X31" s="467"/>
      <c r="Y31" s="467"/>
      <c r="Z31" s="467"/>
      <c r="AA31" s="467"/>
      <c r="AB31" s="467"/>
      <c r="AC31" s="467"/>
      <c r="AD31" s="467"/>
      <c r="AE31" s="467"/>
      <c r="AF31" s="467"/>
      <c r="AG31" s="467"/>
      <c r="AH31" s="467"/>
      <c r="AI31" s="468"/>
      <c r="AK31" s="451" t="s">
        <v>650</v>
      </c>
      <c r="AL31" s="416"/>
      <c r="AM31" s="416"/>
      <c r="AN31" s="416"/>
      <c r="AO31" s="416"/>
      <c r="AP31" s="416"/>
      <c r="AQ31" s="64"/>
      <c r="AR31" s="48"/>
      <c r="AS31" s="556"/>
      <c r="AT31" s="557"/>
      <c r="AU31" s="424"/>
      <c r="AV31" s="424"/>
      <c r="AW31" s="491"/>
      <c r="AY31" s="413" t="s">
        <v>637</v>
      </c>
      <c r="AZ31" s="413"/>
      <c r="BA31" s="412"/>
      <c r="BB31" s="412"/>
    </row>
    <row r="32" spans="1:85" ht="18" customHeight="1" thickBot="1">
      <c r="A32" s="406" t="s">
        <v>651</v>
      </c>
      <c r="B32" s="407"/>
      <c r="C32" s="407"/>
      <c r="D32" s="407"/>
      <c r="E32" s="407"/>
      <c r="F32" s="407"/>
      <c r="G32" s="407"/>
      <c r="H32" s="407"/>
      <c r="I32" s="407"/>
      <c r="J32" s="407"/>
      <c r="K32" s="407"/>
      <c r="L32" s="407"/>
      <c r="M32" s="407"/>
      <c r="N32" s="407"/>
      <c r="O32" s="407"/>
      <c r="P32" s="407"/>
      <c r="Q32" s="407"/>
      <c r="R32" s="407"/>
      <c r="S32" s="407"/>
      <c r="T32" s="407"/>
      <c r="U32" s="407"/>
      <c r="V32" s="407"/>
      <c r="W32" s="407"/>
      <c r="X32" s="407"/>
      <c r="Y32" s="407"/>
      <c r="Z32" s="407"/>
      <c r="AA32" s="407"/>
      <c r="AB32" s="407"/>
      <c r="AC32" s="407"/>
      <c r="AD32" s="407"/>
      <c r="AE32" s="407"/>
      <c r="AF32" s="407"/>
      <c r="AG32" s="407"/>
      <c r="AH32" s="407"/>
      <c r="AI32" s="408"/>
      <c r="AK32" s="531"/>
      <c r="AL32" s="531"/>
      <c r="AM32" s="531"/>
      <c r="AN32" s="531"/>
      <c r="AO32" s="531"/>
      <c r="AP32" s="531"/>
      <c r="AQ32" s="61"/>
      <c r="AR32" s="48"/>
      <c r="AS32" s="558"/>
      <c r="AT32" s="558"/>
      <c r="AU32" s="559"/>
      <c r="AV32" s="559"/>
      <c r="AW32" s="559"/>
      <c r="AY32" s="413" t="s">
        <v>652</v>
      </c>
      <c r="AZ32" s="413"/>
      <c r="BA32" s="412"/>
      <c r="BB32" s="412"/>
    </row>
    <row r="33" spans="1:80" ht="18" customHeight="1">
      <c r="A33" s="39"/>
      <c r="B33" s="546" t="s">
        <v>653</v>
      </c>
      <c r="C33" s="546"/>
      <c r="D33" s="546"/>
      <c r="E33" s="546"/>
      <c r="F33" s="417" t="str" cm="1">
        <f t="array" ref="F33">_xlfn.TEXTJOIN("/",TRUE,IF(AS29:AS31&lt;&gt;"",TEXT(AS29:AS31,"h:mm")&amp;" "&amp;AU29:AU31,""))</f>
        <v>6:41 45階屋外ストレージ1/6:38 45階屋外ストレージ2</v>
      </c>
      <c r="G33" s="418"/>
      <c r="H33" s="418"/>
      <c r="I33" s="418"/>
      <c r="J33" s="418"/>
      <c r="K33" s="418"/>
      <c r="L33" s="418"/>
      <c r="M33" s="418"/>
      <c r="N33" s="418"/>
      <c r="O33" s="418"/>
      <c r="P33" s="418"/>
      <c r="Q33" s="418"/>
      <c r="R33" s="418"/>
      <c r="S33" s="418"/>
      <c r="T33" s="418"/>
      <c r="U33" s="418"/>
      <c r="V33" s="418"/>
      <c r="W33" s="418"/>
      <c r="X33" s="418"/>
      <c r="Y33" s="418"/>
      <c r="Z33" s="418"/>
      <c r="AA33" s="418"/>
      <c r="AB33" s="418"/>
      <c r="AC33" s="418"/>
      <c r="AD33" s="418"/>
      <c r="AE33" s="418"/>
      <c r="AF33" s="418"/>
      <c r="AG33" s="418"/>
      <c r="AH33" s="418"/>
      <c r="AI33" s="419"/>
      <c r="AK33" s="449" t="s">
        <v>654</v>
      </c>
      <c r="AL33" s="450"/>
      <c r="AM33" s="450"/>
      <c r="AN33" s="450"/>
      <c r="AO33" s="450"/>
      <c r="AP33" s="450"/>
      <c r="AQ33" s="60"/>
      <c r="AR33" s="48"/>
      <c r="AS33" s="532"/>
      <c r="AT33" s="532"/>
      <c r="AU33" s="439"/>
      <c r="AV33" s="439"/>
      <c r="AW33" s="439"/>
      <c r="AY33" s="413" t="s">
        <v>655</v>
      </c>
      <c r="AZ33" s="413"/>
      <c r="BA33" s="412"/>
      <c r="BB33" s="412"/>
    </row>
    <row r="34" spans="1:80" ht="18" customHeight="1" thickBot="1">
      <c r="A34" s="39"/>
      <c r="B34" s="546" t="s">
        <v>656</v>
      </c>
      <c r="C34" s="546"/>
      <c r="D34" s="546"/>
      <c r="E34" s="546"/>
      <c r="F34" s="420" t="s">
        <v>79</v>
      </c>
      <c r="G34" s="420"/>
      <c r="H34" s="420"/>
      <c r="I34" s="420"/>
      <c r="J34" s="420"/>
      <c r="K34" s="420"/>
      <c r="L34" s="420"/>
      <c r="M34" s="420"/>
      <c r="N34" s="420"/>
      <c r="O34" s="420"/>
      <c r="P34" s="420"/>
      <c r="Q34" s="420"/>
      <c r="R34" s="420"/>
      <c r="S34" s="420"/>
      <c r="T34" s="420"/>
      <c r="U34" s="420"/>
      <c r="V34" s="420"/>
      <c r="W34" s="420"/>
      <c r="X34" s="420"/>
      <c r="Y34" s="420"/>
      <c r="Z34" s="420"/>
      <c r="AA34" s="420"/>
      <c r="AB34" s="420"/>
      <c r="AC34" s="421"/>
      <c r="AD34" s="421"/>
      <c r="AE34" s="421"/>
      <c r="AF34" s="421"/>
      <c r="AG34" s="421"/>
      <c r="AH34" s="421"/>
      <c r="AI34" s="422"/>
      <c r="AK34" s="451" t="s">
        <v>657</v>
      </c>
      <c r="AL34" s="416"/>
      <c r="AM34" s="416"/>
      <c r="AN34" s="416"/>
      <c r="AO34" s="416"/>
      <c r="AP34" s="416"/>
      <c r="AQ34" s="56"/>
      <c r="AR34" s="48"/>
      <c r="AS34" s="532"/>
      <c r="AT34" s="532"/>
      <c r="AU34" s="439"/>
      <c r="AV34" s="439"/>
      <c r="AW34" s="439"/>
      <c r="AY34" s="413" t="s">
        <v>658</v>
      </c>
      <c r="AZ34" s="413"/>
      <c r="BA34" s="412"/>
      <c r="BB34" s="412"/>
    </row>
    <row r="35" spans="1:80" ht="18" customHeight="1" thickBot="1">
      <c r="A35" s="57"/>
      <c r="B35" s="547" t="s">
        <v>659</v>
      </c>
      <c r="C35" s="547"/>
      <c r="D35" s="547"/>
      <c r="E35" s="547"/>
      <c r="F35" s="389" t="s">
        <v>660</v>
      </c>
      <c r="G35" s="389"/>
      <c r="H35" s="389"/>
      <c r="I35" s="389"/>
      <c r="J35" s="389"/>
      <c r="K35" s="389"/>
      <c r="L35" s="389"/>
      <c r="M35" s="389"/>
      <c r="N35" s="389"/>
      <c r="O35" s="389"/>
      <c r="P35" s="389"/>
      <c r="Q35" s="389"/>
      <c r="R35" s="389"/>
      <c r="S35" s="389"/>
      <c r="T35" s="389"/>
      <c r="U35" s="389"/>
      <c r="V35" s="389"/>
      <c r="W35" s="390" t="s">
        <v>661</v>
      </c>
      <c r="X35" s="391"/>
      <c r="Y35" s="391"/>
      <c r="Z35" s="391"/>
      <c r="AA35" s="391"/>
      <c r="AB35" s="391"/>
      <c r="AC35" s="392" t="s">
        <v>662</v>
      </c>
      <c r="AD35" s="393"/>
      <c r="AE35" s="393"/>
      <c r="AF35" s="393"/>
      <c r="AG35" s="393"/>
      <c r="AH35" s="393"/>
      <c r="AI35" s="394"/>
      <c r="AK35" s="531"/>
      <c r="AL35" s="531"/>
      <c r="AM35" s="531"/>
      <c r="AN35" s="531"/>
      <c r="AO35" s="531"/>
      <c r="AP35" s="531"/>
      <c r="AQ35" s="61"/>
      <c r="AR35" s="48"/>
      <c r="AS35" s="532"/>
      <c r="AT35" s="532"/>
      <c r="AU35" s="439"/>
      <c r="AV35" s="439"/>
      <c r="AW35" s="439"/>
      <c r="AY35" s="413" t="s">
        <v>663</v>
      </c>
      <c r="AZ35" s="413"/>
      <c r="BA35" s="412"/>
      <c r="BB35" s="412"/>
    </row>
    <row r="36" spans="1:80" ht="18" customHeight="1" thickBot="1">
      <c r="A36" s="492" t="s">
        <v>664</v>
      </c>
      <c r="B36" s="493"/>
      <c r="C36" s="493"/>
      <c r="D36" s="493"/>
      <c r="E36" s="493"/>
      <c r="F36" s="498">
        <v>4.1666666666666664E-2</v>
      </c>
      <c r="G36" s="439"/>
      <c r="H36" s="439"/>
      <c r="I36" s="439"/>
      <c r="J36" s="439"/>
      <c r="K36" s="439"/>
      <c r="L36" s="499" t="s">
        <v>665</v>
      </c>
      <c r="M36" s="489"/>
      <c r="N36" s="489"/>
      <c r="O36" s="500"/>
      <c r="P36" s="410" t="s">
        <v>72</v>
      </c>
      <c r="Q36" s="410"/>
      <c r="R36" s="410"/>
      <c r="S36" s="55" t="s">
        <v>666</v>
      </c>
      <c r="T36" s="410" t="s">
        <v>50</v>
      </c>
      <c r="U36" s="410"/>
      <c r="V36" s="530"/>
      <c r="W36" s="489" t="s">
        <v>667</v>
      </c>
      <c r="X36" s="489"/>
      <c r="Y36" s="489"/>
      <c r="Z36" s="489"/>
      <c r="AA36" s="489"/>
      <c r="AB36" s="489"/>
      <c r="AC36" s="490" t="s">
        <v>722</v>
      </c>
      <c r="AD36" s="487"/>
      <c r="AE36" s="487"/>
      <c r="AF36" s="487"/>
      <c r="AG36" s="487"/>
      <c r="AH36" s="487"/>
      <c r="AI36" s="488"/>
      <c r="AK36" s="525" t="s">
        <v>668</v>
      </c>
      <c r="AL36" s="526"/>
      <c r="AM36" s="526"/>
      <c r="AN36" s="526"/>
      <c r="AO36" s="526"/>
      <c r="AP36" s="526"/>
      <c r="AQ36" s="117"/>
      <c r="AR36" s="48"/>
      <c r="AS36" s="532"/>
      <c r="AT36" s="532"/>
      <c r="AU36" s="439"/>
      <c r="AV36" s="439"/>
      <c r="AW36" s="439"/>
      <c r="BH36" s="50"/>
      <c r="BI36" s="51"/>
    </row>
    <row r="37" spans="1:80" ht="18" customHeight="1" thickBot="1">
      <c r="A37" s="494" t="s">
        <v>669</v>
      </c>
      <c r="B37" s="495"/>
      <c r="C37" s="495"/>
      <c r="D37" s="495"/>
      <c r="E37" s="495"/>
      <c r="F37" s="487"/>
      <c r="G37" s="487"/>
      <c r="H37" s="487"/>
      <c r="I37" s="487"/>
      <c r="J37" s="487"/>
      <c r="K37" s="487"/>
      <c r="L37" s="487"/>
      <c r="M37" s="487"/>
      <c r="N37" s="487"/>
      <c r="O37" s="487"/>
      <c r="P37" s="487"/>
      <c r="Q37" s="487"/>
      <c r="R37" s="487"/>
      <c r="S37" s="487"/>
      <c r="T37" s="487"/>
      <c r="U37" s="487"/>
      <c r="V37" s="487"/>
      <c r="W37" s="487"/>
      <c r="X37" s="487"/>
      <c r="Y37" s="487"/>
      <c r="Z37" s="487"/>
      <c r="AA37" s="487"/>
      <c r="AB37" s="487"/>
      <c r="AC37" s="487"/>
      <c r="AD37" s="487"/>
      <c r="AE37" s="487"/>
      <c r="AF37" s="487"/>
      <c r="AG37" s="487"/>
      <c r="AH37" s="487"/>
      <c r="AI37" s="488"/>
      <c r="AK37" s="544" t="s">
        <v>240</v>
      </c>
      <c r="AL37" s="545"/>
      <c r="AM37" s="545"/>
      <c r="AN37" s="545"/>
      <c r="AO37" s="545"/>
      <c r="AP37" s="545"/>
      <c r="AQ37" s="122"/>
      <c r="AR37" s="48"/>
      <c r="AS37" s="532"/>
      <c r="AT37" s="532"/>
      <c r="AU37" s="439"/>
      <c r="AV37" s="439"/>
      <c r="AW37" s="439"/>
      <c r="BH37" s="50"/>
      <c r="BI37" s="51"/>
    </row>
    <row r="38" spans="1:80" ht="18" customHeight="1" thickBot="1">
      <c r="A38" s="496" t="s">
        <v>670</v>
      </c>
      <c r="B38" s="497"/>
      <c r="C38" s="497"/>
      <c r="D38" s="497"/>
      <c r="E38" s="497"/>
      <c r="F38" s="416" t="s">
        <v>667</v>
      </c>
      <c r="G38" s="416"/>
      <c r="H38" s="416"/>
      <c r="I38" s="416"/>
      <c r="J38" s="416"/>
      <c r="K38" s="416"/>
      <c r="L38" s="424" t="s">
        <v>722</v>
      </c>
      <c r="M38" s="424"/>
      <c r="N38" s="424"/>
      <c r="O38" s="424"/>
      <c r="P38" s="416" t="s">
        <v>671</v>
      </c>
      <c r="Q38" s="416"/>
      <c r="R38" s="416"/>
      <c r="S38" s="416"/>
      <c r="T38" s="416"/>
      <c r="U38" s="416"/>
      <c r="V38" s="416"/>
      <c r="W38" s="416" t="s">
        <v>667</v>
      </c>
      <c r="X38" s="416"/>
      <c r="Y38" s="416"/>
      <c r="Z38" s="416"/>
      <c r="AA38" s="416"/>
      <c r="AB38" s="416"/>
      <c r="AC38" s="424" t="s">
        <v>722</v>
      </c>
      <c r="AD38" s="424"/>
      <c r="AE38" s="424"/>
      <c r="AF38" s="424"/>
      <c r="AG38" s="424"/>
      <c r="AH38" s="424"/>
      <c r="AI38" s="491"/>
      <c r="AK38" s="543"/>
      <c r="AL38" s="543"/>
      <c r="AM38" s="543"/>
      <c r="AN38" s="543"/>
      <c r="AO38" s="543"/>
      <c r="AP38" s="543"/>
      <c r="AQ38" s="59"/>
      <c r="AR38" s="48"/>
      <c r="BC38" s="50"/>
      <c r="BD38" s="51"/>
    </row>
    <row r="39" spans="1:80" ht="18" customHeight="1">
      <c r="A39" s="452" t="s">
        <v>672</v>
      </c>
      <c r="B39" s="453"/>
      <c r="C39" s="453"/>
      <c r="D39" s="453"/>
      <c r="E39" s="453"/>
      <c r="F39" s="453"/>
      <c r="G39" s="453"/>
      <c r="H39" s="453"/>
      <c r="I39" s="453"/>
      <c r="J39" s="453"/>
      <c r="K39" s="453"/>
      <c r="L39" s="453"/>
      <c r="M39" s="453"/>
      <c r="N39" s="453"/>
      <c r="O39" s="453"/>
      <c r="P39" s="453"/>
      <c r="Q39" s="453"/>
      <c r="R39" s="453"/>
      <c r="S39" s="453"/>
      <c r="T39" s="453"/>
      <c r="U39" s="453"/>
      <c r="V39" s="453"/>
      <c r="W39" s="453"/>
      <c r="X39" s="453"/>
      <c r="Y39" s="453"/>
      <c r="Z39" s="453"/>
      <c r="AA39" s="453"/>
      <c r="AB39" s="453"/>
      <c r="AC39" s="453"/>
      <c r="AD39" s="453"/>
      <c r="AE39" s="453"/>
      <c r="AF39" s="453"/>
      <c r="AG39" s="453"/>
      <c r="AH39" s="453"/>
      <c r="AI39" s="454"/>
      <c r="AK39" s="444" t="s">
        <v>673</v>
      </c>
      <c r="AL39" s="444"/>
      <c r="AM39" s="444"/>
      <c r="AN39" s="444"/>
      <c r="AO39" s="444"/>
      <c r="AP39" s="444"/>
      <c r="AQ39" s="42"/>
      <c r="AR39" s="48"/>
      <c r="AS39" s="423" t="s">
        <v>526</v>
      </c>
      <c r="AT39" s="423"/>
      <c r="AU39" s="148">
        <v>23</v>
      </c>
      <c r="AV39" s="423" t="s">
        <v>528</v>
      </c>
      <c r="AW39" s="423"/>
      <c r="BC39" s="50"/>
      <c r="BD39" s="51"/>
    </row>
    <row r="40" spans="1:80" ht="18" customHeight="1">
      <c r="A40" s="464" t="s">
        <v>674</v>
      </c>
      <c r="B40" s="459"/>
      <c r="C40" s="459"/>
      <c r="D40" s="459"/>
      <c r="E40" s="470" t="s">
        <v>675</v>
      </c>
      <c r="F40" s="471"/>
      <c r="G40" s="471"/>
      <c r="H40" s="471"/>
      <c r="I40" s="471"/>
      <c r="J40" s="471"/>
      <c r="K40" s="472"/>
      <c r="L40" s="458" t="s">
        <v>676</v>
      </c>
      <c r="M40" s="459"/>
      <c r="N40" s="459"/>
      <c r="O40" s="459"/>
      <c r="P40" s="459"/>
      <c r="Q40" s="459"/>
      <c r="R40" s="460"/>
      <c r="S40" s="458" t="s">
        <v>677</v>
      </c>
      <c r="T40" s="459"/>
      <c r="U40" s="459"/>
      <c r="V40" s="459"/>
      <c r="W40" s="470" t="s">
        <v>675</v>
      </c>
      <c r="X40" s="471"/>
      <c r="Y40" s="471"/>
      <c r="Z40" s="471"/>
      <c r="AA40" s="471"/>
      <c r="AB40" s="471"/>
      <c r="AC40" s="472"/>
      <c r="AD40" s="458" t="s">
        <v>678</v>
      </c>
      <c r="AE40" s="459"/>
      <c r="AF40" s="459"/>
      <c r="AG40" s="459"/>
      <c r="AH40" s="459"/>
      <c r="AI40" s="463"/>
      <c r="AK40" s="444" t="s">
        <v>679</v>
      </c>
      <c r="AL40" s="444"/>
      <c r="AM40" s="444"/>
      <c r="AN40" s="444"/>
      <c r="AO40" s="444"/>
      <c r="AP40" s="444"/>
      <c r="AQ40" s="42"/>
      <c r="AR40" s="48"/>
      <c r="AS40" s="423" t="s">
        <v>527</v>
      </c>
      <c r="AT40" s="423"/>
      <c r="AU40" s="148">
        <v>26</v>
      </c>
      <c r="AV40" s="560">
        <v>0.78</v>
      </c>
      <c r="AW40" s="560"/>
      <c r="BC40" s="50"/>
      <c r="BD40" s="51"/>
    </row>
    <row r="41" spans="1:80" ht="18" customHeight="1">
      <c r="A41" s="464" t="s">
        <v>16</v>
      </c>
      <c r="B41" s="459"/>
      <c r="C41" s="459"/>
      <c r="D41" s="459"/>
      <c r="E41" s="469">
        <f>AX10</f>
        <v>0.33333333333333331</v>
      </c>
      <c r="F41" s="456"/>
      <c r="G41" s="456"/>
      <c r="H41" s="144" t="s">
        <v>680</v>
      </c>
      <c r="I41" s="456">
        <f>AY10</f>
        <v>0.83333333333333337</v>
      </c>
      <c r="J41" s="456"/>
      <c r="K41" s="457"/>
      <c r="L41" s="458" t="str">
        <f>AU10</f>
        <v>三角龍彦</v>
      </c>
      <c r="M41" s="459"/>
      <c r="N41" s="459"/>
      <c r="O41" s="459"/>
      <c r="P41" s="459"/>
      <c r="Q41" s="459"/>
      <c r="R41" s="460"/>
      <c r="S41" s="409" t="s">
        <v>31</v>
      </c>
      <c r="T41" s="410"/>
      <c r="U41" s="410"/>
      <c r="V41" s="410"/>
      <c r="W41" s="414">
        <v>0.39583333333333331</v>
      </c>
      <c r="X41" s="415"/>
      <c r="Y41" s="415"/>
      <c r="Z41" s="40" t="s">
        <v>680</v>
      </c>
      <c r="AA41" s="415">
        <v>0.77083333333333337</v>
      </c>
      <c r="AB41" s="415"/>
      <c r="AC41" s="461"/>
      <c r="AD41" s="409" t="str">
        <f>AU14</f>
        <v>藤井隆幸</v>
      </c>
      <c r="AE41" s="410"/>
      <c r="AF41" s="410"/>
      <c r="AG41" s="410"/>
      <c r="AH41" s="410"/>
      <c r="AI41" s="462"/>
      <c r="AK41" s="444" t="s">
        <v>681</v>
      </c>
      <c r="AL41" s="444"/>
      <c r="AM41" s="444"/>
      <c r="AN41" s="444"/>
      <c r="AO41" s="444"/>
      <c r="AP41" s="444"/>
      <c r="AQ41" s="42"/>
      <c r="AR41" s="48"/>
      <c r="BC41" s="50"/>
      <c r="BD41" s="51"/>
    </row>
    <row r="42" spans="1:80" ht="18" customHeight="1">
      <c r="A42" s="464" t="s">
        <v>24</v>
      </c>
      <c r="B42" s="459"/>
      <c r="C42" s="459"/>
      <c r="D42" s="459"/>
      <c r="E42" s="469">
        <f>AX13</f>
        <v>0.33333333333333331</v>
      </c>
      <c r="F42" s="456"/>
      <c r="G42" s="456"/>
      <c r="H42" s="144" t="s">
        <v>680</v>
      </c>
      <c r="I42" s="456">
        <f>AY12</f>
        <v>0.83333333333333337</v>
      </c>
      <c r="J42" s="456"/>
      <c r="K42" s="457"/>
      <c r="L42" s="458" t="str">
        <f>AU13</f>
        <v>木村重明</v>
      </c>
      <c r="M42" s="459"/>
      <c r="N42" s="459"/>
      <c r="O42" s="459"/>
      <c r="P42" s="459"/>
      <c r="Q42" s="459"/>
      <c r="R42" s="460"/>
      <c r="S42" s="409"/>
      <c r="T42" s="410"/>
      <c r="U42" s="410"/>
      <c r="V42" s="410"/>
      <c r="W42" s="414"/>
      <c r="X42" s="415"/>
      <c r="Y42" s="415"/>
      <c r="Z42" s="136"/>
      <c r="AA42" s="415"/>
      <c r="AB42" s="415"/>
      <c r="AC42" s="461"/>
      <c r="AD42" s="409">
        <f>AU15</f>
        <v>0</v>
      </c>
      <c r="AE42" s="410"/>
      <c r="AF42" s="410"/>
      <c r="AG42" s="410"/>
      <c r="AH42" s="410"/>
      <c r="AI42" s="462"/>
      <c r="AK42" s="445" t="s">
        <v>682</v>
      </c>
      <c r="AL42" s="445"/>
      <c r="AM42" s="445"/>
      <c r="AN42" s="445"/>
      <c r="AO42" s="445"/>
      <c r="AP42" s="445"/>
      <c r="AQ42" s="42"/>
      <c r="AR42" s="48"/>
      <c r="AS42" s="561" t="s">
        <v>683</v>
      </c>
      <c r="AT42" s="561"/>
      <c r="AU42" s="561"/>
      <c r="AV42" s="561"/>
      <c r="AW42" s="561"/>
      <c r="BC42" s="50"/>
      <c r="BD42" s="51"/>
    </row>
    <row r="43" spans="1:80" ht="18" customHeight="1">
      <c r="A43" s="464" t="s">
        <v>38</v>
      </c>
      <c r="B43" s="459"/>
      <c r="C43" s="459"/>
      <c r="D43" s="459"/>
      <c r="E43" s="469">
        <f>AX16</f>
        <v>0.83333333333333337</v>
      </c>
      <c r="F43" s="456"/>
      <c r="G43" s="456"/>
      <c r="H43" s="144" t="s">
        <v>680</v>
      </c>
      <c r="I43" s="456" t="str">
        <f>AY16</f>
        <v>翌8:00</v>
      </c>
      <c r="J43" s="456"/>
      <c r="K43" s="457"/>
      <c r="L43" s="458" t="str">
        <f>AU16</f>
        <v>片山薫</v>
      </c>
      <c r="M43" s="459"/>
      <c r="N43" s="459"/>
      <c r="O43" s="459"/>
      <c r="P43" s="459"/>
      <c r="Q43" s="459"/>
      <c r="R43" s="460"/>
      <c r="S43" s="409"/>
      <c r="T43" s="410"/>
      <c r="U43" s="410"/>
      <c r="V43" s="410"/>
      <c r="W43" s="414"/>
      <c r="X43" s="415"/>
      <c r="Y43" s="415"/>
      <c r="Z43" s="136"/>
      <c r="AA43" s="415"/>
      <c r="AB43" s="415"/>
      <c r="AC43" s="461"/>
      <c r="AD43" s="486">
        <f>AU18</f>
        <v>0</v>
      </c>
      <c r="AE43" s="410"/>
      <c r="AF43" s="410"/>
      <c r="AG43" s="410"/>
      <c r="AH43" s="410"/>
      <c r="AI43" s="462"/>
      <c r="AK43" s="444" t="s">
        <v>684</v>
      </c>
      <c r="AL43" s="444"/>
      <c r="AM43" s="444"/>
      <c r="AN43" s="444"/>
      <c r="AO43" s="444"/>
      <c r="AP43" s="444"/>
      <c r="AQ43" s="42"/>
      <c r="AR43" s="43"/>
      <c r="AW43"/>
      <c r="AX43"/>
      <c r="AY43"/>
      <c r="AZ43"/>
      <c r="BA43"/>
      <c r="BB43"/>
      <c r="BC43" s="50"/>
      <c r="BD43" s="51"/>
      <c r="BE43"/>
      <c r="BF43"/>
      <c r="BG43"/>
      <c r="BH43"/>
      <c r="BI43"/>
      <c r="BJ43"/>
      <c r="BK43"/>
      <c r="BL43"/>
      <c r="BM43"/>
      <c r="BN43"/>
      <c r="BO43"/>
      <c r="BP43"/>
      <c r="BQ43"/>
      <c r="BR43"/>
      <c r="BS43"/>
      <c r="BT43"/>
      <c r="BU43"/>
      <c r="BV43"/>
      <c r="BW43"/>
      <c r="BX43"/>
      <c r="BY43"/>
      <c r="BZ43"/>
      <c r="CA43"/>
      <c r="CB43"/>
    </row>
    <row r="44" spans="1:80" ht="18" customHeight="1" thickBot="1">
      <c r="A44" s="473" t="s">
        <v>45</v>
      </c>
      <c r="B44" s="474"/>
      <c r="C44" s="474"/>
      <c r="D44" s="474"/>
      <c r="E44" s="475">
        <f>AX17</f>
        <v>0.83333333333333337</v>
      </c>
      <c r="F44" s="476"/>
      <c r="G44" s="476"/>
      <c r="H44" s="145" t="s">
        <v>680</v>
      </c>
      <c r="I44" s="476" t="str">
        <f>AY17</f>
        <v>翌8:00</v>
      </c>
      <c r="J44" s="476"/>
      <c r="K44" s="477"/>
      <c r="L44" s="478" t="str">
        <f>AU17</f>
        <v>末廣信行</v>
      </c>
      <c r="M44" s="478"/>
      <c r="N44" s="478"/>
      <c r="O44" s="478"/>
      <c r="P44" s="478"/>
      <c r="Q44" s="478"/>
      <c r="R44" s="478"/>
      <c r="S44" s="479"/>
      <c r="T44" s="480"/>
      <c r="U44" s="480"/>
      <c r="V44" s="480"/>
      <c r="W44" s="481"/>
      <c r="X44" s="482"/>
      <c r="Y44" s="482"/>
      <c r="Z44" s="137"/>
      <c r="AA44" s="482"/>
      <c r="AB44" s="482"/>
      <c r="AC44" s="483"/>
      <c r="AD44" s="484">
        <f>AU19</f>
        <v>0</v>
      </c>
      <c r="AE44" s="480"/>
      <c r="AF44" s="480"/>
      <c r="AG44" s="480"/>
      <c r="AH44" s="480"/>
      <c r="AI44" s="485"/>
      <c r="AK44" s="446" t="s">
        <v>685</v>
      </c>
      <c r="AL44" s="446"/>
      <c r="AM44" s="446"/>
      <c r="AN44" s="446"/>
      <c r="AO44" s="446"/>
      <c r="AP44" s="446"/>
      <c r="AQ44" s="42"/>
      <c r="AR44" s="43"/>
      <c r="BC44" s="50"/>
      <c r="BD44" s="51"/>
    </row>
    <row r="45" spans="1:80" ht="18" customHeight="1" thickBot="1">
      <c r="A45" s="27"/>
      <c r="B45" s="27"/>
      <c r="C45" s="27"/>
      <c r="D45" s="27"/>
      <c r="E45" s="27"/>
      <c r="F45" s="27"/>
      <c r="G45" s="27"/>
      <c r="H45" s="27"/>
      <c r="I45" s="27"/>
      <c r="R45" s="307">
        <f>A7</f>
        <v>46191</v>
      </c>
      <c r="S45" s="308"/>
      <c r="T45" s="308"/>
      <c r="U45" s="308"/>
      <c r="V45" s="23" t="s">
        <v>169</v>
      </c>
      <c r="W45" s="309">
        <f>G7</f>
        <v>46191</v>
      </c>
      <c r="X45" s="308"/>
      <c r="Y45" s="23" t="s">
        <v>170</v>
      </c>
      <c r="Z45" s="310">
        <f>K7</f>
        <v>46191</v>
      </c>
      <c r="AA45" s="308"/>
      <c r="AB45" s="23" t="s">
        <v>3</v>
      </c>
      <c r="AC45" s="455">
        <f>O7</f>
        <v>46191</v>
      </c>
      <c r="AD45" s="308"/>
      <c r="AE45" s="308" t="s">
        <v>292</v>
      </c>
      <c r="AF45" s="308"/>
      <c r="AK45" s="425" t="s">
        <v>686</v>
      </c>
      <c r="AL45" s="425"/>
      <c r="AM45" s="425"/>
      <c r="AN45" s="425"/>
      <c r="AO45" s="425"/>
      <c r="AP45" s="425"/>
      <c r="AQ45" s="42"/>
      <c r="AR45" s="43"/>
      <c r="BC45" s="50"/>
      <c r="BD45" s="51"/>
    </row>
    <row r="46" spans="1:80" customFormat="1" ht="18" customHeight="1">
      <c r="A46" s="452" t="s">
        <v>598</v>
      </c>
      <c r="B46" s="453"/>
      <c r="C46" s="453"/>
      <c r="D46" s="453"/>
      <c r="E46" s="453"/>
      <c r="F46" s="453"/>
      <c r="G46" s="453"/>
      <c r="H46" s="453"/>
      <c r="I46" s="453"/>
      <c r="J46" s="453"/>
      <c r="K46" s="453"/>
      <c r="L46" s="453"/>
      <c r="M46" s="453"/>
      <c r="N46" s="453"/>
      <c r="O46" s="453"/>
      <c r="P46" s="453"/>
      <c r="Q46" s="453"/>
      <c r="R46" s="453"/>
      <c r="S46" s="453"/>
      <c r="T46" s="453"/>
      <c r="U46" s="453"/>
      <c r="V46" s="453"/>
      <c r="W46" s="453"/>
      <c r="X46" s="453"/>
      <c r="Y46" s="453"/>
      <c r="Z46" s="453"/>
      <c r="AA46" s="453"/>
      <c r="AB46" s="453"/>
      <c r="AC46" s="453"/>
      <c r="AD46" s="453"/>
      <c r="AE46" s="453"/>
      <c r="AF46" s="453"/>
      <c r="AG46" s="453"/>
      <c r="AH46" s="453"/>
      <c r="AI46" s="454"/>
      <c r="AK46" s="425" t="s">
        <v>687</v>
      </c>
      <c r="AL46" s="425"/>
      <c r="AM46" s="425"/>
      <c r="AN46" s="425"/>
      <c r="AO46" s="425"/>
      <c r="AP46" s="425"/>
      <c r="AQ46" s="42"/>
      <c r="AR46" s="43"/>
      <c r="AW46" s="23"/>
      <c r="AX46" s="23"/>
      <c r="AY46" s="23"/>
      <c r="AZ46" s="23"/>
      <c r="BA46" s="23"/>
      <c r="BB46" s="23"/>
      <c r="BC46" s="50"/>
      <c r="BD46" s="51"/>
      <c r="BE46" s="23"/>
      <c r="BF46" s="23"/>
      <c r="BG46" s="23"/>
      <c r="BH46" s="23"/>
      <c r="BI46" s="23"/>
      <c r="BJ46" s="23"/>
      <c r="BK46" s="23"/>
      <c r="BL46" s="23"/>
      <c r="BM46" s="23"/>
      <c r="BN46" s="23"/>
      <c r="BO46" s="23"/>
      <c r="BP46" s="23"/>
      <c r="BQ46" s="23"/>
      <c r="BR46" s="23"/>
      <c r="BS46" s="23"/>
      <c r="BT46" s="23"/>
      <c r="BU46" s="23"/>
      <c r="BV46" s="23"/>
      <c r="BW46" s="23"/>
      <c r="BX46" s="23"/>
      <c r="BY46" s="23"/>
      <c r="BZ46" s="23"/>
      <c r="CA46" s="23"/>
      <c r="CB46" s="23"/>
    </row>
    <row r="47" spans="1:80" ht="18" customHeight="1">
      <c r="A47" s="36"/>
      <c r="B47" s="404"/>
      <c r="C47" s="404"/>
      <c r="D47" s="404"/>
      <c r="E47" s="404"/>
      <c r="F47" s="288"/>
      <c r="G47" s="288"/>
      <c r="H47" s="288"/>
      <c r="I47" s="288"/>
      <c r="J47" s="288"/>
      <c r="K47" s="288"/>
      <c r="L47" s="288"/>
      <c r="M47" s="288"/>
      <c r="N47" s="288"/>
      <c r="O47" s="288"/>
      <c r="P47" s="288"/>
      <c r="Q47" s="288"/>
      <c r="R47" s="288"/>
      <c r="S47" s="288"/>
      <c r="T47" s="288"/>
      <c r="U47" s="288"/>
      <c r="V47" s="288"/>
      <c r="W47" s="288"/>
      <c r="X47" s="288"/>
      <c r="Y47" s="288"/>
      <c r="Z47" s="288"/>
      <c r="AA47" s="288"/>
      <c r="AB47" s="288"/>
      <c r="AC47" s="288"/>
      <c r="AD47" s="288"/>
      <c r="AE47" s="288"/>
      <c r="AF47" s="288"/>
      <c r="AG47" s="288"/>
      <c r="AH47" s="288"/>
      <c r="AI47" s="289"/>
      <c r="AK47" s="425" t="s">
        <v>688</v>
      </c>
      <c r="AL47" s="425"/>
      <c r="AM47" s="425"/>
      <c r="AN47" s="425"/>
      <c r="AO47" s="425"/>
      <c r="AP47" s="425"/>
      <c r="AQ47" s="42"/>
      <c r="AR47" s="43"/>
      <c r="AS47" s="120" t="s">
        <v>189</v>
      </c>
      <c r="AT47" s="43" t="s">
        <v>689</v>
      </c>
      <c r="AU47" s="43"/>
      <c r="BC47" s="50"/>
      <c r="BD47" s="51"/>
    </row>
    <row r="48" spans="1:80" ht="18" customHeight="1">
      <c r="A48" s="36"/>
      <c r="B48" s="404"/>
      <c r="C48" s="404"/>
      <c r="D48" s="404"/>
      <c r="E48" s="404"/>
      <c r="F48" s="288"/>
      <c r="G48" s="288"/>
      <c r="H48" s="288"/>
      <c r="I48" s="288"/>
      <c r="J48" s="288"/>
      <c r="K48" s="288"/>
      <c r="L48" s="288"/>
      <c r="M48" s="288"/>
      <c r="N48" s="288"/>
      <c r="O48" s="288"/>
      <c r="P48" s="288"/>
      <c r="Q48" s="288"/>
      <c r="R48" s="288"/>
      <c r="S48" s="288"/>
      <c r="T48" s="288"/>
      <c r="U48" s="288"/>
      <c r="V48" s="288"/>
      <c r="W48" s="288"/>
      <c r="X48" s="288"/>
      <c r="Y48" s="288"/>
      <c r="Z48" s="288"/>
      <c r="AA48" s="288"/>
      <c r="AB48" s="288"/>
      <c r="AC48" s="288"/>
      <c r="AD48" s="288"/>
      <c r="AE48" s="288"/>
      <c r="AF48" s="288"/>
      <c r="AG48" s="288"/>
      <c r="AH48" s="288"/>
      <c r="AI48" s="289"/>
      <c r="AK48" s="425" t="s">
        <v>690</v>
      </c>
      <c r="AL48" s="425"/>
      <c r="AM48" s="425"/>
      <c r="AN48" s="425"/>
      <c r="AO48" s="425"/>
      <c r="AP48" s="425"/>
      <c r="AQ48" s="42"/>
      <c r="AR48" s="43"/>
      <c r="AS48" s="43"/>
      <c r="AT48" s="43"/>
      <c r="AU48" s="43"/>
      <c r="BC48" s="50"/>
      <c r="BD48" s="51"/>
    </row>
    <row r="49" spans="1:61" ht="18" customHeight="1">
      <c r="A49" s="36"/>
      <c r="B49" s="404"/>
      <c r="C49" s="404"/>
      <c r="D49" s="404"/>
      <c r="E49" s="404"/>
      <c r="F49" s="288"/>
      <c r="G49" s="288"/>
      <c r="H49" s="288"/>
      <c r="I49" s="288"/>
      <c r="J49" s="288"/>
      <c r="K49" s="288"/>
      <c r="L49" s="288"/>
      <c r="M49" s="288"/>
      <c r="N49" s="288"/>
      <c r="O49" s="288"/>
      <c r="P49" s="288"/>
      <c r="Q49" s="288"/>
      <c r="R49" s="288"/>
      <c r="S49" s="288"/>
      <c r="T49" s="288"/>
      <c r="U49" s="288"/>
      <c r="V49" s="288"/>
      <c r="W49" s="288"/>
      <c r="X49" s="288"/>
      <c r="Y49" s="288"/>
      <c r="Z49" s="288"/>
      <c r="AA49" s="288"/>
      <c r="AB49" s="288"/>
      <c r="AC49" s="288"/>
      <c r="AD49" s="288"/>
      <c r="AE49" s="288"/>
      <c r="AF49" s="288"/>
      <c r="AG49" s="288"/>
      <c r="AH49" s="288"/>
      <c r="AI49" s="289"/>
      <c r="AK49" s="425" t="s">
        <v>691</v>
      </c>
      <c r="AL49" s="425"/>
      <c r="AM49" s="425"/>
      <c r="AN49" s="425"/>
      <c r="AO49" s="425"/>
      <c r="AP49" s="425"/>
      <c r="AQ49" s="42"/>
      <c r="AR49" s="43"/>
      <c r="AS49" s="43"/>
      <c r="AT49" s="43"/>
      <c r="AU49" s="43"/>
      <c r="BC49" s="50"/>
      <c r="BD49" s="51"/>
    </row>
    <row r="50" spans="1:61" ht="18" customHeight="1">
      <c r="A50" s="36"/>
      <c r="B50" s="404"/>
      <c r="C50" s="404"/>
      <c r="D50" s="404"/>
      <c r="E50" s="404"/>
      <c r="F50" s="288"/>
      <c r="G50" s="288"/>
      <c r="H50" s="288"/>
      <c r="I50" s="288"/>
      <c r="J50" s="288"/>
      <c r="K50" s="288"/>
      <c r="L50" s="288"/>
      <c r="M50" s="288"/>
      <c r="N50" s="288"/>
      <c r="O50" s="288"/>
      <c r="P50" s="288"/>
      <c r="Q50" s="288"/>
      <c r="R50" s="288"/>
      <c r="S50" s="288"/>
      <c r="T50" s="288"/>
      <c r="U50" s="288"/>
      <c r="V50" s="288"/>
      <c r="W50" s="288"/>
      <c r="X50" s="288"/>
      <c r="Y50" s="288"/>
      <c r="Z50" s="288"/>
      <c r="AA50" s="288"/>
      <c r="AB50" s="288"/>
      <c r="AC50" s="288"/>
      <c r="AD50" s="288"/>
      <c r="AE50" s="288"/>
      <c r="AF50" s="288"/>
      <c r="AG50" s="288"/>
      <c r="AH50" s="288"/>
      <c r="AI50" s="289"/>
      <c r="AK50" s="425" t="s">
        <v>692</v>
      </c>
      <c r="AL50" s="425"/>
      <c r="AM50" s="425"/>
      <c r="AN50" s="425"/>
      <c r="AO50" s="425"/>
      <c r="AP50" s="425"/>
      <c r="AQ50" s="42"/>
      <c r="AR50" s="43"/>
      <c r="AS50" s="43"/>
      <c r="AT50" s="43"/>
      <c r="AU50" s="43"/>
      <c r="BC50" s="50"/>
      <c r="BD50" s="51"/>
    </row>
    <row r="51" spans="1:61" ht="18" customHeight="1">
      <c r="A51" s="36"/>
      <c r="B51" s="404"/>
      <c r="C51" s="404"/>
      <c r="D51" s="404"/>
      <c r="E51" s="404"/>
      <c r="F51" s="288"/>
      <c r="G51" s="288"/>
      <c r="H51" s="288"/>
      <c r="I51" s="288"/>
      <c r="J51" s="288"/>
      <c r="K51" s="288"/>
      <c r="L51" s="288"/>
      <c r="M51" s="288"/>
      <c r="N51" s="288"/>
      <c r="O51" s="288"/>
      <c r="P51" s="288"/>
      <c r="Q51" s="288"/>
      <c r="R51" s="288"/>
      <c r="S51" s="288"/>
      <c r="T51" s="288"/>
      <c r="U51" s="288"/>
      <c r="V51" s="288"/>
      <c r="W51" s="288"/>
      <c r="X51" s="288"/>
      <c r="Y51" s="288"/>
      <c r="Z51" s="288"/>
      <c r="AA51" s="288"/>
      <c r="AB51" s="288"/>
      <c r="AC51" s="288"/>
      <c r="AD51" s="288"/>
      <c r="AE51" s="288"/>
      <c r="AF51" s="288"/>
      <c r="AG51" s="288"/>
      <c r="AH51" s="288"/>
      <c r="AI51" s="289"/>
      <c r="AK51" s="425" t="s">
        <v>693</v>
      </c>
      <c r="AL51" s="425"/>
      <c r="AM51" s="425"/>
      <c r="AN51" s="425"/>
      <c r="AO51" s="425"/>
      <c r="AP51" s="425"/>
      <c r="AQ51" s="42"/>
      <c r="AR51" s="43"/>
      <c r="AS51" s="43"/>
      <c r="AT51" s="43"/>
      <c r="AU51" s="43"/>
      <c r="BC51" s="50"/>
      <c r="BD51" s="51"/>
    </row>
    <row r="52" spans="1:61" ht="18" customHeight="1">
      <c r="A52" s="36"/>
      <c r="B52" s="404"/>
      <c r="C52" s="404"/>
      <c r="D52" s="404"/>
      <c r="E52" s="404"/>
      <c r="F52" s="288"/>
      <c r="G52" s="288"/>
      <c r="H52" s="288"/>
      <c r="I52" s="288"/>
      <c r="J52" s="288"/>
      <c r="K52" s="288"/>
      <c r="L52" s="288"/>
      <c r="M52" s="288"/>
      <c r="N52" s="288"/>
      <c r="O52" s="288"/>
      <c r="P52" s="288"/>
      <c r="Q52" s="288"/>
      <c r="R52" s="288"/>
      <c r="S52" s="288"/>
      <c r="T52" s="288"/>
      <c r="U52" s="288"/>
      <c r="V52" s="288"/>
      <c r="W52" s="288"/>
      <c r="X52" s="288"/>
      <c r="Y52" s="288"/>
      <c r="Z52" s="288"/>
      <c r="AA52" s="288"/>
      <c r="AB52" s="288"/>
      <c r="AC52" s="288"/>
      <c r="AD52" s="288"/>
      <c r="AE52" s="288"/>
      <c r="AF52" s="288"/>
      <c r="AG52" s="288"/>
      <c r="AH52" s="288"/>
      <c r="AI52" s="289"/>
      <c r="AK52" s="425" t="s">
        <v>694</v>
      </c>
      <c r="AL52" s="425"/>
      <c r="AM52" s="425"/>
      <c r="AN52" s="425"/>
      <c r="AO52" s="425"/>
      <c r="AP52" s="425"/>
      <c r="AQ52" s="42"/>
      <c r="AR52" s="43"/>
      <c r="AS52" s="43"/>
      <c r="AV52" s="43"/>
      <c r="AW52" s="43"/>
      <c r="AX52" s="43"/>
      <c r="AY52" s="43"/>
      <c r="AZ52" s="43"/>
      <c r="BA52" s="43"/>
      <c r="BH52" s="52"/>
      <c r="BI52" s="51"/>
    </row>
    <row r="53" spans="1:61" ht="18" customHeight="1">
      <c r="A53" s="36"/>
      <c r="B53" s="404"/>
      <c r="C53" s="404"/>
      <c r="D53" s="404"/>
      <c r="E53" s="404"/>
      <c r="F53" s="288"/>
      <c r="G53" s="288"/>
      <c r="H53" s="288"/>
      <c r="I53" s="288"/>
      <c r="J53" s="288"/>
      <c r="K53" s="288"/>
      <c r="L53" s="288"/>
      <c r="M53" s="288"/>
      <c r="N53" s="288"/>
      <c r="O53" s="288"/>
      <c r="P53" s="288"/>
      <c r="Q53" s="288"/>
      <c r="R53" s="288"/>
      <c r="S53" s="288"/>
      <c r="T53" s="288"/>
      <c r="U53" s="288"/>
      <c r="V53" s="288"/>
      <c r="W53" s="288"/>
      <c r="X53" s="288"/>
      <c r="Y53" s="288"/>
      <c r="Z53" s="288"/>
      <c r="AA53" s="288"/>
      <c r="AB53" s="288"/>
      <c r="AC53" s="288"/>
      <c r="AD53" s="288"/>
      <c r="AE53" s="288"/>
      <c r="AF53" s="288"/>
      <c r="AG53" s="288"/>
      <c r="AH53" s="288"/>
      <c r="AI53" s="289"/>
      <c r="AK53" s="425" t="s">
        <v>695</v>
      </c>
      <c r="AL53" s="425"/>
      <c r="AM53" s="425"/>
      <c r="AN53" s="425"/>
      <c r="AO53" s="425"/>
      <c r="AP53" s="425"/>
      <c r="AQ53" s="42"/>
      <c r="AR53" s="43"/>
      <c r="AS53" s="43"/>
      <c r="AT53" s="43"/>
      <c r="AU53" s="43"/>
      <c r="AV53" s="43"/>
      <c r="AW53" s="43"/>
      <c r="AX53" s="43"/>
      <c r="AY53" s="43"/>
      <c r="AZ53" s="43"/>
      <c r="BH53" s="50"/>
      <c r="BI53" s="51"/>
    </row>
    <row r="54" spans="1:61" ht="18" customHeight="1">
      <c r="A54" s="36"/>
      <c r="B54" s="404"/>
      <c r="C54" s="404"/>
      <c r="D54" s="404"/>
      <c r="E54" s="404"/>
      <c r="F54" s="288"/>
      <c r="G54" s="288"/>
      <c r="H54" s="288"/>
      <c r="I54" s="288"/>
      <c r="J54" s="288"/>
      <c r="K54" s="288"/>
      <c r="L54" s="288"/>
      <c r="M54" s="288"/>
      <c r="N54" s="288"/>
      <c r="O54" s="288"/>
      <c r="P54" s="288"/>
      <c r="Q54" s="288"/>
      <c r="R54" s="288"/>
      <c r="S54" s="288"/>
      <c r="T54" s="288"/>
      <c r="U54" s="288"/>
      <c r="V54" s="288"/>
      <c r="W54" s="288"/>
      <c r="X54" s="288"/>
      <c r="Y54" s="288"/>
      <c r="Z54" s="288"/>
      <c r="AA54" s="288"/>
      <c r="AB54" s="288"/>
      <c r="AC54" s="288"/>
      <c r="AD54" s="288"/>
      <c r="AE54" s="288"/>
      <c r="AF54" s="288"/>
      <c r="AG54" s="288"/>
      <c r="AH54" s="288"/>
      <c r="AI54" s="289"/>
      <c r="AK54" s="425" t="s">
        <v>696</v>
      </c>
      <c r="AL54" s="425"/>
      <c r="AM54" s="425"/>
      <c r="AN54" s="425"/>
      <c r="AO54" s="425"/>
      <c r="AP54" s="425"/>
      <c r="AQ54" s="42"/>
      <c r="AR54" s="43"/>
      <c r="AS54" s="43"/>
      <c r="AT54" s="43"/>
      <c r="AU54" s="43"/>
      <c r="AV54" s="43"/>
      <c r="AW54" s="43"/>
      <c r="AX54" s="43"/>
      <c r="AY54" s="43"/>
      <c r="AZ54" s="43"/>
      <c r="BH54" s="50"/>
      <c r="BI54" s="51"/>
    </row>
    <row r="55" spans="1:61" ht="18" customHeight="1">
      <c r="A55" s="36"/>
      <c r="B55" s="404"/>
      <c r="C55" s="404"/>
      <c r="D55" s="404"/>
      <c r="E55" s="404"/>
      <c r="F55" s="288"/>
      <c r="G55" s="288"/>
      <c r="H55" s="288"/>
      <c r="I55" s="288"/>
      <c r="J55" s="288"/>
      <c r="K55" s="288"/>
      <c r="L55" s="288"/>
      <c r="M55" s="288"/>
      <c r="N55" s="288"/>
      <c r="O55" s="288"/>
      <c r="P55" s="288"/>
      <c r="Q55" s="288"/>
      <c r="R55" s="288"/>
      <c r="S55" s="288"/>
      <c r="T55" s="288"/>
      <c r="U55" s="288"/>
      <c r="V55" s="288"/>
      <c r="W55" s="288"/>
      <c r="X55" s="288"/>
      <c r="Y55" s="288"/>
      <c r="Z55" s="288"/>
      <c r="AA55" s="288"/>
      <c r="AB55" s="288"/>
      <c r="AC55" s="288"/>
      <c r="AD55" s="288"/>
      <c r="AE55" s="288"/>
      <c r="AF55" s="288"/>
      <c r="AG55" s="288"/>
      <c r="AH55" s="288"/>
      <c r="AI55" s="289"/>
      <c r="AK55" s="425" t="s">
        <v>697</v>
      </c>
      <c r="AL55" s="425"/>
      <c r="AM55" s="425"/>
      <c r="AN55" s="425"/>
      <c r="AO55" s="425"/>
      <c r="AP55" s="425"/>
      <c r="AQ55" s="42"/>
      <c r="AR55" s="43"/>
      <c r="AS55" s="43"/>
      <c r="AT55" s="43"/>
      <c r="AU55" s="43"/>
      <c r="AV55" s="43"/>
      <c r="AW55" s="43"/>
      <c r="AX55" s="43"/>
      <c r="AY55" s="43"/>
      <c r="AZ55" s="43"/>
      <c r="BH55" s="50"/>
      <c r="BI55" s="51"/>
    </row>
    <row r="56" spans="1:61" ht="18" customHeight="1">
      <c r="A56" s="36"/>
      <c r="B56" s="404"/>
      <c r="C56" s="404"/>
      <c r="D56" s="404"/>
      <c r="E56" s="404"/>
      <c r="F56" s="288"/>
      <c r="G56" s="288"/>
      <c r="H56" s="288"/>
      <c r="I56" s="288"/>
      <c r="J56" s="288"/>
      <c r="K56" s="288"/>
      <c r="L56" s="288"/>
      <c r="M56" s="288"/>
      <c r="N56" s="288"/>
      <c r="O56" s="288"/>
      <c r="P56" s="288"/>
      <c r="Q56" s="288"/>
      <c r="R56" s="288"/>
      <c r="S56" s="288"/>
      <c r="T56" s="288"/>
      <c r="U56" s="288"/>
      <c r="V56" s="288"/>
      <c r="W56" s="288"/>
      <c r="X56" s="288"/>
      <c r="Y56" s="288"/>
      <c r="Z56" s="288"/>
      <c r="AA56" s="288"/>
      <c r="AB56" s="288"/>
      <c r="AC56" s="288"/>
      <c r="AD56" s="288"/>
      <c r="AE56" s="288"/>
      <c r="AF56" s="288"/>
      <c r="AG56" s="288"/>
      <c r="AH56" s="288"/>
      <c r="AI56" s="289"/>
      <c r="AK56" s="425" t="s">
        <v>698</v>
      </c>
      <c r="AL56" s="425"/>
      <c r="AM56" s="425"/>
      <c r="AN56" s="425"/>
      <c r="AO56" s="425"/>
      <c r="AP56" s="425"/>
      <c r="AQ56" s="42"/>
      <c r="AR56" s="43"/>
      <c r="AS56" s="43"/>
      <c r="AT56" s="43"/>
      <c r="AU56" s="43"/>
      <c r="AV56" s="43"/>
      <c r="AW56" s="43"/>
      <c r="AX56" s="43"/>
      <c r="AY56" s="43"/>
      <c r="AZ56" s="43"/>
      <c r="BH56" s="52"/>
      <c r="BI56" s="51"/>
    </row>
    <row r="57" spans="1:61" ht="18" customHeight="1">
      <c r="A57" s="36"/>
      <c r="B57" s="404"/>
      <c r="C57" s="404"/>
      <c r="D57" s="404"/>
      <c r="E57" s="404"/>
      <c r="F57" s="288"/>
      <c r="G57" s="288"/>
      <c r="H57" s="288"/>
      <c r="I57" s="288"/>
      <c r="J57" s="288"/>
      <c r="K57" s="288"/>
      <c r="L57" s="288"/>
      <c r="M57" s="288"/>
      <c r="N57" s="288"/>
      <c r="O57" s="288"/>
      <c r="P57" s="288"/>
      <c r="Q57" s="288"/>
      <c r="R57" s="288"/>
      <c r="S57" s="288"/>
      <c r="T57" s="288"/>
      <c r="U57" s="288"/>
      <c r="V57" s="288"/>
      <c r="W57" s="288"/>
      <c r="X57" s="288"/>
      <c r="Y57" s="288"/>
      <c r="Z57" s="288"/>
      <c r="AA57" s="288"/>
      <c r="AB57" s="288"/>
      <c r="AC57" s="288"/>
      <c r="AD57" s="288"/>
      <c r="AE57" s="288"/>
      <c r="AF57" s="288"/>
      <c r="AG57" s="288"/>
      <c r="AH57" s="288"/>
      <c r="AI57" s="289"/>
      <c r="AK57" s="425" t="s">
        <v>699</v>
      </c>
      <c r="AL57" s="425"/>
      <c r="AM57" s="425"/>
      <c r="AN57" s="425"/>
      <c r="AO57" s="425"/>
      <c r="AP57" s="425"/>
      <c r="AQ57" s="42"/>
      <c r="AR57" s="43"/>
      <c r="AS57" s="43"/>
      <c r="AT57" s="43"/>
      <c r="AU57" s="43"/>
      <c r="AV57" s="43"/>
      <c r="AW57" s="43"/>
      <c r="AX57" s="43"/>
      <c r="AY57" s="43"/>
      <c r="AZ57" s="43"/>
      <c r="BH57" s="50"/>
      <c r="BI57" s="51"/>
    </row>
    <row r="58" spans="1:61" ht="18" customHeight="1">
      <c r="A58" s="36"/>
      <c r="B58" s="404"/>
      <c r="C58" s="404"/>
      <c r="D58" s="404"/>
      <c r="E58" s="404"/>
      <c r="F58" s="288"/>
      <c r="G58" s="288"/>
      <c r="H58" s="288"/>
      <c r="I58" s="288"/>
      <c r="J58" s="288"/>
      <c r="K58" s="288"/>
      <c r="L58" s="288"/>
      <c r="M58" s="288"/>
      <c r="N58" s="288"/>
      <c r="O58" s="288"/>
      <c r="P58" s="288"/>
      <c r="Q58" s="288"/>
      <c r="R58" s="288"/>
      <c r="S58" s="288"/>
      <c r="T58" s="288"/>
      <c r="U58" s="288"/>
      <c r="V58" s="288"/>
      <c r="W58" s="288"/>
      <c r="X58" s="288"/>
      <c r="Y58" s="288"/>
      <c r="Z58" s="288"/>
      <c r="AA58" s="288"/>
      <c r="AB58" s="288"/>
      <c r="AC58" s="288"/>
      <c r="AD58" s="288"/>
      <c r="AE58" s="288"/>
      <c r="AF58" s="288"/>
      <c r="AG58" s="288"/>
      <c r="AH58" s="288"/>
      <c r="AI58" s="289"/>
      <c r="AK58" s="425" t="s">
        <v>700</v>
      </c>
      <c r="AL58" s="425"/>
      <c r="AM58" s="425"/>
      <c r="AN58" s="425"/>
      <c r="AO58" s="425"/>
      <c r="AP58" s="425"/>
      <c r="AQ58" s="42"/>
      <c r="AR58" s="43"/>
      <c r="AS58" s="43"/>
      <c r="AT58" s="43"/>
      <c r="AU58" s="43"/>
      <c r="AV58" s="43"/>
      <c r="AW58" s="43"/>
      <c r="AX58" s="43"/>
      <c r="AY58" s="43"/>
      <c r="AZ58" s="43"/>
      <c r="BH58" s="50"/>
      <c r="BI58" s="51"/>
    </row>
    <row r="59" spans="1:61" ht="18" customHeight="1">
      <c r="A59" s="36"/>
      <c r="B59" s="404"/>
      <c r="C59" s="404"/>
      <c r="D59" s="404"/>
      <c r="E59" s="404"/>
      <c r="F59" s="288"/>
      <c r="G59" s="288"/>
      <c r="H59" s="288"/>
      <c r="I59" s="288"/>
      <c r="J59" s="288"/>
      <c r="K59" s="288"/>
      <c r="L59" s="288"/>
      <c r="M59" s="288"/>
      <c r="N59" s="288"/>
      <c r="O59" s="288"/>
      <c r="P59" s="288"/>
      <c r="Q59" s="288"/>
      <c r="R59" s="288"/>
      <c r="S59" s="288"/>
      <c r="T59" s="288"/>
      <c r="U59" s="288"/>
      <c r="V59" s="288"/>
      <c r="W59" s="288"/>
      <c r="X59" s="288"/>
      <c r="Y59" s="288"/>
      <c r="Z59" s="288"/>
      <c r="AA59" s="288"/>
      <c r="AB59" s="288"/>
      <c r="AC59" s="288"/>
      <c r="AD59" s="288"/>
      <c r="AE59" s="288"/>
      <c r="AF59" s="288"/>
      <c r="AG59" s="288"/>
      <c r="AH59" s="288"/>
      <c r="AI59" s="289"/>
      <c r="AK59" s="425" t="s">
        <v>701</v>
      </c>
      <c r="AL59" s="425"/>
      <c r="AM59" s="425"/>
      <c r="AN59" s="425"/>
      <c r="AO59" s="425"/>
      <c r="AP59" s="425"/>
      <c r="AQ59" s="42"/>
      <c r="AR59" s="43"/>
      <c r="AS59" s="43"/>
      <c r="AT59" s="43"/>
      <c r="AU59" s="43"/>
      <c r="AV59" s="43"/>
      <c r="AW59" s="43"/>
      <c r="AX59" s="43"/>
      <c r="AY59" s="43"/>
      <c r="AZ59" s="43"/>
      <c r="BH59" s="50"/>
      <c r="BI59" s="51"/>
    </row>
    <row r="60" spans="1:61" ht="18" customHeight="1">
      <c r="A60" s="36"/>
      <c r="B60" s="404"/>
      <c r="C60" s="404"/>
      <c r="D60" s="404"/>
      <c r="E60" s="404"/>
      <c r="F60" s="288"/>
      <c r="G60" s="288"/>
      <c r="H60" s="288"/>
      <c r="I60" s="288"/>
      <c r="J60" s="288"/>
      <c r="K60" s="288"/>
      <c r="L60" s="288"/>
      <c r="M60" s="288"/>
      <c r="N60" s="288"/>
      <c r="O60" s="288"/>
      <c r="P60" s="288"/>
      <c r="Q60" s="288"/>
      <c r="R60" s="288"/>
      <c r="S60" s="288"/>
      <c r="T60" s="288"/>
      <c r="U60" s="288"/>
      <c r="V60" s="288"/>
      <c r="W60" s="288"/>
      <c r="X60" s="288"/>
      <c r="Y60" s="288"/>
      <c r="Z60" s="288"/>
      <c r="AA60" s="288"/>
      <c r="AB60" s="288"/>
      <c r="AC60" s="288"/>
      <c r="AD60" s="288"/>
      <c r="AE60" s="288"/>
      <c r="AF60" s="288"/>
      <c r="AG60" s="288"/>
      <c r="AH60" s="288"/>
      <c r="AI60" s="289"/>
      <c r="AK60" s="425" t="s">
        <v>702</v>
      </c>
      <c r="AL60" s="425"/>
      <c r="AM60" s="425"/>
      <c r="AN60" s="425"/>
      <c r="AO60" s="425"/>
      <c r="AP60" s="425"/>
      <c r="AQ60" s="42"/>
      <c r="AR60" s="43"/>
      <c r="AS60" s="43"/>
      <c r="AT60" s="43"/>
      <c r="AU60" s="43"/>
      <c r="AV60" s="43"/>
      <c r="AW60" s="43"/>
      <c r="AX60" s="43"/>
      <c r="AY60" s="43"/>
      <c r="AZ60" s="43"/>
      <c r="BH60" s="52"/>
      <c r="BI60" s="51"/>
    </row>
    <row r="61" spans="1:61" ht="18" customHeight="1">
      <c r="A61" s="36"/>
      <c r="B61" s="404"/>
      <c r="C61" s="404"/>
      <c r="D61" s="404"/>
      <c r="E61" s="404"/>
      <c r="F61" s="288"/>
      <c r="G61" s="288"/>
      <c r="H61" s="288"/>
      <c r="I61" s="288"/>
      <c r="J61" s="288"/>
      <c r="K61" s="288"/>
      <c r="L61" s="288"/>
      <c r="M61" s="288"/>
      <c r="N61" s="288"/>
      <c r="O61" s="288"/>
      <c r="P61" s="288"/>
      <c r="Q61" s="288"/>
      <c r="R61" s="288"/>
      <c r="S61" s="288"/>
      <c r="T61" s="288"/>
      <c r="U61" s="288"/>
      <c r="V61" s="288"/>
      <c r="W61" s="288"/>
      <c r="X61" s="288"/>
      <c r="Y61" s="288"/>
      <c r="Z61" s="288"/>
      <c r="AA61" s="288"/>
      <c r="AB61" s="288"/>
      <c r="AC61" s="288"/>
      <c r="AD61" s="288"/>
      <c r="AE61" s="288"/>
      <c r="AF61" s="288"/>
      <c r="AG61" s="288"/>
      <c r="AH61" s="288"/>
      <c r="AI61" s="289"/>
      <c r="AK61" s="425" t="s">
        <v>703</v>
      </c>
      <c r="AL61" s="425"/>
      <c r="AM61" s="425"/>
      <c r="AN61" s="425"/>
      <c r="AO61" s="425"/>
      <c r="AP61" s="425"/>
      <c r="AQ61" s="42"/>
      <c r="AR61" s="43"/>
      <c r="AS61" s="43"/>
      <c r="AT61" s="43"/>
      <c r="AU61" s="43"/>
      <c r="AV61" s="43"/>
      <c r="AW61" s="43"/>
      <c r="AX61" s="43"/>
      <c r="AY61" s="43"/>
      <c r="AZ61" s="43"/>
      <c r="BH61" s="50"/>
      <c r="BI61" s="51"/>
    </row>
    <row r="62" spans="1:61" ht="18" customHeight="1">
      <c r="A62" s="36"/>
      <c r="B62" s="404"/>
      <c r="C62" s="404"/>
      <c r="D62" s="404"/>
      <c r="E62" s="404"/>
      <c r="F62" s="288"/>
      <c r="G62" s="288"/>
      <c r="H62" s="288"/>
      <c r="I62" s="288"/>
      <c r="J62" s="288"/>
      <c r="K62" s="288"/>
      <c r="L62" s="288"/>
      <c r="M62" s="288"/>
      <c r="N62" s="288"/>
      <c r="O62" s="288"/>
      <c r="P62" s="288"/>
      <c r="Q62" s="288"/>
      <c r="R62" s="288"/>
      <c r="S62" s="288"/>
      <c r="T62" s="288"/>
      <c r="U62" s="288"/>
      <c r="V62" s="288"/>
      <c r="W62" s="288"/>
      <c r="X62" s="288"/>
      <c r="Y62" s="288"/>
      <c r="Z62" s="288"/>
      <c r="AA62" s="288"/>
      <c r="AB62" s="288"/>
      <c r="AC62" s="288"/>
      <c r="AD62" s="288"/>
      <c r="AE62" s="288"/>
      <c r="AF62" s="288"/>
      <c r="AG62" s="288"/>
      <c r="AH62" s="288"/>
      <c r="AI62" s="289"/>
      <c r="AK62" s="425"/>
      <c r="AL62" s="425"/>
      <c r="AM62" s="425"/>
      <c r="AN62" s="425"/>
      <c r="AO62" s="425"/>
      <c r="AP62" s="425"/>
      <c r="AQ62" s="42"/>
      <c r="AR62" s="43"/>
      <c r="AS62" s="43"/>
      <c r="AT62" s="43"/>
      <c r="AU62" s="43"/>
      <c r="AV62" s="43"/>
      <c r="AW62" s="43"/>
      <c r="AX62" s="43"/>
      <c r="AY62" s="43"/>
      <c r="AZ62" s="43"/>
      <c r="BH62" s="50"/>
      <c r="BI62" s="51"/>
    </row>
    <row r="63" spans="1:61" ht="18" customHeight="1">
      <c r="A63" s="36"/>
      <c r="B63" s="404"/>
      <c r="C63" s="404"/>
      <c r="D63" s="404"/>
      <c r="E63" s="404"/>
      <c r="F63" s="288"/>
      <c r="G63" s="288"/>
      <c r="H63" s="288"/>
      <c r="I63" s="288"/>
      <c r="J63" s="288"/>
      <c r="K63" s="288"/>
      <c r="L63" s="288"/>
      <c r="M63" s="288"/>
      <c r="N63" s="288"/>
      <c r="O63" s="288"/>
      <c r="P63" s="288"/>
      <c r="Q63" s="288"/>
      <c r="R63" s="288"/>
      <c r="S63" s="288"/>
      <c r="T63" s="288"/>
      <c r="U63" s="288"/>
      <c r="V63" s="288"/>
      <c r="W63" s="288"/>
      <c r="X63" s="288"/>
      <c r="Y63" s="288"/>
      <c r="Z63" s="288"/>
      <c r="AA63" s="288"/>
      <c r="AB63" s="288"/>
      <c r="AC63" s="288"/>
      <c r="AD63" s="288"/>
      <c r="AE63" s="288"/>
      <c r="AF63" s="288"/>
      <c r="AG63" s="288"/>
      <c r="AH63" s="288"/>
      <c r="AI63" s="289"/>
      <c r="AK63" s="425"/>
      <c r="AL63" s="425"/>
      <c r="AM63" s="425"/>
      <c r="AN63" s="425"/>
      <c r="AO63" s="425"/>
      <c r="AP63" s="425"/>
      <c r="AQ63" s="42"/>
      <c r="AR63" s="43"/>
      <c r="AS63" s="43"/>
      <c r="AT63" s="43"/>
      <c r="AU63" s="43"/>
      <c r="AV63" s="43"/>
      <c r="AW63" s="43"/>
      <c r="AX63" s="43"/>
      <c r="AY63" s="43"/>
      <c r="AZ63" s="43"/>
      <c r="BH63" s="52"/>
      <c r="BI63" s="51"/>
    </row>
    <row r="64" spans="1:61" ht="18" customHeight="1">
      <c r="A64" s="36"/>
      <c r="B64" s="404"/>
      <c r="C64" s="404"/>
      <c r="D64" s="404"/>
      <c r="E64" s="404"/>
      <c r="F64" s="288"/>
      <c r="G64" s="288"/>
      <c r="H64" s="288"/>
      <c r="I64" s="288"/>
      <c r="J64" s="288"/>
      <c r="K64" s="288"/>
      <c r="L64" s="288"/>
      <c r="M64" s="288"/>
      <c r="N64" s="288"/>
      <c r="O64" s="288"/>
      <c r="P64" s="288"/>
      <c r="Q64" s="288"/>
      <c r="R64" s="288"/>
      <c r="S64" s="288"/>
      <c r="T64" s="288"/>
      <c r="U64" s="288"/>
      <c r="V64" s="288"/>
      <c r="W64" s="288"/>
      <c r="X64" s="288"/>
      <c r="Y64" s="288"/>
      <c r="Z64" s="288"/>
      <c r="AA64" s="288"/>
      <c r="AB64" s="288"/>
      <c r="AC64" s="288"/>
      <c r="AD64" s="288"/>
      <c r="AE64" s="288"/>
      <c r="AF64" s="288"/>
      <c r="AG64" s="288"/>
      <c r="AH64" s="288"/>
      <c r="AI64" s="289"/>
      <c r="AK64" s="425"/>
      <c r="AL64" s="425"/>
      <c r="AM64" s="425"/>
      <c r="AN64" s="425"/>
      <c r="AO64" s="425"/>
      <c r="AP64" s="425"/>
      <c r="AQ64" s="42"/>
      <c r="AR64" s="43"/>
      <c r="AS64" s="43"/>
      <c r="AT64" s="43"/>
      <c r="AU64" s="43"/>
      <c r="AV64" s="43"/>
      <c r="AW64" s="43"/>
      <c r="AX64" s="43"/>
      <c r="AY64" s="43"/>
      <c r="AZ64" s="43"/>
      <c r="BH64" s="52"/>
      <c r="BI64" s="51"/>
    </row>
    <row r="65" spans="1:61" ht="18" customHeight="1">
      <c r="A65" s="36"/>
      <c r="B65" s="404"/>
      <c r="C65" s="404"/>
      <c r="D65" s="404"/>
      <c r="E65" s="404"/>
      <c r="F65" s="288"/>
      <c r="G65" s="288"/>
      <c r="H65" s="288"/>
      <c r="I65" s="288"/>
      <c r="J65" s="288"/>
      <c r="K65" s="288"/>
      <c r="L65" s="288"/>
      <c r="M65" s="288"/>
      <c r="N65" s="288"/>
      <c r="O65" s="288"/>
      <c r="P65" s="288"/>
      <c r="Q65" s="288"/>
      <c r="R65" s="288"/>
      <c r="S65" s="288"/>
      <c r="T65" s="288"/>
      <c r="U65" s="288"/>
      <c r="V65" s="288"/>
      <c r="W65" s="288"/>
      <c r="X65" s="288"/>
      <c r="Y65" s="288"/>
      <c r="Z65" s="288"/>
      <c r="AA65" s="288"/>
      <c r="AB65" s="288"/>
      <c r="AC65" s="288"/>
      <c r="AD65" s="288"/>
      <c r="AE65" s="288"/>
      <c r="AF65" s="288"/>
      <c r="AG65" s="288"/>
      <c r="AH65" s="288"/>
      <c r="AI65" s="289"/>
      <c r="AK65" s="425"/>
      <c r="AL65" s="425"/>
      <c r="AM65" s="425"/>
      <c r="AN65" s="425"/>
      <c r="AO65" s="425"/>
      <c r="AP65" s="425"/>
      <c r="AQ65" s="42"/>
      <c r="AR65" s="43"/>
      <c r="AS65" s="43"/>
      <c r="AT65" s="43"/>
      <c r="AU65" s="43"/>
      <c r="AV65" s="43"/>
      <c r="AW65" s="43"/>
      <c r="AX65" s="43"/>
      <c r="AY65" s="43"/>
      <c r="AZ65" s="43"/>
      <c r="BH65" s="50"/>
      <c r="BI65" s="51"/>
    </row>
    <row r="66" spans="1:61" ht="18" customHeight="1">
      <c r="A66" s="36"/>
      <c r="B66" s="404"/>
      <c r="C66" s="404"/>
      <c r="D66" s="404"/>
      <c r="E66" s="404"/>
      <c r="F66" s="288"/>
      <c r="G66" s="288"/>
      <c r="H66" s="288"/>
      <c r="I66" s="288"/>
      <c r="J66" s="288"/>
      <c r="K66" s="288"/>
      <c r="L66" s="288"/>
      <c r="M66" s="288"/>
      <c r="N66" s="288"/>
      <c r="O66" s="288"/>
      <c r="P66" s="288"/>
      <c r="Q66" s="288"/>
      <c r="R66" s="288"/>
      <c r="S66" s="288"/>
      <c r="T66" s="288"/>
      <c r="U66" s="288"/>
      <c r="V66" s="288"/>
      <c r="W66" s="288"/>
      <c r="X66" s="288"/>
      <c r="Y66" s="288"/>
      <c r="Z66" s="288"/>
      <c r="AA66" s="288"/>
      <c r="AB66" s="288"/>
      <c r="AC66" s="288"/>
      <c r="AD66" s="288"/>
      <c r="AE66" s="288"/>
      <c r="AF66" s="288"/>
      <c r="AG66" s="288"/>
      <c r="AH66" s="288"/>
      <c r="AI66" s="289"/>
      <c r="AK66" s="425"/>
      <c r="AL66" s="425"/>
      <c r="AM66" s="425"/>
      <c r="AN66" s="425"/>
      <c r="AO66" s="425"/>
      <c r="AP66" s="425"/>
      <c r="AQ66" s="42"/>
      <c r="AR66" s="43"/>
      <c r="AS66" s="43"/>
      <c r="AT66" s="43"/>
      <c r="AU66" s="43"/>
      <c r="AV66" s="43"/>
      <c r="AW66" s="43"/>
      <c r="AX66" s="43"/>
      <c r="AY66" s="43"/>
      <c r="AZ66" s="43"/>
      <c r="BH66" s="50"/>
      <c r="BI66" s="51"/>
    </row>
    <row r="67" spans="1:61" ht="18" customHeight="1">
      <c r="A67" s="36"/>
      <c r="B67" s="404"/>
      <c r="C67" s="404"/>
      <c r="D67" s="404"/>
      <c r="E67" s="404"/>
      <c r="F67" s="288"/>
      <c r="G67" s="288"/>
      <c r="H67" s="288"/>
      <c r="I67" s="288"/>
      <c r="J67" s="288"/>
      <c r="K67" s="288"/>
      <c r="L67" s="288"/>
      <c r="M67" s="288"/>
      <c r="N67" s="288"/>
      <c r="O67" s="288"/>
      <c r="P67" s="288"/>
      <c r="Q67" s="288"/>
      <c r="R67" s="288"/>
      <c r="S67" s="288"/>
      <c r="T67" s="288"/>
      <c r="U67" s="288"/>
      <c r="V67" s="288"/>
      <c r="W67" s="288"/>
      <c r="X67" s="288"/>
      <c r="Y67" s="288"/>
      <c r="Z67" s="288"/>
      <c r="AA67" s="288"/>
      <c r="AB67" s="288"/>
      <c r="AC67" s="288"/>
      <c r="AD67" s="288"/>
      <c r="AE67" s="288"/>
      <c r="AF67" s="288"/>
      <c r="AG67" s="288"/>
      <c r="AH67" s="288"/>
      <c r="AI67" s="289"/>
      <c r="AK67" s="425"/>
      <c r="AL67" s="425"/>
      <c r="AM67" s="425"/>
      <c r="AN67" s="425"/>
      <c r="AO67" s="425"/>
      <c r="AP67" s="425"/>
      <c r="AQ67" s="67"/>
      <c r="AR67" s="43"/>
      <c r="AS67" s="43"/>
      <c r="AT67" s="43"/>
      <c r="AU67" s="43"/>
      <c r="AV67" s="43"/>
      <c r="AW67" s="43"/>
      <c r="AX67" s="43"/>
      <c r="AY67" s="43"/>
      <c r="AZ67" s="43"/>
      <c r="BH67" s="50"/>
      <c r="BI67" s="51"/>
    </row>
    <row r="68" spans="1:61" ht="18" customHeight="1">
      <c r="A68" s="36"/>
      <c r="B68" s="404"/>
      <c r="C68" s="404"/>
      <c r="D68" s="404"/>
      <c r="E68" s="404"/>
      <c r="F68" s="288"/>
      <c r="G68" s="288"/>
      <c r="H68" s="288"/>
      <c r="I68" s="288"/>
      <c r="J68" s="288"/>
      <c r="K68" s="288"/>
      <c r="L68" s="288"/>
      <c r="M68" s="288"/>
      <c r="N68" s="288"/>
      <c r="O68" s="288"/>
      <c r="P68" s="288"/>
      <c r="Q68" s="288"/>
      <c r="R68" s="288"/>
      <c r="S68" s="288"/>
      <c r="T68" s="288"/>
      <c r="U68" s="288"/>
      <c r="V68" s="288"/>
      <c r="W68" s="288"/>
      <c r="X68" s="288"/>
      <c r="Y68" s="288"/>
      <c r="Z68" s="288"/>
      <c r="AA68" s="288"/>
      <c r="AB68" s="288"/>
      <c r="AC68" s="288"/>
      <c r="AD68" s="288"/>
      <c r="AE68" s="288"/>
      <c r="AF68" s="288"/>
      <c r="AG68" s="288"/>
      <c r="AH68" s="288"/>
      <c r="AI68" s="289"/>
      <c r="AK68" s="425"/>
      <c r="AL68" s="425"/>
      <c r="AM68" s="425"/>
      <c r="AN68" s="425"/>
      <c r="AO68" s="425"/>
      <c r="AP68" s="425"/>
      <c r="AQ68" s="67"/>
      <c r="AR68" s="43"/>
      <c r="AS68" s="43"/>
      <c r="AT68" s="43"/>
      <c r="AU68" s="43"/>
      <c r="AV68" s="43"/>
      <c r="AW68" s="43"/>
      <c r="AX68" s="43"/>
      <c r="AY68" s="43"/>
      <c r="AZ68" s="43"/>
      <c r="BH68" s="50"/>
      <c r="BI68" s="51"/>
    </row>
    <row r="69" spans="1:61" ht="18" customHeight="1">
      <c r="A69" s="36"/>
      <c r="B69" s="404"/>
      <c r="C69" s="404"/>
      <c r="D69" s="404"/>
      <c r="E69" s="404"/>
      <c r="F69" s="288"/>
      <c r="G69" s="288"/>
      <c r="H69" s="288"/>
      <c r="I69" s="288"/>
      <c r="J69" s="288"/>
      <c r="K69" s="288"/>
      <c r="L69" s="288"/>
      <c r="M69" s="288"/>
      <c r="N69" s="288"/>
      <c r="O69" s="288"/>
      <c r="P69" s="288"/>
      <c r="Q69" s="288"/>
      <c r="R69" s="288"/>
      <c r="S69" s="288"/>
      <c r="T69" s="288"/>
      <c r="U69" s="288"/>
      <c r="V69" s="288"/>
      <c r="W69" s="288"/>
      <c r="X69" s="288"/>
      <c r="Y69" s="288"/>
      <c r="Z69" s="288"/>
      <c r="AA69" s="288"/>
      <c r="AB69" s="288"/>
      <c r="AC69" s="288"/>
      <c r="AD69" s="288"/>
      <c r="AE69" s="288"/>
      <c r="AF69" s="288"/>
      <c r="AG69" s="288"/>
      <c r="AH69" s="288"/>
      <c r="AI69" s="289"/>
      <c r="AK69" s="425"/>
      <c r="AL69" s="425"/>
      <c r="AM69" s="425"/>
      <c r="AN69" s="425"/>
      <c r="AO69" s="425"/>
      <c r="AP69" s="425"/>
      <c r="AQ69" s="42"/>
      <c r="AR69" s="43"/>
      <c r="AS69" s="43"/>
      <c r="AT69" s="43"/>
      <c r="AU69" s="43"/>
      <c r="AV69" s="43"/>
      <c r="AW69" s="43"/>
      <c r="AX69" s="43"/>
      <c r="AY69" s="43"/>
      <c r="AZ69" s="43"/>
      <c r="BH69" s="50"/>
      <c r="BI69" s="51"/>
    </row>
    <row r="70" spans="1:61" ht="18" customHeight="1">
      <c r="A70" s="36"/>
      <c r="B70" s="404"/>
      <c r="C70" s="404"/>
      <c r="D70" s="404"/>
      <c r="E70" s="404"/>
      <c r="F70" s="288"/>
      <c r="G70" s="288"/>
      <c r="H70" s="288"/>
      <c r="I70" s="288"/>
      <c r="J70" s="288"/>
      <c r="K70" s="288"/>
      <c r="L70" s="288"/>
      <c r="M70" s="288"/>
      <c r="N70" s="288"/>
      <c r="O70" s="288"/>
      <c r="P70" s="288"/>
      <c r="Q70" s="288"/>
      <c r="R70" s="288"/>
      <c r="S70" s="288"/>
      <c r="T70" s="288"/>
      <c r="U70" s="288"/>
      <c r="V70" s="288"/>
      <c r="W70" s="288"/>
      <c r="X70" s="288"/>
      <c r="Y70" s="288"/>
      <c r="Z70" s="288"/>
      <c r="AA70" s="288"/>
      <c r="AB70" s="288"/>
      <c r="AC70" s="288"/>
      <c r="AD70" s="288"/>
      <c r="AE70" s="288"/>
      <c r="AF70" s="288"/>
      <c r="AG70" s="288"/>
      <c r="AH70" s="288"/>
      <c r="AI70" s="289"/>
      <c r="AK70" s="425"/>
      <c r="AL70" s="425"/>
      <c r="AM70" s="425"/>
      <c r="AN70" s="425"/>
      <c r="AO70" s="425"/>
      <c r="AP70" s="425"/>
      <c r="AQ70" s="42"/>
      <c r="AR70" s="43"/>
      <c r="AS70" s="43"/>
      <c r="AT70" s="43"/>
      <c r="AU70" s="43"/>
      <c r="AV70" s="43"/>
      <c r="AW70" s="43"/>
      <c r="AX70" s="43"/>
      <c r="AY70" s="43"/>
      <c r="AZ70" s="43"/>
      <c r="BH70" s="50"/>
      <c r="BI70" s="51"/>
    </row>
    <row r="71" spans="1:61" ht="18" customHeight="1">
      <c r="A71" s="36"/>
      <c r="B71" s="404"/>
      <c r="C71" s="404"/>
      <c r="D71" s="404"/>
      <c r="E71" s="404"/>
      <c r="F71" s="288"/>
      <c r="G71" s="288"/>
      <c r="H71" s="288"/>
      <c r="I71" s="288"/>
      <c r="J71" s="288"/>
      <c r="K71" s="288"/>
      <c r="L71" s="288"/>
      <c r="M71" s="288"/>
      <c r="N71" s="288"/>
      <c r="O71" s="288"/>
      <c r="P71" s="288"/>
      <c r="Q71" s="288"/>
      <c r="R71" s="288"/>
      <c r="S71" s="288"/>
      <c r="T71" s="288"/>
      <c r="U71" s="288"/>
      <c r="V71" s="288"/>
      <c r="W71" s="288"/>
      <c r="X71" s="288"/>
      <c r="Y71" s="288"/>
      <c r="Z71" s="288"/>
      <c r="AA71" s="288"/>
      <c r="AB71" s="288"/>
      <c r="AC71" s="288"/>
      <c r="AD71" s="288"/>
      <c r="AE71" s="288"/>
      <c r="AF71" s="288"/>
      <c r="AG71" s="288"/>
      <c r="AH71" s="288"/>
      <c r="AI71" s="289"/>
      <c r="AK71" s="425"/>
      <c r="AL71" s="425"/>
      <c r="AM71" s="425"/>
      <c r="AN71" s="425"/>
      <c r="AO71" s="425"/>
      <c r="AP71" s="425"/>
      <c r="AQ71" s="42"/>
      <c r="AR71" s="43"/>
      <c r="AS71" s="43"/>
      <c r="AT71" s="43"/>
      <c r="AU71" s="43"/>
      <c r="AV71" s="43"/>
      <c r="AW71" s="43"/>
      <c r="AX71" s="43"/>
      <c r="AY71" s="43"/>
      <c r="AZ71" s="43"/>
      <c r="BH71" s="52"/>
      <c r="BI71" s="51"/>
    </row>
    <row r="72" spans="1:61" ht="18" customHeight="1">
      <c r="A72" s="36"/>
      <c r="B72" s="404"/>
      <c r="C72" s="404"/>
      <c r="D72" s="404"/>
      <c r="E72" s="404"/>
      <c r="F72" s="288"/>
      <c r="G72" s="288"/>
      <c r="H72" s="288"/>
      <c r="I72" s="288"/>
      <c r="J72" s="288"/>
      <c r="K72" s="288"/>
      <c r="L72" s="288"/>
      <c r="M72" s="288"/>
      <c r="N72" s="288"/>
      <c r="O72" s="288"/>
      <c r="P72" s="288"/>
      <c r="Q72" s="288"/>
      <c r="R72" s="288"/>
      <c r="S72" s="288"/>
      <c r="T72" s="288"/>
      <c r="U72" s="288"/>
      <c r="V72" s="288"/>
      <c r="W72" s="288"/>
      <c r="X72" s="288"/>
      <c r="Y72" s="288"/>
      <c r="Z72" s="288"/>
      <c r="AA72" s="288"/>
      <c r="AB72" s="288"/>
      <c r="AC72" s="288"/>
      <c r="AD72" s="288"/>
      <c r="AE72" s="288"/>
      <c r="AF72" s="288"/>
      <c r="AG72" s="288"/>
      <c r="AH72" s="288"/>
      <c r="AI72" s="289"/>
      <c r="AK72" s="425"/>
      <c r="AL72" s="425"/>
      <c r="AM72" s="425"/>
      <c r="AN72" s="425"/>
      <c r="AO72" s="425"/>
      <c r="AP72" s="425"/>
      <c r="AQ72" s="42"/>
      <c r="AR72" s="43"/>
      <c r="AS72" s="43"/>
      <c r="AT72" s="43"/>
      <c r="AU72" s="43"/>
      <c r="AV72" s="43"/>
      <c r="AW72" s="43"/>
      <c r="AX72" s="43"/>
      <c r="AY72" s="43"/>
      <c r="AZ72" s="43"/>
      <c r="BH72" s="53"/>
      <c r="BI72" s="51"/>
    </row>
    <row r="73" spans="1:61" ht="18" customHeight="1">
      <c r="A73" s="36"/>
      <c r="B73" s="404"/>
      <c r="C73" s="404"/>
      <c r="D73" s="404"/>
      <c r="E73" s="404"/>
      <c r="F73" s="288"/>
      <c r="G73" s="288"/>
      <c r="H73" s="288"/>
      <c r="I73" s="288"/>
      <c r="J73" s="288"/>
      <c r="K73" s="288"/>
      <c r="L73" s="288"/>
      <c r="M73" s="288"/>
      <c r="N73" s="288"/>
      <c r="O73" s="288"/>
      <c r="P73" s="288"/>
      <c r="Q73" s="288"/>
      <c r="R73" s="288"/>
      <c r="S73" s="288"/>
      <c r="T73" s="288"/>
      <c r="U73" s="288"/>
      <c r="V73" s="288"/>
      <c r="W73" s="288"/>
      <c r="X73" s="288"/>
      <c r="Y73" s="288"/>
      <c r="Z73" s="288"/>
      <c r="AA73" s="288"/>
      <c r="AB73" s="288"/>
      <c r="AC73" s="288"/>
      <c r="AD73" s="288"/>
      <c r="AE73" s="288"/>
      <c r="AF73" s="288"/>
      <c r="AG73" s="288"/>
      <c r="AH73" s="288"/>
      <c r="AI73" s="289"/>
      <c r="AK73" s="425"/>
      <c r="AL73" s="425"/>
      <c r="AM73" s="425"/>
      <c r="AN73" s="425"/>
      <c r="AO73" s="425"/>
      <c r="AP73" s="425"/>
      <c r="AQ73" s="42"/>
      <c r="AR73" s="43"/>
      <c r="AS73" s="43"/>
      <c r="AT73" s="43"/>
      <c r="AU73" s="43"/>
      <c r="AV73" s="43"/>
      <c r="AW73" s="43"/>
      <c r="AX73" s="43"/>
      <c r="AY73" s="43"/>
      <c r="AZ73" s="43"/>
      <c r="BH73" s="54"/>
      <c r="BI73" s="51"/>
    </row>
    <row r="74" spans="1:61" ht="18" customHeight="1">
      <c r="A74" s="36"/>
      <c r="B74" s="404"/>
      <c r="C74" s="404"/>
      <c r="D74" s="404"/>
      <c r="E74" s="404"/>
      <c r="F74" s="288"/>
      <c r="G74" s="288"/>
      <c r="H74" s="288"/>
      <c r="I74" s="288"/>
      <c r="J74" s="288"/>
      <c r="K74" s="288"/>
      <c r="L74" s="288"/>
      <c r="M74" s="288"/>
      <c r="N74" s="288"/>
      <c r="O74" s="288"/>
      <c r="P74" s="288"/>
      <c r="Q74" s="288"/>
      <c r="R74" s="288"/>
      <c r="S74" s="288"/>
      <c r="T74" s="288"/>
      <c r="U74" s="288"/>
      <c r="V74" s="288"/>
      <c r="W74" s="288"/>
      <c r="X74" s="288"/>
      <c r="Y74" s="288"/>
      <c r="Z74" s="288"/>
      <c r="AA74" s="288"/>
      <c r="AB74" s="288"/>
      <c r="AC74" s="288"/>
      <c r="AD74" s="288"/>
      <c r="AE74" s="288"/>
      <c r="AF74" s="288"/>
      <c r="AG74" s="288"/>
      <c r="AH74" s="288"/>
      <c r="AI74" s="289"/>
      <c r="AK74" s="425"/>
      <c r="AL74" s="425"/>
      <c r="AM74" s="425"/>
      <c r="AN74" s="425"/>
      <c r="AO74" s="425"/>
      <c r="AP74" s="425"/>
      <c r="AQ74" s="42"/>
      <c r="AR74" s="43"/>
      <c r="AS74" s="43"/>
      <c r="AT74" s="43"/>
      <c r="AU74" s="43"/>
      <c r="AV74" s="43"/>
      <c r="AW74" s="43"/>
      <c r="AX74" s="43"/>
      <c r="AY74" s="43"/>
      <c r="AZ74" s="43"/>
      <c r="BH74" s="54"/>
      <c r="BI74" s="51"/>
    </row>
    <row r="75" spans="1:61" ht="18" customHeight="1">
      <c r="A75" s="36"/>
      <c r="B75" s="404"/>
      <c r="C75" s="404"/>
      <c r="D75" s="404"/>
      <c r="E75" s="404"/>
      <c r="F75" s="288"/>
      <c r="G75" s="288"/>
      <c r="H75" s="288"/>
      <c r="I75" s="288"/>
      <c r="J75" s="288"/>
      <c r="K75" s="288"/>
      <c r="L75" s="288"/>
      <c r="M75" s="288"/>
      <c r="N75" s="288"/>
      <c r="O75" s="288"/>
      <c r="P75" s="288"/>
      <c r="Q75" s="288"/>
      <c r="R75" s="288"/>
      <c r="S75" s="288"/>
      <c r="T75" s="288"/>
      <c r="U75" s="288"/>
      <c r="V75" s="288"/>
      <c r="W75" s="288"/>
      <c r="X75" s="288"/>
      <c r="Y75" s="288"/>
      <c r="Z75" s="288"/>
      <c r="AA75" s="288"/>
      <c r="AB75" s="288"/>
      <c r="AC75" s="288"/>
      <c r="AD75" s="288"/>
      <c r="AE75" s="288"/>
      <c r="AF75" s="288"/>
      <c r="AG75" s="288"/>
      <c r="AH75" s="288"/>
      <c r="AI75" s="289"/>
      <c r="AK75" s="425"/>
      <c r="AL75" s="425"/>
      <c r="AM75" s="425"/>
      <c r="AN75" s="425"/>
      <c r="AO75" s="425"/>
      <c r="AP75" s="425"/>
      <c r="AQ75" s="42"/>
      <c r="AR75" s="43"/>
      <c r="AS75" s="43"/>
      <c r="AT75" s="43"/>
      <c r="AU75" s="43"/>
      <c r="AV75" s="43"/>
      <c r="AW75" s="43"/>
      <c r="AX75" s="43"/>
      <c r="AY75" s="43"/>
      <c r="AZ75" s="43"/>
      <c r="BH75" s="53"/>
      <c r="BI75" s="51"/>
    </row>
    <row r="76" spans="1:61" ht="18" customHeight="1">
      <c r="A76" s="36"/>
      <c r="B76" s="404"/>
      <c r="C76" s="404"/>
      <c r="D76" s="404"/>
      <c r="E76" s="404"/>
      <c r="F76" s="288" t="s">
        <v>871</v>
      </c>
      <c r="G76" s="288"/>
      <c r="H76" s="288"/>
      <c r="I76" s="288"/>
      <c r="J76" s="288"/>
      <c r="K76" s="288"/>
      <c r="L76" s="288"/>
      <c r="M76" s="288"/>
      <c r="N76" s="288"/>
      <c r="O76" s="288"/>
      <c r="P76" s="288"/>
      <c r="Q76" s="288"/>
      <c r="R76" s="288"/>
      <c r="S76" s="288"/>
      <c r="T76" s="288"/>
      <c r="U76" s="288"/>
      <c r="V76" s="288"/>
      <c r="W76" s="288"/>
      <c r="X76" s="288"/>
      <c r="Y76" s="288"/>
      <c r="Z76" s="288"/>
      <c r="AA76" s="288"/>
      <c r="AB76" s="288"/>
      <c r="AC76" s="288"/>
      <c r="AD76" s="288"/>
      <c r="AE76" s="288"/>
      <c r="AF76" s="288"/>
      <c r="AG76" s="288"/>
      <c r="AH76" s="288"/>
      <c r="AI76" s="289"/>
      <c r="AK76" s="425"/>
      <c r="AL76" s="425"/>
      <c r="AM76" s="425"/>
      <c r="AN76" s="425"/>
      <c r="AO76" s="425"/>
      <c r="AP76" s="425"/>
      <c r="AQ76" s="42"/>
      <c r="AR76" s="43"/>
      <c r="AS76" s="43"/>
      <c r="AT76" s="43"/>
      <c r="AU76" s="43"/>
      <c r="AV76" s="43"/>
      <c r="AW76" s="43"/>
      <c r="AX76" s="43"/>
      <c r="AY76" s="43"/>
      <c r="AZ76" s="43"/>
      <c r="BH76" s="53"/>
      <c r="BI76" s="51"/>
    </row>
    <row r="77" spans="1:61" ht="18" customHeight="1">
      <c r="A77" s="36"/>
      <c r="B77" s="404"/>
      <c r="C77" s="404"/>
      <c r="D77" s="404"/>
      <c r="E77" s="404"/>
      <c r="F77" s="564" t="s">
        <v>872</v>
      </c>
      <c r="G77" s="288"/>
      <c r="H77" s="288"/>
      <c r="I77" s="288"/>
      <c r="J77" s="288"/>
      <c r="K77" s="288"/>
      <c r="L77" s="288"/>
      <c r="M77" s="288"/>
      <c r="N77" s="288"/>
      <c r="O77" s="288"/>
      <c r="P77" s="288"/>
      <c r="Q77" s="288"/>
      <c r="R77" s="288"/>
      <c r="S77" s="288"/>
      <c r="T77" s="288"/>
      <c r="U77" s="288"/>
      <c r="V77" s="288"/>
      <c r="W77" s="288"/>
      <c r="X77" s="288"/>
      <c r="Y77" s="288"/>
      <c r="Z77" s="288"/>
      <c r="AA77" s="288"/>
      <c r="AB77" s="288"/>
      <c r="AC77" s="288"/>
      <c r="AD77" s="288"/>
      <c r="AE77" s="288"/>
      <c r="AF77" s="288"/>
      <c r="AG77" s="288"/>
      <c r="AH77" s="288"/>
      <c r="AI77" s="289"/>
      <c r="AK77" s="425"/>
      <c r="AL77" s="425"/>
      <c r="AM77" s="425"/>
      <c r="AN77" s="425"/>
      <c r="AO77" s="425"/>
      <c r="AP77" s="425"/>
      <c r="AQ77" s="42"/>
      <c r="AR77" s="43"/>
      <c r="AS77" s="43"/>
      <c r="AT77" s="43"/>
      <c r="AU77" s="43"/>
      <c r="AV77" s="43"/>
      <c r="AW77" s="43"/>
      <c r="AX77" s="43"/>
      <c r="AY77" s="43"/>
      <c r="AZ77" s="43"/>
      <c r="BH77" s="54"/>
      <c r="BI77" s="51"/>
    </row>
    <row r="78" spans="1:61" ht="18" customHeight="1">
      <c r="A78" s="36"/>
      <c r="B78" s="404"/>
      <c r="C78" s="404"/>
      <c r="D78" s="404"/>
      <c r="E78" s="404"/>
      <c r="F78" s="288" t="s">
        <v>873</v>
      </c>
      <c r="G78" s="288"/>
      <c r="H78" s="288"/>
      <c r="I78" s="288"/>
      <c r="J78" s="288"/>
      <c r="K78" s="288"/>
      <c r="L78" s="288"/>
      <c r="M78" s="288"/>
      <c r="N78" s="288"/>
      <c r="O78" s="288"/>
      <c r="P78" s="288"/>
      <c r="Q78" s="288"/>
      <c r="R78" s="288"/>
      <c r="S78" s="288"/>
      <c r="T78" s="288"/>
      <c r="U78" s="288"/>
      <c r="V78" s="288"/>
      <c r="W78" s="288"/>
      <c r="X78" s="288"/>
      <c r="Y78" s="288"/>
      <c r="Z78" s="288"/>
      <c r="AA78" s="288"/>
      <c r="AB78" s="288"/>
      <c r="AC78" s="288"/>
      <c r="AD78" s="288"/>
      <c r="AE78" s="288"/>
      <c r="AF78" s="288"/>
      <c r="AG78" s="288"/>
      <c r="AH78" s="288"/>
      <c r="AI78" s="289"/>
      <c r="AK78" s="425"/>
      <c r="AL78" s="425"/>
      <c r="AM78" s="425"/>
      <c r="AN78" s="425"/>
      <c r="AO78" s="425"/>
      <c r="AP78" s="425"/>
      <c r="AQ78" s="42"/>
      <c r="AR78" s="43"/>
      <c r="AS78" s="43"/>
      <c r="AT78" s="43"/>
      <c r="AU78" s="43"/>
      <c r="AV78" s="43"/>
      <c r="AW78" s="43"/>
      <c r="AX78" s="43"/>
      <c r="AY78" s="43"/>
      <c r="AZ78" s="43"/>
      <c r="BH78" s="54"/>
      <c r="BI78" s="51"/>
    </row>
    <row r="79" spans="1:61" ht="18" customHeight="1">
      <c r="A79" s="36"/>
      <c r="B79" s="404"/>
      <c r="C79" s="404"/>
      <c r="D79" s="404"/>
      <c r="E79" s="404"/>
      <c r="F79" s="288"/>
      <c r="G79" s="288"/>
      <c r="H79" s="288"/>
      <c r="I79" s="288"/>
      <c r="J79" s="288"/>
      <c r="K79" s="288"/>
      <c r="L79" s="288"/>
      <c r="M79" s="288"/>
      <c r="N79" s="288"/>
      <c r="O79" s="288"/>
      <c r="P79" s="288"/>
      <c r="Q79" s="288"/>
      <c r="R79" s="288"/>
      <c r="S79" s="288"/>
      <c r="T79" s="288"/>
      <c r="U79" s="288"/>
      <c r="V79" s="288"/>
      <c r="W79" s="288"/>
      <c r="X79" s="288"/>
      <c r="Y79" s="288"/>
      <c r="Z79" s="288"/>
      <c r="AA79" s="288"/>
      <c r="AB79" s="288"/>
      <c r="AC79" s="288"/>
      <c r="AD79" s="288"/>
      <c r="AE79" s="288"/>
      <c r="AF79" s="288"/>
      <c r="AG79" s="288"/>
      <c r="AH79" s="288"/>
      <c r="AI79" s="289"/>
      <c r="AK79" s="425"/>
      <c r="AL79" s="425"/>
      <c r="AM79" s="425"/>
      <c r="AN79" s="425"/>
      <c r="AO79" s="425"/>
      <c r="AP79" s="425"/>
      <c r="AQ79" s="42"/>
      <c r="AR79" s="43"/>
      <c r="AS79" s="43"/>
      <c r="AT79" s="43"/>
      <c r="AU79" s="43"/>
      <c r="AV79" s="43"/>
      <c r="AW79" s="43"/>
      <c r="AX79" s="43"/>
      <c r="AY79" s="43"/>
      <c r="AZ79" s="43"/>
      <c r="BH79" s="54"/>
      <c r="BI79" s="51"/>
    </row>
    <row r="80" spans="1:61" ht="18" customHeight="1">
      <c r="A80" s="37"/>
      <c r="B80" s="466"/>
      <c r="C80" s="466"/>
      <c r="D80" s="466"/>
      <c r="E80" s="466"/>
      <c r="F80" s="467"/>
      <c r="G80" s="467"/>
      <c r="H80" s="467"/>
      <c r="I80" s="467"/>
      <c r="J80" s="467"/>
      <c r="K80" s="467"/>
      <c r="L80" s="467"/>
      <c r="M80" s="467"/>
      <c r="N80" s="467"/>
      <c r="O80" s="467"/>
      <c r="P80" s="467"/>
      <c r="Q80" s="467"/>
      <c r="R80" s="467"/>
      <c r="S80" s="467"/>
      <c r="T80" s="467"/>
      <c r="U80" s="467"/>
      <c r="V80" s="467"/>
      <c r="W80" s="467"/>
      <c r="X80" s="467"/>
      <c r="Y80" s="467"/>
      <c r="Z80" s="467"/>
      <c r="AA80" s="467"/>
      <c r="AB80" s="467"/>
      <c r="AC80" s="467"/>
      <c r="AD80" s="467"/>
      <c r="AE80" s="467"/>
      <c r="AF80" s="467"/>
      <c r="AG80" s="467"/>
      <c r="AH80" s="467"/>
      <c r="AI80" s="468"/>
      <c r="AK80" s="425"/>
      <c r="AL80" s="425"/>
      <c r="AM80" s="425"/>
      <c r="AN80" s="425"/>
      <c r="AO80" s="425"/>
      <c r="AP80" s="425"/>
      <c r="AQ80" s="42"/>
      <c r="AR80" s="43"/>
      <c r="AS80" s="43"/>
      <c r="AT80" s="43"/>
      <c r="AU80" s="43"/>
      <c r="AV80" s="43"/>
      <c r="AW80" s="43"/>
      <c r="AX80" s="43"/>
      <c r="AY80" s="43"/>
      <c r="AZ80" s="43"/>
      <c r="BH80" s="54"/>
      <c r="BI80" s="51"/>
    </row>
    <row r="81" spans="1:61" ht="18" customHeight="1">
      <c r="A81" s="406" t="s">
        <v>704</v>
      </c>
      <c r="B81" s="407"/>
      <c r="C81" s="407"/>
      <c r="D81" s="407"/>
      <c r="E81" s="407"/>
      <c r="F81" s="407"/>
      <c r="G81" s="407"/>
      <c r="H81" s="407"/>
      <c r="I81" s="407"/>
      <c r="J81" s="407"/>
      <c r="K81" s="407"/>
      <c r="L81" s="407"/>
      <c r="M81" s="407"/>
      <c r="N81" s="407"/>
      <c r="O81" s="407"/>
      <c r="P81" s="407"/>
      <c r="Q81" s="407"/>
      <c r="R81" s="407"/>
      <c r="S81" s="407"/>
      <c r="T81" s="407"/>
      <c r="U81" s="407"/>
      <c r="V81" s="407"/>
      <c r="W81" s="407"/>
      <c r="X81" s="407"/>
      <c r="Y81" s="407"/>
      <c r="Z81" s="407"/>
      <c r="AA81" s="407"/>
      <c r="AB81" s="407"/>
      <c r="AC81" s="407"/>
      <c r="AD81" s="407"/>
      <c r="AE81" s="407"/>
      <c r="AF81" s="407"/>
      <c r="AG81" s="407"/>
      <c r="AH81" s="407"/>
      <c r="AI81" s="408"/>
      <c r="AK81" s="425"/>
      <c r="AL81" s="425"/>
      <c r="AM81" s="425"/>
      <c r="AN81" s="425"/>
      <c r="AO81" s="425"/>
      <c r="AP81" s="425"/>
      <c r="AQ81" s="42"/>
      <c r="AR81" s="43"/>
      <c r="AS81" s="43"/>
      <c r="AT81" s="43"/>
      <c r="AU81" s="43"/>
      <c r="AV81" s="43"/>
      <c r="AW81" s="43"/>
      <c r="AX81" s="43"/>
      <c r="AY81" s="43"/>
      <c r="AZ81" s="43"/>
      <c r="BH81" s="53"/>
      <c r="BI81" s="51"/>
    </row>
    <row r="82" spans="1:61" ht="18" customHeight="1">
      <c r="A82" s="38"/>
      <c r="B82" s="465">
        <v>45644</v>
      </c>
      <c r="C82" s="465"/>
      <c r="D82" s="465"/>
      <c r="E82" s="465"/>
      <c r="F82" s="288" t="s">
        <v>837</v>
      </c>
      <c r="G82" s="288"/>
      <c r="H82" s="288"/>
      <c r="I82" s="288"/>
      <c r="J82" s="288"/>
      <c r="K82" s="288"/>
      <c r="L82" s="288"/>
      <c r="M82" s="288"/>
      <c r="N82" s="288"/>
      <c r="O82" s="288"/>
      <c r="P82" s="288"/>
      <c r="Q82" s="288"/>
      <c r="R82" s="288"/>
      <c r="S82" s="288"/>
      <c r="T82" s="288"/>
      <c r="U82" s="288"/>
      <c r="V82" s="288"/>
      <c r="W82" s="288"/>
      <c r="X82" s="288"/>
      <c r="Y82" s="288"/>
      <c r="Z82" s="288"/>
      <c r="AA82" s="288"/>
      <c r="AB82" s="288"/>
      <c r="AC82" s="288"/>
      <c r="AD82" s="288"/>
      <c r="AE82" s="288"/>
      <c r="AF82" s="288"/>
      <c r="AG82" s="288"/>
      <c r="AH82" s="288"/>
      <c r="AI82" s="289"/>
      <c r="AK82" s="425"/>
      <c r="AL82" s="425"/>
      <c r="AM82" s="425"/>
      <c r="AN82" s="425"/>
      <c r="AO82" s="425"/>
      <c r="AP82" s="425"/>
      <c r="AQ82" s="42"/>
      <c r="AR82" s="43"/>
      <c r="AS82" s="43"/>
      <c r="AT82" s="43"/>
      <c r="AU82" s="43"/>
      <c r="AV82" s="43"/>
      <c r="AW82" s="43"/>
      <c r="AX82" s="43"/>
      <c r="AY82" s="43"/>
      <c r="AZ82" s="43"/>
      <c r="BH82" s="53"/>
      <c r="BI82" s="51"/>
    </row>
    <row r="83" spans="1:61" ht="18" customHeight="1">
      <c r="A83" s="38"/>
      <c r="B83" s="465">
        <v>46160</v>
      </c>
      <c r="C83" s="465"/>
      <c r="D83" s="465"/>
      <c r="E83" s="465"/>
      <c r="F83" s="288" t="s">
        <v>838</v>
      </c>
      <c r="G83" s="288"/>
      <c r="H83" s="288"/>
      <c r="I83" s="288"/>
      <c r="J83" s="288"/>
      <c r="K83" s="288"/>
      <c r="L83" s="288"/>
      <c r="M83" s="288"/>
      <c r="N83" s="288"/>
      <c r="O83" s="288"/>
      <c r="P83" s="288"/>
      <c r="Q83" s="288"/>
      <c r="R83" s="288"/>
      <c r="S83" s="288"/>
      <c r="T83" s="288"/>
      <c r="U83" s="288"/>
      <c r="V83" s="288"/>
      <c r="W83" s="288"/>
      <c r="X83" s="288"/>
      <c r="Y83" s="288"/>
      <c r="Z83" s="288"/>
      <c r="AA83" s="288"/>
      <c r="AB83" s="288"/>
      <c r="AC83" s="288"/>
      <c r="AD83" s="288"/>
      <c r="AE83" s="288"/>
      <c r="AF83" s="288"/>
      <c r="AG83" s="288"/>
      <c r="AH83" s="288"/>
      <c r="AI83" s="289"/>
      <c r="AK83" s="425"/>
      <c r="AL83" s="425"/>
      <c r="AM83" s="425"/>
      <c r="AN83" s="425"/>
      <c r="AO83" s="425"/>
      <c r="AP83" s="425"/>
      <c r="AQ83" s="42"/>
      <c r="AR83" s="43"/>
      <c r="AS83" s="43"/>
      <c r="AT83" s="43"/>
      <c r="AU83" s="43"/>
      <c r="AV83" s="43"/>
      <c r="AW83" s="43"/>
      <c r="AX83" s="43"/>
      <c r="AY83" s="43"/>
      <c r="AZ83" s="43"/>
      <c r="BH83" s="53"/>
      <c r="BI83" s="51"/>
    </row>
    <row r="84" spans="1:61" ht="18" customHeight="1">
      <c r="A84" s="38"/>
      <c r="B84" s="465"/>
      <c r="C84" s="465"/>
      <c r="D84" s="465"/>
      <c r="E84" s="465"/>
      <c r="F84" s="288"/>
      <c r="G84" s="288"/>
      <c r="H84" s="288"/>
      <c r="I84" s="288"/>
      <c r="J84" s="288"/>
      <c r="K84" s="288"/>
      <c r="L84" s="288"/>
      <c r="M84" s="288"/>
      <c r="N84" s="288"/>
      <c r="O84" s="288"/>
      <c r="P84" s="288"/>
      <c r="Q84" s="288"/>
      <c r="R84" s="288"/>
      <c r="S84" s="288"/>
      <c r="T84" s="288"/>
      <c r="U84" s="288"/>
      <c r="V84" s="288"/>
      <c r="W84" s="288"/>
      <c r="X84" s="288"/>
      <c r="Y84" s="288"/>
      <c r="Z84" s="288"/>
      <c r="AA84" s="288"/>
      <c r="AB84" s="288"/>
      <c r="AC84" s="288"/>
      <c r="AD84" s="288"/>
      <c r="AE84" s="288"/>
      <c r="AF84" s="288"/>
      <c r="AG84" s="288"/>
      <c r="AH84" s="288"/>
      <c r="AI84" s="289"/>
      <c r="AK84" s="425"/>
      <c r="AL84" s="425"/>
      <c r="AM84" s="425"/>
      <c r="AN84" s="425"/>
      <c r="AO84" s="425"/>
      <c r="AP84" s="425"/>
      <c r="AQ84" s="42"/>
      <c r="AR84" s="43"/>
      <c r="AS84" s="43"/>
      <c r="AT84" s="43"/>
      <c r="AU84" s="43"/>
      <c r="AV84" s="43"/>
      <c r="AW84" s="43"/>
      <c r="AX84" s="43"/>
      <c r="AY84" s="43"/>
      <c r="AZ84" s="43"/>
    </row>
    <row r="85" spans="1:61" ht="18" customHeight="1">
      <c r="A85" s="38"/>
      <c r="B85" s="465"/>
      <c r="C85" s="465"/>
      <c r="D85" s="465"/>
      <c r="E85" s="465"/>
      <c r="F85" s="288"/>
      <c r="G85" s="288"/>
      <c r="H85" s="288"/>
      <c r="I85" s="288"/>
      <c r="J85" s="288"/>
      <c r="K85" s="288"/>
      <c r="L85" s="288"/>
      <c r="M85" s="288"/>
      <c r="N85" s="288"/>
      <c r="O85" s="288"/>
      <c r="P85" s="288"/>
      <c r="Q85" s="288"/>
      <c r="R85" s="288"/>
      <c r="S85" s="288"/>
      <c r="T85" s="288"/>
      <c r="U85" s="288"/>
      <c r="V85" s="288"/>
      <c r="W85" s="288"/>
      <c r="X85" s="288"/>
      <c r="Y85" s="288"/>
      <c r="Z85" s="288"/>
      <c r="AA85" s="288"/>
      <c r="AB85" s="288"/>
      <c r="AC85" s="288"/>
      <c r="AD85" s="288"/>
      <c r="AE85" s="288"/>
      <c r="AF85" s="288"/>
      <c r="AG85" s="288"/>
      <c r="AH85" s="288"/>
      <c r="AI85" s="289"/>
      <c r="AK85" s="425"/>
      <c r="AL85" s="425"/>
      <c r="AM85" s="425"/>
      <c r="AN85" s="425"/>
      <c r="AO85" s="425"/>
      <c r="AP85" s="425"/>
      <c r="AQ85" s="42"/>
      <c r="AR85" s="43"/>
      <c r="AS85" s="43"/>
      <c r="AT85" s="43"/>
      <c r="AU85" s="43"/>
      <c r="AV85" s="43"/>
      <c r="AW85" s="43"/>
      <c r="AX85" s="43"/>
      <c r="AY85" s="43"/>
      <c r="AZ85" s="43"/>
    </row>
    <row r="86" spans="1:61" ht="18" customHeight="1" thickBot="1">
      <c r="A86" s="41"/>
      <c r="B86" s="540"/>
      <c r="C86" s="540"/>
      <c r="D86" s="540"/>
      <c r="E86" s="540"/>
      <c r="F86" s="541"/>
      <c r="G86" s="541"/>
      <c r="H86" s="541"/>
      <c r="I86" s="541"/>
      <c r="J86" s="541"/>
      <c r="K86" s="541"/>
      <c r="L86" s="541"/>
      <c r="M86" s="541"/>
      <c r="N86" s="541"/>
      <c r="O86" s="541"/>
      <c r="P86" s="541"/>
      <c r="Q86" s="541"/>
      <c r="R86" s="541"/>
      <c r="S86" s="541"/>
      <c r="T86" s="541"/>
      <c r="U86" s="541"/>
      <c r="V86" s="541"/>
      <c r="W86" s="541"/>
      <c r="X86" s="541"/>
      <c r="Y86" s="541"/>
      <c r="Z86" s="541"/>
      <c r="AA86" s="541"/>
      <c r="AB86" s="541"/>
      <c r="AC86" s="541"/>
      <c r="AD86" s="541"/>
      <c r="AE86" s="541"/>
      <c r="AF86" s="541"/>
      <c r="AG86" s="541"/>
      <c r="AH86" s="541"/>
      <c r="AI86" s="542"/>
      <c r="AK86" s="425"/>
      <c r="AL86" s="425"/>
      <c r="AM86" s="425"/>
      <c r="AN86" s="425"/>
      <c r="AO86" s="425"/>
      <c r="AP86" s="425"/>
      <c r="AQ86" s="42"/>
      <c r="AR86" s="43"/>
      <c r="AS86" s="43"/>
      <c r="AT86" s="43"/>
      <c r="AU86" s="43"/>
      <c r="AV86" s="43"/>
      <c r="AW86" s="43"/>
      <c r="AX86" s="43"/>
      <c r="AY86" s="43"/>
      <c r="AZ86" s="43"/>
    </row>
    <row r="87" spans="1:61" ht="14.1" customHeight="1">
      <c r="AK87" s="438"/>
      <c r="AL87" s="438"/>
      <c r="AM87" s="438"/>
      <c r="AN87" s="438"/>
      <c r="AO87" s="438"/>
      <c r="AP87" s="438"/>
      <c r="AQ87" s="119"/>
    </row>
    <row r="88" spans="1:61" ht="14.1" customHeight="1">
      <c r="AK88" s="437"/>
      <c r="AL88" s="437"/>
      <c r="AM88" s="437"/>
      <c r="AN88" s="437"/>
      <c r="AO88" s="437"/>
      <c r="AP88" s="437"/>
      <c r="AQ88" s="120"/>
    </row>
    <row r="89" spans="1:61" ht="14.1" customHeight="1">
      <c r="AK89" s="437"/>
      <c r="AL89" s="437"/>
      <c r="AM89" s="437"/>
      <c r="AN89" s="437"/>
      <c r="AO89" s="437"/>
      <c r="AP89" s="437"/>
      <c r="AQ89" s="120"/>
    </row>
    <row r="90" spans="1:61" ht="14.1" customHeight="1"/>
    <row r="91" spans="1:61" ht="14.1" customHeight="1"/>
    <row r="92" spans="1:61" ht="14.1" customHeight="1"/>
    <row r="93" spans="1:61" ht="14.1" customHeight="1"/>
    <row r="94" spans="1:61" ht="14.1" customHeight="1"/>
    <row r="95" spans="1:61" ht="14.1" customHeight="1"/>
    <row r="96" spans="1:61" ht="14.1" customHeight="1"/>
    <row r="97" ht="14.1" customHeight="1"/>
    <row r="98" ht="14.1" customHeight="1"/>
    <row r="99" ht="14.1" customHeight="1"/>
    <row r="100" ht="14.1" customHeight="1"/>
    <row r="101" ht="14.1" customHeight="1"/>
    <row r="102" ht="14.1" customHeight="1"/>
    <row r="103" ht="14.1" customHeight="1"/>
    <row r="104" ht="14.1" customHeight="1"/>
    <row r="105" ht="14.1" customHeight="1"/>
    <row r="106" ht="14.1" customHeight="1"/>
    <row r="107" ht="14.1" customHeight="1"/>
    <row r="108" ht="14.1" customHeight="1"/>
    <row r="109" ht="14.1" customHeight="1"/>
    <row r="110" ht="14.1" customHeight="1"/>
    <row r="111" ht="14.1" customHeight="1"/>
    <row r="112" ht="14.1" customHeight="1"/>
    <row r="113" ht="14.1" customHeight="1"/>
    <row r="114" ht="14.1" customHeight="1"/>
    <row r="115" ht="14.1" customHeight="1"/>
    <row r="116" ht="14.1" customHeight="1"/>
    <row r="117" ht="14.1" customHeight="1"/>
    <row r="118" ht="14.1" customHeight="1"/>
    <row r="119" ht="14.1" customHeight="1"/>
    <row r="120" ht="14.1" customHeight="1"/>
    <row r="121" ht="14.1" customHeight="1"/>
    <row r="122" ht="14.1" customHeight="1"/>
    <row r="123" ht="14.1" customHeight="1"/>
    <row r="124" ht="14.1" customHeight="1"/>
    <row r="125" ht="14.1" customHeight="1"/>
    <row r="126" ht="14.1" customHeight="1"/>
    <row r="127" ht="14.1" customHeight="1"/>
    <row r="128" ht="14.1" customHeight="1"/>
    <row r="129" ht="14.1" customHeight="1"/>
    <row r="130" ht="14.1" customHeight="1"/>
    <row r="131" ht="14.1" customHeight="1"/>
    <row r="132" ht="14.1" customHeight="1"/>
    <row r="133" ht="14.1" customHeight="1"/>
    <row r="134" ht="14.1" customHeight="1"/>
    <row r="135" ht="14.1" customHeight="1"/>
    <row r="136" ht="14.1" customHeight="1"/>
    <row r="137" ht="14.1" customHeight="1"/>
    <row r="138" ht="14.1" customHeight="1"/>
    <row r="139" ht="14.1" customHeight="1"/>
    <row r="140" ht="14.1" customHeight="1"/>
    <row r="141" ht="14.1" customHeight="1"/>
    <row r="142" ht="14.1" customHeight="1"/>
    <row r="143" ht="14.1" customHeight="1"/>
    <row r="144" ht="14.1" customHeight="1"/>
    <row r="145" ht="14.1" customHeight="1"/>
    <row r="146" ht="14.1" customHeight="1"/>
    <row r="147" ht="14.1" customHeight="1"/>
    <row r="148" ht="14.1" customHeight="1"/>
    <row r="149" ht="14.1" customHeight="1"/>
    <row r="150" ht="14.1" customHeight="1"/>
    <row r="151" ht="14.1" customHeight="1"/>
    <row r="152" ht="14.1" customHeight="1"/>
    <row r="153" ht="14.1" customHeight="1"/>
    <row r="154" ht="14.1" customHeight="1"/>
    <row r="155" ht="14.1" customHeight="1"/>
    <row r="156" ht="14.1" customHeight="1"/>
    <row r="157" ht="14.1" customHeight="1"/>
    <row r="158" ht="14.1" customHeight="1"/>
    <row r="159" ht="14.1" customHeight="1"/>
    <row r="160" ht="14.1" customHeight="1"/>
    <row r="161" ht="14.1" customHeight="1"/>
    <row r="162" ht="14.1" customHeight="1"/>
    <row r="163" ht="14.1" customHeight="1"/>
    <row r="164" ht="14.1" customHeight="1"/>
    <row r="165" ht="14.1" customHeight="1"/>
    <row r="166" ht="14.1" customHeight="1"/>
    <row r="167" ht="14.1" customHeight="1"/>
    <row r="168" ht="14.1" customHeight="1"/>
    <row r="169" ht="14.1" customHeight="1"/>
    <row r="170" ht="14.1" customHeight="1"/>
    <row r="171" ht="14.1" customHeight="1"/>
    <row r="172" ht="14.1" customHeight="1"/>
    <row r="173" ht="14.1" customHeight="1"/>
    <row r="174" ht="14.1" customHeight="1"/>
    <row r="175" ht="14.1" customHeight="1"/>
    <row r="176" ht="14.1" customHeight="1"/>
    <row r="177" ht="14.1" customHeight="1"/>
    <row r="178" ht="14.1" customHeight="1"/>
    <row r="179" ht="14.1" customHeight="1"/>
    <row r="180" ht="14.1" customHeight="1"/>
    <row r="181" ht="14.1" customHeight="1"/>
    <row r="182" ht="14.1" customHeight="1"/>
    <row r="183" ht="14.1" customHeight="1"/>
    <row r="184" ht="14.1" customHeight="1"/>
    <row r="185" ht="14.1" customHeight="1"/>
    <row r="186" ht="14.1" customHeight="1"/>
    <row r="187" ht="14.1" customHeight="1"/>
    <row r="188" ht="14.1" customHeight="1"/>
    <row r="189" ht="14.1" customHeight="1"/>
    <row r="190" ht="14.1" customHeight="1"/>
    <row r="191" ht="14.1" customHeight="1"/>
    <row r="192" ht="14.1" customHeight="1"/>
    <row r="193" ht="14.1" customHeight="1"/>
    <row r="194" ht="14.1" customHeight="1"/>
    <row r="195" ht="14.1" customHeight="1"/>
    <row r="196" ht="14.1" customHeight="1"/>
    <row r="197" ht="14.1" customHeight="1"/>
    <row r="198" ht="14.1" customHeight="1"/>
    <row r="199" ht="14.1" customHeight="1"/>
    <row r="200" ht="14.1" customHeight="1"/>
    <row r="201" ht="14.1" customHeight="1"/>
    <row r="202" ht="14.1" customHeight="1"/>
    <row r="203" ht="14.1" customHeight="1"/>
    <row r="204" ht="14.1" customHeight="1"/>
    <row r="205" ht="14.1" customHeight="1"/>
    <row r="206" ht="14.1" customHeight="1"/>
    <row r="207" ht="14.1" customHeight="1"/>
    <row r="208" ht="14.1" customHeight="1"/>
    <row r="209" ht="14.1" customHeight="1"/>
    <row r="210" ht="14.1" customHeight="1"/>
    <row r="211" ht="14.1" customHeight="1"/>
    <row r="212" ht="14.1" customHeight="1"/>
    <row r="213" ht="14.1" customHeight="1"/>
    <row r="214" ht="14.1" customHeight="1"/>
    <row r="215" ht="14.1" customHeight="1"/>
    <row r="216" ht="14.1" customHeight="1"/>
    <row r="217" ht="14.1" customHeight="1"/>
    <row r="218" ht="14.1" customHeight="1"/>
    <row r="219" ht="14.1" customHeight="1"/>
    <row r="220" ht="14.1" customHeight="1"/>
    <row r="221" ht="14.1" customHeight="1"/>
    <row r="222" ht="14.1" customHeight="1"/>
    <row r="223" ht="14.1" customHeight="1"/>
    <row r="224" ht="14.1" customHeight="1"/>
    <row r="225" ht="14.1" customHeight="1"/>
    <row r="226" ht="14.1" customHeight="1"/>
    <row r="227" ht="14.1" customHeight="1"/>
    <row r="228" ht="14.1" customHeight="1"/>
    <row r="229" ht="14.1" customHeight="1"/>
    <row r="230" ht="14.1" customHeight="1"/>
    <row r="231" ht="14.1" customHeight="1"/>
    <row r="232" ht="14.1" customHeight="1"/>
    <row r="233" ht="14.1" customHeight="1"/>
    <row r="234" ht="14.1" customHeight="1"/>
    <row r="235" ht="14.1" customHeight="1"/>
    <row r="236" ht="14.1" customHeight="1"/>
    <row r="237" ht="14.1" customHeight="1"/>
    <row r="238" ht="14.1" customHeight="1"/>
    <row r="239" ht="14.1" customHeight="1"/>
    <row r="240" ht="14.1" customHeight="1"/>
    <row r="241" ht="14.1" customHeight="1"/>
    <row r="242" ht="14.1" customHeight="1"/>
    <row r="243" ht="14.1" customHeight="1"/>
    <row r="244" ht="14.1" customHeight="1"/>
    <row r="245" ht="14.1" customHeight="1"/>
    <row r="246" ht="14.1" customHeight="1"/>
    <row r="247" ht="14.1" customHeight="1"/>
    <row r="248" ht="14.1" customHeight="1"/>
    <row r="249" ht="14.1" customHeight="1"/>
    <row r="250" ht="14.1" customHeight="1"/>
    <row r="251" ht="14.1" customHeight="1"/>
    <row r="252" ht="14.1" customHeight="1"/>
    <row r="253" ht="14.1" customHeight="1"/>
    <row r="254" ht="14.1" customHeight="1"/>
    <row r="255" ht="14.1" customHeight="1"/>
    <row r="256" ht="14.1" customHeight="1"/>
    <row r="257" ht="14.1" customHeight="1"/>
    <row r="258" ht="14.1" customHeight="1"/>
    <row r="259" ht="14.1" customHeight="1"/>
    <row r="260" ht="14.1" customHeight="1"/>
    <row r="261" ht="14.1" customHeight="1"/>
    <row r="262" ht="14.1" customHeight="1"/>
    <row r="263" ht="14.1" customHeight="1"/>
    <row r="264" ht="14.1" customHeight="1"/>
    <row r="265" ht="14.1" customHeight="1"/>
    <row r="266" ht="14.1" customHeight="1"/>
  </sheetData>
  <sheetProtection algorithmName="SHA-512" hashValue="0loLJCJhL4ad+e9W1BFBlntzNt2hf75qC+V2eugpQkoXMOcFlTwiL5DSpVRXAf1cyQ/kgBnOXO/4cSPzCUKn4A==" saltValue="4etb9yyOEqZ9UduJqdtb6g==" spinCount="100000" sheet="1" autoFilter="0"/>
  <mergeCells count="381">
    <mergeCell ref="A1:S3"/>
    <mergeCell ref="T1:Z3"/>
    <mergeCell ref="AD1:AI1"/>
    <mergeCell ref="AD2:AF4"/>
    <mergeCell ref="AG2:AI4"/>
    <mergeCell ref="A4:S5"/>
    <mergeCell ref="AK7:AP8"/>
    <mergeCell ref="AQ7:AQ8"/>
    <mergeCell ref="V8:X8"/>
    <mergeCell ref="A9:AI9"/>
    <mergeCell ref="AK9:AP9"/>
    <mergeCell ref="A10:H10"/>
    <mergeCell ref="I10:J10"/>
    <mergeCell ref="K10:L10"/>
    <mergeCell ref="M10:T10"/>
    <mergeCell ref="U10:V10"/>
    <mergeCell ref="O7:P8"/>
    <mergeCell ref="Q7:R8"/>
    <mergeCell ref="S7:T8"/>
    <mergeCell ref="V7:X7"/>
    <mergeCell ref="Y7:AA8"/>
    <mergeCell ref="AB7:AI8"/>
    <mergeCell ref="A7:E8"/>
    <mergeCell ref="F7:F8"/>
    <mergeCell ref="G7:I8"/>
    <mergeCell ref="J7:J8"/>
    <mergeCell ref="K7:M8"/>
    <mergeCell ref="N7:N8"/>
    <mergeCell ref="W10:X10"/>
    <mergeCell ref="Y10:AF10"/>
    <mergeCell ref="AG10:AH10"/>
    <mergeCell ref="AK10:AP10"/>
    <mergeCell ref="A11:H11"/>
    <mergeCell ref="I11:J11"/>
    <mergeCell ref="K11:L11"/>
    <mergeCell ref="M11:T11"/>
    <mergeCell ref="U11:V11"/>
    <mergeCell ref="W11:X11"/>
    <mergeCell ref="Y11:AF11"/>
    <mergeCell ref="AG11:AH11"/>
    <mergeCell ref="AK11:AP11"/>
    <mergeCell ref="A12:H12"/>
    <mergeCell ref="I12:J12"/>
    <mergeCell ref="K12:L12"/>
    <mergeCell ref="M12:T12"/>
    <mergeCell ref="U12:V12"/>
    <mergeCell ref="W12:X12"/>
    <mergeCell ref="Y12:AF12"/>
    <mergeCell ref="AG12:AH12"/>
    <mergeCell ref="AK12:AP12"/>
    <mergeCell ref="A13:H13"/>
    <mergeCell ref="I13:J13"/>
    <mergeCell ref="K13:L13"/>
    <mergeCell ref="M13:T13"/>
    <mergeCell ref="U13:V13"/>
    <mergeCell ref="W13:X13"/>
    <mergeCell ref="Y13:AF13"/>
    <mergeCell ref="AG13:AH13"/>
    <mergeCell ref="AK13:AP13"/>
    <mergeCell ref="A14:AI14"/>
    <mergeCell ref="AK14:AP14"/>
    <mergeCell ref="B15:I15"/>
    <mergeCell ref="J15:L15"/>
    <mergeCell ref="M15:N15"/>
    <mergeCell ref="O15:V15"/>
    <mergeCell ref="W15:Y15"/>
    <mergeCell ref="Z15:AA15"/>
    <mergeCell ref="AB15:AG15"/>
    <mergeCell ref="A18:E18"/>
    <mergeCell ref="F18:AI18"/>
    <mergeCell ref="AK18:AP18"/>
    <mergeCell ref="B19:E19"/>
    <mergeCell ref="F19:AI19"/>
    <mergeCell ref="AK19:AP19"/>
    <mergeCell ref="AH15:AI15"/>
    <mergeCell ref="AK15:AP15"/>
    <mergeCell ref="A16:AI16"/>
    <mergeCell ref="AK16:AP16"/>
    <mergeCell ref="A17:E17"/>
    <mergeCell ref="F17:AI17"/>
    <mergeCell ref="AK17:AP17"/>
    <mergeCell ref="B20:E20"/>
    <mergeCell ref="F20:AI20"/>
    <mergeCell ref="AK20:AP20"/>
    <mergeCell ref="AR20:AR23"/>
    <mergeCell ref="B21:E21"/>
    <mergeCell ref="F21:AI21"/>
    <mergeCell ref="AK21:AP21"/>
    <mergeCell ref="B22:E22"/>
    <mergeCell ref="F22:AI22"/>
    <mergeCell ref="AK22:AP22"/>
    <mergeCell ref="BA23:BB23"/>
    <mergeCell ref="B24:E24"/>
    <mergeCell ref="F24:AI24"/>
    <mergeCell ref="AK24:AP24"/>
    <mergeCell ref="AY24:AZ24"/>
    <mergeCell ref="BA24:BB24"/>
    <mergeCell ref="AS22:AT22"/>
    <mergeCell ref="AU22:AV22"/>
    <mergeCell ref="AY22:AZ22"/>
    <mergeCell ref="BA22:BB22"/>
    <mergeCell ref="B23:E23"/>
    <mergeCell ref="F23:AI23"/>
    <mergeCell ref="AK23:AP23"/>
    <mergeCell ref="AS23:AT23"/>
    <mergeCell ref="AU23:AV23"/>
    <mergeCell ref="AY23:AZ23"/>
    <mergeCell ref="B27:E27"/>
    <mergeCell ref="F27:AI27"/>
    <mergeCell ref="AK27:AP27"/>
    <mergeCell ref="AS27:AT27"/>
    <mergeCell ref="AU27:AW27"/>
    <mergeCell ref="AY27:BB27"/>
    <mergeCell ref="B25:E25"/>
    <mergeCell ref="F25:AI25"/>
    <mergeCell ref="AK25:AP25"/>
    <mergeCell ref="AY25:AZ25"/>
    <mergeCell ref="BA25:BB25"/>
    <mergeCell ref="B26:E26"/>
    <mergeCell ref="F26:AI26"/>
    <mergeCell ref="AK26:AP26"/>
    <mergeCell ref="AS26:AW26"/>
    <mergeCell ref="BA28:BB28"/>
    <mergeCell ref="B29:E29"/>
    <mergeCell ref="F29:AI29"/>
    <mergeCell ref="AK29:AP29"/>
    <mergeCell ref="AS29:AT29"/>
    <mergeCell ref="AU29:AW29"/>
    <mergeCell ref="AY29:AZ29"/>
    <mergeCell ref="BA29:BB29"/>
    <mergeCell ref="B28:E28"/>
    <mergeCell ref="F28:AI28"/>
    <mergeCell ref="AK28:AP28"/>
    <mergeCell ref="AS28:AT28"/>
    <mergeCell ref="AU28:AW28"/>
    <mergeCell ref="AY28:AZ28"/>
    <mergeCell ref="A32:AI32"/>
    <mergeCell ref="AK32:AP32"/>
    <mergeCell ref="AS32:AT32"/>
    <mergeCell ref="AU32:AW32"/>
    <mergeCell ref="AY32:AZ32"/>
    <mergeCell ref="BA32:BB32"/>
    <mergeCell ref="BA30:BB30"/>
    <mergeCell ref="B31:E31"/>
    <mergeCell ref="F31:AI31"/>
    <mergeCell ref="AK31:AP31"/>
    <mergeCell ref="AS31:AT31"/>
    <mergeCell ref="AU31:AW31"/>
    <mergeCell ref="AY31:AZ31"/>
    <mergeCell ref="BA31:BB31"/>
    <mergeCell ref="B30:E30"/>
    <mergeCell ref="F30:AI30"/>
    <mergeCell ref="AK30:AP30"/>
    <mergeCell ref="AS30:AT30"/>
    <mergeCell ref="AU30:AW30"/>
    <mergeCell ref="AY30:AZ30"/>
    <mergeCell ref="BA33:BB33"/>
    <mergeCell ref="B34:E34"/>
    <mergeCell ref="F34:AI34"/>
    <mergeCell ref="AK34:AP34"/>
    <mergeCell ref="AS34:AT34"/>
    <mergeCell ref="AU34:AW34"/>
    <mergeCell ref="AY34:AZ34"/>
    <mergeCell ref="BA34:BB34"/>
    <mergeCell ref="B33:E33"/>
    <mergeCell ref="F33:AI33"/>
    <mergeCell ref="AK33:AP33"/>
    <mergeCell ref="AS33:AT33"/>
    <mergeCell ref="AU33:AW33"/>
    <mergeCell ref="AY33:AZ33"/>
    <mergeCell ref="AY35:AZ35"/>
    <mergeCell ref="BA35:BB35"/>
    <mergeCell ref="A36:E36"/>
    <mergeCell ref="F36:K36"/>
    <mergeCell ref="L36:O36"/>
    <mergeCell ref="P36:R36"/>
    <mergeCell ref="T36:V36"/>
    <mergeCell ref="W36:AB36"/>
    <mergeCell ref="AC36:AI36"/>
    <mergeCell ref="B35:E35"/>
    <mergeCell ref="F35:V35"/>
    <mergeCell ref="W35:AB35"/>
    <mergeCell ref="AC35:AI35"/>
    <mergeCell ref="AK35:AP35"/>
    <mergeCell ref="AS35:AT35"/>
    <mergeCell ref="AK36:AP36"/>
    <mergeCell ref="AS36:AT36"/>
    <mergeCell ref="AU36:AW36"/>
    <mergeCell ref="AU35:AW35"/>
    <mergeCell ref="A39:AI39"/>
    <mergeCell ref="AK39:AP39"/>
    <mergeCell ref="AS39:AT39"/>
    <mergeCell ref="AV39:AW39"/>
    <mergeCell ref="A38:E38"/>
    <mergeCell ref="F38:K38"/>
    <mergeCell ref="L38:O38"/>
    <mergeCell ref="P38:V38"/>
    <mergeCell ref="W38:AB38"/>
    <mergeCell ref="AC38:AI38"/>
    <mergeCell ref="AD40:AI40"/>
    <mergeCell ref="A37:E37"/>
    <mergeCell ref="F37:AI37"/>
    <mergeCell ref="AK40:AP40"/>
    <mergeCell ref="AS40:AT40"/>
    <mergeCell ref="AV40:AW40"/>
    <mergeCell ref="A41:D41"/>
    <mergeCell ref="E41:G41"/>
    <mergeCell ref="I41:K41"/>
    <mergeCell ref="L41:R41"/>
    <mergeCell ref="S41:V41"/>
    <mergeCell ref="W41:Y41"/>
    <mergeCell ref="AA41:AC41"/>
    <mergeCell ref="AD41:AI41"/>
    <mergeCell ref="AK41:AP41"/>
    <mergeCell ref="A40:D40"/>
    <mergeCell ref="E40:K40"/>
    <mergeCell ref="L40:R40"/>
    <mergeCell ref="S40:V40"/>
    <mergeCell ref="W40:AC40"/>
    <mergeCell ref="AK37:AP37"/>
    <mergeCell ref="AS37:AT37"/>
    <mergeCell ref="AU37:AW37"/>
    <mergeCell ref="AK38:AP38"/>
    <mergeCell ref="A42:D42"/>
    <mergeCell ref="E42:G42"/>
    <mergeCell ref="I42:K42"/>
    <mergeCell ref="L42:R42"/>
    <mergeCell ref="S42:V42"/>
    <mergeCell ref="W42:Y42"/>
    <mergeCell ref="AA42:AC42"/>
    <mergeCell ref="AK42:AP42"/>
    <mergeCell ref="AS42:AW42"/>
    <mergeCell ref="A43:D43"/>
    <mergeCell ref="E43:G43"/>
    <mergeCell ref="I43:K43"/>
    <mergeCell ref="L43:R43"/>
    <mergeCell ref="S43:V43"/>
    <mergeCell ref="W43:Y43"/>
    <mergeCell ref="AA43:AC43"/>
    <mergeCell ref="A44:D44"/>
    <mergeCell ref="E44:G44"/>
    <mergeCell ref="I44:K44"/>
    <mergeCell ref="L44:R44"/>
    <mergeCell ref="S44:V44"/>
    <mergeCell ref="W44:Y44"/>
    <mergeCell ref="AA44:AC44"/>
    <mergeCell ref="AD44:AI44"/>
    <mergeCell ref="AD42:AI42"/>
    <mergeCell ref="AK44:AP44"/>
    <mergeCell ref="R45:U45"/>
    <mergeCell ref="W45:X45"/>
    <mergeCell ref="Z45:AA45"/>
    <mergeCell ref="AC45:AD45"/>
    <mergeCell ref="AE45:AF45"/>
    <mergeCell ref="AK45:AP45"/>
    <mergeCell ref="AD43:AI43"/>
    <mergeCell ref="AK43:AP43"/>
    <mergeCell ref="B49:E49"/>
    <mergeCell ref="F49:AI49"/>
    <mergeCell ref="AK49:AP49"/>
    <mergeCell ref="B50:E50"/>
    <mergeCell ref="F50:AI50"/>
    <mergeCell ref="AK50:AP50"/>
    <mergeCell ref="A46:AI46"/>
    <mergeCell ref="AK46:AP46"/>
    <mergeCell ref="B47:E47"/>
    <mergeCell ref="F47:AI47"/>
    <mergeCell ref="AK47:AP47"/>
    <mergeCell ref="B48:E48"/>
    <mergeCell ref="F48:AI48"/>
    <mergeCell ref="AK48:AP48"/>
    <mergeCell ref="B53:E53"/>
    <mergeCell ref="F53:AI53"/>
    <mergeCell ref="AK53:AP53"/>
    <mergeCell ref="B54:E54"/>
    <mergeCell ref="F54:AI54"/>
    <mergeCell ref="AK54:AP54"/>
    <mergeCell ref="B51:E51"/>
    <mergeCell ref="F51:AI51"/>
    <mergeCell ref="AK51:AP51"/>
    <mergeCell ref="B52:E52"/>
    <mergeCell ref="F52:AI52"/>
    <mergeCell ref="AK52:AP52"/>
    <mergeCell ref="B57:E57"/>
    <mergeCell ref="F57:AI57"/>
    <mergeCell ref="AK57:AP57"/>
    <mergeCell ref="B58:E58"/>
    <mergeCell ref="F58:AI58"/>
    <mergeCell ref="AK58:AP58"/>
    <mergeCell ref="B55:E55"/>
    <mergeCell ref="F55:AI55"/>
    <mergeCell ref="AK55:AP55"/>
    <mergeCell ref="B56:E56"/>
    <mergeCell ref="F56:AI56"/>
    <mergeCell ref="AK56:AP56"/>
    <mergeCell ref="B61:E61"/>
    <mergeCell ref="F61:AI61"/>
    <mergeCell ref="AK61:AP61"/>
    <mergeCell ref="B62:E62"/>
    <mergeCell ref="F62:AI62"/>
    <mergeCell ref="AK62:AP62"/>
    <mergeCell ref="B59:E59"/>
    <mergeCell ref="F59:AI59"/>
    <mergeCell ref="AK59:AP59"/>
    <mergeCell ref="B60:E60"/>
    <mergeCell ref="F60:AI60"/>
    <mergeCell ref="AK60:AP60"/>
    <mergeCell ref="B65:E65"/>
    <mergeCell ref="F65:AI65"/>
    <mergeCell ref="AK65:AP65"/>
    <mergeCell ref="B66:E66"/>
    <mergeCell ref="F66:AI66"/>
    <mergeCell ref="AK66:AP66"/>
    <mergeCell ref="B63:E63"/>
    <mergeCell ref="F63:AI63"/>
    <mergeCell ref="AK63:AP63"/>
    <mergeCell ref="B64:E64"/>
    <mergeCell ref="F64:AI64"/>
    <mergeCell ref="AK64:AP64"/>
    <mergeCell ref="B69:E69"/>
    <mergeCell ref="F69:AI69"/>
    <mergeCell ref="AK69:AP69"/>
    <mergeCell ref="B70:E70"/>
    <mergeCell ref="F70:AI70"/>
    <mergeCell ref="AK70:AP70"/>
    <mergeCell ref="B67:E67"/>
    <mergeCell ref="F67:AI67"/>
    <mergeCell ref="AK67:AP67"/>
    <mergeCell ref="B68:E68"/>
    <mergeCell ref="F68:AI68"/>
    <mergeCell ref="AK68:AP68"/>
    <mergeCell ref="B73:E73"/>
    <mergeCell ref="F73:AI73"/>
    <mergeCell ref="AK73:AP73"/>
    <mergeCell ref="B74:E74"/>
    <mergeCell ref="F74:AI74"/>
    <mergeCell ref="AK74:AP74"/>
    <mergeCell ref="B71:E71"/>
    <mergeCell ref="F71:AI71"/>
    <mergeCell ref="AK71:AP71"/>
    <mergeCell ref="B72:E72"/>
    <mergeCell ref="F72:AI72"/>
    <mergeCell ref="AK72:AP72"/>
    <mergeCell ref="B77:E77"/>
    <mergeCell ref="F77:AI77"/>
    <mergeCell ref="AK77:AP77"/>
    <mergeCell ref="B78:E78"/>
    <mergeCell ref="F78:AI78"/>
    <mergeCell ref="AK78:AP78"/>
    <mergeCell ref="B75:E75"/>
    <mergeCell ref="F75:AI75"/>
    <mergeCell ref="AK75:AP75"/>
    <mergeCell ref="B76:E76"/>
    <mergeCell ref="F76:AI76"/>
    <mergeCell ref="AK76:AP76"/>
    <mergeCell ref="A81:AI81"/>
    <mergeCell ref="AK81:AP81"/>
    <mergeCell ref="B82:E82"/>
    <mergeCell ref="F82:AI82"/>
    <mergeCell ref="AK82:AP82"/>
    <mergeCell ref="B83:E83"/>
    <mergeCell ref="F83:AI83"/>
    <mergeCell ref="AK83:AP83"/>
    <mergeCell ref="B79:E79"/>
    <mergeCell ref="F79:AI79"/>
    <mergeCell ref="AK79:AP79"/>
    <mergeCell ref="B80:E80"/>
    <mergeCell ref="F80:AI80"/>
    <mergeCell ref="AK80:AP80"/>
    <mergeCell ref="B86:E86"/>
    <mergeCell ref="F86:AI86"/>
    <mergeCell ref="AK86:AP86"/>
    <mergeCell ref="AK87:AP87"/>
    <mergeCell ref="AK88:AP88"/>
    <mergeCell ref="AK89:AP89"/>
    <mergeCell ref="B84:E84"/>
    <mergeCell ref="F84:AI84"/>
    <mergeCell ref="AK84:AP84"/>
    <mergeCell ref="B85:E85"/>
    <mergeCell ref="F85:AI85"/>
    <mergeCell ref="AK85:AP85"/>
  </mergeCells>
  <phoneticPr fontId="2"/>
  <conditionalFormatting sqref="AQ20:AQ28 AQ30:AQ31 AQ9 AQ11:AQ12 AQ14 AQ33:AQ34">
    <cfRule type="containsBlanks" dxfId="167" priority="12">
      <formula>LEN(TRIM(AQ9))=0</formula>
    </cfRule>
  </conditionalFormatting>
  <conditionalFormatting sqref="BC11:CF11">
    <cfRule type="containsText" dxfId="166" priority="8" operator="containsText" text="青">
      <formula>NOT(ISERROR(SEARCH("青",BC11)))</formula>
    </cfRule>
    <cfRule type="containsText" dxfId="165" priority="9" operator="containsText" text="緑">
      <formula>NOT(ISERROR(SEARCH("緑",BC11)))</formula>
    </cfRule>
    <cfRule type="containsText" dxfId="164" priority="10" operator="containsText" text="黄">
      <formula>NOT(ISERROR(SEARCH("黄",BC11)))</formula>
    </cfRule>
    <cfRule type="containsText" dxfId="163" priority="11" operator="containsText" text="赤">
      <formula>NOT(ISERROR(SEARCH("赤",BC11)))</formula>
    </cfRule>
  </conditionalFormatting>
  <conditionalFormatting sqref="V7:X8">
    <cfRule type="containsBlanks" dxfId="162" priority="7">
      <formula>LEN(TRIM(V7))=0</formula>
    </cfRule>
  </conditionalFormatting>
  <conditionalFormatting sqref="AB7:AI8">
    <cfRule type="containsBlanks" dxfId="161" priority="6">
      <formula>LEN(TRIM(AB7))=0</formula>
    </cfRule>
  </conditionalFormatting>
  <conditionalFormatting sqref="A7:E8 G7:I8 K7:M8 O7:P8">
    <cfRule type="containsBlanks" dxfId="160" priority="5">
      <formula>LEN(TRIM(A7))=0</formula>
    </cfRule>
  </conditionalFormatting>
  <conditionalFormatting sqref="W15:Y15 AH15:AI15 J15:L15">
    <cfRule type="containsBlanks" dxfId="159" priority="4">
      <formula>LEN(TRIM(J15))=0</formula>
    </cfRule>
  </conditionalFormatting>
  <conditionalFormatting sqref="L41:R44">
    <cfRule type="cellIs" dxfId="158" priority="1" operator="equal">
      <formula>0</formula>
    </cfRule>
  </conditionalFormatting>
  <conditionalFormatting sqref="P36:R36 T36:V36 L38:O38 AC38:AI38 AC36:AI36">
    <cfRule type="containsBlanks" dxfId="157" priority="3">
      <formula>LEN(TRIM(L36))=0</formula>
    </cfRule>
  </conditionalFormatting>
  <conditionalFormatting sqref="W41:Y44 AA41:AI44">
    <cfRule type="cellIs" dxfId="156" priority="2" operator="equal">
      <formula>0</formula>
    </cfRule>
  </conditionalFormatting>
  <printOptions horizontalCentered="1" verticalCentered="1"/>
  <pageMargins left="0.70866141732283472" right="0.59055118110236227" top="0.55118110236220474" bottom="0.55118110236220474" header="0.31496062992125984" footer="0.31496062992125984"/>
  <pageSetup paperSize="9" orientation="portrait" horizontalDpi="300" verticalDpi="300" r:id="rId1"/>
  <headerFooter scaleWithDoc="0" alignWithMargins="0">
    <oddFooter>&amp;C&amp;P&amp;Rヒトトヒト株式会社</oddFooter>
  </headerFooter>
  <rowBreaks count="1" manualBreakCount="1">
    <brk id="44" max="34" man="1"/>
  </rowBreaks>
  <drawing r:id="rId2"/>
  <extLst>
    <ext xmlns:x14="http://schemas.microsoft.com/office/spreadsheetml/2009/9/main" uri="{CCE6A557-97BC-4b89-ADB6-D9C93CAAB3DF}">
      <x14:dataValidations xmlns:xm="http://schemas.microsoft.com/office/excel/2006/main" count="6">
        <x14:dataValidation type="list" allowBlank="1" showInputMessage="1" showErrorMessage="1" xr:uid="{B1ED0838-69B3-448A-95F9-E861B85C70D8}">
          <x14:formula1>
            <xm:f>初期値!$C$12:$C$27</xm:f>
          </x14:formula1>
          <xm:sqref>P36:R36 T36:V36</xm:sqref>
        </x14:dataValidation>
        <x14:dataValidation type="list" allowBlank="1" showInputMessage="1" showErrorMessage="1" xr:uid="{15D80481-4955-44D9-9ACE-D083531D1E38}">
          <x14:formula1>
            <xm:f>初期値!$G$12:$G$24</xm:f>
          </x14:formula1>
          <xm:sqref>V7:X8</xm:sqref>
        </x14:dataValidation>
        <x14:dataValidation type="list" allowBlank="1" showInputMessage="1" showErrorMessage="1" xr:uid="{BAB78514-43BF-4F9C-9901-15C35F26A885}">
          <x14:formula1>
            <xm:f>初期値!$E$12:$E$13</xm:f>
          </x14:formula1>
          <xm:sqref>L38:O38 AC38:AI38 AC36:AI36</xm:sqref>
        </x14:dataValidation>
        <x14:dataValidation type="list" allowBlank="1" showInputMessage="1" showErrorMessage="1" xr:uid="{0C5C10EF-24B8-4751-B181-AD36A084C7E2}">
          <x14:formula1>
            <xm:f>初期値!$N$22:$N$23</xm:f>
          </x14:formula1>
          <xm:sqref>AW23</xm:sqref>
        </x14:dataValidation>
        <x14:dataValidation type="list" allowBlank="1" showInputMessage="1" showErrorMessage="1" xr:uid="{206243E1-3D36-4597-BB1B-D3F5CF467254}">
          <x14:formula1>
            <xm:f>初期値!$P$12:$P$27</xm:f>
          </x14:formula1>
          <xm:sqref>BA24:BB24 BA22:BB22 BA28:BB28 BA30:BB30 BA32:BB32 BA34:BB34</xm:sqref>
        </x14:dataValidation>
        <x14:dataValidation type="list" allowBlank="1" showInputMessage="1" showErrorMessage="1" xr:uid="{5E40F0D7-0FD0-40CE-A1E2-ADCC7D90F53C}">
          <x14:formula1>
            <xm:f>初期値!$N$12:$N$19</xm:f>
          </x14:formula1>
          <xm:sqref>AU22:AV22</xm:sqref>
        </x14:dataValidation>
      </x14:dataValidations>
    </ext>
  </extLst>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9CBD978-54E7-4274-B991-763910B9B1CA}">
  <sheetPr codeName="Sheet39"/>
  <dimension ref="A1:CG266"/>
  <sheetViews>
    <sheetView topLeftCell="A19" zoomScaleNormal="100" zoomScaleSheetLayoutView="100" workbookViewId="0">
      <selection activeCell="F82" sqref="F82:AI82"/>
    </sheetView>
  </sheetViews>
  <sheetFormatPr defaultColWidth="8.875" defaultRowHeight="13.5"/>
  <cols>
    <col min="1" max="42" width="2.25" style="23" customWidth="1"/>
    <col min="43" max="43" width="6" style="23" bestFit="1" customWidth="1"/>
    <col min="44" max="44" width="4.5" style="23" bestFit="1" customWidth="1"/>
    <col min="45" max="45" width="6" style="23" bestFit="1" customWidth="1"/>
    <col min="46" max="46" width="4.5" style="23" bestFit="1" customWidth="1"/>
    <col min="47" max="47" width="9" style="23" bestFit="1" customWidth="1"/>
    <col min="48" max="48" width="8.5" style="23" bestFit="1" customWidth="1"/>
    <col min="49" max="49" width="7.5" style="23" bestFit="1" customWidth="1"/>
    <col min="50" max="50" width="6.5" style="23" bestFit="1" customWidth="1"/>
    <col min="51" max="51" width="7.5" style="23" bestFit="1" customWidth="1"/>
    <col min="52" max="52" width="2.125" style="23" customWidth="1"/>
    <col min="53" max="54" width="7.375" style="23" customWidth="1"/>
    <col min="55" max="63" width="3.625" style="23" bestFit="1" customWidth="1"/>
    <col min="64" max="84" width="4" style="23" bestFit="1" customWidth="1"/>
    <col min="85" max="16384" width="8.875" style="23"/>
  </cols>
  <sheetData>
    <row r="1" spans="1:85" ht="14.1" customHeight="1">
      <c r="A1" s="510" t="s">
        <v>551</v>
      </c>
      <c r="B1" s="510"/>
      <c r="C1" s="510"/>
      <c r="D1" s="510"/>
      <c r="E1" s="510"/>
      <c r="F1" s="510"/>
      <c r="G1" s="510"/>
      <c r="H1" s="510"/>
      <c r="I1" s="510"/>
      <c r="J1" s="510"/>
      <c r="K1" s="510"/>
      <c r="L1" s="510"/>
      <c r="M1" s="510"/>
      <c r="N1" s="510"/>
      <c r="O1" s="510"/>
      <c r="P1" s="510"/>
      <c r="Q1" s="510"/>
      <c r="R1" s="510"/>
      <c r="S1" s="510"/>
      <c r="T1" s="388"/>
      <c r="U1" s="388"/>
      <c r="V1" s="388"/>
      <c r="W1" s="388"/>
      <c r="X1" s="388"/>
      <c r="Y1" s="388"/>
      <c r="Z1" s="388"/>
      <c r="AA1" s="24"/>
      <c r="AB1" s="32"/>
      <c r="AD1" s="252" t="s">
        <v>167</v>
      </c>
      <c r="AE1" s="252"/>
      <c r="AF1" s="252"/>
      <c r="AG1" s="252"/>
      <c r="AH1" s="252"/>
      <c r="AI1" s="252"/>
      <c r="AM1" s="123">
        <v>19</v>
      </c>
      <c r="BB1"/>
    </row>
    <row r="2" spans="1:85" ht="14.1" customHeight="1">
      <c r="A2" s="510"/>
      <c r="B2" s="510"/>
      <c r="C2" s="510"/>
      <c r="D2" s="510"/>
      <c r="E2" s="510"/>
      <c r="F2" s="510"/>
      <c r="G2" s="510"/>
      <c r="H2" s="510"/>
      <c r="I2" s="510"/>
      <c r="J2" s="510"/>
      <c r="K2" s="510"/>
      <c r="L2" s="510"/>
      <c r="M2" s="510"/>
      <c r="N2" s="510"/>
      <c r="O2" s="510"/>
      <c r="P2" s="510"/>
      <c r="Q2" s="510"/>
      <c r="R2" s="510"/>
      <c r="S2" s="510"/>
      <c r="T2" s="388"/>
      <c r="U2" s="388"/>
      <c r="V2" s="388"/>
      <c r="W2" s="388"/>
      <c r="X2" s="388"/>
      <c r="Y2" s="388"/>
      <c r="Z2" s="388"/>
      <c r="AA2" s="25"/>
      <c r="AB2" s="31"/>
      <c r="AD2" s="253"/>
      <c r="AE2" s="253"/>
      <c r="AF2" s="253"/>
      <c r="AG2" s="253"/>
      <c r="AH2" s="253"/>
      <c r="AI2" s="253"/>
      <c r="BA2"/>
    </row>
    <row r="3" spans="1:85" ht="14.1" customHeight="1">
      <c r="A3" s="510"/>
      <c r="B3" s="510"/>
      <c r="C3" s="510"/>
      <c r="D3" s="510"/>
      <c r="E3" s="510"/>
      <c r="F3" s="510"/>
      <c r="G3" s="510"/>
      <c r="H3" s="510"/>
      <c r="I3" s="510"/>
      <c r="J3" s="510"/>
      <c r="K3" s="510"/>
      <c r="L3" s="510"/>
      <c r="M3" s="510"/>
      <c r="N3" s="510"/>
      <c r="O3" s="510"/>
      <c r="P3" s="510"/>
      <c r="Q3" s="510"/>
      <c r="R3" s="510"/>
      <c r="S3" s="510"/>
      <c r="T3" s="388"/>
      <c r="U3" s="388"/>
      <c r="V3" s="388"/>
      <c r="W3" s="388"/>
      <c r="X3" s="388"/>
      <c r="Y3" s="388"/>
      <c r="Z3" s="388"/>
      <c r="AA3" s="25"/>
      <c r="AB3" s="31"/>
      <c r="AD3" s="253"/>
      <c r="AE3" s="253"/>
      <c r="AF3" s="253"/>
      <c r="AG3" s="253"/>
      <c r="AH3" s="253"/>
      <c r="AI3" s="253"/>
      <c r="BA3"/>
    </row>
    <row r="4" spans="1:85" ht="14.1" customHeight="1">
      <c r="A4" s="395" t="s">
        <v>552</v>
      </c>
      <c r="B4" s="395"/>
      <c r="C4" s="395"/>
      <c r="D4" s="395"/>
      <c r="E4" s="395"/>
      <c r="F4" s="395"/>
      <c r="G4" s="395"/>
      <c r="H4" s="395"/>
      <c r="I4" s="395"/>
      <c r="J4" s="395"/>
      <c r="K4" s="395"/>
      <c r="L4" s="395"/>
      <c r="M4" s="395"/>
      <c r="N4" s="395"/>
      <c r="O4" s="395"/>
      <c r="P4" s="395"/>
      <c r="Q4" s="395"/>
      <c r="R4" s="395"/>
      <c r="S4" s="395"/>
      <c r="T4" s="155"/>
      <c r="U4" s="155"/>
      <c r="V4" s="155"/>
      <c r="W4" s="155"/>
      <c r="X4" s="155"/>
      <c r="Y4" s="155"/>
      <c r="Z4" s="155"/>
      <c r="AA4" s="26"/>
      <c r="AB4" s="31"/>
      <c r="AD4" s="253"/>
      <c r="AE4" s="253"/>
      <c r="AF4" s="253"/>
      <c r="AG4" s="253"/>
      <c r="AH4" s="253"/>
      <c r="AI4" s="253"/>
      <c r="BA4"/>
    </row>
    <row r="5" spans="1:85" ht="14.1" customHeight="1">
      <c r="A5" s="395"/>
      <c r="B5" s="395"/>
      <c r="C5" s="395"/>
      <c r="D5" s="395"/>
      <c r="E5" s="395"/>
      <c r="F5" s="395"/>
      <c r="G5" s="395"/>
      <c r="H5" s="395"/>
      <c r="I5" s="395"/>
      <c r="J5" s="395"/>
      <c r="K5" s="395"/>
      <c r="L5" s="395"/>
      <c r="M5" s="395"/>
      <c r="N5" s="395"/>
      <c r="O5" s="395"/>
      <c r="P5" s="395"/>
      <c r="Q5" s="395"/>
      <c r="R5" s="395"/>
      <c r="S5" s="395"/>
      <c r="T5" s="155"/>
      <c r="U5" s="155"/>
      <c r="V5" s="155"/>
      <c r="W5" s="155"/>
      <c r="X5" s="155"/>
      <c r="Y5" s="155"/>
      <c r="Z5" s="155"/>
      <c r="AA5" s="26"/>
      <c r="AB5" s="31"/>
      <c r="AC5" s="31"/>
      <c r="AD5" s="31"/>
      <c r="AE5" s="31"/>
      <c r="AF5" s="31"/>
      <c r="AG5" s="31"/>
      <c r="AH5" s="31"/>
      <c r="AI5" s="31"/>
      <c r="BA5"/>
    </row>
    <row r="6" spans="1:85" ht="14.1" customHeight="1" thickBot="1">
      <c r="A6" s="27"/>
      <c r="B6" s="27"/>
      <c r="C6" s="27"/>
      <c r="D6" s="27"/>
      <c r="E6" s="27"/>
      <c r="F6" s="27"/>
      <c r="G6" s="27"/>
      <c r="H6" s="27"/>
      <c r="I6" s="27"/>
      <c r="BA6"/>
    </row>
    <row r="7" spans="1:85" ht="12" customHeight="1">
      <c r="A7" s="255">
        <f>DATE(初期値!A2,初期値!A3,AM1)</f>
        <v>46192</v>
      </c>
      <c r="B7" s="256"/>
      <c r="C7" s="256"/>
      <c r="D7" s="256"/>
      <c r="E7" s="256"/>
      <c r="F7" s="259" t="s">
        <v>169</v>
      </c>
      <c r="G7" s="236">
        <f>$A$7</f>
        <v>46192</v>
      </c>
      <c r="H7" s="236"/>
      <c r="I7" s="236"/>
      <c r="J7" s="239" t="s">
        <v>170</v>
      </c>
      <c r="K7" s="261">
        <f>$A$7</f>
        <v>46192</v>
      </c>
      <c r="L7" s="261"/>
      <c r="M7" s="261"/>
      <c r="N7" s="239" t="s">
        <v>3</v>
      </c>
      <c r="O7" s="520">
        <f>$A$7</f>
        <v>46192</v>
      </c>
      <c r="P7" s="520"/>
      <c r="Q7" s="239" t="s">
        <v>292</v>
      </c>
      <c r="R7" s="240"/>
      <c r="S7" s="522" t="s">
        <v>553</v>
      </c>
      <c r="T7" s="244"/>
      <c r="U7" s="29" t="s">
        <v>554</v>
      </c>
      <c r="V7" s="518" t="s">
        <v>37</v>
      </c>
      <c r="W7" s="518"/>
      <c r="X7" s="518"/>
      <c r="Y7" s="511" t="s">
        <v>555</v>
      </c>
      <c r="Z7" s="512"/>
      <c r="AA7" s="513"/>
      <c r="AB7" s="244" t="str">
        <f>L43</f>
        <v>二野宮慧太</v>
      </c>
      <c r="AC7" s="244"/>
      <c r="AD7" s="244"/>
      <c r="AE7" s="244"/>
      <c r="AF7" s="244"/>
      <c r="AG7" s="244"/>
      <c r="AH7" s="244"/>
      <c r="AI7" s="245"/>
      <c r="AK7" s="425" t="s">
        <v>556</v>
      </c>
      <c r="AL7" s="425"/>
      <c r="AM7" s="425"/>
      <c r="AN7" s="425"/>
      <c r="AO7" s="425"/>
      <c r="AP7" s="425"/>
      <c r="AQ7" s="439" t="s">
        <v>557</v>
      </c>
      <c r="AR7" s="43"/>
      <c r="AS7" s="43"/>
      <c r="AT7" s="43"/>
      <c r="AU7" s="43"/>
      <c r="AV7" s="43"/>
      <c r="AW7" s="43"/>
      <c r="AX7" s="43"/>
      <c r="AY7" s="43"/>
      <c r="AZ7" s="43"/>
      <c r="BA7"/>
    </row>
    <row r="8" spans="1:85" ht="12" customHeight="1" thickBot="1">
      <c r="A8" s="257"/>
      <c r="B8" s="258"/>
      <c r="C8" s="258"/>
      <c r="D8" s="258"/>
      <c r="E8" s="258"/>
      <c r="F8" s="260"/>
      <c r="G8" s="237"/>
      <c r="H8" s="237"/>
      <c r="I8" s="237"/>
      <c r="J8" s="242"/>
      <c r="K8" s="262"/>
      <c r="L8" s="262"/>
      <c r="M8" s="262"/>
      <c r="N8" s="242"/>
      <c r="O8" s="521"/>
      <c r="P8" s="521"/>
      <c r="Q8" s="242"/>
      <c r="R8" s="243"/>
      <c r="S8" s="523"/>
      <c r="T8" s="246"/>
      <c r="U8" s="33" t="s">
        <v>558</v>
      </c>
      <c r="V8" s="519" t="s">
        <v>63</v>
      </c>
      <c r="W8" s="519"/>
      <c r="X8" s="519"/>
      <c r="Y8" s="514"/>
      <c r="Z8" s="515"/>
      <c r="AA8" s="516"/>
      <c r="AB8" s="246"/>
      <c r="AC8" s="246"/>
      <c r="AD8" s="246"/>
      <c r="AE8" s="246"/>
      <c r="AF8" s="246"/>
      <c r="AG8" s="246"/>
      <c r="AH8" s="246"/>
      <c r="AI8" s="247"/>
      <c r="AK8" s="425"/>
      <c r="AL8" s="425"/>
      <c r="AM8" s="425"/>
      <c r="AN8" s="425"/>
      <c r="AO8" s="425"/>
      <c r="AP8" s="425"/>
      <c r="AQ8" s="439"/>
      <c r="AR8" s="43"/>
      <c r="AS8" s="43"/>
      <c r="AT8" s="43"/>
      <c r="AU8" s="43"/>
      <c r="AV8" s="43"/>
      <c r="AW8" s="43"/>
      <c r="AX8" s="43"/>
      <c r="AY8" s="43"/>
      <c r="AZ8" s="43"/>
      <c r="BA8"/>
    </row>
    <row r="9" spans="1:85" ht="18" customHeight="1">
      <c r="A9" s="507" t="s">
        <v>559</v>
      </c>
      <c r="B9" s="508"/>
      <c r="C9" s="508"/>
      <c r="D9" s="508"/>
      <c r="E9" s="508"/>
      <c r="F9" s="508"/>
      <c r="G9" s="508"/>
      <c r="H9" s="508"/>
      <c r="I9" s="508"/>
      <c r="J9" s="508"/>
      <c r="K9" s="508"/>
      <c r="L9" s="508"/>
      <c r="M9" s="508"/>
      <c r="N9" s="508"/>
      <c r="O9" s="508"/>
      <c r="P9" s="508"/>
      <c r="Q9" s="508"/>
      <c r="R9" s="508"/>
      <c r="S9" s="508"/>
      <c r="T9" s="508"/>
      <c r="U9" s="508"/>
      <c r="V9" s="508"/>
      <c r="W9" s="508"/>
      <c r="X9" s="508"/>
      <c r="Y9" s="508"/>
      <c r="Z9" s="508"/>
      <c r="AA9" s="508"/>
      <c r="AB9" s="508"/>
      <c r="AC9" s="508"/>
      <c r="AD9" s="508"/>
      <c r="AE9" s="508"/>
      <c r="AF9" s="508"/>
      <c r="AG9" s="508"/>
      <c r="AH9" s="508"/>
      <c r="AI9" s="509"/>
      <c r="AK9" s="440" t="s">
        <v>560</v>
      </c>
      <c r="AL9" s="440"/>
      <c r="AM9" s="440"/>
      <c r="AN9" s="440"/>
      <c r="AO9" s="440"/>
      <c r="AP9" s="440"/>
      <c r="AQ9" s="42"/>
      <c r="AR9" s="43"/>
      <c r="AS9" s="44" t="s">
        <v>561</v>
      </c>
      <c r="AT9" s="44" t="s">
        <v>562</v>
      </c>
      <c r="AU9" s="44" t="s">
        <v>563</v>
      </c>
      <c r="AV9" s="44" t="s">
        <v>564</v>
      </c>
      <c r="AW9" s="45" t="s">
        <v>565</v>
      </c>
      <c r="AX9" s="45" t="s">
        <v>566</v>
      </c>
      <c r="AY9" s="44" t="s">
        <v>567</v>
      </c>
      <c r="AZ9" s="43"/>
      <c r="BB9" s="49" t="s">
        <v>568</v>
      </c>
      <c r="BC9" s="43"/>
      <c r="BD9" s="43"/>
      <c r="BE9" s="43"/>
      <c r="BF9" s="43"/>
      <c r="BG9" s="43"/>
      <c r="BH9" s="43"/>
      <c r="BI9" s="43"/>
      <c r="BJ9" s="43"/>
      <c r="BK9" s="43"/>
      <c r="BL9" s="43"/>
      <c r="BM9" s="43"/>
      <c r="BN9" s="43"/>
      <c r="BO9" s="43"/>
      <c r="BP9" s="43"/>
      <c r="BQ9" s="43"/>
      <c r="BR9" s="43"/>
      <c r="BS9" s="43"/>
      <c r="BT9" s="43"/>
      <c r="BU9" s="43"/>
      <c r="BV9" s="43"/>
      <c r="BW9" s="43"/>
      <c r="BX9" s="43"/>
      <c r="BY9" s="43"/>
      <c r="BZ9" s="43"/>
      <c r="CA9" s="43"/>
      <c r="CB9" s="43"/>
      <c r="CC9" s="43"/>
      <c r="CD9" s="43"/>
      <c r="CE9" s="43"/>
      <c r="CF9" s="43"/>
      <c r="CG9" s="43"/>
    </row>
    <row r="10" spans="1:85" ht="18" customHeight="1">
      <c r="A10" s="265" t="s">
        <v>569</v>
      </c>
      <c r="B10" s="266"/>
      <c r="C10" s="266"/>
      <c r="D10" s="266"/>
      <c r="E10" s="266"/>
      <c r="F10" s="266"/>
      <c r="G10" s="266"/>
      <c r="H10" s="266"/>
      <c r="I10" s="264">
        <f>AQ14</f>
        <v>0</v>
      </c>
      <c r="J10" s="264"/>
      <c r="K10" s="267" t="s">
        <v>176</v>
      </c>
      <c r="L10" s="268"/>
      <c r="M10" s="269" t="s">
        <v>570</v>
      </c>
      <c r="N10" s="266"/>
      <c r="O10" s="266"/>
      <c r="P10" s="266"/>
      <c r="Q10" s="266"/>
      <c r="R10" s="266"/>
      <c r="S10" s="266"/>
      <c r="T10" s="266"/>
      <c r="U10" s="264">
        <f>AQ37</f>
        <v>0</v>
      </c>
      <c r="V10" s="264"/>
      <c r="W10" s="267" t="s">
        <v>176</v>
      </c>
      <c r="X10" s="268"/>
      <c r="Y10" s="269" t="s">
        <v>571</v>
      </c>
      <c r="Z10" s="266"/>
      <c r="AA10" s="266"/>
      <c r="AB10" s="266"/>
      <c r="AC10" s="266"/>
      <c r="AD10" s="266"/>
      <c r="AE10" s="266"/>
      <c r="AF10" s="266"/>
      <c r="AG10" s="264">
        <f>AQ26+AQ25</f>
        <v>0</v>
      </c>
      <c r="AH10" s="264"/>
      <c r="AI10" s="28" t="s">
        <v>176</v>
      </c>
      <c r="AK10" s="440" t="s">
        <v>572</v>
      </c>
      <c r="AL10" s="440"/>
      <c r="AM10" s="440"/>
      <c r="AN10" s="440"/>
      <c r="AO10" s="440"/>
      <c r="AP10" s="440"/>
      <c r="AQ10" s="42"/>
      <c r="AR10" s="43"/>
      <c r="AS10" s="46">
        <v>1</v>
      </c>
      <c r="AT10" s="46"/>
      <c r="AU10" s="46" t="s">
        <v>20</v>
      </c>
      <c r="AV10" s="47" t="s">
        <v>573</v>
      </c>
      <c r="AW10" s="47" t="s">
        <v>574</v>
      </c>
      <c r="AX10" s="47">
        <v>0.33333333333333331</v>
      </c>
      <c r="AY10" s="47">
        <v>0.83333333333333337</v>
      </c>
      <c r="AZ10" s="43"/>
      <c r="BB10" s="49" t="s">
        <v>95</v>
      </c>
      <c r="BC10" s="120">
        <v>1</v>
      </c>
      <c r="BD10" s="120">
        <v>2</v>
      </c>
      <c r="BE10" s="120">
        <v>3</v>
      </c>
      <c r="BF10" s="120">
        <v>4</v>
      </c>
      <c r="BG10" s="120">
        <v>5</v>
      </c>
      <c r="BH10" s="120">
        <v>6</v>
      </c>
      <c r="BI10" s="120">
        <v>7</v>
      </c>
      <c r="BJ10" s="120">
        <v>8</v>
      </c>
      <c r="BK10" s="120">
        <v>9</v>
      </c>
      <c r="BL10" s="120">
        <v>10</v>
      </c>
      <c r="BM10" s="120">
        <v>11</v>
      </c>
      <c r="BN10" s="120">
        <v>12</v>
      </c>
      <c r="BO10" s="120">
        <v>13</v>
      </c>
      <c r="BP10" s="120">
        <v>14</v>
      </c>
      <c r="BQ10" s="120">
        <v>15</v>
      </c>
      <c r="BR10" s="120">
        <v>16</v>
      </c>
      <c r="BS10" s="120">
        <v>17</v>
      </c>
      <c r="BT10" s="120">
        <v>18</v>
      </c>
      <c r="BU10" s="120">
        <v>19</v>
      </c>
      <c r="BV10" s="120">
        <v>20</v>
      </c>
      <c r="BW10" s="120">
        <v>21</v>
      </c>
      <c r="BX10" s="120">
        <v>22</v>
      </c>
      <c r="BY10" s="120">
        <v>23</v>
      </c>
      <c r="BZ10" s="120">
        <v>24</v>
      </c>
      <c r="CA10" s="120">
        <v>25</v>
      </c>
      <c r="CB10" s="120">
        <v>26</v>
      </c>
      <c r="CC10" s="120">
        <v>27</v>
      </c>
      <c r="CD10" s="120">
        <v>28</v>
      </c>
      <c r="CE10" s="120">
        <v>29</v>
      </c>
      <c r="CF10" s="120">
        <v>30</v>
      </c>
      <c r="CG10" s="43"/>
    </row>
    <row r="11" spans="1:85" ht="18" customHeight="1">
      <c r="A11" s="265" t="s">
        <v>575</v>
      </c>
      <c r="B11" s="266"/>
      <c r="C11" s="266"/>
      <c r="D11" s="266"/>
      <c r="E11" s="266"/>
      <c r="F11" s="266"/>
      <c r="G11" s="266"/>
      <c r="H11" s="266"/>
      <c r="I11" s="264">
        <f>AQ27</f>
        <v>0</v>
      </c>
      <c r="J11" s="264"/>
      <c r="K11" s="267" t="s">
        <v>176</v>
      </c>
      <c r="L11" s="268"/>
      <c r="M11" s="269" t="s">
        <v>576</v>
      </c>
      <c r="N11" s="266"/>
      <c r="O11" s="266"/>
      <c r="P11" s="266"/>
      <c r="Q11" s="266"/>
      <c r="R11" s="266"/>
      <c r="S11" s="266"/>
      <c r="T11" s="266"/>
      <c r="U11" s="264">
        <f>AQ36</f>
        <v>0</v>
      </c>
      <c r="V11" s="264"/>
      <c r="W11" s="267" t="s">
        <v>176</v>
      </c>
      <c r="X11" s="268"/>
      <c r="Y11" s="269" t="s">
        <v>577</v>
      </c>
      <c r="Z11" s="266"/>
      <c r="AA11" s="266"/>
      <c r="AB11" s="266"/>
      <c r="AC11" s="266"/>
      <c r="AD11" s="266"/>
      <c r="AE11" s="266"/>
      <c r="AF11" s="266"/>
      <c r="AG11" s="264">
        <f>AQ34</f>
        <v>0</v>
      </c>
      <c r="AH11" s="264"/>
      <c r="AI11" s="28" t="s">
        <v>176</v>
      </c>
      <c r="AK11" s="441" t="s">
        <v>578</v>
      </c>
      <c r="AL11" s="442"/>
      <c r="AM11" s="442"/>
      <c r="AN11" s="442"/>
      <c r="AO11" s="442"/>
      <c r="AP11" s="443"/>
      <c r="AQ11" s="42"/>
      <c r="AR11" s="43"/>
      <c r="AS11" s="46">
        <v>2</v>
      </c>
      <c r="AT11" s="46"/>
      <c r="AU11" s="46"/>
      <c r="AV11" s="47" t="s">
        <v>579</v>
      </c>
      <c r="AW11" s="47" t="s">
        <v>580</v>
      </c>
      <c r="AX11" s="47">
        <v>0.33333333333333331</v>
      </c>
      <c r="AY11" s="47">
        <v>0.58333333333333337</v>
      </c>
      <c r="AZ11" s="43"/>
      <c r="BB11" s="121" t="s">
        <v>581</v>
      </c>
      <c r="BC11" s="138" t="s">
        <v>582</v>
      </c>
      <c r="BD11" s="138" t="s">
        <v>583</v>
      </c>
      <c r="BE11" s="138" t="s">
        <v>584</v>
      </c>
      <c r="BF11" s="138" t="s">
        <v>585</v>
      </c>
      <c r="BG11" s="139" t="s">
        <v>584</v>
      </c>
      <c r="BH11" s="138" t="s">
        <v>582</v>
      </c>
      <c r="BI11" s="138" t="s">
        <v>585</v>
      </c>
      <c r="BJ11" s="138" t="s">
        <v>583</v>
      </c>
      <c r="BK11" s="138" t="s">
        <v>584</v>
      </c>
      <c r="BL11" s="138" t="s">
        <v>583</v>
      </c>
      <c r="BM11" s="138" t="s">
        <v>585</v>
      </c>
      <c r="BN11" s="138" t="s">
        <v>582</v>
      </c>
      <c r="BO11" s="138" t="s">
        <v>584</v>
      </c>
      <c r="BP11" s="138" t="s">
        <v>585</v>
      </c>
      <c r="BQ11" s="138" t="s">
        <v>583</v>
      </c>
      <c r="BR11" s="138" t="s">
        <v>585</v>
      </c>
      <c r="BS11" s="138" t="s">
        <v>584</v>
      </c>
      <c r="BT11" s="138" t="s">
        <v>582</v>
      </c>
      <c r="BU11" s="138" t="s">
        <v>583</v>
      </c>
      <c r="BV11" s="138" t="s">
        <v>585</v>
      </c>
      <c r="BW11" s="138" t="s">
        <v>582</v>
      </c>
      <c r="BX11" s="138" t="s">
        <v>584</v>
      </c>
      <c r="BY11" s="138" t="s">
        <v>585</v>
      </c>
      <c r="BZ11" s="138" t="s">
        <v>583</v>
      </c>
      <c r="CA11" s="138" t="s">
        <v>582</v>
      </c>
      <c r="CB11" s="138" t="s">
        <v>585</v>
      </c>
      <c r="CC11" s="138" t="s">
        <v>584</v>
      </c>
      <c r="CD11" s="138" t="s">
        <v>582</v>
      </c>
      <c r="CE11" s="138" t="s">
        <v>585</v>
      </c>
      <c r="CF11" s="138" t="s">
        <v>583</v>
      </c>
      <c r="CG11" s="43"/>
    </row>
    <row r="12" spans="1:85" ht="18" customHeight="1">
      <c r="A12" s="265" t="s">
        <v>586</v>
      </c>
      <c r="B12" s="266"/>
      <c r="C12" s="266"/>
      <c r="D12" s="266"/>
      <c r="E12" s="266"/>
      <c r="F12" s="266"/>
      <c r="G12" s="266"/>
      <c r="H12" s="266"/>
      <c r="I12" s="264">
        <f>AQ33</f>
        <v>2</v>
      </c>
      <c r="J12" s="264"/>
      <c r="K12" s="267" t="s">
        <v>176</v>
      </c>
      <c r="L12" s="268"/>
      <c r="M12" s="269" t="s">
        <v>587</v>
      </c>
      <c r="N12" s="266"/>
      <c r="O12" s="266"/>
      <c r="P12" s="266"/>
      <c r="Q12" s="266"/>
      <c r="R12" s="266"/>
      <c r="S12" s="266"/>
      <c r="T12" s="266"/>
      <c r="U12" s="264">
        <f>AQ24</f>
        <v>0</v>
      </c>
      <c r="V12" s="264"/>
      <c r="W12" s="267" t="s">
        <v>176</v>
      </c>
      <c r="X12" s="268"/>
      <c r="Y12" s="269" t="s">
        <v>588</v>
      </c>
      <c r="Z12" s="266"/>
      <c r="AA12" s="266"/>
      <c r="AB12" s="266"/>
      <c r="AC12" s="266"/>
      <c r="AD12" s="266"/>
      <c r="AE12" s="266"/>
      <c r="AF12" s="266"/>
      <c r="AG12" s="264">
        <f>AQ20+AQ21+AQ22+AQ23</f>
        <v>0</v>
      </c>
      <c r="AH12" s="264"/>
      <c r="AI12" s="28" t="s">
        <v>176</v>
      </c>
      <c r="AK12" s="441" t="s">
        <v>589</v>
      </c>
      <c r="AL12" s="442"/>
      <c r="AM12" s="442"/>
      <c r="AN12" s="442"/>
      <c r="AO12" s="442"/>
      <c r="AP12" s="443"/>
      <c r="AQ12" s="42"/>
      <c r="AR12" s="43"/>
      <c r="AS12" s="46">
        <v>3</v>
      </c>
      <c r="AT12" s="46"/>
      <c r="AU12" s="46"/>
      <c r="AV12" s="47" t="s">
        <v>590</v>
      </c>
      <c r="AW12" s="47" t="s">
        <v>574</v>
      </c>
      <c r="AX12" s="47">
        <v>0.58333333333333337</v>
      </c>
      <c r="AY12" s="47">
        <v>0.83333333333333337</v>
      </c>
      <c r="AZ12" s="43"/>
      <c r="BB12" s="49"/>
      <c r="BC12" s="43"/>
      <c r="BD12" s="43"/>
      <c r="BE12" s="43"/>
      <c r="BF12" s="43"/>
      <c r="BG12" s="43"/>
      <c r="BH12" s="43"/>
      <c r="BI12" s="43"/>
      <c r="BJ12" s="43"/>
      <c r="BK12" s="43"/>
      <c r="BL12" s="43"/>
      <c r="BM12" s="43"/>
      <c r="BN12" s="43"/>
      <c r="BO12" s="43"/>
      <c r="BP12" s="43"/>
      <c r="BQ12" s="43"/>
      <c r="BR12" s="43"/>
      <c r="BS12" s="43"/>
      <c r="BT12" s="43"/>
      <c r="BU12" s="43"/>
      <c r="BV12" s="43"/>
      <c r="BW12" s="43"/>
      <c r="BX12" s="43"/>
      <c r="BY12" s="43"/>
      <c r="BZ12" s="43"/>
      <c r="CA12" s="43"/>
      <c r="CB12" s="43"/>
      <c r="CC12" s="43"/>
      <c r="CD12" s="43"/>
      <c r="CE12" s="43"/>
      <c r="CF12" s="43"/>
      <c r="CG12" s="43"/>
    </row>
    <row r="13" spans="1:85" ht="18" customHeight="1" thickBot="1">
      <c r="A13" s="517" t="s">
        <v>591</v>
      </c>
      <c r="B13" s="277"/>
      <c r="C13" s="277"/>
      <c r="D13" s="277"/>
      <c r="E13" s="277"/>
      <c r="F13" s="277"/>
      <c r="G13" s="277"/>
      <c r="H13" s="277"/>
      <c r="I13" s="272">
        <f>AQ30+AQ31</f>
        <v>0</v>
      </c>
      <c r="J13" s="272"/>
      <c r="K13" s="273" t="s">
        <v>176</v>
      </c>
      <c r="L13" s="274"/>
      <c r="M13" s="276" t="s">
        <v>592</v>
      </c>
      <c r="N13" s="277"/>
      <c r="O13" s="277"/>
      <c r="P13" s="277"/>
      <c r="Q13" s="277"/>
      <c r="R13" s="277"/>
      <c r="S13" s="277"/>
      <c r="T13" s="277"/>
      <c r="U13" s="272">
        <f>AQ28</f>
        <v>0</v>
      </c>
      <c r="V13" s="272"/>
      <c r="W13" s="273" t="s">
        <v>176</v>
      </c>
      <c r="X13" s="274"/>
      <c r="Y13" s="276" t="s">
        <v>593</v>
      </c>
      <c r="Z13" s="277"/>
      <c r="AA13" s="277"/>
      <c r="AB13" s="277"/>
      <c r="AC13" s="277"/>
      <c r="AD13" s="277"/>
      <c r="AE13" s="277"/>
      <c r="AF13" s="277"/>
      <c r="AG13" s="272">
        <f>AQ13</f>
        <v>0</v>
      </c>
      <c r="AH13" s="272"/>
      <c r="AI13" s="34" t="s">
        <v>176</v>
      </c>
      <c r="AK13" s="425" t="s">
        <v>594</v>
      </c>
      <c r="AL13" s="425"/>
      <c r="AM13" s="425"/>
      <c r="AN13" s="425"/>
      <c r="AO13" s="425"/>
      <c r="AP13" s="425"/>
      <c r="AQ13" s="42"/>
      <c r="AR13" s="43"/>
      <c r="AS13" s="46">
        <v>4</v>
      </c>
      <c r="AT13" s="46"/>
      <c r="AU13" s="46" t="s">
        <v>28</v>
      </c>
      <c r="AV13" s="47" t="s">
        <v>595</v>
      </c>
      <c r="AW13" s="47" t="s">
        <v>596</v>
      </c>
      <c r="AX13" s="47">
        <v>0.33333333333333331</v>
      </c>
      <c r="AY13" s="47">
        <v>0.83333333333333337</v>
      </c>
      <c r="AZ13" s="43"/>
      <c r="BB13" s="121" t="s">
        <v>597</v>
      </c>
      <c r="BC13" s="140" t="s">
        <v>20</v>
      </c>
      <c r="BD13" s="140" t="s">
        <v>119</v>
      </c>
      <c r="BE13" s="140" t="s">
        <v>20</v>
      </c>
      <c r="BF13" s="140" t="s">
        <v>20</v>
      </c>
      <c r="BG13" s="140" t="s">
        <v>20</v>
      </c>
      <c r="BH13" s="140" t="s">
        <v>20</v>
      </c>
      <c r="BI13" s="140" t="s">
        <v>80</v>
      </c>
      <c r="BJ13" s="140" t="s">
        <v>20</v>
      </c>
      <c r="BK13" s="140" t="s">
        <v>20</v>
      </c>
      <c r="BL13" s="140" t="s">
        <v>20</v>
      </c>
      <c r="BM13" s="140" t="s">
        <v>20</v>
      </c>
      <c r="BN13" s="140" t="s">
        <v>20</v>
      </c>
      <c r="BO13" s="140" t="s">
        <v>119</v>
      </c>
      <c r="BP13" s="140" t="s">
        <v>119</v>
      </c>
      <c r="BQ13" s="140" t="s">
        <v>20</v>
      </c>
      <c r="BR13" s="140" t="s">
        <v>119</v>
      </c>
      <c r="BS13" s="140" t="s">
        <v>20</v>
      </c>
      <c r="BT13" s="140" t="s">
        <v>20</v>
      </c>
      <c r="BU13" s="140" t="s">
        <v>20</v>
      </c>
      <c r="BV13" s="140" t="s">
        <v>119</v>
      </c>
      <c r="BW13" s="140" t="s">
        <v>119</v>
      </c>
      <c r="BX13" s="140" t="s">
        <v>20</v>
      </c>
      <c r="BY13" s="140" t="s">
        <v>119</v>
      </c>
      <c r="BZ13" s="140" t="s">
        <v>20</v>
      </c>
      <c r="CA13" s="140" t="s">
        <v>119</v>
      </c>
      <c r="CB13" s="140" t="s">
        <v>20</v>
      </c>
      <c r="CC13" s="140" t="s">
        <v>20</v>
      </c>
      <c r="CD13" s="140" t="s">
        <v>119</v>
      </c>
      <c r="CE13" s="140" t="s">
        <v>20</v>
      </c>
      <c r="CF13" s="140" t="s">
        <v>119</v>
      </c>
      <c r="CG13" s="43"/>
    </row>
    <row r="14" spans="1:85" ht="18" customHeight="1" thickBot="1">
      <c r="A14" s="452" t="s">
        <v>598</v>
      </c>
      <c r="B14" s="453"/>
      <c r="C14" s="453"/>
      <c r="D14" s="453"/>
      <c r="E14" s="453"/>
      <c r="F14" s="453"/>
      <c r="G14" s="453"/>
      <c r="H14" s="453"/>
      <c r="I14" s="453"/>
      <c r="J14" s="453"/>
      <c r="K14" s="453"/>
      <c r="L14" s="453"/>
      <c r="M14" s="453"/>
      <c r="N14" s="453"/>
      <c r="O14" s="453"/>
      <c r="P14" s="453"/>
      <c r="Q14" s="453"/>
      <c r="R14" s="453"/>
      <c r="S14" s="453"/>
      <c r="T14" s="453"/>
      <c r="U14" s="453"/>
      <c r="V14" s="453"/>
      <c r="W14" s="453"/>
      <c r="X14" s="453"/>
      <c r="Y14" s="453"/>
      <c r="Z14" s="453"/>
      <c r="AA14" s="453"/>
      <c r="AB14" s="453"/>
      <c r="AC14" s="453"/>
      <c r="AD14" s="453"/>
      <c r="AE14" s="453"/>
      <c r="AF14" s="453"/>
      <c r="AG14" s="453"/>
      <c r="AH14" s="453"/>
      <c r="AI14" s="454"/>
      <c r="AK14" s="440" t="s">
        <v>599</v>
      </c>
      <c r="AL14" s="440"/>
      <c r="AM14" s="440"/>
      <c r="AN14" s="440"/>
      <c r="AO14" s="440"/>
      <c r="AP14" s="440"/>
      <c r="AQ14" s="42"/>
      <c r="AR14" s="43"/>
      <c r="AS14" s="46">
        <v>5</v>
      </c>
      <c r="AT14" s="46"/>
      <c r="AU14" s="46" t="s">
        <v>602</v>
      </c>
      <c r="AV14" s="47" t="s">
        <v>600</v>
      </c>
      <c r="AW14" s="47" t="s">
        <v>596</v>
      </c>
      <c r="AX14" s="47">
        <v>0.33333333333333331</v>
      </c>
      <c r="AY14" s="47">
        <v>0.83333333333333337</v>
      </c>
      <c r="AZ14" s="43"/>
      <c r="BB14" s="121" t="s">
        <v>601</v>
      </c>
      <c r="BC14" s="162" t="s">
        <v>28</v>
      </c>
      <c r="BD14" s="162" t="s">
        <v>602</v>
      </c>
      <c r="BE14" s="162" t="s">
        <v>602</v>
      </c>
      <c r="BF14" s="162" t="s">
        <v>28</v>
      </c>
      <c r="BG14" s="162" t="s">
        <v>602</v>
      </c>
      <c r="BH14" s="162" t="s">
        <v>602</v>
      </c>
      <c r="BI14" s="162" t="s">
        <v>28</v>
      </c>
      <c r="BJ14" s="162" t="s">
        <v>28</v>
      </c>
      <c r="BK14" s="162" t="s">
        <v>602</v>
      </c>
      <c r="BL14" s="162" t="s">
        <v>28</v>
      </c>
      <c r="BM14" s="162" t="s">
        <v>602</v>
      </c>
      <c r="BN14" s="162" t="s">
        <v>28</v>
      </c>
      <c r="BO14" s="162" t="s">
        <v>28</v>
      </c>
      <c r="BP14" s="162" t="s">
        <v>76</v>
      </c>
      <c r="BQ14" s="162" t="s">
        <v>28</v>
      </c>
      <c r="BR14" s="162" t="s">
        <v>602</v>
      </c>
      <c r="BS14" s="162" t="s">
        <v>28</v>
      </c>
      <c r="BT14" s="162" t="s">
        <v>602</v>
      </c>
      <c r="BU14" s="162" t="s">
        <v>28</v>
      </c>
      <c r="BV14" s="162" t="s">
        <v>602</v>
      </c>
      <c r="BW14" s="162" t="s">
        <v>28</v>
      </c>
      <c r="BX14" s="162" t="s">
        <v>28</v>
      </c>
      <c r="BY14" s="162" t="s">
        <v>602</v>
      </c>
      <c r="BZ14" s="162" t="s">
        <v>28</v>
      </c>
      <c r="CA14" s="162" t="s">
        <v>602</v>
      </c>
      <c r="CB14" s="162" t="s">
        <v>28</v>
      </c>
      <c r="CC14" s="162" t="s">
        <v>28</v>
      </c>
      <c r="CD14" s="162" t="s">
        <v>76</v>
      </c>
      <c r="CE14" s="162" t="s">
        <v>28</v>
      </c>
      <c r="CF14" s="162" t="s">
        <v>602</v>
      </c>
      <c r="CG14" s="43"/>
    </row>
    <row r="15" spans="1:85" ht="18" customHeight="1" thickBot="1">
      <c r="A15" s="30" t="s">
        <v>189</v>
      </c>
      <c r="B15" s="264" t="s">
        <v>603</v>
      </c>
      <c r="C15" s="264"/>
      <c r="D15" s="264"/>
      <c r="E15" s="264"/>
      <c r="F15" s="264"/>
      <c r="G15" s="264"/>
      <c r="H15" s="264"/>
      <c r="I15" s="264"/>
      <c r="J15" s="278">
        <f>AQ9+AQ10</f>
        <v>0</v>
      </c>
      <c r="K15" s="278"/>
      <c r="L15" s="278"/>
      <c r="M15" s="264" t="s">
        <v>176</v>
      </c>
      <c r="N15" s="264"/>
      <c r="O15" s="264" t="s">
        <v>604</v>
      </c>
      <c r="P15" s="264"/>
      <c r="Q15" s="264"/>
      <c r="R15" s="264"/>
      <c r="S15" s="264"/>
      <c r="T15" s="264"/>
      <c r="U15" s="264"/>
      <c r="V15" s="264"/>
      <c r="W15" s="278">
        <f>AQ11+AQ12</f>
        <v>0</v>
      </c>
      <c r="X15" s="278"/>
      <c r="Y15" s="278"/>
      <c r="Z15" s="264" t="s">
        <v>176</v>
      </c>
      <c r="AA15" s="264"/>
      <c r="AB15" s="503" t="s">
        <v>605</v>
      </c>
      <c r="AC15" s="503"/>
      <c r="AD15" s="503"/>
      <c r="AE15" s="503"/>
      <c r="AF15" s="503"/>
      <c r="AG15" s="503"/>
      <c r="AH15" s="281" t="s">
        <v>583</v>
      </c>
      <c r="AI15" s="282"/>
      <c r="AK15" s="425" t="s">
        <v>606</v>
      </c>
      <c r="AL15" s="425"/>
      <c r="AM15" s="425"/>
      <c r="AN15" s="425"/>
      <c r="AO15" s="425"/>
      <c r="AP15" s="425"/>
      <c r="AQ15" s="42"/>
      <c r="AR15" s="43"/>
      <c r="AS15" s="46">
        <v>6</v>
      </c>
      <c r="AT15" s="46"/>
      <c r="AU15" s="46"/>
      <c r="AV15" s="47" t="s">
        <v>607</v>
      </c>
      <c r="AW15" s="47" t="s">
        <v>596</v>
      </c>
      <c r="AX15" s="47">
        <v>0.33333333333333331</v>
      </c>
      <c r="AY15" s="47">
        <v>0.83333333333333337</v>
      </c>
      <c r="AZ15" s="43"/>
      <c r="BB15" s="121" t="s">
        <v>31</v>
      </c>
      <c r="BC15" s="163" t="s">
        <v>119</v>
      </c>
      <c r="BD15" s="164"/>
      <c r="BE15" s="165" t="s">
        <v>28</v>
      </c>
      <c r="BF15" s="165" t="s">
        <v>119</v>
      </c>
      <c r="BG15" s="164"/>
      <c r="BH15" s="164"/>
      <c r="BI15" s="164"/>
      <c r="BJ15" s="164"/>
      <c r="BK15" s="165" t="s">
        <v>119</v>
      </c>
      <c r="BL15" s="165" t="s">
        <v>602</v>
      </c>
      <c r="BM15" s="165" t="s">
        <v>119</v>
      </c>
      <c r="BN15" s="165" t="s">
        <v>602</v>
      </c>
      <c r="BO15" s="164"/>
      <c r="BP15" s="164"/>
      <c r="BQ15" s="165" t="s">
        <v>608</v>
      </c>
      <c r="BR15" s="165" t="s">
        <v>20</v>
      </c>
      <c r="BS15" s="165" t="s">
        <v>602</v>
      </c>
      <c r="BT15" s="165" t="s">
        <v>119</v>
      </c>
      <c r="BU15" s="165" t="s">
        <v>602</v>
      </c>
      <c r="BV15" s="164"/>
      <c r="BW15" s="164"/>
      <c r="BX15" s="165" t="s">
        <v>119</v>
      </c>
      <c r="BY15" s="165" t="s">
        <v>20</v>
      </c>
      <c r="BZ15" s="165" t="s">
        <v>602</v>
      </c>
      <c r="CA15" s="165" t="s">
        <v>20</v>
      </c>
      <c r="CB15" s="165" t="s">
        <v>602</v>
      </c>
      <c r="CC15" s="165" t="s">
        <v>602</v>
      </c>
      <c r="CD15" s="164"/>
      <c r="CE15" s="165" t="s">
        <v>119</v>
      </c>
      <c r="CF15" s="165" t="s">
        <v>20</v>
      </c>
      <c r="CG15" s="43"/>
    </row>
    <row r="16" spans="1:85" ht="18" customHeight="1">
      <c r="A16" s="504" t="s">
        <v>609</v>
      </c>
      <c r="B16" s="505"/>
      <c r="C16" s="505"/>
      <c r="D16" s="505"/>
      <c r="E16" s="505"/>
      <c r="F16" s="505"/>
      <c r="G16" s="505"/>
      <c r="H16" s="505"/>
      <c r="I16" s="505"/>
      <c r="J16" s="505"/>
      <c r="K16" s="505"/>
      <c r="L16" s="505"/>
      <c r="M16" s="505"/>
      <c r="N16" s="505"/>
      <c r="O16" s="505"/>
      <c r="P16" s="505"/>
      <c r="Q16" s="505"/>
      <c r="R16" s="505"/>
      <c r="S16" s="505"/>
      <c r="T16" s="505"/>
      <c r="U16" s="505"/>
      <c r="V16" s="505"/>
      <c r="W16" s="505"/>
      <c r="X16" s="505"/>
      <c r="Y16" s="505"/>
      <c r="Z16" s="505"/>
      <c r="AA16" s="505"/>
      <c r="AB16" s="505"/>
      <c r="AC16" s="505"/>
      <c r="AD16" s="505"/>
      <c r="AE16" s="505"/>
      <c r="AF16" s="505"/>
      <c r="AG16" s="505"/>
      <c r="AH16" s="505"/>
      <c r="AI16" s="506"/>
      <c r="AK16" s="425" t="s">
        <v>610</v>
      </c>
      <c r="AL16" s="425"/>
      <c r="AM16" s="425"/>
      <c r="AN16" s="425"/>
      <c r="AO16" s="425"/>
      <c r="AP16" s="425"/>
      <c r="AQ16" s="42"/>
      <c r="AR16" s="43"/>
      <c r="AS16" s="46">
        <v>7</v>
      </c>
      <c r="AT16" s="46"/>
      <c r="AU16" s="46" t="s">
        <v>61</v>
      </c>
      <c r="AV16" s="47" t="s">
        <v>611</v>
      </c>
      <c r="AW16" s="47" t="s">
        <v>612</v>
      </c>
      <c r="AX16" s="47">
        <v>0.83333333333333337</v>
      </c>
      <c r="AY16" s="47" t="s">
        <v>613</v>
      </c>
      <c r="AZ16" s="43"/>
      <c r="BB16" s="121" t="s">
        <v>614</v>
      </c>
      <c r="BC16" s="142" t="s">
        <v>20</v>
      </c>
      <c r="BD16" s="140" t="s">
        <v>67</v>
      </c>
      <c r="BE16" s="142" t="s">
        <v>42</v>
      </c>
      <c r="BF16" s="142" t="s">
        <v>20</v>
      </c>
      <c r="BG16" s="142" t="s">
        <v>42</v>
      </c>
      <c r="BH16" s="142" t="s">
        <v>61</v>
      </c>
      <c r="BI16" s="142" t="s">
        <v>67</v>
      </c>
      <c r="BJ16" s="142" t="s">
        <v>67</v>
      </c>
      <c r="BK16" s="142" t="s">
        <v>42</v>
      </c>
      <c r="BL16" s="142" t="s">
        <v>42</v>
      </c>
      <c r="BM16" s="142" t="s">
        <v>67</v>
      </c>
      <c r="BN16" s="142" t="s">
        <v>67</v>
      </c>
      <c r="BO16" s="142" t="s">
        <v>42</v>
      </c>
      <c r="BP16" s="142" t="s">
        <v>67</v>
      </c>
      <c r="BQ16" s="142" t="s">
        <v>20</v>
      </c>
      <c r="BR16" s="142" t="s">
        <v>71</v>
      </c>
      <c r="BS16" s="142" t="s">
        <v>67</v>
      </c>
      <c r="BT16" s="142" t="s">
        <v>67</v>
      </c>
      <c r="BU16" s="142" t="s">
        <v>61</v>
      </c>
      <c r="BV16" s="142" t="s">
        <v>42</v>
      </c>
      <c r="BW16" s="142" t="s">
        <v>49</v>
      </c>
      <c r="BX16" s="142" t="s">
        <v>20</v>
      </c>
      <c r="BY16" s="142" t="s">
        <v>71</v>
      </c>
      <c r="BZ16" s="142" t="s">
        <v>42</v>
      </c>
      <c r="CA16" s="142" t="s">
        <v>20</v>
      </c>
      <c r="CB16" s="142" t="s">
        <v>61</v>
      </c>
      <c r="CC16" s="142" t="s">
        <v>42</v>
      </c>
      <c r="CD16" s="142" t="s">
        <v>49</v>
      </c>
      <c r="CE16" s="142" t="s">
        <v>20</v>
      </c>
      <c r="CF16" s="143" t="s">
        <v>71</v>
      </c>
      <c r="CG16" s="43"/>
    </row>
    <row r="17" spans="1:85" ht="18" customHeight="1">
      <c r="A17" s="396" t="s">
        <v>615</v>
      </c>
      <c r="B17" s="397"/>
      <c r="C17" s="397"/>
      <c r="D17" s="397"/>
      <c r="E17" s="397"/>
      <c r="F17" s="398" t="s">
        <v>616</v>
      </c>
      <c r="G17" s="398"/>
      <c r="H17" s="398"/>
      <c r="I17" s="398"/>
      <c r="J17" s="398"/>
      <c r="K17" s="398"/>
      <c r="L17" s="398"/>
      <c r="M17" s="398"/>
      <c r="N17" s="398"/>
      <c r="O17" s="398"/>
      <c r="P17" s="398"/>
      <c r="Q17" s="398"/>
      <c r="R17" s="398"/>
      <c r="S17" s="398"/>
      <c r="T17" s="398"/>
      <c r="U17" s="398"/>
      <c r="V17" s="398"/>
      <c r="W17" s="398"/>
      <c r="X17" s="398"/>
      <c r="Y17" s="398"/>
      <c r="Z17" s="398"/>
      <c r="AA17" s="398"/>
      <c r="AB17" s="398"/>
      <c r="AC17" s="398"/>
      <c r="AD17" s="398"/>
      <c r="AE17" s="398"/>
      <c r="AF17" s="398"/>
      <c r="AG17" s="398"/>
      <c r="AH17" s="398"/>
      <c r="AI17" s="399"/>
      <c r="AK17" s="425" t="s">
        <v>617</v>
      </c>
      <c r="AL17" s="425"/>
      <c r="AM17" s="425"/>
      <c r="AN17" s="425"/>
      <c r="AO17" s="425"/>
      <c r="AP17" s="425"/>
      <c r="AQ17" s="42"/>
      <c r="AR17" s="43"/>
      <c r="AS17" s="46">
        <v>8</v>
      </c>
      <c r="AT17" s="46"/>
      <c r="AU17" s="46" t="s">
        <v>42</v>
      </c>
      <c r="AV17" s="47" t="s">
        <v>618</v>
      </c>
      <c r="AW17" s="47" t="s">
        <v>612</v>
      </c>
      <c r="AX17" s="47">
        <v>0.83333333333333337</v>
      </c>
      <c r="AY17" s="47" t="s">
        <v>613</v>
      </c>
      <c r="AZ17" s="43"/>
      <c r="BB17" s="121" t="s">
        <v>619</v>
      </c>
      <c r="BC17" s="141" t="s">
        <v>67</v>
      </c>
      <c r="BD17" s="140" t="s">
        <v>42</v>
      </c>
      <c r="BE17" s="141" t="s">
        <v>71</v>
      </c>
      <c r="BF17" s="140" t="s">
        <v>67</v>
      </c>
      <c r="BG17" s="140" t="s">
        <v>61</v>
      </c>
      <c r="BH17" s="140" t="s">
        <v>42</v>
      </c>
      <c r="BI17" s="140" t="s">
        <v>49</v>
      </c>
      <c r="BJ17" s="140" t="s">
        <v>61</v>
      </c>
      <c r="BK17" s="140" t="s">
        <v>71</v>
      </c>
      <c r="BL17" s="140" t="s">
        <v>67</v>
      </c>
      <c r="BM17" s="140" t="s">
        <v>49</v>
      </c>
      <c r="BN17" s="140" t="s">
        <v>49</v>
      </c>
      <c r="BO17" s="140" t="s">
        <v>61</v>
      </c>
      <c r="BP17" s="140" t="s">
        <v>49</v>
      </c>
      <c r="BQ17" s="140" t="s">
        <v>67</v>
      </c>
      <c r="BR17" s="140" t="s">
        <v>42</v>
      </c>
      <c r="BS17" s="140" t="s">
        <v>42</v>
      </c>
      <c r="BT17" s="140" t="s">
        <v>49</v>
      </c>
      <c r="BU17" s="140" t="s">
        <v>42</v>
      </c>
      <c r="BV17" s="140" t="s">
        <v>61</v>
      </c>
      <c r="BW17" s="140" t="s">
        <v>71</v>
      </c>
      <c r="BX17" s="140" t="s">
        <v>67</v>
      </c>
      <c r="BY17" s="140" t="s">
        <v>42</v>
      </c>
      <c r="BZ17" s="140" t="s">
        <v>67</v>
      </c>
      <c r="CA17" s="140" t="s">
        <v>67</v>
      </c>
      <c r="CB17" s="140" t="s">
        <v>49</v>
      </c>
      <c r="CC17" s="140" t="s">
        <v>61</v>
      </c>
      <c r="CD17" s="140" t="s">
        <v>71</v>
      </c>
      <c r="CE17" s="140" t="s">
        <v>67</v>
      </c>
      <c r="CF17" s="140" t="s">
        <v>42</v>
      </c>
      <c r="CG17" s="43"/>
    </row>
    <row r="18" spans="1:85" ht="18" customHeight="1">
      <c r="A18" s="501" t="s">
        <v>620</v>
      </c>
      <c r="B18" s="502"/>
      <c r="C18" s="502"/>
      <c r="D18" s="502"/>
      <c r="E18" s="502"/>
      <c r="F18" s="400" t="s">
        <v>616</v>
      </c>
      <c r="G18" s="400"/>
      <c r="H18" s="400"/>
      <c r="I18" s="400"/>
      <c r="J18" s="400"/>
      <c r="K18" s="400"/>
      <c r="L18" s="400"/>
      <c r="M18" s="400"/>
      <c r="N18" s="400"/>
      <c r="O18" s="400"/>
      <c r="P18" s="400"/>
      <c r="Q18" s="400"/>
      <c r="R18" s="400"/>
      <c r="S18" s="400"/>
      <c r="T18" s="400"/>
      <c r="U18" s="400"/>
      <c r="V18" s="400"/>
      <c r="W18" s="400"/>
      <c r="X18" s="400"/>
      <c r="Y18" s="400"/>
      <c r="Z18" s="400"/>
      <c r="AA18" s="400"/>
      <c r="AB18" s="400"/>
      <c r="AC18" s="400"/>
      <c r="AD18" s="400"/>
      <c r="AE18" s="400"/>
      <c r="AF18" s="400"/>
      <c r="AG18" s="400"/>
      <c r="AH18" s="400"/>
      <c r="AI18" s="401"/>
      <c r="AK18" s="425" t="s">
        <v>621</v>
      </c>
      <c r="AL18" s="425"/>
      <c r="AM18" s="425"/>
      <c r="AN18" s="425"/>
      <c r="AO18" s="425"/>
      <c r="AP18" s="425"/>
      <c r="AQ18" s="42"/>
      <c r="AR18" s="43"/>
      <c r="AS18" s="46">
        <v>9</v>
      </c>
      <c r="AT18" s="46"/>
      <c r="AU18" s="46"/>
      <c r="AV18" s="47" t="s">
        <v>622</v>
      </c>
      <c r="AW18" s="47" t="s">
        <v>612</v>
      </c>
      <c r="AX18" s="47">
        <v>0.83333333333333337</v>
      </c>
      <c r="AY18" s="47" t="s">
        <v>613</v>
      </c>
      <c r="AZ18" s="43"/>
    </row>
    <row r="19" spans="1:85" ht="18" customHeight="1" thickBot="1">
      <c r="A19" s="35" t="s">
        <v>189</v>
      </c>
      <c r="B19" s="405">
        <v>0.56944444444444442</v>
      </c>
      <c r="C19" s="405"/>
      <c r="D19" s="405"/>
      <c r="E19" s="405"/>
      <c r="F19" s="402" t="s">
        <v>874</v>
      </c>
      <c r="G19" s="402"/>
      <c r="H19" s="402"/>
      <c r="I19" s="402"/>
      <c r="J19" s="402"/>
      <c r="K19" s="402"/>
      <c r="L19" s="402"/>
      <c r="M19" s="402"/>
      <c r="N19" s="402"/>
      <c r="O19" s="402"/>
      <c r="P19" s="402"/>
      <c r="Q19" s="402"/>
      <c r="R19" s="402"/>
      <c r="S19" s="402"/>
      <c r="T19" s="402"/>
      <c r="U19" s="402"/>
      <c r="V19" s="402"/>
      <c r="W19" s="402"/>
      <c r="X19" s="402"/>
      <c r="Y19" s="402"/>
      <c r="Z19" s="402"/>
      <c r="AA19" s="402"/>
      <c r="AB19" s="402"/>
      <c r="AC19" s="402"/>
      <c r="AD19" s="402"/>
      <c r="AE19" s="402"/>
      <c r="AF19" s="402"/>
      <c r="AG19" s="402"/>
      <c r="AH19" s="402"/>
      <c r="AI19" s="403"/>
      <c r="AK19" s="524" t="s">
        <v>623</v>
      </c>
      <c r="AL19" s="524"/>
      <c r="AM19" s="524"/>
      <c r="AN19" s="524"/>
      <c r="AO19" s="524"/>
      <c r="AP19" s="524"/>
      <c r="AQ19" s="58"/>
      <c r="AR19" s="43"/>
      <c r="AS19" s="46">
        <v>10</v>
      </c>
      <c r="AT19" s="46"/>
      <c r="AU19" s="46"/>
      <c r="AV19" s="47" t="s">
        <v>111</v>
      </c>
      <c r="AW19" s="47" t="s">
        <v>612</v>
      </c>
      <c r="AX19" s="47">
        <v>0.83333333333333337</v>
      </c>
      <c r="AY19" s="47" t="s">
        <v>613</v>
      </c>
      <c r="AZ19" s="43"/>
    </row>
    <row r="20" spans="1:85" ht="18" customHeight="1">
      <c r="A20" s="36" t="s">
        <v>189</v>
      </c>
      <c r="B20" s="404">
        <v>0.65277777777777779</v>
      </c>
      <c r="C20" s="404"/>
      <c r="D20" s="404"/>
      <c r="E20" s="404"/>
      <c r="F20" s="288" t="s">
        <v>875</v>
      </c>
      <c r="G20" s="288"/>
      <c r="H20" s="288"/>
      <c r="I20" s="288"/>
      <c r="J20" s="288"/>
      <c r="K20" s="288"/>
      <c r="L20" s="288"/>
      <c r="M20" s="288"/>
      <c r="N20" s="288"/>
      <c r="O20" s="288"/>
      <c r="P20" s="288"/>
      <c r="Q20" s="288"/>
      <c r="R20" s="288"/>
      <c r="S20" s="288"/>
      <c r="T20" s="288"/>
      <c r="U20" s="288"/>
      <c r="V20" s="288"/>
      <c r="W20" s="288"/>
      <c r="X20" s="288"/>
      <c r="Y20" s="288"/>
      <c r="Z20" s="288"/>
      <c r="AA20" s="288"/>
      <c r="AB20" s="288"/>
      <c r="AC20" s="288"/>
      <c r="AD20" s="288"/>
      <c r="AE20" s="288"/>
      <c r="AF20" s="288"/>
      <c r="AG20" s="288"/>
      <c r="AH20" s="288"/>
      <c r="AI20" s="289"/>
      <c r="AK20" s="447" t="s">
        <v>624</v>
      </c>
      <c r="AL20" s="448"/>
      <c r="AM20" s="448"/>
      <c r="AN20" s="448"/>
      <c r="AO20" s="448"/>
      <c r="AP20" s="448"/>
      <c r="AQ20" s="62"/>
      <c r="AR20" s="426" t="s">
        <v>625</v>
      </c>
      <c r="AS20" s="146">
        <v>11</v>
      </c>
      <c r="AT20" s="46"/>
      <c r="AU20" s="46"/>
      <c r="AV20" s="47" t="s">
        <v>111</v>
      </c>
      <c r="AW20" s="47" t="s">
        <v>612</v>
      </c>
      <c r="AX20" s="47">
        <v>0.83333333333333337</v>
      </c>
      <c r="AY20" s="47" t="s">
        <v>613</v>
      </c>
      <c r="AZ20" s="43"/>
    </row>
    <row r="21" spans="1:85" ht="18" customHeight="1" thickBot="1">
      <c r="A21" s="36"/>
      <c r="B21" s="404"/>
      <c r="C21" s="404"/>
      <c r="D21" s="404"/>
      <c r="E21" s="404"/>
      <c r="F21" s="288" t="s">
        <v>876</v>
      </c>
      <c r="G21" s="288"/>
      <c r="H21" s="288"/>
      <c r="I21" s="288"/>
      <c r="J21" s="288"/>
      <c r="K21" s="288"/>
      <c r="L21" s="288"/>
      <c r="M21" s="288"/>
      <c r="N21" s="288"/>
      <c r="O21" s="288"/>
      <c r="P21" s="288"/>
      <c r="Q21" s="288"/>
      <c r="R21" s="288"/>
      <c r="S21" s="288"/>
      <c r="T21" s="288"/>
      <c r="U21" s="288"/>
      <c r="V21" s="288"/>
      <c r="W21" s="288"/>
      <c r="X21" s="288"/>
      <c r="Y21" s="288"/>
      <c r="Z21" s="288"/>
      <c r="AA21" s="288"/>
      <c r="AB21" s="288"/>
      <c r="AC21" s="288"/>
      <c r="AD21" s="288"/>
      <c r="AE21" s="288"/>
      <c r="AF21" s="288"/>
      <c r="AG21" s="288"/>
      <c r="AH21" s="288"/>
      <c r="AI21" s="289"/>
      <c r="AK21" s="429" t="s">
        <v>626</v>
      </c>
      <c r="AL21" s="430"/>
      <c r="AM21" s="430"/>
      <c r="AN21" s="430"/>
      <c r="AO21" s="430"/>
      <c r="AP21" s="430"/>
      <c r="AQ21" s="63"/>
      <c r="AR21" s="427"/>
      <c r="AW21" s="43"/>
      <c r="AX21" s="43"/>
      <c r="AY21" s="43"/>
      <c r="AZ21" s="43"/>
    </row>
    <row r="22" spans="1:85" ht="18" customHeight="1">
      <c r="A22" s="36"/>
      <c r="B22" s="404">
        <v>0.66666666666666663</v>
      </c>
      <c r="C22" s="404"/>
      <c r="D22" s="404"/>
      <c r="E22" s="404"/>
      <c r="F22" s="288" t="s">
        <v>877</v>
      </c>
      <c r="G22" s="288"/>
      <c r="H22" s="288"/>
      <c r="I22" s="288"/>
      <c r="J22" s="288"/>
      <c r="K22" s="288"/>
      <c r="L22" s="288"/>
      <c r="M22" s="288"/>
      <c r="N22" s="288"/>
      <c r="O22" s="288"/>
      <c r="P22" s="288"/>
      <c r="Q22" s="288"/>
      <c r="R22" s="288"/>
      <c r="S22" s="288"/>
      <c r="T22" s="288"/>
      <c r="U22" s="288"/>
      <c r="V22" s="288"/>
      <c r="W22" s="288"/>
      <c r="X22" s="288"/>
      <c r="Y22" s="288"/>
      <c r="Z22" s="288"/>
      <c r="AA22" s="288"/>
      <c r="AB22" s="288"/>
      <c r="AC22" s="288"/>
      <c r="AD22" s="288"/>
      <c r="AE22" s="288"/>
      <c r="AF22" s="288"/>
      <c r="AG22" s="288"/>
      <c r="AH22" s="288"/>
      <c r="AI22" s="289"/>
      <c r="AK22" s="429" t="s">
        <v>627</v>
      </c>
      <c r="AL22" s="430"/>
      <c r="AM22" s="430"/>
      <c r="AN22" s="430"/>
      <c r="AO22" s="430"/>
      <c r="AP22" s="430"/>
      <c r="AQ22" s="63"/>
      <c r="AR22" s="427"/>
      <c r="AS22" s="433" t="s">
        <v>628</v>
      </c>
      <c r="AT22" s="434"/>
      <c r="AU22" s="435"/>
      <c r="AV22" s="435"/>
      <c r="AW22" s="60" t="s">
        <v>74</v>
      </c>
      <c r="AY22" s="413" t="s">
        <v>629</v>
      </c>
      <c r="AZ22" s="413"/>
      <c r="BA22" s="412"/>
      <c r="BB22" s="412"/>
    </row>
    <row r="23" spans="1:85" ht="18" customHeight="1" thickBot="1">
      <c r="A23" s="36"/>
      <c r="B23" s="404"/>
      <c r="C23" s="404"/>
      <c r="D23" s="404"/>
      <c r="E23" s="404"/>
      <c r="F23" s="288" t="s">
        <v>878</v>
      </c>
      <c r="G23" s="288"/>
      <c r="H23" s="288"/>
      <c r="I23" s="288"/>
      <c r="J23" s="288"/>
      <c r="K23" s="288"/>
      <c r="L23" s="288"/>
      <c r="M23" s="288"/>
      <c r="N23" s="288"/>
      <c r="O23" s="288"/>
      <c r="P23" s="288"/>
      <c r="Q23" s="288"/>
      <c r="R23" s="288"/>
      <c r="S23" s="288"/>
      <c r="T23" s="288"/>
      <c r="U23" s="288"/>
      <c r="V23" s="288"/>
      <c r="W23" s="288"/>
      <c r="X23" s="288"/>
      <c r="Y23" s="288"/>
      <c r="Z23" s="288"/>
      <c r="AA23" s="288"/>
      <c r="AB23" s="288"/>
      <c r="AC23" s="288"/>
      <c r="AD23" s="288"/>
      <c r="AE23" s="288"/>
      <c r="AF23" s="288"/>
      <c r="AG23" s="288"/>
      <c r="AH23" s="288"/>
      <c r="AI23" s="289"/>
      <c r="AK23" s="431" t="s">
        <v>630</v>
      </c>
      <c r="AL23" s="432"/>
      <c r="AM23" s="432"/>
      <c r="AN23" s="432"/>
      <c r="AO23" s="432"/>
      <c r="AP23" s="432"/>
      <c r="AQ23" s="64"/>
      <c r="AR23" s="428"/>
      <c r="AS23" s="536" t="s">
        <v>631</v>
      </c>
      <c r="AT23" s="246"/>
      <c r="AU23" s="537"/>
      <c r="AV23" s="537"/>
      <c r="AW23" s="56" t="s">
        <v>632</v>
      </c>
      <c r="AY23" s="413" t="s">
        <v>633</v>
      </c>
      <c r="AZ23" s="413"/>
      <c r="BA23" s="412"/>
      <c r="BB23" s="412"/>
    </row>
    <row r="24" spans="1:85" ht="18" customHeight="1" thickBot="1">
      <c r="A24" s="36"/>
      <c r="B24" s="404"/>
      <c r="C24" s="404"/>
      <c r="D24" s="404"/>
      <c r="E24" s="404"/>
      <c r="F24" s="288" t="s">
        <v>879</v>
      </c>
      <c r="G24" s="288"/>
      <c r="H24" s="288"/>
      <c r="I24" s="288"/>
      <c r="J24" s="288"/>
      <c r="K24" s="288"/>
      <c r="L24" s="288"/>
      <c r="M24" s="288"/>
      <c r="N24" s="288"/>
      <c r="O24" s="288"/>
      <c r="P24" s="288"/>
      <c r="Q24" s="288"/>
      <c r="R24" s="288"/>
      <c r="S24" s="288"/>
      <c r="T24" s="288"/>
      <c r="U24" s="288"/>
      <c r="V24" s="288"/>
      <c r="W24" s="288"/>
      <c r="X24" s="288"/>
      <c r="Y24" s="288"/>
      <c r="Z24" s="288"/>
      <c r="AA24" s="288"/>
      <c r="AB24" s="288"/>
      <c r="AC24" s="288"/>
      <c r="AD24" s="288"/>
      <c r="AE24" s="288"/>
      <c r="AF24" s="288"/>
      <c r="AG24" s="288"/>
      <c r="AH24" s="288"/>
      <c r="AI24" s="289"/>
      <c r="AK24" s="527" t="s">
        <v>634</v>
      </c>
      <c r="AL24" s="528"/>
      <c r="AM24" s="528"/>
      <c r="AN24" s="528"/>
      <c r="AO24" s="528"/>
      <c r="AP24" s="528"/>
      <c r="AQ24" s="65"/>
      <c r="AR24" s="43"/>
      <c r="AY24" s="413" t="s">
        <v>635</v>
      </c>
      <c r="AZ24" s="413"/>
      <c r="BA24" s="412"/>
      <c r="BB24" s="412"/>
    </row>
    <row r="25" spans="1:85" ht="18" customHeight="1">
      <c r="A25" s="36" t="s">
        <v>189</v>
      </c>
      <c r="B25" s="404">
        <v>0.89166666666666672</v>
      </c>
      <c r="C25" s="404"/>
      <c r="D25" s="404"/>
      <c r="E25" s="404"/>
      <c r="F25" s="288" t="s">
        <v>862</v>
      </c>
      <c r="G25" s="288"/>
      <c r="H25" s="288"/>
      <c r="I25" s="288"/>
      <c r="J25" s="288"/>
      <c r="K25" s="288"/>
      <c r="L25" s="288"/>
      <c r="M25" s="288"/>
      <c r="N25" s="288"/>
      <c r="O25" s="288"/>
      <c r="P25" s="288"/>
      <c r="Q25" s="288"/>
      <c r="R25" s="288"/>
      <c r="S25" s="288"/>
      <c r="T25" s="288"/>
      <c r="U25" s="288"/>
      <c r="V25" s="288"/>
      <c r="W25" s="288"/>
      <c r="X25" s="288"/>
      <c r="Y25" s="288"/>
      <c r="Z25" s="288"/>
      <c r="AA25" s="288"/>
      <c r="AB25" s="288"/>
      <c r="AC25" s="288"/>
      <c r="AD25" s="288"/>
      <c r="AE25" s="288"/>
      <c r="AF25" s="288"/>
      <c r="AG25" s="288"/>
      <c r="AH25" s="288"/>
      <c r="AI25" s="289"/>
      <c r="AK25" s="529" t="s">
        <v>636</v>
      </c>
      <c r="AL25" s="529"/>
      <c r="AM25" s="529"/>
      <c r="AN25" s="529"/>
      <c r="AO25" s="529"/>
      <c r="AP25" s="529"/>
      <c r="AQ25" s="66"/>
      <c r="AR25" s="43"/>
      <c r="AY25" s="413" t="s">
        <v>637</v>
      </c>
      <c r="AZ25" s="413"/>
      <c r="BA25" s="412"/>
      <c r="BB25" s="412"/>
    </row>
    <row r="26" spans="1:85" ht="18" customHeight="1">
      <c r="A26" s="36" t="s">
        <v>189</v>
      </c>
      <c r="B26" s="404">
        <v>0.92708333333333337</v>
      </c>
      <c r="C26" s="404"/>
      <c r="D26" s="404"/>
      <c r="E26" s="404"/>
      <c r="F26" s="288" t="s">
        <v>880</v>
      </c>
      <c r="G26" s="288"/>
      <c r="H26" s="288"/>
      <c r="I26" s="288"/>
      <c r="J26" s="288"/>
      <c r="K26" s="288"/>
      <c r="L26" s="288"/>
      <c r="M26" s="288"/>
      <c r="N26" s="288"/>
      <c r="O26" s="288"/>
      <c r="P26" s="288"/>
      <c r="Q26" s="288"/>
      <c r="R26" s="288"/>
      <c r="S26" s="288"/>
      <c r="T26" s="288"/>
      <c r="U26" s="288"/>
      <c r="V26" s="288"/>
      <c r="W26" s="288"/>
      <c r="X26" s="288"/>
      <c r="Y26" s="288"/>
      <c r="Z26" s="288"/>
      <c r="AA26" s="288"/>
      <c r="AB26" s="288"/>
      <c r="AC26" s="288"/>
      <c r="AD26" s="288"/>
      <c r="AE26" s="288"/>
      <c r="AF26" s="288"/>
      <c r="AG26" s="288"/>
      <c r="AH26" s="288"/>
      <c r="AI26" s="289"/>
      <c r="AK26" s="436" t="s">
        <v>638</v>
      </c>
      <c r="AL26" s="436"/>
      <c r="AM26" s="436"/>
      <c r="AN26" s="436"/>
      <c r="AO26" s="436"/>
      <c r="AP26" s="436"/>
      <c r="AQ26" s="67"/>
      <c r="AR26" s="43"/>
      <c r="AS26" s="548" t="s">
        <v>639</v>
      </c>
      <c r="AT26" s="549"/>
      <c r="AU26" s="549"/>
      <c r="AV26" s="549"/>
      <c r="AW26" s="550"/>
      <c r="AY26" s="147"/>
      <c r="AZ26" s="147"/>
      <c r="BA26" s="147"/>
      <c r="BB26" s="147"/>
    </row>
    <row r="27" spans="1:85" ht="18" customHeight="1">
      <c r="A27" s="36"/>
      <c r="B27" s="404">
        <v>0.92777777777777781</v>
      </c>
      <c r="C27" s="404"/>
      <c r="D27" s="404"/>
      <c r="E27" s="404"/>
      <c r="F27" s="288" t="s">
        <v>881</v>
      </c>
      <c r="G27" s="288"/>
      <c r="H27" s="288"/>
      <c r="I27" s="288"/>
      <c r="J27" s="288"/>
      <c r="K27" s="288"/>
      <c r="L27" s="288"/>
      <c r="M27" s="288"/>
      <c r="N27" s="288"/>
      <c r="O27" s="288"/>
      <c r="P27" s="288"/>
      <c r="Q27" s="288"/>
      <c r="R27" s="288"/>
      <c r="S27" s="288"/>
      <c r="T27" s="288"/>
      <c r="U27" s="288"/>
      <c r="V27" s="288"/>
      <c r="W27" s="288"/>
      <c r="X27" s="288"/>
      <c r="Y27" s="288"/>
      <c r="Z27" s="288"/>
      <c r="AA27" s="288"/>
      <c r="AB27" s="288"/>
      <c r="AC27" s="288"/>
      <c r="AD27" s="288"/>
      <c r="AE27" s="288"/>
      <c r="AF27" s="288"/>
      <c r="AG27" s="288"/>
      <c r="AH27" s="288"/>
      <c r="AI27" s="289"/>
      <c r="AK27" s="436" t="s">
        <v>640</v>
      </c>
      <c r="AL27" s="436"/>
      <c r="AM27" s="436"/>
      <c r="AN27" s="436"/>
      <c r="AO27" s="436"/>
      <c r="AP27" s="436"/>
      <c r="AQ27" s="67"/>
      <c r="AR27" s="43"/>
      <c r="AS27" s="458" t="s">
        <v>641</v>
      </c>
      <c r="AT27" s="460"/>
      <c r="AU27" s="458" t="s">
        <v>642</v>
      </c>
      <c r="AV27" s="459"/>
      <c r="AW27" s="460"/>
      <c r="AY27" s="411" t="s">
        <v>643</v>
      </c>
      <c r="AZ27" s="411"/>
      <c r="BA27" s="411"/>
      <c r="BB27" s="411"/>
    </row>
    <row r="28" spans="1:85" ht="18" customHeight="1" thickBot="1">
      <c r="A28" s="36"/>
      <c r="B28" s="404"/>
      <c r="C28" s="404"/>
      <c r="D28" s="404"/>
      <c r="E28" s="404"/>
      <c r="F28" s="288" t="s">
        <v>882</v>
      </c>
      <c r="G28" s="288"/>
      <c r="H28" s="288"/>
      <c r="I28" s="288"/>
      <c r="J28" s="288"/>
      <c r="K28" s="288"/>
      <c r="L28" s="288"/>
      <c r="M28" s="288"/>
      <c r="N28" s="288"/>
      <c r="O28" s="288"/>
      <c r="P28" s="288"/>
      <c r="Q28" s="288"/>
      <c r="R28" s="288"/>
      <c r="S28" s="288"/>
      <c r="T28" s="288"/>
      <c r="U28" s="288"/>
      <c r="V28" s="288"/>
      <c r="W28" s="288"/>
      <c r="X28" s="288"/>
      <c r="Y28" s="288"/>
      <c r="Z28" s="288"/>
      <c r="AA28" s="288"/>
      <c r="AB28" s="288"/>
      <c r="AC28" s="288"/>
      <c r="AD28" s="288"/>
      <c r="AE28" s="288"/>
      <c r="AF28" s="288"/>
      <c r="AG28" s="288"/>
      <c r="AH28" s="288"/>
      <c r="AI28" s="289"/>
      <c r="AK28" s="436" t="s">
        <v>644</v>
      </c>
      <c r="AL28" s="436"/>
      <c r="AM28" s="436"/>
      <c r="AN28" s="436"/>
      <c r="AO28" s="436"/>
      <c r="AP28" s="436"/>
      <c r="AQ28" s="67"/>
      <c r="AR28" s="43"/>
      <c r="AS28" s="538" t="s">
        <v>645</v>
      </c>
      <c r="AT28" s="539"/>
      <c r="AU28" s="533" t="s">
        <v>646</v>
      </c>
      <c r="AV28" s="534"/>
      <c r="AW28" s="535"/>
      <c r="AY28" s="413" t="s">
        <v>647</v>
      </c>
      <c r="AZ28" s="413"/>
      <c r="BA28" s="412"/>
      <c r="BB28" s="412"/>
    </row>
    <row r="29" spans="1:85" ht="18" customHeight="1" thickBot="1">
      <c r="A29" s="36"/>
      <c r="B29" s="404"/>
      <c r="C29" s="404"/>
      <c r="D29" s="404"/>
      <c r="E29" s="404"/>
      <c r="F29" s="288" t="s">
        <v>883</v>
      </c>
      <c r="G29" s="288"/>
      <c r="H29" s="288"/>
      <c r="I29" s="288"/>
      <c r="J29" s="288"/>
      <c r="K29" s="288"/>
      <c r="L29" s="288"/>
      <c r="M29" s="288"/>
      <c r="N29" s="288"/>
      <c r="O29" s="288"/>
      <c r="P29" s="288"/>
      <c r="Q29" s="288"/>
      <c r="R29" s="288"/>
      <c r="S29" s="288"/>
      <c r="T29" s="288"/>
      <c r="U29" s="288"/>
      <c r="V29" s="288"/>
      <c r="W29" s="288"/>
      <c r="X29" s="288"/>
      <c r="Y29" s="288"/>
      <c r="Z29" s="288"/>
      <c r="AA29" s="288"/>
      <c r="AB29" s="288"/>
      <c r="AC29" s="288"/>
      <c r="AD29" s="288"/>
      <c r="AE29" s="288"/>
      <c r="AF29" s="288"/>
      <c r="AG29" s="288"/>
      <c r="AH29" s="288"/>
      <c r="AI29" s="289"/>
      <c r="AK29" s="524"/>
      <c r="AL29" s="524"/>
      <c r="AM29" s="524"/>
      <c r="AN29" s="524"/>
      <c r="AO29" s="524"/>
      <c r="AP29" s="524"/>
      <c r="AQ29" s="58"/>
      <c r="AR29" s="43"/>
      <c r="AS29" s="551"/>
      <c r="AT29" s="552"/>
      <c r="AU29" s="434"/>
      <c r="AV29" s="434"/>
      <c r="AW29" s="553"/>
      <c r="AY29" s="413" t="s">
        <v>633</v>
      </c>
      <c r="AZ29" s="413"/>
      <c r="BA29" s="412"/>
      <c r="BB29" s="412"/>
    </row>
    <row r="30" spans="1:85" ht="18" customHeight="1">
      <c r="A30" s="36"/>
      <c r="B30" s="404"/>
      <c r="C30" s="404"/>
      <c r="D30" s="404"/>
      <c r="E30" s="404"/>
      <c r="F30" s="288" t="s">
        <v>884</v>
      </c>
      <c r="G30" s="288"/>
      <c r="H30" s="288"/>
      <c r="I30" s="288"/>
      <c r="J30" s="288"/>
      <c r="K30" s="288"/>
      <c r="L30" s="288"/>
      <c r="M30" s="288"/>
      <c r="N30" s="288"/>
      <c r="O30" s="288"/>
      <c r="P30" s="288"/>
      <c r="Q30" s="288"/>
      <c r="R30" s="288"/>
      <c r="S30" s="288"/>
      <c r="T30" s="288"/>
      <c r="U30" s="288"/>
      <c r="V30" s="288"/>
      <c r="W30" s="288"/>
      <c r="X30" s="288"/>
      <c r="Y30" s="288"/>
      <c r="Z30" s="288"/>
      <c r="AA30" s="288"/>
      <c r="AB30" s="288"/>
      <c r="AC30" s="288"/>
      <c r="AD30" s="288"/>
      <c r="AE30" s="288"/>
      <c r="AF30" s="288"/>
      <c r="AG30" s="288"/>
      <c r="AH30" s="288"/>
      <c r="AI30" s="289"/>
      <c r="AK30" s="449" t="s">
        <v>648</v>
      </c>
      <c r="AL30" s="450"/>
      <c r="AM30" s="450"/>
      <c r="AN30" s="450"/>
      <c r="AO30" s="450"/>
      <c r="AP30" s="450"/>
      <c r="AQ30" s="62"/>
      <c r="AR30" s="43"/>
      <c r="AS30" s="554"/>
      <c r="AT30" s="532"/>
      <c r="AU30" s="439"/>
      <c r="AV30" s="439"/>
      <c r="AW30" s="555"/>
      <c r="AY30" s="413" t="s">
        <v>649</v>
      </c>
      <c r="AZ30" s="413"/>
      <c r="BA30" s="412"/>
      <c r="BB30" s="412"/>
    </row>
    <row r="31" spans="1:85" ht="18" customHeight="1" thickBot="1">
      <c r="A31" s="37"/>
      <c r="B31" s="466">
        <v>0.95138888888888884</v>
      </c>
      <c r="C31" s="466"/>
      <c r="D31" s="466"/>
      <c r="E31" s="466"/>
      <c r="F31" s="467" t="s">
        <v>885</v>
      </c>
      <c r="G31" s="467"/>
      <c r="H31" s="467"/>
      <c r="I31" s="467"/>
      <c r="J31" s="467"/>
      <c r="K31" s="467"/>
      <c r="L31" s="467"/>
      <c r="M31" s="467"/>
      <c r="N31" s="467"/>
      <c r="O31" s="467"/>
      <c r="P31" s="467"/>
      <c r="Q31" s="467"/>
      <c r="R31" s="467"/>
      <c r="S31" s="467"/>
      <c r="T31" s="467"/>
      <c r="U31" s="467"/>
      <c r="V31" s="467"/>
      <c r="W31" s="467"/>
      <c r="X31" s="467"/>
      <c r="Y31" s="467"/>
      <c r="Z31" s="467"/>
      <c r="AA31" s="467"/>
      <c r="AB31" s="467"/>
      <c r="AC31" s="467"/>
      <c r="AD31" s="467"/>
      <c r="AE31" s="467"/>
      <c r="AF31" s="467"/>
      <c r="AG31" s="467"/>
      <c r="AH31" s="467"/>
      <c r="AI31" s="468"/>
      <c r="AK31" s="451" t="s">
        <v>650</v>
      </c>
      <c r="AL31" s="416"/>
      <c r="AM31" s="416"/>
      <c r="AN31" s="416"/>
      <c r="AO31" s="416"/>
      <c r="AP31" s="416"/>
      <c r="AQ31" s="64"/>
      <c r="AR31" s="48"/>
      <c r="AS31" s="556"/>
      <c r="AT31" s="557"/>
      <c r="AU31" s="424"/>
      <c r="AV31" s="424"/>
      <c r="AW31" s="491"/>
      <c r="AY31" s="413" t="s">
        <v>637</v>
      </c>
      <c r="AZ31" s="413"/>
      <c r="BA31" s="412"/>
      <c r="BB31" s="412"/>
    </row>
    <row r="32" spans="1:85" ht="18" customHeight="1" thickBot="1">
      <c r="A32" s="406" t="s">
        <v>651</v>
      </c>
      <c r="B32" s="407"/>
      <c r="C32" s="407"/>
      <c r="D32" s="407"/>
      <c r="E32" s="407"/>
      <c r="F32" s="407"/>
      <c r="G32" s="407"/>
      <c r="H32" s="407"/>
      <c r="I32" s="407"/>
      <c r="J32" s="407"/>
      <c r="K32" s="407"/>
      <c r="L32" s="407"/>
      <c r="M32" s="407"/>
      <c r="N32" s="407"/>
      <c r="O32" s="407"/>
      <c r="P32" s="407"/>
      <c r="Q32" s="407"/>
      <c r="R32" s="407"/>
      <c r="S32" s="407"/>
      <c r="T32" s="407"/>
      <c r="U32" s="407"/>
      <c r="V32" s="407"/>
      <c r="W32" s="407"/>
      <c r="X32" s="407"/>
      <c r="Y32" s="407"/>
      <c r="Z32" s="407"/>
      <c r="AA32" s="407"/>
      <c r="AB32" s="407"/>
      <c r="AC32" s="407"/>
      <c r="AD32" s="407"/>
      <c r="AE32" s="407"/>
      <c r="AF32" s="407"/>
      <c r="AG32" s="407"/>
      <c r="AH32" s="407"/>
      <c r="AI32" s="408"/>
      <c r="AK32" s="531"/>
      <c r="AL32" s="531"/>
      <c r="AM32" s="531"/>
      <c r="AN32" s="531"/>
      <c r="AO32" s="531"/>
      <c r="AP32" s="531"/>
      <c r="AQ32" s="61"/>
      <c r="AR32" s="48"/>
      <c r="AS32" s="558"/>
      <c r="AT32" s="558"/>
      <c r="AU32" s="559"/>
      <c r="AV32" s="559"/>
      <c r="AW32" s="559"/>
      <c r="AY32" s="413" t="s">
        <v>652</v>
      </c>
      <c r="AZ32" s="413"/>
      <c r="BA32" s="412"/>
      <c r="BB32" s="412"/>
    </row>
    <row r="33" spans="1:80" ht="18" customHeight="1">
      <c r="A33" s="39"/>
      <c r="B33" s="546" t="s">
        <v>653</v>
      </c>
      <c r="C33" s="546"/>
      <c r="D33" s="546"/>
      <c r="E33" s="546"/>
      <c r="F33" s="417" t="str" cm="1">
        <f t="array" ref="F33">_xlfn.TEXTJOIN("/",TRUE,IF(AS29:AS31&lt;&gt;"",TEXT(AS29:AS31,"h:mm")&amp;" "&amp;AU29:AU31,""))</f>
        <v/>
      </c>
      <c r="G33" s="418"/>
      <c r="H33" s="418"/>
      <c r="I33" s="418"/>
      <c r="J33" s="418"/>
      <c r="K33" s="418"/>
      <c r="L33" s="418"/>
      <c r="M33" s="418"/>
      <c r="N33" s="418"/>
      <c r="O33" s="418"/>
      <c r="P33" s="418"/>
      <c r="Q33" s="418"/>
      <c r="R33" s="418"/>
      <c r="S33" s="418"/>
      <c r="T33" s="418"/>
      <c r="U33" s="418"/>
      <c r="V33" s="418"/>
      <c r="W33" s="418"/>
      <c r="X33" s="418"/>
      <c r="Y33" s="418"/>
      <c r="Z33" s="418"/>
      <c r="AA33" s="418"/>
      <c r="AB33" s="418"/>
      <c r="AC33" s="418"/>
      <c r="AD33" s="418"/>
      <c r="AE33" s="418"/>
      <c r="AF33" s="418"/>
      <c r="AG33" s="418"/>
      <c r="AH33" s="418"/>
      <c r="AI33" s="419"/>
      <c r="AK33" s="449" t="s">
        <v>654</v>
      </c>
      <c r="AL33" s="450"/>
      <c r="AM33" s="450"/>
      <c r="AN33" s="450"/>
      <c r="AO33" s="450"/>
      <c r="AP33" s="450"/>
      <c r="AQ33" s="60">
        <v>2</v>
      </c>
      <c r="AR33" s="48"/>
      <c r="AS33" s="532"/>
      <c r="AT33" s="532"/>
      <c r="AU33" s="439"/>
      <c r="AV33" s="439"/>
      <c r="AW33" s="439"/>
      <c r="AY33" s="413" t="s">
        <v>655</v>
      </c>
      <c r="AZ33" s="413"/>
      <c r="BA33" s="412"/>
      <c r="BB33" s="412"/>
    </row>
    <row r="34" spans="1:80" ht="18" customHeight="1" thickBot="1">
      <c r="A34" s="39"/>
      <c r="B34" s="546" t="s">
        <v>656</v>
      </c>
      <c r="C34" s="546"/>
      <c r="D34" s="546"/>
      <c r="E34" s="546"/>
      <c r="F34" s="420" t="s">
        <v>79</v>
      </c>
      <c r="G34" s="420"/>
      <c r="H34" s="420"/>
      <c r="I34" s="420"/>
      <c r="J34" s="420"/>
      <c r="K34" s="420"/>
      <c r="L34" s="420"/>
      <c r="M34" s="420"/>
      <c r="N34" s="420"/>
      <c r="O34" s="420"/>
      <c r="P34" s="420"/>
      <c r="Q34" s="420"/>
      <c r="R34" s="420"/>
      <c r="S34" s="420"/>
      <c r="T34" s="420"/>
      <c r="U34" s="420"/>
      <c r="V34" s="420"/>
      <c r="W34" s="420"/>
      <c r="X34" s="420"/>
      <c r="Y34" s="420"/>
      <c r="Z34" s="420"/>
      <c r="AA34" s="420"/>
      <c r="AB34" s="420"/>
      <c r="AC34" s="421"/>
      <c r="AD34" s="421"/>
      <c r="AE34" s="421"/>
      <c r="AF34" s="421"/>
      <c r="AG34" s="421"/>
      <c r="AH34" s="421"/>
      <c r="AI34" s="422"/>
      <c r="AK34" s="451" t="s">
        <v>657</v>
      </c>
      <c r="AL34" s="416"/>
      <c r="AM34" s="416"/>
      <c r="AN34" s="416"/>
      <c r="AO34" s="416"/>
      <c r="AP34" s="416"/>
      <c r="AQ34" s="56"/>
      <c r="AR34" s="48"/>
      <c r="AS34" s="532"/>
      <c r="AT34" s="532"/>
      <c r="AU34" s="439"/>
      <c r="AV34" s="439"/>
      <c r="AW34" s="439"/>
      <c r="AY34" s="413" t="s">
        <v>658</v>
      </c>
      <c r="AZ34" s="413"/>
      <c r="BA34" s="412"/>
      <c r="BB34" s="412"/>
    </row>
    <row r="35" spans="1:80" ht="18" customHeight="1" thickBot="1">
      <c r="A35" s="57"/>
      <c r="B35" s="547" t="s">
        <v>659</v>
      </c>
      <c r="C35" s="547"/>
      <c r="D35" s="547"/>
      <c r="E35" s="547"/>
      <c r="F35" s="389" t="s">
        <v>660</v>
      </c>
      <c r="G35" s="389"/>
      <c r="H35" s="389"/>
      <c r="I35" s="389"/>
      <c r="J35" s="389"/>
      <c r="K35" s="389"/>
      <c r="L35" s="389"/>
      <c r="M35" s="389"/>
      <c r="N35" s="389"/>
      <c r="O35" s="389"/>
      <c r="P35" s="389"/>
      <c r="Q35" s="389"/>
      <c r="R35" s="389"/>
      <c r="S35" s="389"/>
      <c r="T35" s="389"/>
      <c r="U35" s="389"/>
      <c r="V35" s="389"/>
      <c r="W35" s="390" t="s">
        <v>661</v>
      </c>
      <c r="X35" s="391"/>
      <c r="Y35" s="391"/>
      <c r="Z35" s="391"/>
      <c r="AA35" s="391"/>
      <c r="AB35" s="391"/>
      <c r="AC35" s="392" t="s">
        <v>662</v>
      </c>
      <c r="AD35" s="393"/>
      <c r="AE35" s="393"/>
      <c r="AF35" s="393"/>
      <c r="AG35" s="393"/>
      <c r="AH35" s="393"/>
      <c r="AI35" s="394"/>
      <c r="AK35" s="531"/>
      <c r="AL35" s="531"/>
      <c r="AM35" s="531"/>
      <c r="AN35" s="531"/>
      <c r="AO35" s="531"/>
      <c r="AP35" s="531"/>
      <c r="AQ35" s="61"/>
      <c r="AR35" s="48"/>
      <c r="AS35" s="532"/>
      <c r="AT35" s="532"/>
      <c r="AU35" s="439"/>
      <c r="AV35" s="439"/>
      <c r="AW35" s="439"/>
      <c r="AY35" s="413" t="s">
        <v>663</v>
      </c>
      <c r="AZ35" s="413"/>
      <c r="BA35" s="412"/>
      <c r="BB35" s="412"/>
    </row>
    <row r="36" spans="1:80" ht="18" customHeight="1" thickBot="1">
      <c r="A36" s="492" t="s">
        <v>664</v>
      </c>
      <c r="B36" s="493"/>
      <c r="C36" s="493"/>
      <c r="D36" s="493"/>
      <c r="E36" s="493"/>
      <c r="F36" s="498">
        <v>4.1666666666666664E-2</v>
      </c>
      <c r="G36" s="439"/>
      <c r="H36" s="439"/>
      <c r="I36" s="439"/>
      <c r="J36" s="439"/>
      <c r="K36" s="439"/>
      <c r="L36" s="499" t="s">
        <v>665</v>
      </c>
      <c r="M36" s="489"/>
      <c r="N36" s="489"/>
      <c r="O36" s="500"/>
      <c r="P36" s="410" t="s">
        <v>62</v>
      </c>
      <c r="Q36" s="410"/>
      <c r="R36" s="410"/>
      <c r="S36" s="55" t="s">
        <v>666</v>
      </c>
      <c r="T36" s="410" t="s">
        <v>43</v>
      </c>
      <c r="U36" s="410"/>
      <c r="V36" s="530"/>
      <c r="W36" s="489" t="s">
        <v>667</v>
      </c>
      <c r="X36" s="489"/>
      <c r="Y36" s="489"/>
      <c r="Z36" s="489"/>
      <c r="AA36" s="489"/>
      <c r="AB36" s="489"/>
      <c r="AC36" s="490" t="s">
        <v>722</v>
      </c>
      <c r="AD36" s="487"/>
      <c r="AE36" s="487"/>
      <c r="AF36" s="487"/>
      <c r="AG36" s="487"/>
      <c r="AH36" s="487"/>
      <c r="AI36" s="488"/>
      <c r="AK36" s="525" t="s">
        <v>668</v>
      </c>
      <c r="AL36" s="526"/>
      <c r="AM36" s="526"/>
      <c r="AN36" s="526"/>
      <c r="AO36" s="526"/>
      <c r="AP36" s="526"/>
      <c r="AQ36" s="117"/>
      <c r="AR36" s="48"/>
      <c r="AS36" s="532"/>
      <c r="AT36" s="532"/>
      <c r="AU36" s="439"/>
      <c r="AV36" s="439"/>
      <c r="AW36" s="439"/>
      <c r="BH36" s="50"/>
      <c r="BI36" s="51"/>
    </row>
    <row r="37" spans="1:80" ht="18" customHeight="1" thickBot="1">
      <c r="A37" s="494" t="s">
        <v>669</v>
      </c>
      <c r="B37" s="495"/>
      <c r="C37" s="495"/>
      <c r="D37" s="495"/>
      <c r="E37" s="495"/>
      <c r="F37" s="487"/>
      <c r="G37" s="487"/>
      <c r="H37" s="487"/>
      <c r="I37" s="487"/>
      <c r="J37" s="487"/>
      <c r="K37" s="487"/>
      <c r="L37" s="487"/>
      <c r="M37" s="487"/>
      <c r="N37" s="487"/>
      <c r="O37" s="487"/>
      <c r="P37" s="487"/>
      <c r="Q37" s="487"/>
      <c r="R37" s="487"/>
      <c r="S37" s="487"/>
      <c r="T37" s="487"/>
      <c r="U37" s="487"/>
      <c r="V37" s="487"/>
      <c r="W37" s="487"/>
      <c r="X37" s="487"/>
      <c r="Y37" s="487"/>
      <c r="Z37" s="487"/>
      <c r="AA37" s="487"/>
      <c r="AB37" s="487"/>
      <c r="AC37" s="487"/>
      <c r="AD37" s="487"/>
      <c r="AE37" s="487"/>
      <c r="AF37" s="487"/>
      <c r="AG37" s="487"/>
      <c r="AH37" s="487"/>
      <c r="AI37" s="488"/>
      <c r="AK37" s="544" t="s">
        <v>240</v>
      </c>
      <c r="AL37" s="545"/>
      <c r="AM37" s="545"/>
      <c r="AN37" s="545"/>
      <c r="AO37" s="545"/>
      <c r="AP37" s="545"/>
      <c r="AQ37" s="122"/>
      <c r="AR37" s="48"/>
      <c r="AS37" s="532"/>
      <c r="AT37" s="532"/>
      <c r="AU37" s="439"/>
      <c r="AV37" s="439"/>
      <c r="AW37" s="439"/>
      <c r="BH37" s="50"/>
      <c r="BI37" s="51"/>
    </row>
    <row r="38" spans="1:80" ht="18" customHeight="1" thickBot="1">
      <c r="A38" s="496" t="s">
        <v>670</v>
      </c>
      <c r="B38" s="497"/>
      <c r="C38" s="497"/>
      <c r="D38" s="497"/>
      <c r="E38" s="497"/>
      <c r="F38" s="416" t="s">
        <v>667</v>
      </c>
      <c r="G38" s="416"/>
      <c r="H38" s="416"/>
      <c r="I38" s="416"/>
      <c r="J38" s="416"/>
      <c r="K38" s="416"/>
      <c r="L38" s="424" t="s">
        <v>722</v>
      </c>
      <c r="M38" s="424"/>
      <c r="N38" s="424"/>
      <c r="O38" s="424"/>
      <c r="P38" s="416" t="s">
        <v>671</v>
      </c>
      <c r="Q38" s="416"/>
      <c r="R38" s="416"/>
      <c r="S38" s="416"/>
      <c r="T38" s="416"/>
      <c r="U38" s="416"/>
      <c r="V38" s="416"/>
      <c r="W38" s="416" t="s">
        <v>667</v>
      </c>
      <c r="X38" s="416"/>
      <c r="Y38" s="416"/>
      <c r="Z38" s="416"/>
      <c r="AA38" s="416"/>
      <c r="AB38" s="416"/>
      <c r="AC38" s="424" t="s">
        <v>722</v>
      </c>
      <c r="AD38" s="424"/>
      <c r="AE38" s="424"/>
      <c r="AF38" s="424"/>
      <c r="AG38" s="424"/>
      <c r="AH38" s="424"/>
      <c r="AI38" s="491"/>
      <c r="AK38" s="543"/>
      <c r="AL38" s="543"/>
      <c r="AM38" s="543"/>
      <c r="AN38" s="543"/>
      <c r="AO38" s="543"/>
      <c r="AP38" s="543"/>
      <c r="AQ38" s="59"/>
      <c r="AR38" s="48"/>
      <c r="BC38" s="50"/>
      <c r="BD38" s="51"/>
    </row>
    <row r="39" spans="1:80" ht="18" customHeight="1">
      <c r="A39" s="452" t="s">
        <v>672</v>
      </c>
      <c r="B39" s="453"/>
      <c r="C39" s="453"/>
      <c r="D39" s="453"/>
      <c r="E39" s="453"/>
      <c r="F39" s="453"/>
      <c r="G39" s="453"/>
      <c r="H39" s="453"/>
      <c r="I39" s="453"/>
      <c r="J39" s="453"/>
      <c r="K39" s="453"/>
      <c r="L39" s="453"/>
      <c r="M39" s="453"/>
      <c r="N39" s="453"/>
      <c r="O39" s="453"/>
      <c r="P39" s="453"/>
      <c r="Q39" s="453"/>
      <c r="R39" s="453"/>
      <c r="S39" s="453"/>
      <c r="T39" s="453"/>
      <c r="U39" s="453"/>
      <c r="V39" s="453"/>
      <c r="W39" s="453"/>
      <c r="X39" s="453"/>
      <c r="Y39" s="453"/>
      <c r="Z39" s="453"/>
      <c r="AA39" s="453"/>
      <c r="AB39" s="453"/>
      <c r="AC39" s="453"/>
      <c r="AD39" s="453"/>
      <c r="AE39" s="453"/>
      <c r="AF39" s="453"/>
      <c r="AG39" s="453"/>
      <c r="AH39" s="453"/>
      <c r="AI39" s="454"/>
      <c r="AK39" s="444" t="s">
        <v>673</v>
      </c>
      <c r="AL39" s="444"/>
      <c r="AM39" s="444"/>
      <c r="AN39" s="444"/>
      <c r="AO39" s="444"/>
      <c r="AP39" s="444"/>
      <c r="AQ39" s="42"/>
      <c r="AR39" s="48"/>
      <c r="AS39" s="423" t="s">
        <v>526</v>
      </c>
      <c r="AT39" s="423"/>
      <c r="AU39" s="148">
        <v>32</v>
      </c>
      <c r="AV39" s="423" t="s">
        <v>528</v>
      </c>
      <c r="AW39" s="423"/>
      <c r="BC39" s="50"/>
      <c r="BD39" s="51"/>
    </row>
    <row r="40" spans="1:80" ht="18" customHeight="1">
      <c r="A40" s="464" t="s">
        <v>674</v>
      </c>
      <c r="B40" s="459"/>
      <c r="C40" s="459"/>
      <c r="D40" s="459"/>
      <c r="E40" s="470" t="s">
        <v>675</v>
      </c>
      <c r="F40" s="471"/>
      <c r="G40" s="471"/>
      <c r="H40" s="471"/>
      <c r="I40" s="471"/>
      <c r="J40" s="471"/>
      <c r="K40" s="472"/>
      <c r="L40" s="458" t="s">
        <v>676</v>
      </c>
      <c r="M40" s="459"/>
      <c r="N40" s="459"/>
      <c r="O40" s="459"/>
      <c r="P40" s="459"/>
      <c r="Q40" s="459"/>
      <c r="R40" s="460"/>
      <c r="S40" s="458" t="s">
        <v>677</v>
      </c>
      <c r="T40" s="459"/>
      <c r="U40" s="459"/>
      <c r="V40" s="459"/>
      <c r="W40" s="470" t="s">
        <v>675</v>
      </c>
      <c r="X40" s="471"/>
      <c r="Y40" s="471"/>
      <c r="Z40" s="471"/>
      <c r="AA40" s="471"/>
      <c r="AB40" s="471"/>
      <c r="AC40" s="472"/>
      <c r="AD40" s="458" t="s">
        <v>678</v>
      </c>
      <c r="AE40" s="459"/>
      <c r="AF40" s="459"/>
      <c r="AG40" s="459"/>
      <c r="AH40" s="459"/>
      <c r="AI40" s="463"/>
      <c r="AK40" s="444" t="s">
        <v>679</v>
      </c>
      <c r="AL40" s="444"/>
      <c r="AM40" s="444"/>
      <c r="AN40" s="444"/>
      <c r="AO40" s="444"/>
      <c r="AP40" s="444"/>
      <c r="AQ40" s="42"/>
      <c r="AR40" s="48"/>
      <c r="AS40" s="423" t="s">
        <v>527</v>
      </c>
      <c r="AT40" s="423"/>
      <c r="AU40" s="148">
        <v>26</v>
      </c>
      <c r="AV40" s="560">
        <v>0.87690000000000001</v>
      </c>
      <c r="AW40" s="560"/>
      <c r="BC40" s="50"/>
      <c r="BD40" s="51"/>
    </row>
    <row r="41" spans="1:80" ht="18" customHeight="1">
      <c r="A41" s="464" t="s">
        <v>16</v>
      </c>
      <c r="B41" s="459"/>
      <c r="C41" s="459"/>
      <c r="D41" s="459"/>
      <c r="E41" s="469">
        <f>AX10</f>
        <v>0.33333333333333331</v>
      </c>
      <c r="F41" s="456"/>
      <c r="G41" s="456"/>
      <c r="H41" s="144" t="s">
        <v>680</v>
      </c>
      <c r="I41" s="456">
        <f>AY10</f>
        <v>0.83333333333333337</v>
      </c>
      <c r="J41" s="456"/>
      <c r="K41" s="457"/>
      <c r="L41" s="458" t="str">
        <f>AU10</f>
        <v>三角龍彦</v>
      </c>
      <c r="M41" s="459"/>
      <c r="N41" s="459"/>
      <c r="O41" s="459"/>
      <c r="P41" s="459"/>
      <c r="Q41" s="459"/>
      <c r="R41" s="460"/>
      <c r="S41" s="409" t="s">
        <v>31</v>
      </c>
      <c r="T41" s="410"/>
      <c r="U41" s="410"/>
      <c r="V41" s="410"/>
      <c r="W41" s="414">
        <v>0.39583333333333331</v>
      </c>
      <c r="X41" s="415"/>
      <c r="Y41" s="415"/>
      <c r="Z41" s="40" t="s">
        <v>680</v>
      </c>
      <c r="AA41" s="415">
        <v>0.77083333333333337</v>
      </c>
      <c r="AB41" s="415"/>
      <c r="AC41" s="461"/>
      <c r="AD41" s="409" t="str">
        <f>AU14</f>
        <v>木村重明</v>
      </c>
      <c r="AE41" s="410"/>
      <c r="AF41" s="410"/>
      <c r="AG41" s="410"/>
      <c r="AH41" s="410"/>
      <c r="AI41" s="462"/>
      <c r="AK41" s="444" t="s">
        <v>681</v>
      </c>
      <c r="AL41" s="444"/>
      <c r="AM41" s="444"/>
      <c r="AN41" s="444"/>
      <c r="AO41" s="444"/>
      <c r="AP41" s="444"/>
      <c r="AQ41" s="42"/>
      <c r="AR41" s="48"/>
      <c r="BC41" s="50"/>
      <c r="BD41" s="51"/>
    </row>
    <row r="42" spans="1:80" ht="18" customHeight="1">
      <c r="A42" s="464" t="s">
        <v>24</v>
      </c>
      <c r="B42" s="459"/>
      <c r="C42" s="459"/>
      <c r="D42" s="459"/>
      <c r="E42" s="469">
        <f>AX13</f>
        <v>0.33333333333333331</v>
      </c>
      <c r="F42" s="456"/>
      <c r="G42" s="456"/>
      <c r="H42" s="144" t="s">
        <v>680</v>
      </c>
      <c r="I42" s="456">
        <f>AY12</f>
        <v>0.83333333333333337</v>
      </c>
      <c r="J42" s="456"/>
      <c r="K42" s="457"/>
      <c r="L42" s="458" t="str">
        <f>AU13</f>
        <v>松葉眞</v>
      </c>
      <c r="M42" s="459"/>
      <c r="N42" s="459"/>
      <c r="O42" s="459"/>
      <c r="P42" s="459"/>
      <c r="Q42" s="459"/>
      <c r="R42" s="460"/>
      <c r="S42" s="409"/>
      <c r="T42" s="410"/>
      <c r="U42" s="410"/>
      <c r="V42" s="410"/>
      <c r="W42" s="414"/>
      <c r="X42" s="415"/>
      <c r="Y42" s="415"/>
      <c r="Z42" s="136"/>
      <c r="AA42" s="415"/>
      <c r="AB42" s="415"/>
      <c r="AC42" s="461"/>
      <c r="AD42" s="409">
        <f>AU15</f>
        <v>0</v>
      </c>
      <c r="AE42" s="410"/>
      <c r="AF42" s="410"/>
      <c r="AG42" s="410"/>
      <c r="AH42" s="410"/>
      <c r="AI42" s="462"/>
      <c r="AK42" s="445" t="s">
        <v>682</v>
      </c>
      <c r="AL42" s="445"/>
      <c r="AM42" s="445"/>
      <c r="AN42" s="445"/>
      <c r="AO42" s="445"/>
      <c r="AP42" s="445"/>
      <c r="AQ42" s="42"/>
      <c r="AR42" s="48"/>
      <c r="AS42" s="561" t="s">
        <v>683</v>
      </c>
      <c r="AT42" s="561"/>
      <c r="AU42" s="561"/>
      <c r="AV42" s="561"/>
      <c r="AW42" s="561"/>
      <c r="BC42" s="50"/>
      <c r="BD42" s="51"/>
    </row>
    <row r="43" spans="1:80" ht="18" customHeight="1">
      <c r="A43" s="464" t="s">
        <v>38</v>
      </c>
      <c r="B43" s="459"/>
      <c r="C43" s="459"/>
      <c r="D43" s="459"/>
      <c r="E43" s="469">
        <f>AX16</f>
        <v>0.83333333333333337</v>
      </c>
      <c r="F43" s="456"/>
      <c r="G43" s="456"/>
      <c r="H43" s="144" t="s">
        <v>680</v>
      </c>
      <c r="I43" s="456" t="str">
        <f>AY16</f>
        <v>翌8:00</v>
      </c>
      <c r="J43" s="456"/>
      <c r="K43" s="457"/>
      <c r="L43" s="458" t="str">
        <f>AU16</f>
        <v>二野宮慧太</v>
      </c>
      <c r="M43" s="459"/>
      <c r="N43" s="459"/>
      <c r="O43" s="459"/>
      <c r="P43" s="459"/>
      <c r="Q43" s="459"/>
      <c r="R43" s="460"/>
      <c r="S43" s="409"/>
      <c r="T43" s="410"/>
      <c r="U43" s="410"/>
      <c r="V43" s="410"/>
      <c r="W43" s="414"/>
      <c r="X43" s="415"/>
      <c r="Y43" s="415"/>
      <c r="Z43" s="136"/>
      <c r="AA43" s="415"/>
      <c r="AB43" s="415"/>
      <c r="AC43" s="461"/>
      <c r="AD43" s="486">
        <f>AU18</f>
        <v>0</v>
      </c>
      <c r="AE43" s="410"/>
      <c r="AF43" s="410"/>
      <c r="AG43" s="410"/>
      <c r="AH43" s="410"/>
      <c r="AI43" s="462"/>
      <c r="AK43" s="444" t="s">
        <v>684</v>
      </c>
      <c r="AL43" s="444"/>
      <c r="AM43" s="444"/>
      <c r="AN43" s="444"/>
      <c r="AO43" s="444"/>
      <c r="AP43" s="444"/>
      <c r="AQ43" s="42"/>
      <c r="AR43" s="43"/>
      <c r="AW43"/>
      <c r="AX43"/>
      <c r="AY43"/>
      <c r="AZ43"/>
      <c r="BA43"/>
      <c r="BB43"/>
      <c r="BC43" s="50"/>
      <c r="BD43" s="51"/>
      <c r="BE43"/>
      <c r="BF43"/>
      <c r="BG43"/>
      <c r="BH43"/>
      <c r="BI43"/>
      <c r="BJ43"/>
      <c r="BK43"/>
      <c r="BL43"/>
      <c r="BM43"/>
      <c r="BN43"/>
      <c r="BO43"/>
      <c r="BP43"/>
      <c r="BQ43"/>
      <c r="BR43"/>
      <c r="BS43"/>
      <c r="BT43"/>
      <c r="BU43"/>
      <c r="BV43"/>
      <c r="BW43"/>
      <c r="BX43"/>
      <c r="BY43"/>
      <c r="BZ43"/>
      <c r="CA43"/>
      <c r="CB43"/>
    </row>
    <row r="44" spans="1:80" ht="18" customHeight="1" thickBot="1">
      <c r="A44" s="473" t="s">
        <v>45</v>
      </c>
      <c r="B44" s="474"/>
      <c r="C44" s="474"/>
      <c r="D44" s="474"/>
      <c r="E44" s="475">
        <f>AX17</f>
        <v>0.83333333333333337</v>
      </c>
      <c r="F44" s="476"/>
      <c r="G44" s="476"/>
      <c r="H44" s="145" t="s">
        <v>680</v>
      </c>
      <c r="I44" s="476" t="str">
        <f>AY17</f>
        <v>翌8:00</v>
      </c>
      <c r="J44" s="476"/>
      <c r="K44" s="477"/>
      <c r="L44" s="478" t="str">
        <f>AU17</f>
        <v>山本喜久</v>
      </c>
      <c r="M44" s="478"/>
      <c r="N44" s="478"/>
      <c r="O44" s="478"/>
      <c r="P44" s="478"/>
      <c r="Q44" s="478"/>
      <c r="R44" s="478"/>
      <c r="S44" s="479"/>
      <c r="T44" s="480"/>
      <c r="U44" s="480"/>
      <c r="V44" s="480"/>
      <c r="W44" s="481"/>
      <c r="X44" s="482"/>
      <c r="Y44" s="482"/>
      <c r="Z44" s="137"/>
      <c r="AA44" s="482"/>
      <c r="AB44" s="482"/>
      <c r="AC44" s="483"/>
      <c r="AD44" s="484">
        <f>AU19</f>
        <v>0</v>
      </c>
      <c r="AE44" s="480"/>
      <c r="AF44" s="480"/>
      <c r="AG44" s="480"/>
      <c r="AH44" s="480"/>
      <c r="AI44" s="485"/>
      <c r="AK44" s="446" t="s">
        <v>685</v>
      </c>
      <c r="AL44" s="446"/>
      <c r="AM44" s="446"/>
      <c r="AN44" s="446"/>
      <c r="AO44" s="446"/>
      <c r="AP44" s="446"/>
      <c r="AQ44" s="42"/>
      <c r="AR44" s="43"/>
      <c r="BC44" s="50"/>
      <c r="BD44" s="51"/>
    </row>
    <row r="45" spans="1:80" ht="18" customHeight="1" thickBot="1">
      <c r="A45" s="27"/>
      <c r="B45" s="27"/>
      <c r="C45" s="27"/>
      <c r="D45" s="27"/>
      <c r="E45" s="27"/>
      <c r="F45" s="27"/>
      <c r="G45" s="27"/>
      <c r="H45" s="27"/>
      <c r="I45" s="27"/>
      <c r="R45" s="307">
        <f>A7</f>
        <v>46192</v>
      </c>
      <c r="S45" s="308"/>
      <c r="T45" s="308"/>
      <c r="U45" s="308"/>
      <c r="V45" s="23" t="s">
        <v>169</v>
      </c>
      <c r="W45" s="309">
        <f>G7</f>
        <v>46192</v>
      </c>
      <c r="X45" s="308"/>
      <c r="Y45" s="23" t="s">
        <v>170</v>
      </c>
      <c r="Z45" s="310">
        <f>K7</f>
        <v>46192</v>
      </c>
      <c r="AA45" s="308"/>
      <c r="AB45" s="23" t="s">
        <v>3</v>
      </c>
      <c r="AC45" s="455">
        <f>O7</f>
        <v>46192</v>
      </c>
      <c r="AD45" s="308"/>
      <c r="AE45" s="308" t="s">
        <v>292</v>
      </c>
      <c r="AF45" s="308"/>
      <c r="AK45" s="425" t="s">
        <v>686</v>
      </c>
      <c r="AL45" s="425"/>
      <c r="AM45" s="425"/>
      <c r="AN45" s="425"/>
      <c r="AO45" s="425"/>
      <c r="AP45" s="425"/>
      <c r="AQ45" s="42"/>
      <c r="AR45" s="43"/>
      <c r="BC45" s="50"/>
      <c r="BD45" s="51"/>
    </row>
    <row r="46" spans="1:80" customFormat="1" ht="18" customHeight="1">
      <c r="A46" s="452" t="s">
        <v>598</v>
      </c>
      <c r="B46" s="453"/>
      <c r="C46" s="453"/>
      <c r="D46" s="453"/>
      <c r="E46" s="453"/>
      <c r="F46" s="453"/>
      <c r="G46" s="453"/>
      <c r="H46" s="453"/>
      <c r="I46" s="453"/>
      <c r="J46" s="453"/>
      <c r="K46" s="453"/>
      <c r="L46" s="453"/>
      <c r="M46" s="453"/>
      <c r="N46" s="453"/>
      <c r="O46" s="453"/>
      <c r="P46" s="453"/>
      <c r="Q46" s="453"/>
      <c r="R46" s="453"/>
      <c r="S46" s="453"/>
      <c r="T46" s="453"/>
      <c r="U46" s="453"/>
      <c r="V46" s="453"/>
      <c r="W46" s="453"/>
      <c r="X46" s="453"/>
      <c r="Y46" s="453"/>
      <c r="Z46" s="453"/>
      <c r="AA46" s="453"/>
      <c r="AB46" s="453"/>
      <c r="AC46" s="453"/>
      <c r="AD46" s="453"/>
      <c r="AE46" s="453"/>
      <c r="AF46" s="453"/>
      <c r="AG46" s="453"/>
      <c r="AH46" s="453"/>
      <c r="AI46" s="454"/>
      <c r="AK46" s="425" t="s">
        <v>687</v>
      </c>
      <c r="AL46" s="425"/>
      <c r="AM46" s="425"/>
      <c r="AN46" s="425"/>
      <c r="AO46" s="425"/>
      <c r="AP46" s="425"/>
      <c r="AQ46" s="42"/>
      <c r="AR46" s="43"/>
      <c r="AW46" s="23"/>
      <c r="AX46" s="23"/>
      <c r="AY46" s="23"/>
      <c r="AZ46" s="23"/>
      <c r="BA46" s="23"/>
      <c r="BB46" s="23"/>
      <c r="BC46" s="50"/>
      <c r="BD46" s="51"/>
      <c r="BE46" s="23"/>
      <c r="BF46" s="23"/>
      <c r="BG46" s="23"/>
      <c r="BH46" s="23"/>
      <c r="BI46" s="23"/>
      <c r="BJ46" s="23"/>
      <c r="BK46" s="23"/>
      <c r="BL46" s="23"/>
      <c r="BM46" s="23"/>
      <c r="BN46" s="23"/>
      <c r="BO46" s="23"/>
      <c r="BP46" s="23"/>
      <c r="BQ46" s="23"/>
      <c r="BR46" s="23"/>
      <c r="BS46" s="23"/>
      <c r="BT46" s="23"/>
      <c r="BU46" s="23"/>
      <c r="BV46" s="23"/>
      <c r="BW46" s="23"/>
      <c r="BX46" s="23"/>
      <c r="BY46" s="23"/>
      <c r="BZ46" s="23"/>
      <c r="CA46" s="23"/>
      <c r="CB46" s="23"/>
    </row>
    <row r="47" spans="1:80" ht="18" customHeight="1">
      <c r="A47" s="36" t="s">
        <v>189</v>
      </c>
      <c r="B47" s="404">
        <v>0.95902777777777781</v>
      </c>
      <c r="C47" s="404"/>
      <c r="D47" s="404"/>
      <c r="E47" s="404"/>
      <c r="F47" s="288" t="s">
        <v>886</v>
      </c>
      <c r="G47" s="288"/>
      <c r="H47" s="288"/>
      <c r="I47" s="288"/>
      <c r="J47" s="288"/>
      <c r="K47" s="288"/>
      <c r="L47" s="288"/>
      <c r="M47" s="288"/>
      <c r="N47" s="288"/>
      <c r="O47" s="288"/>
      <c r="P47" s="288"/>
      <c r="Q47" s="288"/>
      <c r="R47" s="288"/>
      <c r="S47" s="288"/>
      <c r="T47" s="288"/>
      <c r="U47" s="288"/>
      <c r="V47" s="288"/>
      <c r="W47" s="288"/>
      <c r="X47" s="288"/>
      <c r="Y47" s="288"/>
      <c r="Z47" s="288"/>
      <c r="AA47" s="288"/>
      <c r="AB47" s="288"/>
      <c r="AC47" s="288"/>
      <c r="AD47" s="288"/>
      <c r="AE47" s="288"/>
      <c r="AF47" s="288"/>
      <c r="AG47" s="288"/>
      <c r="AH47" s="288"/>
      <c r="AI47" s="289"/>
      <c r="AK47" s="425" t="s">
        <v>688</v>
      </c>
      <c r="AL47" s="425"/>
      <c r="AM47" s="425"/>
      <c r="AN47" s="425"/>
      <c r="AO47" s="425"/>
      <c r="AP47" s="425"/>
      <c r="AQ47" s="42"/>
      <c r="AR47" s="43"/>
      <c r="AS47" s="120" t="s">
        <v>189</v>
      </c>
      <c r="AT47" s="43" t="s">
        <v>728</v>
      </c>
      <c r="AU47" s="43"/>
      <c r="BC47" s="50"/>
      <c r="BD47" s="51"/>
    </row>
    <row r="48" spans="1:80" ht="18" customHeight="1">
      <c r="A48" s="36"/>
      <c r="B48" s="404"/>
      <c r="C48" s="404"/>
      <c r="D48" s="404"/>
      <c r="E48" s="404"/>
      <c r="F48" s="288" t="s">
        <v>887</v>
      </c>
      <c r="G48" s="288"/>
      <c r="H48" s="288"/>
      <c r="I48" s="288"/>
      <c r="J48" s="288"/>
      <c r="K48" s="288"/>
      <c r="L48" s="288"/>
      <c r="M48" s="288"/>
      <c r="N48" s="288"/>
      <c r="O48" s="288"/>
      <c r="P48" s="288"/>
      <c r="Q48" s="288"/>
      <c r="R48" s="288"/>
      <c r="S48" s="288"/>
      <c r="T48" s="288"/>
      <c r="U48" s="288"/>
      <c r="V48" s="288"/>
      <c r="W48" s="288"/>
      <c r="X48" s="288"/>
      <c r="Y48" s="288"/>
      <c r="Z48" s="288"/>
      <c r="AA48" s="288"/>
      <c r="AB48" s="288"/>
      <c r="AC48" s="288"/>
      <c r="AD48" s="288"/>
      <c r="AE48" s="288"/>
      <c r="AF48" s="288"/>
      <c r="AG48" s="288"/>
      <c r="AH48" s="288"/>
      <c r="AI48" s="289"/>
      <c r="AK48" s="425" t="s">
        <v>690</v>
      </c>
      <c r="AL48" s="425"/>
      <c r="AM48" s="425"/>
      <c r="AN48" s="425"/>
      <c r="AO48" s="425"/>
      <c r="AP48" s="425"/>
      <c r="AQ48" s="42"/>
      <c r="AR48" s="43"/>
      <c r="AS48" s="43"/>
      <c r="AT48" s="43"/>
      <c r="AU48" s="43"/>
      <c r="BC48" s="50"/>
      <c r="BD48" s="51"/>
    </row>
    <row r="49" spans="1:61" ht="18" customHeight="1">
      <c r="A49" s="36"/>
      <c r="B49" s="404"/>
      <c r="C49" s="404"/>
      <c r="D49" s="404"/>
      <c r="E49" s="404"/>
      <c r="F49" s="288" t="s">
        <v>888</v>
      </c>
      <c r="G49" s="288"/>
      <c r="H49" s="288"/>
      <c r="I49" s="288"/>
      <c r="J49" s="288"/>
      <c r="K49" s="288"/>
      <c r="L49" s="288"/>
      <c r="M49" s="288"/>
      <c r="N49" s="288"/>
      <c r="O49" s="288"/>
      <c r="P49" s="288"/>
      <c r="Q49" s="288"/>
      <c r="R49" s="288"/>
      <c r="S49" s="288"/>
      <c r="T49" s="288"/>
      <c r="U49" s="288"/>
      <c r="V49" s="288"/>
      <c r="W49" s="288"/>
      <c r="X49" s="288"/>
      <c r="Y49" s="288"/>
      <c r="Z49" s="288"/>
      <c r="AA49" s="288"/>
      <c r="AB49" s="288"/>
      <c r="AC49" s="288"/>
      <c r="AD49" s="288"/>
      <c r="AE49" s="288"/>
      <c r="AF49" s="288"/>
      <c r="AG49" s="288"/>
      <c r="AH49" s="288"/>
      <c r="AI49" s="289"/>
      <c r="AK49" s="425" t="s">
        <v>691</v>
      </c>
      <c r="AL49" s="425"/>
      <c r="AM49" s="425"/>
      <c r="AN49" s="425"/>
      <c r="AO49" s="425"/>
      <c r="AP49" s="425"/>
      <c r="AQ49" s="42"/>
      <c r="AR49" s="43"/>
      <c r="AS49" s="43"/>
      <c r="AT49" s="43"/>
      <c r="AU49" s="43"/>
      <c r="BC49" s="50"/>
      <c r="BD49" s="51"/>
    </row>
    <row r="50" spans="1:61" ht="18" customHeight="1">
      <c r="A50" s="36"/>
      <c r="B50" s="404">
        <v>0.99027777777777781</v>
      </c>
      <c r="C50" s="404"/>
      <c r="D50" s="404"/>
      <c r="E50" s="404"/>
      <c r="F50" s="288" t="s">
        <v>889</v>
      </c>
      <c r="G50" s="288"/>
      <c r="H50" s="288"/>
      <c r="I50" s="288"/>
      <c r="J50" s="288"/>
      <c r="K50" s="288"/>
      <c r="L50" s="288"/>
      <c r="M50" s="288"/>
      <c r="N50" s="288"/>
      <c r="O50" s="288"/>
      <c r="P50" s="288"/>
      <c r="Q50" s="288"/>
      <c r="R50" s="288"/>
      <c r="S50" s="288"/>
      <c r="T50" s="288"/>
      <c r="U50" s="288"/>
      <c r="V50" s="288"/>
      <c r="W50" s="288"/>
      <c r="X50" s="288"/>
      <c r="Y50" s="288"/>
      <c r="Z50" s="288"/>
      <c r="AA50" s="288"/>
      <c r="AB50" s="288"/>
      <c r="AC50" s="288"/>
      <c r="AD50" s="288"/>
      <c r="AE50" s="288"/>
      <c r="AF50" s="288"/>
      <c r="AG50" s="288"/>
      <c r="AH50" s="288"/>
      <c r="AI50" s="289"/>
      <c r="AK50" s="425" t="s">
        <v>692</v>
      </c>
      <c r="AL50" s="425"/>
      <c r="AM50" s="425"/>
      <c r="AN50" s="425"/>
      <c r="AO50" s="425"/>
      <c r="AP50" s="425"/>
      <c r="AQ50" s="42"/>
      <c r="AR50" s="43"/>
      <c r="AS50" s="43"/>
      <c r="AT50" s="43"/>
      <c r="AU50" s="43"/>
      <c r="BC50" s="50"/>
      <c r="BD50" s="51"/>
    </row>
    <row r="51" spans="1:61" ht="18" customHeight="1">
      <c r="A51" s="36"/>
      <c r="B51" s="404"/>
      <c r="C51" s="404"/>
      <c r="D51" s="404"/>
      <c r="E51" s="404"/>
      <c r="F51" s="288" t="s">
        <v>890</v>
      </c>
      <c r="G51" s="288"/>
      <c r="H51" s="288"/>
      <c r="I51" s="288"/>
      <c r="J51" s="288"/>
      <c r="K51" s="288"/>
      <c r="L51" s="288"/>
      <c r="M51" s="288"/>
      <c r="N51" s="288"/>
      <c r="O51" s="288"/>
      <c r="P51" s="288"/>
      <c r="Q51" s="288"/>
      <c r="R51" s="288"/>
      <c r="S51" s="288"/>
      <c r="T51" s="288"/>
      <c r="U51" s="288"/>
      <c r="V51" s="288"/>
      <c r="W51" s="288"/>
      <c r="X51" s="288"/>
      <c r="Y51" s="288"/>
      <c r="Z51" s="288"/>
      <c r="AA51" s="288"/>
      <c r="AB51" s="288"/>
      <c r="AC51" s="288"/>
      <c r="AD51" s="288"/>
      <c r="AE51" s="288"/>
      <c r="AF51" s="288"/>
      <c r="AG51" s="288"/>
      <c r="AH51" s="288"/>
      <c r="AI51" s="289"/>
      <c r="AK51" s="425" t="s">
        <v>693</v>
      </c>
      <c r="AL51" s="425"/>
      <c r="AM51" s="425"/>
      <c r="AN51" s="425"/>
      <c r="AO51" s="425"/>
      <c r="AP51" s="425"/>
      <c r="AQ51" s="42"/>
      <c r="AR51" s="43"/>
      <c r="AS51" s="43"/>
      <c r="AT51" s="43"/>
      <c r="AU51" s="43"/>
      <c r="BC51" s="50"/>
      <c r="BD51" s="51"/>
    </row>
    <row r="52" spans="1:61" ht="18" customHeight="1">
      <c r="A52" s="36"/>
      <c r="B52" s="404"/>
      <c r="C52" s="404"/>
      <c r="D52" s="404"/>
      <c r="E52" s="404"/>
      <c r="F52" s="288"/>
      <c r="G52" s="288"/>
      <c r="H52" s="288"/>
      <c r="I52" s="288"/>
      <c r="J52" s="288"/>
      <c r="K52" s="288"/>
      <c r="L52" s="288"/>
      <c r="M52" s="288"/>
      <c r="N52" s="288"/>
      <c r="O52" s="288"/>
      <c r="P52" s="288"/>
      <c r="Q52" s="288"/>
      <c r="R52" s="288"/>
      <c r="S52" s="288"/>
      <c r="T52" s="288"/>
      <c r="U52" s="288"/>
      <c r="V52" s="288"/>
      <c r="W52" s="288"/>
      <c r="X52" s="288"/>
      <c r="Y52" s="288"/>
      <c r="Z52" s="288"/>
      <c r="AA52" s="288"/>
      <c r="AB52" s="288"/>
      <c r="AC52" s="288"/>
      <c r="AD52" s="288"/>
      <c r="AE52" s="288"/>
      <c r="AF52" s="288"/>
      <c r="AG52" s="288"/>
      <c r="AH52" s="288"/>
      <c r="AI52" s="289"/>
      <c r="AK52" s="425" t="s">
        <v>694</v>
      </c>
      <c r="AL52" s="425"/>
      <c r="AM52" s="425"/>
      <c r="AN52" s="425"/>
      <c r="AO52" s="425"/>
      <c r="AP52" s="425"/>
      <c r="AQ52" s="42"/>
      <c r="AR52" s="43"/>
      <c r="AS52" s="43"/>
      <c r="AV52" s="43"/>
      <c r="AW52" s="43"/>
      <c r="AX52" s="43"/>
      <c r="AY52" s="43"/>
      <c r="AZ52" s="43"/>
      <c r="BA52" s="43"/>
      <c r="BH52" s="52"/>
      <c r="BI52" s="51"/>
    </row>
    <row r="53" spans="1:61" ht="18" customHeight="1">
      <c r="A53" s="36"/>
      <c r="B53" s="404"/>
      <c r="C53" s="404"/>
      <c r="D53" s="404"/>
      <c r="E53" s="404"/>
      <c r="F53" s="288"/>
      <c r="G53" s="288"/>
      <c r="H53" s="288"/>
      <c r="I53" s="288"/>
      <c r="J53" s="288"/>
      <c r="K53" s="288"/>
      <c r="L53" s="288"/>
      <c r="M53" s="288"/>
      <c r="N53" s="288"/>
      <c r="O53" s="288"/>
      <c r="P53" s="288"/>
      <c r="Q53" s="288"/>
      <c r="R53" s="288"/>
      <c r="S53" s="288"/>
      <c r="T53" s="288"/>
      <c r="U53" s="288"/>
      <c r="V53" s="288"/>
      <c r="W53" s="288"/>
      <c r="X53" s="288"/>
      <c r="Y53" s="288"/>
      <c r="Z53" s="288"/>
      <c r="AA53" s="288"/>
      <c r="AB53" s="288"/>
      <c r="AC53" s="288"/>
      <c r="AD53" s="288"/>
      <c r="AE53" s="288"/>
      <c r="AF53" s="288"/>
      <c r="AG53" s="288"/>
      <c r="AH53" s="288"/>
      <c r="AI53" s="289"/>
      <c r="AK53" s="425" t="s">
        <v>695</v>
      </c>
      <c r="AL53" s="425"/>
      <c r="AM53" s="425"/>
      <c r="AN53" s="425"/>
      <c r="AO53" s="425"/>
      <c r="AP53" s="425"/>
      <c r="AQ53" s="42"/>
      <c r="AR53" s="43"/>
      <c r="AS53" s="43"/>
      <c r="AT53" s="43"/>
      <c r="AU53" s="43"/>
      <c r="AV53" s="43"/>
      <c r="AW53" s="43"/>
      <c r="AX53" s="43"/>
      <c r="AY53" s="43"/>
      <c r="AZ53" s="43"/>
      <c r="BH53" s="50"/>
      <c r="BI53" s="51"/>
    </row>
    <row r="54" spans="1:61" ht="18" customHeight="1">
      <c r="A54" s="36" t="s">
        <v>189</v>
      </c>
      <c r="B54" s="404">
        <v>0.89166666666666672</v>
      </c>
      <c r="C54" s="404"/>
      <c r="D54" s="404"/>
      <c r="E54" s="404"/>
      <c r="F54" s="288" t="s">
        <v>862</v>
      </c>
      <c r="G54" s="288"/>
      <c r="H54" s="288"/>
      <c r="I54" s="288"/>
      <c r="J54" s="288"/>
      <c r="K54" s="288"/>
      <c r="L54" s="288"/>
      <c r="M54" s="288"/>
      <c r="N54" s="288"/>
      <c r="O54" s="288"/>
      <c r="P54" s="288"/>
      <c r="Q54" s="288"/>
      <c r="R54" s="288"/>
      <c r="S54" s="288"/>
      <c r="T54" s="288"/>
      <c r="U54" s="288"/>
      <c r="V54" s="288"/>
      <c r="W54" s="288"/>
      <c r="X54" s="288"/>
      <c r="Y54" s="288"/>
      <c r="Z54" s="288"/>
      <c r="AA54" s="288"/>
      <c r="AB54" s="288"/>
      <c r="AC54" s="288"/>
      <c r="AD54" s="288"/>
      <c r="AE54" s="288"/>
      <c r="AF54" s="288"/>
      <c r="AG54" s="288"/>
      <c r="AH54" s="288"/>
      <c r="AI54" s="289"/>
      <c r="AK54" s="425" t="s">
        <v>696</v>
      </c>
      <c r="AL54" s="425"/>
      <c r="AM54" s="425"/>
      <c r="AN54" s="425"/>
      <c r="AO54" s="425"/>
      <c r="AP54" s="425"/>
      <c r="AQ54" s="42"/>
      <c r="AR54" s="43"/>
      <c r="AS54" s="43"/>
      <c r="AT54" s="43"/>
      <c r="AU54" s="43"/>
      <c r="AV54" s="43"/>
      <c r="AW54" s="43"/>
      <c r="AX54" s="43"/>
      <c r="AY54" s="43"/>
      <c r="AZ54" s="43"/>
      <c r="BH54" s="50"/>
      <c r="BI54" s="51"/>
    </row>
    <row r="55" spans="1:61" ht="18" customHeight="1">
      <c r="A55" s="36"/>
      <c r="B55" s="404"/>
      <c r="C55" s="404"/>
      <c r="D55" s="404"/>
      <c r="E55" s="404"/>
      <c r="F55" s="288"/>
      <c r="G55" s="288"/>
      <c r="H55" s="288"/>
      <c r="I55" s="288"/>
      <c r="J55" s="288"/>
      <c r="K55" s="288"/>
      <c r="L55" s="288"/>
      <c r="M55" s="288"/>
      <c r="N55" s="288"/>
      <c r="O55" s="288"/>
      <c r="P55" s="288"/>
      <c r="Q55" s="288"/>
      <c r="R55" s="288"/>
      <c r="S55" s="288"/>
      <c r="T55" s="288"/>
      <c r="U55" s="288"/>
      <c r="V55" s="288"/>
      <c r="W55" s="288"/>
      <c r="X55" s="288"/>
      <c r="Y55" s="288"/>
      <c r="Z55" s="288"/>
      <c r="AA55" s="288"/>
      <c r="AB55" s="288"/>
      <c r="AC55" s="288"/>
      <c r="AD55" s="288"/>
      <c r="AE55" s="288"/>
      <c r="AF55" s="288"/>
      <c r="AG55" s="288"/>
      <c r="AH55" s="288"/>
      <c r="AI55" s="289"/>
      <c r="AK55" s="425" t="s">
        <v>697</v>
      </c>
      <c r="AL55" s="425"/>
      <c r="AM55" s="425"/>
      <c r="AN55" s="425"/>
      <c r="AO55" s="425"/>
      <c r="AP55" s="425"/>
      <c r="AQ55" s="42"/>
      <c r="AR55" s="43"/>
      <c r="AS55" s="43"/>
      <c r="AT55" s="43"/>
      <c r="AU55" s="43"/>
      <c r="AV55" s="43"/>
      <c r="AW55" s="43"/>
      <c r="AX55" s="43"/>
      <c r="AY55" s="43"/>
      <c r="AZ55" s="43"/>
      <c r="BH55" s="50"/>
      <c r="BI55" s="51"/>
    </row>
    <row r="56" spans="1:61" ht="18" customHeight="1">
      <c r="A56" s="36" t="s">
        <v>189</v>
      </c>
      <c r="B56" s="404">
        <v>0.92708333333333337</v>
      </c>
      <c r="C56" s="404"/>
      <c r="D56" s="404"/>
      <c r="E56" s="404"/>
      <c r="F56" s="288" t="s">
        <v>891</v>
      </c>
      <c r="G56" s="288"/>
      <c r="H56" s="288"/>
      <c r="I56" s="288"/>
      <c r="J56" s="288"/>
      <c r="K56" s="288"/>
      <c r="L56" s="288"/>
      <c r="M56" s="288"/>
      <c r="N56" s="288"/>
      <c r="O56" s="288"/>
      <c r="P56" s="288"/>
      <c r="Q56" s="288"/>
      <c r="R56" s="288"/>
      <c r="S56" s="288"/>
      <c r="T56" s="288"/>
      <c r="U56" s="288"/>
      <c r="V56" s="288"/>
      <c r="W56" s="288"/>
      <c r="X56" s="288"/>
      <c r="Y56" s="288"/>
      <c r="Z56" s="288"/>
      <c r="AA56" s="288"/>
      <c r="AB56" s="288"/>
      <c r="AC56" s="288"/>
      <c r="AD56" s="288"/>
      <c r="AE56" s="288"/>
      <c r="AF56" s="288"/>
      <c r="AG56" s="288"/>
      <c r="AH56" s="288"/>
      <c r="AI56" s="289"/>
      <c r="AK56" s="425" t="s">
        <v>698</v>
      </c>
      <c r="AL56" s="425"/>
      <c r="AM56" s="425"/>
      <c r="AN56" s="425"/>
      <c r="AO56" s="425"/>
      <c r="AP56" s="425"/>
      <c r="AQ56" s="42"/>
      <c r="AR56" s="43"/>
      <c r="AS56" s="43"/>
      <c r="AT56" s="43"/>
      <c r="AU56" s="43"/>
      <c r="AV56" s="43"/>
      <c r="AW56" s="43"/>
      <c r="AX56" s="43"/>
      <c r="AY56" s="43"/>
      <c r="AZ56" s="43"/>
      <c r="BH56" s="52"/>
      <c r="BI56" s="51"/>
    </row>
    <row r="57" spans="1:61" ht="18" customHeight="1">
      <c r="A57" s="36"/>
      <c r="B57" s="404"/>
      <c r="C57" s="404"/>
      <c r="D57" s="404"/>
      <c r="E57" s="404"/>
      <c r="F57" s="288" t="s">
        <v>892</v>
      </c>
      <c r="G57" s="288"/>
      <c r="H57" s="288"/>
      <c r="I57" s="288"/>
      <c r="J57" s="288"/>
      <c r="K57" s="288"/>
      <c r="L57" s="288"/>
      <c r="M57" s="288"/>
      <c r="N57" s="288"/>
      <c r="O57" s="288"/>
      <c r="P57" s="288"/>
      <c r="Q57" s="288"/>
      <c r="R57" s="288"/>
      <c r="S57" s="288"/>
      <c r="T57" s="288"/>
      <c r="U57" s="288"/>
      <c r="V57" s="288"/>
      <c r="W57" s="288"/>
      <c r="X57" s="288"/>
      <c r="Y57" s="288"/>
      <c r="Z57" s="288"/>
      <c r="AA57" s="288"/>
      <c r="AB57" s="288"/>
      <c r="AC57" s="288"/>
      <c r="AD57" s="288"/>
      <c r="AE57" s="288"/>
      <c r="AF57" s="288"/>
      <c r="AG57" s="288"/>
      <c r="AH57" s="288"/>
      <c r="AI57" s="289"/>
      <c r="AK57" s="425" t="s">
        <v>699</v>
      </c>
      <c r="AL57" s="425"/>
      <c r="AM57" s="425"/>
      <c r="AN57" s="425"/>
      <c r="AO57" s="425"/>
      <c r="AP57" s="425"/>
      <c r="AQ57" s="42"/>
      <c r="AR57" s="43"/>
      <c r="AS57" s="43"/>
      <c r="AT57" s="43"/>
      <c r="AU57" s="43"/>
      <c r="AV57" s="43"/>
      <c r="AW57" s="43"/>
      <c r="AX57" s="43"/>
      <c r="AY57" s="43"/>
      <c r="AZ57" s="43"/>
      <c r="BH57" s="50"/>
      <c r="BI57" s="51"/>
    </row>
    <row r="58" spans="1:61" ht="18" customHeight="1">
      <c r="A58" s="36"/>
      <c r="B58" s="404"/>
      <c r="C58" s="404"/>
      <c r="D58" s="404"/>
      <c r="E58" s="404"/>
      <c r="F58" s="288" t="s">
        <v>893</v>
      </c>
      <c r="G58" s="288"/>
      <c r="H58" s="288"/>
      <c r="I58" s="288"/>
      <c r="J58" s="288"/>
      <c r="K58" s="288"/>
      <c r="L58" s="288"/>
      <c r="M58" s="288"/>
      <c r="N58" s="288"/>
      <c r="O58" s="288"/>
      <c r="P58" s="288"/>
      <c r="Q58" s="288"/>
      <c r="R58" s="288"/>
      <c r="S58" s="288"/>
      <c r="T58" s="288"/>
      <c r="U58" s="288"/>
      <c r="V58" s="288"/>
      <c r="W58" s="288"/>
      <c r="X58" s="288"/>
      <c r="Y58" s="288"/>
      <c r="Z58" s="288"/>
      <c r="AA58" s="288"/>
      <c r="AB58" s="288"/>
      <c r="AC58" s="288"/>
      <c r="AD58" s="288"/>
      <c r="AE58" s="288"/>
      <c r="AF58" s="288"/>
      <c r="AG58" s="288"/>
      <c r="AH58" s="288"/>
      <c r="AI58" s="289"/>
      <c r="AK58" s="425" t="s">
        <v>700</v>
      </c>
      <c r="AL58" s="425"/>
      <c r="AM58" s="425"/>
      <c r="AN58" s="425"/>
      <c r="AO58" s="425"/>
      <c r="AP58" s="425"/>
      <c r="AQ58" s="42"/>
      <c r="AR58" s="43"/>
      <c r="AS58" s="43"/>
      <c r="AT58" s="43"/>
      <c r="AU58" s="43"/>
      <c r="AV58" s="43"/>
      <c r="AW58" s="43"/>
      <c r="AX58" s="43"/>
      <c r="AY58" s="43"/>
      <c r="AZ58" s="43"/>
      <c r="BH58" s="50"/>
      <c r="BI58" s="51"/>
    </row>
    <row r="59" spans="1:61" ht="18" customHeight="1">
      <c r="A59" s="36"/>
      <c r="B59" s="404">
        <v>0.92777777777777781</v>
      </c>
      <c r="C59" s="404"/>
      <c r="D59" s="404"/>
      <c r="E59" s="404"/>
      <c r="F59" s="288" t="s">
        <v>894</v>
      </c>
      <c r="G59" s="288"/>
      <c r="H59" s="288"/>
      <c r="I59" s="288"/>
      <c r="J59" s="288"/>
      <c r="K59" s="288"/>
      <c r="L59" s="288"/>
      <c r="M59" s="288"/>
      <c r="N59" s="288"/>
      <c r="O59" s="288"/>
      <c r="P59" s="288"/>
      <c r="Q59" s="288"/>
      <c r="R59" s="288"/>
      <c r="S59" s="288"/>
      <c r="T59" s="288"/>
      <c r="U59" s="288"/>
      <c r="V59" s="288"/>
      <c r="W59" s="288"/>
      <c r="X59" s="288"/>
      <c r="Y59" s="288"/>
      <c r="Z59" s="288"/>
      <c r="AA59" s="288"/>
      <c r="AB59" s="288"/>
      <c r="AC59" s="288"/>
      <c r="AD59" s="288"/>
      <c r="AE59" s="288"/>
      <c r="AF59" s="288"/>
      <c r="AG59" s="288"/>
      <c r="AH59" s="288"/>
      <c r="AI59" s="289"/>
      <c r="AK59" s="425" t="s">
        <v>701</v>
      </c>
      <c r="AL59" s="425"/>
      <c r="AM59" s="425"/>
      <c r="AN59" s="425"/>
      <c r="AO59" s="425"/>
      <c r="AP59" s="425"/>
      <c r="AQ59" s="42"/>
      <c r="AR59" s="43"/>
      <c r="AS59" s="43"/>
      <c r="AT59" s="43"/>
      <c r="AU59" s="43"/>
      <c r="AV59" s="43"/>
      <c r="AW59" s="43"/>
      <c r="AX59" s="43"/>
      <c r="AY59" s="43"/>
      <c r="AZ59" s="43"/>
      <c r="BH59" s="50"/>
      <c r="BI59" s="51"/>
    </row>
    <row r="60" spans="1:61" ht="18" customHeight="1">
      <c r="A60" s="36"/>
      <c r="B60" s="404"/>
      <c r="C60" s="404"/>
      <c r="D60" s="404"/>
      <c r="E60" s="404"/>
      <c r="F60" s="288" t="s">
        <v>895</v>
      </c>
      <c r="G60" s="288"/>
      <c r="H60" s="288"/>
      <c r="I60" s="288"/>
      <c r="J60" s="288"/>
      <c r="K60" s="288"/>
      <c r="L60" s="288"/>
      <c r="M60" s="288"/>
      <c r="N60" s="288"/>
      <c r="O60" s="288"/>
      <c r="P60" s="288"/>
      <c r="Q60" s="288"/>
      <c r="R60" s="288"/>
      <c r="S60" s="288"/>
      <c r="T60" s="288"/>
      <c r="U60" s="288"/>
      <c r="V60" s="288"/>
      <c r="W60" s="288"/>
      <c r="X60" s="288"/>
      <c r="Y60" s="288"/>
      <c r="Z60" s="288"/>
      <c r="AA60" s="288"/>
      <c r="AB60" s="288"/>
      <c r="AC60" s="288"/>
      <c r="AD60" s="288"/>
      <c r="AE60" s="288"/>
      <c r="AF60" s="288"/>
      <c r="AG60" s="288"/>
      <c r="AH60" s="288"/>
      <c r="AI60" s="289"/>
      <c r="AK60" s="425" t="s">
        <v>702</v>
      </c>
      <c r="AL60" s="425"/>
      <c r="AM60" s="425"/>
      <c r="AN60" s="425"/>
      <c r="AO60" s="425"/>
      <c r="AP60" s="425"/>
      <c r="AQ60" s="42"/>
      <c r="AR60" s="43"/>
      <c r="AS60" s="43"/>
      <c r="AT60" s="43"/>
      <c r="AU60" s="43"/>
      <c r="AV60" s="43"/>
      <c r="AW60" s="43"/>
      <c r="AX60" s="43"/>
      <c r="AY60" s="43"/>
      <c r="AZ60" s="43"/>
      <c r="BH60" s="52"/>
      <c r="BI60" s="51"/>
    </row>
    <row r="61" spans="1:61" ht="18" customHeight="1">
      <c r="A61" s="36"/>
      <c r="B61" s="404">
        <v>0.95138888888888884</v>
      </c>
      <c r="C61" s="404"/>
      <c r="D61" s="404"/>
      <c r="E61" s="404"/>
      <c r="F61" s="288" t="s">
        <v>896</v>
      </c>
      <c r="G61" s="288"/>
      <c r="H61" s="288"/>
      <c r="I61" s="288"/>
      <c r="J61" s="288"/>
      <c r="K61" s="288"/>
      <c r="L61" s="288"/>
      <c r="M61" s="288"/>
      <c r="N61" s="288"/>
      <c r="O61" s="288"/>
      <c r="P61" s="288"/>
      <c r="Q61" s="288"/>
      <c r="R61" s="288"/>
      <c r="S61" s="288"/>
      <c r="T61" s="288"/>
      <c r="U61" s="288"/>
      <c r="V61" s="288"/>
      <c r="W61" s="288"/>
      <c r="X61" s="288"/>
      <c r="Y61" s="288"/>
      <c r="Z61" s="288"/>
      <c r="AA61" s="288"/>
      <c r="AB61" s="288"/>
      <c r="AC61" s="288"/>
      <c r="AD61" s="288"/>
      <c r="AE61" s="288"/>
      <c r="AF61" s="288"/>
      <c r="AG61" s="288"/>
      <c r="AH61" s="288"/>
      <c r="AI61" s="289"/>
      <c r="AK61" s="425" t="s">
        <v>703</v>
      </c>
      <c r="AL61" s="425"/>
      <c r="AM61" s="425"/>
      <c r="AN61" s="425"/>
      <c r="AO61" s="425"/>
      <c r="AP61" s="425"/>
      <c r="AQ61" s="42"/>
      <c r="AR61" s="43"/>
      <c r="AS61" s="43"/>
      <c r="AT61" s="43"/>
      <c r="AU61" s="43"/>
      <c r="AV61" s="43"/>
      <c r="AW61" s="43"/>
      <c r="AX61" s="43"/>
      <c r="AY61" s="43"/>
      <c r="AZ61" s="43"/>
      <c r="BH61" s="50"/>
      <c r="BI61" s="51"/>
    </row>
    <row r="62" spans="1:61" ht="18" customHeight="1">
      <c r="A62" s="36"/>
      <c r="B62" s="404"/>
      <c r="C62" s="404"/>
      <c r="D62" s="404"/>
      <c r="E62" s="404"/>
      <c r="F62" s="288"/>
      <c r="G62" s="288"/>
      <c r="H62" s="288"/>
      <c r="I62" s="288"/>
      <c r="J62" s="288"/>
      <c r="K62" s="288"/>
      <c r="L62" s="288"/>
      <c r="M62" s="288"/>
      <c r="N62" s="288"/>
      <c r="O62" s="288"/>
      <c r="P62" s="288"/>
      <c r="Q62" s="288"/>
      <c r="R62" s="288"/>
      <c r="S62" s="288"/>
      <c r="T62" s="288"/>
      <c r="U62" s="288"/>
      <c r="V62" s="288"/>
      <c r="W62" s="288"/>
      <c r="X62" s="288"/>
      <c r="Y62" s="288"/>
      <c r="Z62" s="288"/>
      <c r="AA62" s="288"/>
      <c r="AB62" s="288"/>
      <c r="AC62" s="288"/>
      <c r="AD62" s="288"/>
      <c r="AE62" s="288"/>
      <c r="AF62" s="288"/>
      <c r="AG62" s="288"/>
      <c r="AH62" s="288"/>
      <c r="AI62" s="289"/>
      <c r="AK62" s="425"/>
      <c r="AL62" s="425"/>
      <c r="AM62" s="425"/>
      <c r="AN62" s="425"/>
      <c r="AO62" s="425"/>
      <c r="AP62" s="425"/>
      <c r="AQ62" s="42"/>
      <c r="AR62" s="43"/>
      <c r="AS62" s="43"/>
      <c r="AT62" s="43"/>
      <c r="AU62" s="43"/>
      <c r="AV62" s="43"/>
      <c r="AW62" s="43"/>
      <c r="AX62" s="43"/>
      <c r="AY62" s="43"/>
      <c r="AZ62" s="43"/>
      <c r="BH62" s="50"/>
      <c r="BI62" s="51"/>
    </row>
    <row r="63" spans="1:61" ht="18" customHeight="1">
      <c r="A63" s="36"/>
      <c r="B63" s="404">
        <v>0.95902777777777781</v>
      </c>
      <c r="C63" s="404"/>
      <c r="D63" s="404"/>
      <c r="E63" s="404"/>
      <c r="F63" s="288" t="s">
        <v>897</v>
      </c>
      <c r="G63" s="288"/>
      <c r="H63" s="288"/>
      <c r="I63" s="288"/>
      <c r="J63" s="288"/>
      <c r="K63" s="288"/>
      <c r="L63" s="288"/>
      <c r="M63" s="288"/>
      <c r="N63" s="288"/>
      <c r="O63" s="288"/>
      <c r="P63" s="288"/>
      <c r="Q63" s="288"/>
      <c r="R63" s="288"/>
      <c r="S63" s="288"/>
      <c r="T63" s="288"/>
      <c r="U63" s="288"/>
      <c r="V63" s="288"/>
      <c r="W63" s="288"/>
      <c r="X63" s="288"/>
      <c r="Y63" s="288"/>
      <c r="Z63" s="288"/>
      <c r="AA63" s="288"/>
      <c r="AB63" s="288"/>
      <c r="AC63" s="288"/>
      <c r="AD63" s="288"/>
      <c r="AE63" s="288"/>
      <c r="AF63" s="288"/>
      <c r="AG63" s="288"/>
      <c r="AH63" s="288"/>
      <c r="AI63" s="289"/>
      <c r="AK63" s="425"/>
      <c r="AL63" s="425"/>
      <c r="AM63" s="425"/>
      <c r="AN63" s="425"/>
      <c r="AO63" s="425"/>
      <c r="AP63" s="425"/>
      <c r="AQ63" s="42"/>
      <c r="AR63" s="43"/>
      <c r="AS63" s="43"/>
      <c r="AT63" s="43"/>
      <c r="AU63" s="43"/>
      <c r="AV63" s="43"/>
      <c r="AW63" s="43"/>
      <c r="AX63" s="43"/>
      <c r="AY63" s="43"/>
      <c r="AZ63" s="43"/>
      <c r="BH63" s="52"/>
      <c r="BI63" s="51"/>
    </row>
    <row r="64" spans="1:61" ht="18" customHeight="1">
      <c r="A64" s="36"/>
      <c r="B64" s="404"/>
      <c r="C64" s="404"/>
      <c r="D64" s="404"/>
      <c r="E64" s="404"/>
      <c r="F64" s="288" t="s">
        <v>898</v>
      </c>
      <c r="G64" s="288"/>
      <c r="H64" s="288"/>
      <c r="I64" s="288"/>
      <c r="J64" s="288"/>
      <c r="K64" s="288"/>
      <c r="L64" s="288"/>
      <c r="M64" s="288"/>
      <c r="N64" s="288"/>
      <c r="O64" s="288"/>
      <c r="P64" s="288"/>
      <c r="Q64" s="288"/>
      <c r="R64" s="288"/>
      <c r="S64" s="288"/>
      <c r="T64" s="288"/>
      <c r="U64" s="288"/>
      <c r="V64" s="288"/>
      <c r="W64" s="288"/>
      <c r="X64" s="288"/>
      <c r="Y64" s="288"/>
      <c r="Z64" s="288"/>
      <c r="AA64" s="288"/>
      <c r="AB64" s="288"/>
      <c r="AC64" s="288"/>
      <c r="AD64" s="288"/>
      <c r="AE64" s="288"/>
      <c r="AF64" s="288"/>
      <c r="AG64" s="288"/>
      <c r="AH64" s="288"/>
      <c r="AI64" s="289"/>
      <c r="AK64" s="425"/>
      <c r="AL64" s="425"/>
      <c r="AM64" s="425"/>
      <c r="AN64" s="425"/>
      <c r="AO64" s="425"/>
      <c r="AP64" s="425"/>
      <c r="AQ64" s="42"/>
      <c r="AR64" s="43"/>
      <c r="AS64" s="43"/>
      <c r="AT64" s="43"/>
      <c r="AU64" s="43"/>
      <c r="AV64" s="43"/>
      <c r="AW64" s="43"/>
      <c r="AX64" s="43"/>
      <c r="AY64" s="43"/>
      <c r="AZ64" s="43"/>
      <c r="BH64" s="52"/>
      <c r="BI64" s="51"/>
    </row>
    <row r="65" spans="1:61" ht="18" customHeight="1">
      <c r="A65" s="36"/>
      <c r="B65" s="404"/>
      <c r="C65" s="404"/>
      <c r="D65" s="404"/>
      <c r="E65" s="404"/>
      <c r="F65" s="288" t="s">
        <v>899</v>
      </c>
      <c r="G65" s="288"/>
      <c r="H65" s="288"/>
      <c r="I65" s="288"/>
      <c r="J65" s="288"/>
      <c r="K65" s="288"/>
      <c r="L65" s="288"/>
      <c r="M65" s="288"/>
      <c r="N65" s="288"/>
      <c r="O65" s="288"/>
      <c r="P65" s="288"/>
      <c r="Q65" s="288"/>
      <c r="R65" s="288"/>
      <c r="S65" s="288"/>
      <c r="T65" s="288"/>
      <c r="U65" s="288"/>
      <c r="V65" s="288"/>
      <c r="W65" s="288"/>
      <c r="X65" s="288"/>
      <c r="Y65" s="288"/>
      <c r="Z65" s="288"/>
      <c r="AA65" s="288"/>
      <c r="AB65" s="288"/>
      <c r="AC65" s="288"/>
      <c r="AD65" s="288"/>
      <c r="AE65" s="288"/>
      <c r="AF65" s="288"/>
      <c r="AG65" s="288"/>
      <c r="AH65" s="288"/>
      <c r="AI65" s="289"/>
      <c r="AK65" s="425"/>
      <c r="AL65" s="425"/>
      <c r="AM65" s="425"/>
      <c r="AN65" s="425"/>
      <c r="AO65" s="425"/>
      <c r="AP65" s="425"/>
      <c r="AQ65" s="42"/>
      <c r="AR65" s="43"/>
      <c r="AS65" s="43"/>
      <c r="AT65" s="43"/>
      <c r="AU65" s="43"/>
      <c r="AV65" s="43"/>
      <c r="AW65" s="43"/>
      <c r="AX65" s="43"/>
      <c r="AY65" s="43"/>
      <c r="AZ65" s="43"/>
      <c r="BH65" s="50"/>
      <c r="BI65" s="51"/>
    </row>
    <row r="66" spans="1:61" ht="18" customHeight="1">
      <c r="A66" s="36"/>
      <c r="B66" s="404"/>
      <c r="C66" s="404"/>
      <c r="D66" s="404"/>
      <c r="E66" s="404"/>
      <c r="F66" s="288"/>
      <c r="G66" s="288"/>
      <c r="H66" s="288"/>
      <c r="I66" s="288"/>
      <c r="J66" s="288"/>
      <c r="K66" s="288"/>
      <c r="L66" s="288"/>
      <c r="M66" s="288"/>
      <c r="N66" s="288"/>
      <c r="O66" s="288"/>
      <c r="P66" s="288"/>
      <c r="Q66" s="288"/>
      <c r="R66" s="288"/>
      <c r="S66" s="288"/>
      <c r="T66" s="288"/>
      <c r="U66" s="288"/>
      <c r="V66" s="288"/>
      <c r="W66" s="288"/>
      <c r="X66" s="288"/>
      <c r="Y66" s="288"/>
      <c r="Z66" s="288"/>
      <c r="AA66" s="288"/>
      <c r="AB66" s="288"/>
      <c r="AC66" s="288"/>
      <c r="AD66" s="288"/>
      <c r="AE66" s="288"/>
      <c r="AF66" s="288"/>
      <c r="AG66" s="288"/>
      <c r="AH66" s="288"/>
      <c r="AI66" s="289"/>
      <c r="AK66" s="425"/>
      <c r="AL66" s="425"/>
      <c r="AM66" s="425"/>
      <c r="AN66" s="425"/>
      <c r="AO66" s="425"/>
      <c r="AP66" s="425"/>
      <c r="AQ66" s="42"/>
      <c r="AR66" s="43"/>
      <c r="AS66" s="43"/>
      <c r="AT66" s="43"/>
      <c r="AU66" s="43"/>
      <c r="AV66" s="43"/>
      <c r="AW66" s="43"/>
      <c r="AX66" s="43"/>
      <c r="AY66" s="43"/>
      <c r="AZ66" s="43"/>
      <c r="BH66" s="50"/>
      <c r="BI66" s="51"/>
    </row>
    <row r="67" spans="1:61" ht="18" customHeight="1">
      <c r="A67" s="36"/>
      <c r="B67" s="404"/>
      <c r="C67" s="404"/>
      <c r="D67" s="404"/>
      <c r="E67" s="404"/>
      <c r="F67" s="288"/>
      <c r="G67" s="288"/>
      <c r="H67" s="288"/>
      <c r="I67" s="288"/>
      <c r="J67" s="288"/>
      <c r="K67" s="288"/>
      <c r="L67" s="288"/>
      <c r="M67" s="288"/>
      <c r="N67" s="288"/>
      <c r="O67" s="288"/>
      <c r="P67" s="288"/>
      <c r="Q67" s="288"/>
      <c r="R67" s="288"/>
      <c r="S67" s="288"/>
      <c r="T67" s="288"/>
      <c r="U67" s="288"/>
      <c r="V67" s="288"/>
      <c r="W67" s="288"/>
      <c r="X67" s="288"/>
      <c r="Y67" s="288"/>
      <c r="Z67" s="288"/>
      <c r="AA67" s="288"/>
      <c r="AB67" s="288"/>
      <c r="AC67" s="288"/>
      <c r="AD67" s="288"/>
      <c r="AE67" s="288"/>
      <c r="AF67" s="288"/>
      <c r="AG67" s="288"/>
      <c r="AH67" s="288"/>
      <c r="AI67" s="289"/>
      <c r="AK67" s="425"/>
      <c r="AL67" s="425"/>
      <c r="AM67" s="425"/>
      <c r="AN67" s="425"/>
      <c r="AO67" s="425"/>
      <c r="AP67" s="425"/>
      <c r="AQ67" s="67"/>
      <c r="AR67" s="43"/>
      <c r="AS67" s="43"/>
      <c r="AT67" s="43"/>
      <c r="AU67" s="43"/>
      <c r="AV67" s="43"/>
      <c r="AW67" s="43"/>
      <c r="AX67" s="43"/>
      <c r="AY67" s="43"/>
      <c r="AZ67" s="43"/>
      <c r="BH67" s="50"/>
      <c r="BI67" s="51"/>
    </row>
    <row r="68" spans="1:61" ht="18" customHeight="1">
      <c r="A68" s="36"/>
      <c r="B68" s="404"/>
      <c r="C68" s="404"/>
      <c r="D68" s="404"/>
      <c r="E68" s="404"/>
      <c r="F68" s="288"/>
      <c r="G68" s="288"/>
      <c r="H68" s="288"/>
      <c r="I68" s="288"/>
      <c r="J68" s="288"/>
      <c r="K68" s="288"/>
      <c r="L68" s="288"/>
      <c r="M68" s="288"/>
      <c r="N68" s="288"/>
      <c r="O68" s="288"/>
      <c r="P68" s="288"/>
      <c r="Q68" s="288"/>
      <c r="R68" s="288"/>
      <c r="S68" s="288"/>
      <c r="T68" s="288"/>
      <c r="U68" s="288"/>
      <c r="V68" s="288"/>
      <c r="W68" s="288"/>
      <c r="X68" s="288"/>
      <c r="Y68" s="288"/>
      <c r="Z68" s="288"/>
      <c r="AA68" s="288"/>
      <c r="AB68" s="288"/>
      <c r="AC68" s="288"/>
      <c r="AD68" s="288"/>
      <c r="AE68" s="288"/>
      <c r="AF68" s="288"/>
      <c r="AG68" s="288"/>
      <c r="AH68" s="288"/>
      <c r="AI68" s="289"/>
      <c r="AK68" s="425"/>
      <c r="AL68" s="425"/>
      <c r="AM68" s="425"/>
      <c r="AN68" s="425"/>
      <c r="AO68" s="425"/>
      <c r="AP68" s="425"/>
      <c r="AQ68" s="67"/>
      <c r="AR68" s="43"/>
      <c r="AS68" s="43"/>
      <c r="AT68" s="43"/>
      <c r="AU68" s="43"/>
      <c r="AV68" s="43"/>
      <c r="AW68" s="43"/>
      <c r="AX68" s="43"/>
      <c r="AY68" s="43"/>
      <c r="AZ68" s="43"/>
      <c r="BH68" s="50"/>
      <c r="BI68" s="51"/>
    </row>
    <row r="69" spans="1:61" ht="18" customHeight="1">
      <c r="A69" s="36"/>
      <c r="B69" s="404">
        <v>0.99027777777777781</v>
      </c>
      <c r="C69" s="404"/>
      <c r="D69" s="404"/>
      <c r="E69" s="404"/>
      <c r="F69" s="288" t="s">
        <v>900</v>
      </c>
      <c r="G69" s="288"/>
      <c r="H69" s="288"/>
      <c r="I69" s="288"/>
      <c r="J69" s="288"/>
      <c r="K69" s="288"/>
      <c r="L69" s="288"/>
      <c r="M69" s="288"/>
      <c r="N69" s="288"/>
      <c r="O69" s="288"/>
      <c r="P69" s="288"/>
      <c r="Q69" s="288"/>
      <c r="R69" s="288"/>
      <c r="S69" s="288"/>
      <c r="T69" s="288"/>
      <c r="U69" s="288"/>
      <c r="V69" s="288"/>
      <c r="W69" s="288"/>
      <c r="X69" s="288"/>
      <c r="Y69" s="288"/>
      <c r="Z69" s="288"/>
      <c r="AA69" s="288"/>
      <c r="AB69" s="288"/>
      <c r="AC69" s="288"/>
      <c r="AD69" s="288"/>
      <c r="AE69" s="288"/>
      <c r="AF69" s="288"/>
      <c r="AG69" s="288"/>
      <c r="AH69" s="288"/>
      <c r="AI69" s="289"/>
      <c r="AK69" s="425"/>
      <c r="AL69" s="425"/>
      <c r="AM69" s="425"/>
      <c r="AN69" s="425"/>
      <c r="AO69" s="425"/>
      <c r="AP69" s="425"/>
      <c r="AQ69" s="42"/>
      <c r="AR69" s="43"/>
      <c r="AS69" s="43"/>
      <c r="AT69" s="43"/>
      <c r="AU69" s="43"/>
      <c r="AV69" s="43"/>
      <c r="AW69" s="43"/>
      <c r="AX69" s="43"/>
      <c r="AY69" s="43"/>
      <c r="AZ69" s="43"/>
      <c r="BH69" s="50"/>
      <c r="BI69" s="51"/>
    </row>
    <row r="70" spans="1:61" ht="18" customHeight="1">
      <c r="A70" s="36"/>
      <c r="B70" s="404">
        <v>0.99444444444444446</v>
      </c>
      <c r="C70" s="404"/>
      <c r="D70" s="404"/>
      <c r="E70" s="404"/>
      <c r="F70" s="288" t="s">
        <v>901</v>
      </c>
      <c r="G70" s="288"/>
      <c r="H70" s="288"/>
      <c r="I70" s="288"/>
      <c r="J70" s="288"/>
      <c r="K70" s="288"/>
      <c r="L70" s="288"/>
      <c r="M70" s="288"/>
      <c r="N70" s="288"/>
      <c r="O70" s="288"/>
      <c r="P70" s="288"/>
      <c r="Q70" s="288"/>
      <c r="R70" s="288"/>
      <c r="S70" s="288"/>
      <c r="T70" s="288"/>
      <c r="U70" s="288"/>
      <c r="V70" s="288"/>
      <c r="W70" s="288"/>
      <c r="X70" s="288"/>
      <c r="Y70" s="288"/>
      <c r="Z70" s="288"/>
      <c r="AA70" s="288"/>
      <c r="AB70" s="288"/>
      <c r="AC70" s="288"/>
      <c r="AD70" s="288"/>
      <c r="AE70" s="288"/>
      <c r="AF70" s="288"/>
      <c r="AG70" s="288"/>
      <c r="AH70" s="288"/>
      <c r="AI70" s="289"/>
      <c r="AK70" s="425"/>
      <c r="AL70" s="425"/>
      <c r="AM70" s="425"/>
      <c r="AN70" s="425"/>
      <c r="AO70" s="425"/>
      <c r="AP70" s="425"/>
      <c r="AQ70" s="42"/>
      <c r="AR70" s="43"/>
      <c r="AS70" s="43"/>
      <c r="AT70" s="43"/>
      <c r="AU70" s="43"/>
      <c r="AV70" s="43"/>
      <c r="AW70" s="43"/>
      <c r="AX70" s="43"/>
      <c r="AY70" s="43"/>
      <c r="AZ70" s="43"/>
      <c r="BH70" s="50"/>
      <c r="BI70" s="51"/>
    </row>
    <row r="71" spans="1:61" ht="18" customHeight="1">
      <c r="A71" s="36"/>
      <c r="B71" s="404"/>
      <c r="C71" s="404"/>
      <c r="D71" s="404"/>
      <c r="E71" s="404"/>
      <c r="F71" s="288"/>
      <c r="G71" s="288"/>
      <c r="H71" s="288"/>
      <c r="I71" s="288"/>
      <c r="J71" s="288"/>
      <c r="K71" s="288"/>
      <c r="L71" s="288"/>
      <c r="M71" s="288"/>
      <c r="N71" s="288"/>
      <c r="O71" s="288"/>
      <c r="P71" s="288"/>
      <c r="Q71" s="288"/>
      <c r="R71" s="288"/>
      <c r="S71" s="288"/>
      <c r="T71" s="288"/>
      <c r="U71" s="288"/>
      <c r="V71" s="288"/>
      <c r="W71" s="288"/>
      <c r="X71" s="288"/>
      <c r="Y71" s="288"/>
      <c r="Z71" s="288"/>
      <c r="AA71" s="288"/>
      <c r="AB71" s="288"/>
      <c r="AC71" s="288"/>
      <c r="AD71" s="288"/>
      <c r="AE71" s="288"/>
      <c r="AF71" s="288"/>
      <c r="AG71" s="288"/>
      <c r="AH71" s="288"/>
      <c r="AI71" s="289"/>
      <c r="AK71" s="425"/>
      <c r="AL71" s="425"/>
      <c r="AM71" s="425"/>
      <c r="AN71" s="425"/>
      <c r="AO71" s="425"/>
      <c r="AP71" s="425"/>
      <c r="AQ71" s="42"/>
      <c r="AR71" s="43"/>
      <c r="AS71" s="43"/>
      <c r="AT71" s="43"/>
      <c r="AU71" s="43"/>
      <c r="AV71" s="43"/>
      <c r="AW71" s="43"/>
      <c r="AX71" s="43"/>
      <c r="AY71" s="43"/>
      <c r="AZ71" s="43"/>
      <c r="BH71" s="52"/>
      <c r="BI71" s="51"/>
    </row>
    <row r="72" spans="1:61" ht="18" customHeight="1">
      <c r="A72" s="36"/>
      <c r="B72" s="404">
        <v>2.7777777777777779E-3</v>
      </c>
      <c r="C72" s="404"/>
      <c r="D72" s="404"/>
      <c r="E72" s="404"/>
      <c r="F72" s="288" t="s">
        <v>902</v>
      </c>
      <c r="G72" s="288"/>
      <c r="H72" s="288"/>
      <c r="I72" s="288"/>
      <c r="J72" s="288"/>
      <c r="K72" s="288"/>
      <c r="L72" s="288"/>
      <c r="M72" s="288"/>
      <c r="N72" s="288"/>
      <c r="O72" s="288"/>
      <c r="P72" s="288"/>
      <c r="Q72" s="288"/>
      <c r="R72" s="288"/>
      <c r="S72" s="288"/>
      <c r="T72" s="288"/>
      <c r="U72" s="288"/>
      <c r="V72" s="288"/>
      <c r="W72" s="288"/>
      <c r="X72" s="288"/>
      <c r="Y72" s="288"/>
      <c r="Z72" s="288"/>
      <c r="AA72" s="288"/>
      <c r="AB72" s="288"/>
      <c r="AC72" s="288"/>
      <c r="AD72" s="288"/>
      <c r="AE72" s="288"/>
      <c r="AF72" s="288"/>
      <c r="AG72" s="288"/>
      <c r="AH72" s="288"/>
      <c r="AI72" s="289"/>
      <c r="AK72" s="425"/>
      <c r="AL72" s="425"/>
      <c r="AM72" s="425"/>
      <c r="AN72" s="425"/>
      <c r="AO72" s="425"/>
      <c r="AP72" s="425"/>
      <c r="AQ72" s="42"/>
      <c r="AR72" s="43"/>
      <c r="AS72" s="43"/>
      <c r="AT72" s="43"/>
      <c r="AU72" s="43"/>
      <c r="AV72" s="43"/>
      <c r="AW72" s="43"/>
      <c r="AX72" s="43"/>
      <c r="AY72" s="43"/>
      <c r="AZ72" s="43"/>
      <c r="BH72" s="53"/>
      <c r="BI72" s="51"/>
    </row>
    <row r="73" spans="1:61" ht="18" customHeight="1">
      <c r="A73" s="36"/>
      <c r="B73" s="404"/>
      <c r="C73" s="404"/>
      <c r="D73" s="404"/>
      <c r="E73" s="404"/>
      <c r="F73" s="288" t="s">
        <v>903</v>
      </c>
      <c r="G73" s="288"/>
      <c r="H73" s="288"/>
      <c r="I73" s="288"/>
      <c r="J73" s="288"/>
      <c r="K73" s="288"/>
      <c r="L73" s="288"/>
      <c r="M73" s="288"/>
      <c r="N73" s="288"/>
      <c r="O73" s="288"/>
      <c r="P73" s="288"/>
      <c r="Q73" s="288"/>
      <c r="R73" s="288"/>
      <c r="S73" s="288"/>
      <c r="T73" s="288"/>
      <c r="U73" s="288"/>
      <c r="V73" s="288"/>
      <c r="W73" s="288"/>
      <c r="X73" s="288"/>
      <c r="Y73" s="288"/>
      <c r="Z73" s="288"/>
      <c r="AA73" s="288"/>
      <c r="AB73" s="288"/>
      <c r="AC73" s="288"/>
      <c r="AD73" s="288"/>
      <c r="AE73" s="288"/>
      <c r="AF73" s="288"/>
      <c r="AG73" s="288"/>
      <c r="AH73" s="288"/>
      <c r="AI73" s="289"/>
      <c r="AK73" s="425"/>
      <c r="AL73" s="425"/>
      <c r="AM73" s="425"/>
      <c r="AN73" s="425"/>
      <c r="AO73" s="425"/>
      <c r="AP73" s="425"/>
      <c r="AQ73" s="42"/>
      <c r="AR73" s="43"/>
      <c r="AS73" s="43"/>
      <c r="AT73" s="43"/>
      <c r="AU73" s="43"/>
      <c r="AV73" s="43"/>
      <c r="AW73" s="43"/>
      <c r="AX73" s="43"/>
      <c r="AY73" s="43"/>
      <c r="AZ73" s="43"/>
      <c r="BH73" s="54"/>
      <c r="BI73" s="51"/>
    </row>
    <row r="74" spans="1:61" ht="18" customHeight="1">
      <c r="A74" s="36"/>
      <c r="B74" s="404">
        <v>4.8611111111111112E-3</v>
      </c>
      <c r="C74" s="404"/>
      <c r="D74" s="404"/>
      <c r="E74" s="404"/>
      <c r="F74" s="288" t="s">
        <v>904</v>
      </c>
      <c r="G74" s="288"/>
      <c r="H74" s="288"/>
      <c r="I74" s="288"/>
      <c r="J74" s="288"/>
      <c r="K74" s="288"/>
      <c r="L74" s="288"/>
      <c r="M74" s="288"/>
      <c r="N74" s="288"/>
      <c r="O74" s="288"/>
      <c r="P74" s="288"/>
      <c r="Q74" s="288"/>
      <c r="R74" s="288"/>
      <c r="S74" s="288"/>
      <c r="T74" s="288"/>
      <c r="U74" s="288"/>
      <c r="V74" s="288"/>
      <c r="W74" s="288"/>
      <c r="X74" s="288"/>
      <c r="Y74" s="288"/>
      <c r="Z74" s="288"/>
      <c r="AA74" s="288"/>
      <c r="AB74" s="288"/>
      <c r="AC74" s="288"/>
      <c r="AD74" s="288"/>
      <c r="AE74" s="288"/>
      <c r="AF74" s="288"/>
      <c r="AG74" s="288"/>
      <c r="AH74" s="288"/>
      <c r="AI74" s="289"/>
      <c r="AK74" s="425"/>
      <c r="AL74" s="425"/>
      <c r="AM74" s="425"/>
      <c r="AN74" s="425"/>
      <c r="AO74" s="425"/>
      <c r="AP74" s="425"/>
      <c r="AQ74" s="42"/>
      <c r="AR74" s="43"/>
      <c r="AS74" s="43"/>
      <c r="AT74" s="43"/>
      <c r="AU74" s="43"/>
      <c r="AV74" s="43"/>
      <c r="AW74" s="43"/>
      <c r="AX74" s="43"/>
      <c r="AY74" s="43"/>
      <c r="AZ74" s="43"/>
      <c r="BH74" s="54"/>
      <c r="BI74" s="51"/>
    </row>
    <row r="75" spans="1:61" ht="18" customHeight="1">
      <c r="A75" s="36"/>
      <c r="B75" s="404">
        <v>1.1805555555555555E-2</v>
      </c>
      <c r="C75" s="404"/>
      <c r="D75" s="404"/>
      <c r="E75" s="404"/>
      <c r="F75" s="288" t="s">
        <v>905</v>
      </c>
      <c r="G75" s="288"/>
      <c r="H75" s="288"/>
      <c r="I75" s="288"/>
      <c r="J75" s="288"/>
      <c r="K75" s="288"/>
      <c r="L75" s="288"/>
      <c r="M75" s="288"/>
      <c r="N75" s="288"/>
      <c r="O75" s="288"/>
      <c r="P75" s="288"/>
      <c r="Q75" s="288"/>
      <c r="R75" s="288"/>
      <c r="S75" s="288"/>
      <c r="T75" s="288"/>
      <c r="U75" s="288"/>
      <c r="V75" s="288"/>
      <c r="W75" s="288"/>
      <c r="X75" s="288"/>
      <c r="Y75" s="288"/>
      <c r="Z75" s="288"/>
      <c r="AA75" s="288"/>
      <c r="AB75" s="288"/>
      <c r="AC75" s="288"/>
      <c r="AD75" s="288"/>
      <c r="AE75" s="288"/>
      <c r="AF75" s="288"/>
      <c r="AG75" s="288"/>
      <c r="AH75" s="288"/>
      <c r="AI75" s="289"/>
      <c r="AK75" s="425"/>
      <c r="AL75" s="425"/>
      <c r="AM75" s="425"/>
      <c r="AN75" s="425"/>
      <c r="AO75" s="425"/>
      <c r="AP75" s="425"/>
      <c r="AQ75" s="42"/>
      <c r="AR75" s="43"/>
      <c r="AS75" s="43"/>
      <c r="AT75" s="43"/>
      <c r="AU75" s="43"/>
      <c r="AV75" s="43"/>
      <c r="AW75" s="43"/>
      <c r="AX75" s="43"/>
      <c r="AY75" s="43"/>
      <c r="AZ75" s="43"/>
      <c r="BH75" s="53"/>
      <c r="BI75" s="51"/>
    </row>
    <row r="76" spans="1:61" ht="18" customHeight="1">
      <c r="A76" s="36"/>
      <c r="B76" s="404"/>
      <c r="C76" s="404"/>
      <c r="D76" s="404"/>
      <c r="E76" s="404"/>
      <c r="F76" s="288"/>
      <c r="G76" s="288"/>
      <c r="H76" s="288"/>
      <c r="I76" s="288"/>
      <c r="J76" s="288"/>
      <c r="K76" s="288"/>
      <c r="L76" s="288"/>
      <c r="M76" s="288"/>
      <c r="N76" s="288"/>
      <c r="O76" s="288"/>
      <c r="P76" s="288"/>
      <c r="Q76" s="288"/>
      <c r="R76" s="288"/>
      <c r="S76" s="288"/>
      <c r="T76" s="288"/>
      <c r="U76" s="288"/>
      <c r="V76" s="288"/>
      <c r="W76" s="288"/>
      <c r="X76" s="288"/>
      <c r="Y76" s="288"/>
      <c r="Z76" s="288"/>
      <c r="AA76" s="288"/>
      <c r="AB76" s="288"/>
      <c r="AC76" s="288"/>
      <c r="AD76" s="288"/>
      <c r="AE76" s="288"/>
      <c r="AF76" s="288"/>
      <c r="AG76" s="288"/>
      <c r="AH76" s="288"/>
      <c r="AI76" s="289"/>
      <c r="AK76" s="425"/>
      <c r="AL76" s="425"/>
      <c r="AM76" s="425"/>
      <c r="AN76" s="425"/>
      <c r="AO76" s="425"/>
      <c r="AP76" s="425"/>
      <c r="AQ76" s="42"/>
      <c r="AR76" s="43"/>
      <c r="AS76" s="43"/>
      <c r="AT76" s="43"/>
      <c r="AU76" s="43"/>
      <c r="AV76" s="43"/>
      <c r="AW76" s="43"/>
      <c r="AX76" s="43"/>
      <c r="AY76" s="43"/>
      <c r="AZ76" s="43"/>
      <c r="BH76" s="53"/>
      <c r="BI76" s="51"/>
    </row>
    <row r="77" spans="1:61" ht="18" customHeight="1">
      <c r="A77" s="36"/>
      <c r="B77" s="404">
        <v>2.5000000000000001E-2</v>
      </c>
      <c r="C77" s="404"/>
      <c r="D77" s="404"/>
      <c r="E77" s="404"/>
      <c r="F77" s="288" t="s">
        <v>906</v>
      </c>
      <c r="G77" s="288"/>
      <c r="H77" s="288"/>
      <c r="I77" s="288"/>
      <c r="J77" s="288"/>
      <c r="K77" s="288"/>
      <c r="L77" s="288"/>
      <c r="M77" s="288"/>
      <c r="N77" s="288"/>
      <c r="O77" s="288"/>
      <c r="P77" s="288"/>
      <c r="Q77" s="288"/>
      <c r="R77" s="288"/>
      <c r="S77" s="288"/>
      <c r="T77" s="288"/>
      <c r="U77" s="288"/>
      <c r="V77" s="288"/>
      <c r="W77" s="288"/>
      <c r="X77" s="288"/>
      <c r="Y77" s="288"/>
      <c r="Z77" s="288"/>
      <c r="AA77" s="288"/>
      <c r="AB77" s="288"/>
      <c r="AC77" s="288"/>
      <c r="AD77" s="288"/>
      <c r="AE77" s="288"/>
      <c r="AF77" s="288"/>
      <c r="AG77" s="288"/>
      <c r="AH77" s="288"/>
      <c r="AI77" s="289"/>
      <c r="AK77" s="425"/>
      <c r="AL77" s="425"/>
      <c r="AM77" s="425"/>
      <c r="AN77" s="425"/>
      <c r="AO77" s="425"/>
      <c r="AP77" s="425"/>
      <c r="AQ77" s="42"/>
      <c r="AR77" s="43"/>
      <c r="AS77" s="43"/>
      <c r="AT77" s="43"/>
      <c r="AU77" s="43"/>
      <c r="AV77" s="43"/>
      <c r="AW77" s="43"/>
      <c r="AX77" s="43"/>
      <c r="AY77" s="43"/>
      <c r="AZ77" s="43"/>
      <c r="BH77" s="54"/>
      <c r="BI77" s="51"/>
    </row>
    <row r="78" spans="1:61" ht="18" customHeight="1">
      <c r="A78" s="36"/>
      <c r="B78" s="404">
        <v>2.6388888888888889E-2</v>
      </c>
      <c r="C78" s="404"/>
      <c r="D78" s="404"/>
      <c r="E78" s="404"/>
      <c r="F78" s="288" t="s">
        <v>907</v>
      </c>
      <c r="G78" s="288"/>
      <c r="H78" s="288"/>
      <c r="I78" s="288"/>
      <c r="J78" s="288"/>
      <c r="K78" s="288"/>
      <c r="L78" s="288"/>
      <c r="M78" s="288"/>
      <c r="N78" s="288"/>
      <c r="O78" s="288"/>
      <c r="P78" s="288"/>
      <c r="Q78" s="288"/>
      <c r="R78" s="288"/>
      <c r="S78" s="288"/>
      <c r="T78" s="288"/>
      <c r="U78" s="288"/>
      <c r="V78" s="288"/>
      <c r="W78" s="288"/>
      <c r="X78" s="288"/>
      <c r="Y78" s="288"/>
      <c r="Z78" s="288"/>
      <c r="AA78" s="288"/>
      <c r="AB78" s="288"/>
      <c r="AC78" s="288"/>
      <c r="AD78" s="288"/>
      <c r="AE78" s="288"/>
      <c r="AF78" s="288"/>
      <c r="AG78" s="288"/>
      <c r="AH78" s="288"/>
      <c r="AI78" s="289"/>
      <c r="AK78" s="425"/>
      <c r="AL78" s="425"/>
      <c r="AM78" s="425"/>
      <c r="AN78" s="425"/>
      <c r="AO78" s="425"/>
      <c r="AP78" s="425"/>
      <c r="AQ78" s="42"/>
      <c r="AR78" s="43"/>
      <c r="AS78" s="43"/>
      <c r="AT78" s="43"/>
      <c r="AU78" s="43"/>
      <c r="AV78" s="43"/>
      <c r="AW78" s="43"/>
      <c r="AX78" s="43"/>
      <c r="AY78" s="43"/>
      <c r="AZ78" s="43"/>
      <c r="BH78" s="54"/>
      <c r="BI78" s="51"/>
    </row>
    <row r="79" spans="1:61" ht="18" customHeight="1">
      <c r="A79" s="36"/>
      <c r="B79" s="404">
        <v>4.4444444444444446E-2</v>
      </c>
      <c r="C79" s="404"/>
      <c r="D79" s="404"/>
      <c r="E79" s="404"/>
      <c r="F79" s="288" t="s">
        <v>908</v>
      </c>
      <c r="G79" s="288"/>
      <c r="H79" s="288"/>
      <c r="I79" s="288"/>
      <c r="J79" s="288"/>
      <c r="K79" s="288"/>
      <c r="L79" s="288"/>
      <c r="M79" s="288"/>
      <c r="N79" s="288"/>
      <c r="O79" s="288"/>
      <c r="P79" s="288"/>
      <c r="Q79" s="288"/>
      <c r="R79" s="288"/>
      <c r="S79" s="288"/>
      <c r="T79" s="288"/>
      <c r="U79" s="288"/>
      <c r="V79" s="288"/>
      <c r="W79" s="288"/>
      <c r="X79" s="288"/>
      <c r="Y79" s="288"/>
      <c r="Z79" s="288"/>
      <c r="AA79" s="288"/>
      <c r="AB79" s="288"/>
      <c r="AC79" s="288"/>
      <c r="AD79" s="288"/>
      <c r="AE79" s="288"/>
      <c r="AF79" s="288"/>
      <c r="AG79" s="288"/>
      <c r="AH79" s="288"/>
      <c r="AI79" s="289"/>
      <c r="AK79" s="425"/>
      <c r="AL79" s="425"/>
      <c r="AM79" s="425"/>
      <c r="AN79" s="425"/>
      <c r="AO79" s="425"/>
      <c r="AP79" s="425"/>
      <c r="AQ79" s="42"/>
      <c r="AR79" s="43"/>
      <c r="AS79" s="43"/>
      <c r="AT79" s="43"/>
      <c r="AU79" s="43"/>
      <c r="AV79" s="43"/>
      <c r="AW79" s="43"/>
      <c r="AX79" s="43"/>
      <c r="AY79" s="43"/>
      <c r="AZ79" s="43"/>
      <c r="BH79" s="54"/>
      <c r="BI79" s="51"/>
    </row>
    <row r="80" spans="1:61" ht="18" customHeight="1">
      <c r="A80" s="37"/>
      <c r="B80" s="466"/>
      <c r="C80" s="466"/>
      <c r="D80" s="466"/>
      <c r="E80" s="466"/>
      <c r="F80" s="467"/>
      <c r="G80" s="467"/>
      <c r="H80" s="467"/>
      <c r="I80" s="467"/>
      <c r="J80" s="467"/>
      <c r="K80" s="467"/>
      <c r="L80" s="467"/>
      <c r="M80" s="467"/>
      <c r="N80" s="467"/>
      <c r="O80" s="467"/>
      <c r="P80" s="467"/>
      <c r="Q80" s="467"/>
      <c r="R80" s="467"/>
      <c r="S80" s="467"/>
      <c r="T80" s="467"/>
      <c r="U80" s="467"/>
      <c r="V80" s="467"/>
      <c r="W80" s="467"/>
      <c r="X80" s="467"/>
      <c r="Y80" s="467"/>
      <c r="Z80" s="467"/>
      <c r="AA80" s="467"/>
      <c r="AB80" s="467"/>
      <c r="AC80" s="467"/>
      <c r="AD80" s="467"/>
      <c r="AE80" s="467"/>
      <c r="AF80" s="467"/>
      <c r="AG80" s="467"/>
      <c r="AH80" s="467"/>
      <c r="AI80" s="468"/>
      <c r="AK80" s="425"/>
      <c r="AL80" s="425"/>
      <c r="AM80" s="425"/>
      <c r="AN80" s="425"/>
      <c r="AO80" s="425"/>
      <c r="AP80" s="425"/>
      <c r="AQ80" s="42"/>
      <c r="AR80" s="43"/>
      <c r="AS80" s="43"/>
      <c r="AT80" s="43"/>
      <c r="AU80" s="43"/>
      <c r="AV80" s="43"/>
      <c r="AW80" s="43"/>
      <c r="AX80" s="43"/>
      <c r="AY80" s="43"/>
      <c r="AZ80" s="43"/>
      <c r="BH80" s="54"/>
      <c r="BI80" s="51"/>
    </row>
    <row r="81" spans="1:61" ht="18" customHeight="1">
      <c r="A81" s="406" t="s">
        <v>704</v>
      </c>
      <c r="B81" s="407"/>
      <c r="C81" s="407"/>
      <c r="D81" s="407"/>
      <c r="E81" s="407"/>
      <c r="F81" s="407"/>
      <c r="G81" s="407"/>
      <c r="H81" s="407"/>
      <c r="I81" s="407"/>
      <c r="J81" s="407"/>
      <c r="K81" s="407"/>
      <c r="L81" s="407"/>
      <c r="M81" s="407"/>
      <c r="N81" s="407"/>
      <c r="O81" s="407"/>
      <c r="P81" s="407"/>
      <c r="Q81" s="407"/>
      <c r="R81" s="407"/>
      <c r="S81" s="407"/>
      <c r="T81" s="407"/>
      <c r="U81" s="407"/>
      <c r="V81" s="407"/>
      <c r="W81" s="407"/>
      <c r="X81" s="407"/>
      <c r="Y81" s="407"/>
      <c r="Z81" s="407"/>
      <c r="AA81" s="407"/>
      <c r="AB81" s="407"/>
      <c r="AC81" s="407"/>
      <c r="AD81" s="407"/>
      <c r="AE81" s="407"/>
      <c r="AF81" s="407"/>
      <c r="AG81" s="407"/>
      <c r="AH81" s="407"/>
      <c r="AI81" s="408"/>
      <c r="AK81" s="425"/>
      <c r="AL81" s="425"/>
      <c r="AM81" s="425"/>
      <c r="AN81" s="425"/>
      <c r="AO81" s="425"/>
      <c r="AP81" s="425"/>
      <c r="AQ81" s="42"/>
      <c r="AR81" s="43"/>
      <c r="AS81" s="43"/>
      <c r="AT81" s="43"/>
      <c r="AU81" s="43"/>
      <c r="AV81" s="43"/>
      <c r="AW81" s="43"/>
      <c r="AX81" s="43"/>
      <c r="AY81" s="43"/>
      <c r="AZ81" s="43"/>
      <c r="BH81" s="53"/>
      <c r="BI81" s="51"/>
    </row>
    <row r="82" spans="1:61" ht="18" customHeight="1">
      <c r="A82" s="38"/>
      <c r="B82" s="465">
        <v>45644</v>
      </c>
      <c r="C82" s="465"/>
      <c r="D82" s="465"/>
      <c r="E82" s="465"/>
      <c r="F82" s="288" t="s">
        <v>837</v>
      </c>
      <c r="G82" s="288"/>
      <c r="H82" s="288"/>
      <c r="I82" s="288"/>
      <c r="J82" s="288"/>
      <c r="K82" s="288"/>
      <c r="L82" s="288"/>
      <c r="M82" s="288"/>
      <c r="N82" s="288"/>
      <c r="O82" s="288"/>
      <c r="P82" s="288"/>
      <c r="Q82" s="288"/>
      <c r="R82" s="288"/>
      <c r="S82" s="288"/>
      <c r="T82" s="288"/>
      <c r="U82" s="288"/>
      <c r="V82" s="288"/>
      <c r="W82" s="288"/>
      <c r="X82" s="288"/>
      <c r="Y82" s="288"/>
      <c r="Z82" s="288"/>
      <c r="AA82" s="288"/>
      <c r="AB82" s="288"/>
      <c r="AC82" s="288"/>
      <c r="AD82" s="288"/>
      <c r="AE82" s="288"/>
      <c r="AF82" s="288"/>
      <c r="AG82" s="288"/>
      <c r="AH82" s="288"/>
      <c r="AI82" s="289"/>
      <c r="AK82" s="425"/>
      <c r="AL82" s="425"/>
      <c r="AM82" s="425"/>
      <c r="AN82" s="425"/>
      <c r="AO82" s="425"/>
      <c r="AP82" s="425"/>
      <c r="AQ82" s="42"/>
      <c r="AR82" s="43"/>
      <c r="AS82" s="43"/>
      <c r="AT82" s="43"/>
      <c r="AU82" s="43"/>
      <c r="AV82" s="43"/>
      <c r="AW82" s="43"/>
      <c r="AX82" s="43"/>
      <c r="AY82" s="43"/>
      <c r="AZ82" s="43"/>
      <c r="BH82" s="53"/>
      <c r="BI82" s="51"/>
    </row>
    <row r="83" spans="1:61" ht="18" customHeight="1">
      <c r="A83" s="38"/>
      <c r="B83" s="465">
        <v>46160</v>
      </c>
      <c r="C83" s="465"/>
      <c r="D83" s="465"/>
      <c r="E83" s="465"/>
      <c r="F83" s="288" t="s">
        <v>838</v>
      </c>
      <c r="G83" s="288"/>
      <c r="H83" s="288"/>
      <c r="I83" s="288"/>
      <c r="J83" s="288"/>
      <c r="K83" s="288"/>
      <c r="L83" s="288"/>
      <c r="M83" s="288"/>
      <c r="N83" s="288"/>
      <c r="O83" s="288"/>
      <c r="P83" s="288"/>
      <c r="Q83" s="288"/>
      <c r="R83" s="288"/>
      <c r="S83" s="288"/>
      <c r="T83" s="288"/>
      <c r="U83" s="288"/>
      <c r="V83" s="288"/>
      <c r="W83" s="288"/>
      <c r="X83" s="288"/>
      <c r="Y83" s="288"/>
      <c r="Z83" s="288"/>
      <c r="AA83" s="288"/>
      <c r="AB83" s="288"/>
      <c r="AC83" s="288"/>
      <c r="AD83" s="288"/>
      <c r="AE83" s="288"/>
      <c r="AF83" s="288"/>
      <c r="AG83" s="288"/>
      <c r="AH83" s="288"/>
      <c r="AI83" s="289"/>
      <c r="AK83" s="425"/>
      <c r="AL83" s="425"/>
      <c r="AM83" s="425"/>
      <c r="AN83" s="425"/>
      <c r="AO83" s="425"/>
      <c r="AP83" s="425"/>
      <c r="AQ83" s="42"/>
      <c r="AR83" s="43"/>
      <c r="AS83" s="43"/>
      <c r="AT83" s="43"/>
      <c r="AU83" s="43"/>
      <c r="AV83" s="43"/>
      <c r="AW83" s="43"/>
      <c r="AX83" s="43"/>
      <c r="AY83" s="43"/>
      <c r="AZ83" s="43"/>
      <c r="BH83" s="53"/>
      <c r="BI83" s="51"/>
    </row>
    <row r="84" spans="1:61" ht="18" customHeight="1">
      <c r="A84" s="38"/>
      <c r="B84" s="465"/>
      <c r="C84" s="465"/>
      <c r="D84" s="465"/>
      <c r="E84" s="465"/>
      <c r="F84" s="288"/>
      <c r="G84" s="288"/>
      <c r="H84" s="288"/>
      <c r="I84" s="288"/>
      <c r="J84" s="288"/>
      <c r="K84" s="288"/>
      <c r="L84" s="288"/>
      <c r="M84" s="288"/>
      <c r="N84" s="288"/>
      <c r="O84" s="288"/>
      <c r="P84" s="288"/>
      <c r="Q84" s="288"/>
      <c r="R84" s="288"/>
      <c r="S84" s="288"/>
      <c r="T84" s="288"/>
      <c r="U84" s="288"/>
      <c r="V84" s="288"/>
      <c r="W84" s="288"/>
      <c r="X84" s="288"/>
      <c r="Y84" s="288"/>
      <c r="Z84" s="288"/>
      <c r="AA84" s="288"/>
      <c r="AB84" s="288"/>
      <c r="AC84" s="288"/>
      <c r="AD84" s="288"/>
      <c r="AE84" s="288"/>
      <c r="AF84" s="288"/>
      <c r="AG84" s="288"/>
      <c r="AH84" s="288"/>
      <c r="AI84" s="289"/>
      <c r="AK84" s="425"/>
      <c r="AL84" s="425"/>
      <c r="AM84" s="425"/>
      <c r="AN84" s="425"/>
      <c r="AO84" s="425"/>
      <c r="AP84" s="425"/>
      <c r="AQ84" s="42"/>
      <c r="AR84" s="43"/>
      <c r="AS84" s="43"/>
      <c r="AT84" s="43"/>
      <c r="AU84" s="43"/>
      <c r="AV84" s="43"/>
      <c r="AW84" s="43"/>
      <c r="AX84" s="43"/>
      <c r="AY84" s="43"/>
      <c r="AZ84" s="43"/>
    </row>
    <row r="85" spans="1:61" ht="18" customHeight="1">
      <c r="A85" s="38"/>
      <c r="B85" s="465"/>
      <c r="C85" s="465"/>
      <c r="D85" s="465"/>
      <c r="E85" s="465"/>
      <c r="F85" s="288"/>
      <c r="G85" s="288"/>
      <c r="H85" s="288"/>
      <c r="I85" s="288"/>
      <c r="J85" s="288"/>
      <c r="K85" s="288"/>
      <c r="L85" s="288"/>
      <c r="M85" s="288"/>
      <c r="N85" s="288"/>
      <c r="O85" s="288"/>
      <c r="P85" s="288"/>
      <c r="Q85" s="288"/>
      <c r="R85" s="288"/>
      <c r="S85" s="288"/>
      <c r="T85" s="288"/>
      <c r="U85" s="288"/>
      <c r="V85" s="288"/>
      <c r="W85" s="288"/>
      <c r="X85" s="288"/>
      <c r="Y85" s="288"/>
      <c r="Z85" s="288"/>
      <c r="AA85" s="288"/>
      <c r="AB85" s="288"/>
      <c r="AC85" s="288"/>
      <c r="AD85" s="288"/>
      <c r="AE85" s="288"/>
      <c r="AF85" s="288"/>
      <c r="AG85" s="288"/>
      <c r="AH85" s="288"/>
      <c r="AI85" s="289"/>
      <c r="AK85" s="425"/>
      <c r="AL85" s="425"/>
      <c r="AM85" s="425"/>
      <c r="AN85" s="425"/>
      <c r="AO85" s="425"/>
      <c r="AP85" s="425"/>
      <c r="AQ85" s="42"/>
      <c r="AR85" s="43"/>
      <c r="AS85" s="43"/>
      <c r="AT85" s="43"/>
      <c r="AU85" s="43"/>
      <c r="AV85" s="43"/>
      <c r="AW85" s="43"/>
      <c r="AX85" s="43"/>
      <c r="AY85" s="43"/>
      <c r="AZ85" s="43"/>
    </row>
    <row r="86" spans="1:61" ht="18" customHeight="1" thickBot="1">
      <c r="A86" s="41"/>
      <c r="B86" s="540"/>
      <c r="C86" s="540"/>
      <c r="D86" s="540"/>
      <c r="E86" s="540"/>
      <c r="F86" s="541"/>
      <c r="G86" s="541"/>
      <c r="H86" s="541"/>
      <c r="I86" s="541"/>
      <c r="J86" s="541"/>
      <c r="K86" s="541"/>
      <c r="L86" s="541"/>
      <c r="M86" s="541"/>
      <c r="N86" s="541"/>
      <c r="O86" s="541"/>
      <c r="P86" s="541"/>
      <c r="Q86" s="541"/>
      <c r="R86" s="541"/>
      <c r="S86" s="541"/>
      <c r="T86" s="541"/>
      <c r="U86" s="541"/>
      <c r="V86" s="541"/>
      <c r="W86" s="541"/>
      <c r="X86" s="541"/>
      <c r="Y86" s="541"/>
      <c r="Z86" s="541"/>
      <c r="AA86" s="541"/>
      <c r="AB86" s="541"/>
      <c r="AC86" s="541"/>
      <c r="AD86" s="541"/>
      <c r="AE86" s="541"/>
      <c r="AF86" s="541"/>
      <c r="AG86" s="541"/>
      <c r="AH86" s="541"/>
      <c r="AI86" s="542"/>
      <c r="AK86" s="425"/>
      <c r="AL86" s="425"/>
      <c r="AM86" s="425"/>
      <c r="AN86" s="425"/>
      <c r="AO86" s="425"/>
      <c r="AP86" s="425"/>
      <c r="AQ86" s="42"/>
      <c r="AR86" s="43"/>
      <c r="AS86" s="43"/>
      <c r="AT86" s="43"/>
      <c r="AU86" s="43"/>
      <c r="AV86" s="43"/>
      <c r="AW86" s="43"/>
      <c r="AX86" s="43"/>
      <c r="AY86" s="43"/>
      <c r="AZ86" s="43"/>
    </row>
    <row r="87" spans="1:61" ht="14.1" customHeight="1">
      <c r="AK87" s="438"/>
      <c r="AL87" s="438"/>
      <c r="AM87" s="438"/>
      <c r="AN87" s="438"/>
      <c r="AO87" s="438"/>
      <c r="AP87" s="438"/>
      <c r="AQ87" s="119"/>
    </row>
    <row r="88" spans="1:61" ht="14.1" customHeight="1">
      <c r="AK88" s="437"/>
      <c r="AL88" s="437"/>
      <c r="AM88" s="437"/>
      <c r="AN88" s="437"/>
      <c r="AO88" s="437"/>
      <c r="AP88" s="437"/>
      <c r="AQ88" s="120"/>
    </row>
    <row r="89" spans="1:61" ht="14.1" customHeight="1">
      <c r="AK89" s="437"/>
      <c r="AL89" s="437"/>
      <c r="AM89" s="437"/>
      <c r="AN89" s="437"/>
      <c r="AO89" s="437"/>
      <c r="AP89" s="437"/>
      <c r="AQ89" s="120"/>
    </row>
    <row r="90" spans="1:61" ht="14.1" customHeight="1"/>
    <row r="91" spans="1:61" ht="14.1" customHeight="1"/>
    <row r="92" spans="1:61" ht="14.1" customHeight="1"/>
    <row r="93" spans="1:61" ht="14.1" customHeight="1"/>
    <row r="94" spans="1:61" ht="14.1" customHeight="1"/>
    <row r="95" spans="1:61" ht="14.1" customHeight="1"/>
    <row r="96" spans="1:61" ht="14.1" customHeight="1"/>
    <row r="97" ht="14.1" customHeight="1"/>
    <row r="98" ht="14.1" customHeight="1"/>
    <row r="99" ht="14.1" customHeight="1"/>
    <row r="100" ht="14.1" customHeight="1"/>
    <row r="101" ht="14.1" customHeight="1"/>
    <row r="102" ht="14.1" customHeight="1"/>
    <row r="103" ht="14.1" customHeight="1"/>
    <row r="104" ht="14.1" customHeight="1"/>
    <row r="105" ht="14.1" customHeight="1"/>
    <row r="106" ht="14.1" customHeight="1"/>
    <row r="107" ht="14.1" customHeight="1"/>
    <row r="108" ht="14.1" customHeight="1"/>
    <row r="109" ht="14.1" customHeight="1"/>
    <row r="110" ht="14.1" customHeight="1"/>
    <row r="111" ht="14.1" customHeight="1"/>
    <row r="112" ht="14.1" customHeight="1"/>
    <row r="113" ht="14.1" customHeight="1"/>
    <row r="114" ht="14.1" customHeight="1"/>
    <row r="115" ht="14.1" customHeight="1"/>
    <row r="116" ht="14.1" customHeight="1"/>
    <row r="117" ht="14.1" customHeight="1"/>
    <row r="118" ht="14.1" customHeight="1"/>
    <row r="119" ht="14.1" customHeight="1"/>
    <row r="120" ht="14.1" customHeight="1"/>
    <row r="121" ht="14.1" customHeight="1"/>
    <row r="122" ht="14.1" customHeight="1"/>
    <row r="123" ht="14.1" customHeight="1"/>
    <row r="124" ht="14.1" customHeight="1"/>
    <row r="125" ht="14.1" customHeight="1"/>
    <row r="126" ht="14.1" customHeight="1"/>
    <row r="127" ht="14.1" customHeight="1"/>
    <row r="128" ht="14.1" customHeight="1"/>
    <row r="129" ht="14.1" customHeight="1"/>
    <row r="130" ht="14.1" customHeight="1"/>
    <row r="131" ht="14.1" customHeight="1"/>
    <row r="132" ht="14.1" customHeight="1"/>
    <row r="133" ht="14.1" customHeight="1"/>
    <row r="134" ht="14.1" customHeight="1"/>
    <row r="135" ht="14.1" customHeight="1"/>
    <row r="136" ht="14.1" customHeight="1"/>
    <row r="137" ht="14.1" customHeight="1"/>
    <row r="138" ht="14.1" customHeight="1"/>
    <row r="139" ht="14.1" customHeight="1"/>
    <row r="140" ht="14.1" customHeight="1"/>
    <row r="141" ht="14.1" customHeight="1"/>
    <row r="142" ht="14.1" customHeight="1"/>
    <row r="143" ht="14.1" customHeight="1"/>
    <row r="144" ht="14.1" customHeight="1"/>
    <row r="145" ht="14.1" customHeight="1"/>
    <row r="146" ht="14.1" customHeight="1"/>
    <row r="147" ht="14.1" customHeight="1"/>
    <row r="148" ht="14.1" customHeight="1"/>
    <row r="149" ht="14.1" customHeight="1"/>
    <row r="150" ht="14.1" customHeight="1"/>
    <row r="151" ht="14.1" customHeight="1"/>
    <row r="152" ht="14.1" customHeight="1"/>
    <row r="153" ht="14.1" customHeight="1"/>
    <row r="154" ht="14.1" customHeight="1"/>
    <row r="155" ht="14.1" customHeight="1"/>
    <row r="156" ht="14.1" customHeight="1"/>
    <row r="157" ht="14.1" customHeight="1"/>
    <row r="158" ht="14.1" customHeight="1"/>
    <row r="159" ht="14.1" customHeight="1"/>
    <row r="160" ht="14.1" customHeight="1"/>
    <row r="161" ht="14.1" customHeight="1"/>
    <row r="162" ht="14.1" customHeight="1"/>
    <row r="163" ht="14.1" customHeight="1"/>
    <row r="164" ht="14.1" customHeight="1"/>
    <row r="165" ht="14.1" customHeight="1"/>
    <row r="166" ht="14.1" customHeight="1"/>
    <row r="167" ht="14.1" customHeight="1"/>
    <row r="168" ht="14.1" customHeight="1"/>
    <row r="169" ht="14.1" customHeight="1"/>
    <row r="170" ht="14.1" customHeight="1"/>
    <row r="171" ht="14.1" customHeight="1"/>
    <row r="172" ht="14.1" customHeight="1"/>
    <row r="173" ht="14.1" customHeight="1"/>
    <row r="174" ht="14.1" customHeight="1"/>
    <row r="175" ht="14.1" customHeight="1"/>
    <row r="176" ht="14.1" customHeight="1"/>
    <row r="177" ht="14.1" customHeight="1"/>
    <row r="178" ht="14.1" customHeight="1"/>
    <row r="179" ht="14.1" customHeight="1"/>
    <row r="180" ht="14.1" customHeight="1"/>
    <row r="181" ht="14.1" customHeight="1"/>
    <row r="182" ht="14.1" customHeight="1"/>
    <row r="183" ht="14.1" customHeight="1"/>
    <row r="184" ht="14.1" customHeight="1"/>
    <row r="185" ht="14.1" customHeight="1"/>
    <row r="186" ht="14.1" customHeight="1"/>
    <row r="187" ht="14.1" customHeight="1"/>
    <row r="188" ht="14.1" customHeight="1"/>
    <row r="189" ht="14.1" customHeight="1"/>
    <row r="190" ht="14.1" customHeight="1"/>
    <row r="191" ht="14.1" customHeight="1"/>
    <row r="192" ht="14.1" customHeight="1"/>
    <row r="193" ht="14.1" customHeight="1"/>
    <row r="194" ht="14.1" customHeight="1"/>
    <row r="195" ht="14.1" customHeight="1"/>
    <row r="196" ht="14.1" customHeight="1"/>
    <row r="197" ht="14.1" customHeight="1"/>
    <row r="198" ht="14.1" customHeight="1"/>
    <row r="199" ht="14.1" customHeight="1"/>
    <row r="200" ht="14.1" customHeight="1"/>
    <row r="201" ht="14.1" customHeight="1"/>
    <row r="202" ht="14.1" customHeight="1"/>
    <row r="203" ht="14.1" customHeight="1"/>
    <row r="204" ht="14.1" customHeight="1"/>
    <row r="205" ht="14.1" customHeight="1"/>
    <row r="206" ht="14.1" customHeight="1"/>
    <row r="207" ht="14.1" customHeight="1"/>
    <row r="208" ht="14.1" customHeight="1"/>
    <row r="209" ht="14.1" customHeight="1"/>
    <row r="210" ht="14.1" customHeight="1"/>
    <row r="211" ht="14.1" customHeight="1"/>
    <row r="212" ht="14.1" customHeight="1"/>
    <row r="213" ht="14.1" customHeight="1"/>
    <row r="214" ht="14.1" customHeight="1"/>
    <row r="215" ht="14.1" customHeight="1"/>
    <row r="216" ht="14.1" customHeight="1"/>
    <row r="217" ht="14.1" customHeight="1"/>
    <row r="218" ht="14.1" customHeight="1"/>
    <row r="219" ht="14.1" customHeight="1"/>
    <row r="220" ht="14.1" customHeight="1"/>
    <row r="221" ht="14.1" customHeight="1"/>
    <row r="222" ht="14.1" customHeight="1"/>
    <row r="223" ht="14.1" customHeight="1"/>
    <row r="224" ht="14.1" customHeight="1"/>
    <row r="225" ht="14.1" customHeight="1"/>
    <row r="226" ht="14.1" customHeight="1"/>
    <row r="227" ht="14.1" customHeight="1"/>
    <row r="228" ht="14.1" customHeight="1"/>
    <row r="229" ht="14.1" customHeight="1"/>
    <row r="230" ht="14.1" customHeight="1"/>
    <row r="231" ht="14.1" customHeight="1"/>
    <row r="232" ht="14.1" customHeight="1"/>
    <row r="233" ht="14.1" customHeight="1"/>
    <row r="234" ht="14.1" customHeight="1"/>
    <row r="235" ht="14.1" customHeight="1"/>
    <row r="236" ht="14.1" customHeight="1"/>
    <row r="237" ht="14.1" customHeight="1"/>
    <row r="238" ht="14.1" customHeight="1"/>
    <row r="239" ht="14.1" customHeight="1"/>
    <row r="240" ht="14.1" customHeight="1"/>
    <row r="241" ht="14.1" customHeight="1"/>
    <row r="242" ht="14.1" customHeight="1"/>
    <row r="243" ht="14.1" customHeight="1"/>
    <row r="244" ht="14.1" customHeight="1"/>
    <row r="245" ht="14.1" customHeight="1"/>
    <row r="246" ht="14.1" customHeight="1"/>
    <row r="247" ht="14.1" customHeight="1"/>
    <row r="248" ht="14.1" customHeight="1"/>
    <row r="249" ht="14.1" customHeight="1"/>
    <row r="250" ht="14.1" customHeight="1"/>
    <row r="251" ht="14.1" customHeight="1"/>
    <row r="252" ht="14.1" customHeight="1"/>
    <row r="253" ht="14.1" customHeight="1"/>
    <row r="254" ht="14.1" customHeight="1"/>
    <row r="255" ht="14.1" customHeight="1"/>
    <row r="256" ht="14.1" customHeight="1"/>
    <row r="257" ht="14.1" customHeight="1"/>
    <row r="258" ht="14.1" customHeight="1"/>
    <row r="259" ht="14.1" customHeight="1"/>
    <row r="260" ht="14.1" customHeight="1"/>
    <row r="261" ht="14.1" customHeight="1"/>
    <row r="262" ht="14.1" customHeight="1"/>
    <row r="263" ht="14.1" customHeight="1"/>
    <row r="264" ht="14.1" customHeight="1"/>
    <row r="265" ht="14.1" customHeight="1"/>
    <row r="266" ht="14.1" customHeight="1"/>
  </sheetData>
  <sheetProtection algorithmName="SHA-512" hashValue="0loLJCJhL4ad+e9W1BFBlntzNt2hf75qC+V2eugpQkoXMOcFlTwiL5DSpVRXAf1cyQ/kgBnOXO/4cSPzCUKn4A==" saltValue="4etb9yyOEqZ9UduJqdtb6g==" spinCount="100000" sheet="1" autoFilter="0"/>
  <mergeCells count="381">
    <mergeCell ref="A1:S3"/>
    <mergeCell ref="T1:Z3"/>
    <mergeCell ref="AD1:AI1"/>
    <mergeCell ref="AD2:AF4"/>
    <mergeCell ref="AG2:AI4"/>
    <mergeCell ref="A4:S5"/>
    <mergeCell ref="AK7:AP8"/>
    <mergeCell ref="AQ7:AQ8"/>
    <mergeCell ref="V8:X8"/>
    <mergeCell ref="A9:AI9"/>
    <mergeCell ref="AK9:AP9"/>
    <mergeCell ref="A10:H10"/>
    <mergeCell ref="I10:J10"/>
    <mergeCell ref="K10:L10"/>
    <mergeCell ref="M10:T10"/>
    <mergeCell ref="U10:V10"/>
    <mergeCell ref="O7:P8"/>
    <mergeCell ref="Q7:R8"/>
    <mergeCell ref="S7:T8"/>
    <mergeCell ref="V7:X7"/>
    <mergeCell ref="Y7:AA8"/>
    <mergeCell ref="AB7:AI8"/>
    <mergeCell ref="A7:E8"/>
    <mergeCell ref="F7:F8"/>
    <mergeCell ref="G7:I8"/>
    <mergeCell ref="J7:J8"/>
    <mergeCell ref="K7:M8"/>
    <mergeCell ref="N7:N8"/>
    <mergeCell ref="W10:X10"/>
    <mergeCell ref="Y10:AF10"/>
    <mergeCell ref="AG10:AH10"/>
    <mergeCell ref="AK10:AP10"/>
    <mergeCell ref="A11:H11"/>
    <mergeCell ref="I11:J11"/>
    <mergeCell ref="K11:L11"/>
    <mergeCell ref="M11:T11"/>
    <mergeCell ref="U11:V11"/>
    <mergeCell ref="W11:X11"/>
    <mergeCell ref="Y11:AF11"/>
    <mergeCell ref="AG11:AH11"/>
    <mergeCell ref="AK11:AP11"/>
    <mergeCell ref="A12:H12"/>
    <mergeCell ref="I12:J12"/>
    <mergeCell ref="K12:L12"/>
    <mergeCell ref="M12:T12"/>
    <mergeCell ref="U12:V12"/>
    <mergeCell ref="W12:X12"/>
    <mergeCell ref="Y12:AF12"/>
    <mergeCell ref="AG12:AH12"/>
    <mergeCell ref="AK12:AP12"/>
    <mergeCell ref="A13:H13"/>
    <mergeCell ref="I13:J13"/>
    <mergeCell ref="K13:L13"/>
    <mergeCell ref="M13:T13"/>
    <mergeCell ref="U13:V13"/>
    <mergeCell ref="W13:X13"/>
    <mergeCell ref="Y13:AF13"/>
    <mergeCell ref="AG13:AH13"/>
    <mergeCell ref="AK13:AP13"/>
    <mergeCell ref="A14:AI14"/>
    <mergeCell ref="AK14:AP14"/>
    <mergeCell ref="B15:I15"/>
    <mergeCell ref="J15:L15"/>
    <mergeCell ref="M15:N15"/>
    <mergeCell ref="O15:V15"/>
    <mergeCell ref="W15:Y15"/>
    <mergeCell ref="Z15:AA15"/>
    <mergeCell ref="AB15:AG15"/>
    <mergeCell ref="A18:E18"/>
    <mergeCell ref="F18:AI18"/>
    <mergeCell ref="AK18:AP18"/>
    <mergeCell ref="B19:E19"/>
    <mergeCell ref="F19:AI19"/>
    <mergeCell ref="AK19:AP19"/>
    <mergeCell ref="AH15:AI15"/>
    <mergeCell ref="AK15:AP15"/>
    <mergeCell ref="A16:AI16"/>
    <mergeCell ref="AK16:AP16"/>
    <mergeCell ref="A17:E17"/>
    <mergeCell ref="F17:AI17"/>
    <mergeCell ref="AK17:AP17"/>
    <mergeCell ref="B20:E20"/>
    <mergeCell ref="F20:AI20"/>
    <mergeCell ref="AK20:AP20"/>
    <mergeCell ref="AR20:AR23"/>
    <mergeCell ref="B21:E21"/>
    <mergeCell ref="F21:AI21"/>
    <mergeCell ref="AK21:AP21"/>
    <mergeCell ref="B22:E22"/>
    <mergeCell ref="F22:AI22"/>
    <mergeCell ref="AK22:AP22"/>
    <mergeCell ref="BA23:BB23"/>
    <mergeCell ref="B24:E24"/>
    <mergeCell ref="F24:AI24"/>
    <mergeCell ref="AK24:AP24"/>
    <mergeCell ref="AY24:AZ24"/>
    <mergeCell ref="BA24:BB24"/>
    <mergeCell ref="AS22:AT22"/>
    <mergeCell ref="AU22:AV22"/>
    <mergeCell ref="AY22:AZ22"/>
    <mergeCell ref="BA22:BB22"/>
    <mergeCell ref="B23:E23"/>
    <mergeCell ref="F23:AI23"/>
    <mergeCell ref="AK23:AP23"/>
    <mergeCell ref="AS23:AT23"/>
    <mergeCell ref="AU23:AV23"/>
    <mergeCell ref="AY23:AZ23"/>
    <mergeCell ref="B27:E27"/>
    <mergeCell ref="F27:AI27"/>
    <mergeCell ref="AK27:AP27"/>
    <mergeCell ref="AS27:AT27"/>
    <mergeCell ref="AU27:AW27"/>
    <mergeCell ref="AY27:BB27"/>
    <mergeCell ref="B25:E25"/>
    <mergeCell ref="F25:AI25"/>
    <mergeCell ref="AK25:AP25"/>
    <mergeCell ref="AY25:AZ25"/>
    <mergeCell ref="BA25:BB25"/>
    <mergeCell ref="B26:E26"/>
    <mergeCell ref="F26:AI26"/>
    <mergeCell ref="AK26:AP26"/>
    <mergeCell ref="AS26:AW26"/>
    <mergeCell ref="BA28:BB28"/>
    <mergeCell ref="B29:E29"/>
    <mergeCell ref="F29:AI29"/>
    <mergeCell ref="AK29:AP29"/>
    <mergeCell ref="AS29:AT29"/>
    <mergeCell ref="AU29:AW29"/>
    <mergeCell ref="AY29:AZ29"/>
    <mergeCell ref="BA29:BB29"/>
    <mergeCell ref="B28:E28"/>
    <mergeCell ref="F28:AI28"/>
    <mergeCell ref="AK28:AP28"/>
    <mergeCell ref="AS28:AT28"/>
    <mergeCell ref="AU28:AW28"/>
    <mergeCell ref="AY28:AZ28"/>
    <mergeCell ref="A32:AI32"/>
    <mergeCell ref="AK32:AP32"/>
    <mergeCell ref="AS32:AT32"/>
    <mergeCell ref="AU32:AW32"/>
    <mergeCell ref="AY32:AZ32"/>
    <mergeCell ref="BA32:BB32"/>
    <mergeCell ref="BA30:BB30"/>
    <mergeCell ref="B31:E31"/>
    <mergeCell ref="F31:AI31"/>
    <mergeCell ref="AK31:AP31"/>
    <mergeCell ref="AS31:AT31"/>
    <mergeCell ref="AU31:AW31"/>
    <mergeCell ref="AY31:AZ31"/>
    <mergeCell ref="BA31:BB31"/>
    <mergeCell ref="B30:E30"/>
    <mergeCell ref="F30:AI30"/>
    <mergeCell ref="AK30:AP30"/>
    <mergeCell ref="AS30:AT30"/>
    <mergeCell ref="AU30:AW30"/>
    <mergeCell ref="AY30:AZ30"/>
    <mergeCell ref="BA33:BB33"/>
    <mergeCell ref="B34:E34"/>
    <mergeCell ref="F34:AI34"/>
    <mergeCell ref="AK34:AP34"/>
    <mergeCell ref="AS34:AT34"/>
    <mergeCell ref="AU34:AW34"/>
    <mergeCell ref="AY34:AZ34"/>
    <mergeCell ref="BA34:BB34"/>
    <mergeCell ref="B33:E33"/>
    <mergeCell ref="F33:AI33"/>
    <mergeCell ref="AK33:AP33"/>
    <mergeCell ref="AS33:AT33"/>
    <mergeCell ref="AU33:AW33"/>
    <mergeCell ref="AY33:AZ33"/>
    <mergeCell ref="AY35:AZ35"/>
    <mergeCell ref="BA35:BB35"/>
    <mergeCell ref="A36:E36"/>
    <mergeCell ref="F36:K36"/>
    <mergeCell ref="L36:O36"/>
    <mergeCell ref="P36:R36"/>
    <mergeCell ref="T36:V36"/>
    <mergeCell ref="W36:AB36"/>
    <mergeCell ref="AC36:AI36"/>
    <mergeCell ref="B35:E35"/>
    <mergeCell ref="F35:V35"/>
    <mergeCell ref="W35:AB35"/>
    <mergeCell ref="AC35:AI35"/>
    <mergeCell ref="AK35:AP35"/>
    <mergeCell ref="AS35:AT35"/>
    <mergeCell ref="AK36:AP36"/>
    <mergeCell ref="AS36:AT36"/>
    <mergeCell ref="AU36:AW36"/>
    <mergeCell ref="AU35:AW35"/>
    <mergeCell ref="A39:AI39"/>
    <mergeCell ref="AK39:AP39"/>
    <mergeCell ref="AS39:AT39"/>
    <mergeCell ref="AV39:AW39"/>
    <mergeCell ref="A38:E38"/>
    <mergeCell ref="F38:K38"/>
    <mergeCell ref="L38:O38"/>
    <mergeCell ref="P38:V38"/>
    <mergeCell ref="W38:AB38"/>
    <mergeCell ref="AC38:AI38"/>
    <mergeCell ref="AD40:AI40"/>
    <mergeCell ref="A37:E37"/>
    <mergeCell ref="F37:AI37"/>
    <mergeCell ref="AK40:AP40"/>
    <mergeCell ref="AS40:AT40"/>
    <mergeCell ref="AV40:AW40"/>
    <mergeCell ref="A41:D41"/>
    <mergeCell ref="E41:G41"/>
    <mergeCell ref="I41:K41"/>
    <mergeCell ref="L41:R41"/>
    <mergeCell ref="S41:V41"/>
    <mergeCell ref="W41:Y41"/>
    <mergeCell ref="AA41:AC41"/>
    <mergeCell ref="AD41:AI41"/>
    <mergeCell ref="AK41:AP41"/>
    <mergeCell ref="A40:D40"/>
    <mergeCell ref="E40:K40"/>
    <mergeCell ref="L40:R40"/>
    <mergeCell ref="S40:V40"/>
    <mergeCell ref="W40:AC40"/>
    <mergeCell ref="AK37:AP37"/>
    <mergeCell ref="AS37:AT37"/>
    <mergeCell ref="AU37:AW37"/>
    <mergeCell ref="AK38:AP38"/>
    <mergeCell ref="A42:D42"/>
    <mergeCell ref="E42:G42"/>
    <mergeCell ref="I42:K42"/>
    <mergeCell ref="L42:R42"/>
    <mergeCell ref="S42:V42"/>
    <mergeCell ref="W42:Y42"/>
    <mergeCell ref="AA42:AC42"/>
    <mergeCell ref="AK42:AP42"/>
    <mergeCell ref="AS42:AW42"/>
    <mergeCell ref="A43:D43"/>
    <mergeCell ref="E43:G43"/>
    <mergeCell ref="I43:K43"/>
    <mergeCell ref="L43:R43"/>
    <mergeCell ref="S43:V43"/>
    <mergeCell ref="W43:Y43"/>
    <mergeCell ref="AA43:AC43"/>
    <mergeCell ref="A44:D44"/>
    <mergeCell ref="E44:G44"/>
    <mergeCell ref="I44:K44"/>
    <mergeCell ref="L44:R44"/>
    <mergeCell ref="S44:V44"/>
    <mergeCell ref="W44:Y44"/>
    <mergeCell ref="AA44:AC44"/>
    <mergeCell ref="AD44:AI44"/>
    <mergeCell ref="AD42:AI42"/>
    <mergeCell ref="AK44:AP44"/>
    <mergeCell ref="R45:U45"/>
    <mergeCell ref="W45:X45"/>
    <mergeCell ref="Z45:AA45"/>
    <mergeCell ref="AC45:AD45"/>
    <mergeCell ref="AE45:AF45"/>
    <mergeCell ref="AK45:AP45"/>
    <mergeCell ref="AD43:AI43"/>
    <mergeCell ref="AK43:AP43"/>
    <mergeCell ref="B49:E49"/>
    <mergeCell ref="F49:AI49"/>
    <mergeCell ref="AK49:AP49"/>
    <mergeCell ref="B50:E50"/>
    <mergeCell ref="F50:AI50"/>
    <mergeCell ref="AK50:AP50"/>
    <mergeCell ref="A46:AI46"/>
    <mergeCell ref="AK46:AP46"/>
    <mergeCell ref="B47:E47"/>
    <mergeCell ref="F47:AI47"/>
    <mergeCell ref="AK47:AP47"/>
    <mergeCell ref="B48:E48"/>
    <mergeCell ref="F48:AI48"/>
    <mergeCell ref="AK48:AP48"/>
    <mergeCell ref="B53:E53"/>
    <mergeCell ref="F53:AI53"/>
    <mergeCell ref="AK53:AP53"/>
    <mergeCell ref="B54:E54"/>
    <mergeCell ref="F54:AI54"/>
    <mergeCell ref="AK54:AP54"/>
    <mergeCell ref="B51:E51"/>
    <mergeCell ref="F51:AI51"/>
    <mergeCell ref="AK51:AP51"/>
    <mergeCell ref="B52:E52"/>
    <mergeCell ref="F52:AI52"/>
    <mergeCell ref="AK52:AP52"/>
    <mergeCell ref="B57:E57"/>
    <mergeCell ref="F57:AI57"/>
    <mergeCell ref="AK57:AP57"/>
    <mergeCell ref="B58:E58"/>
    <mergeCell ref="F58:AI58"/>
    <mergeCell ref="AK58:AP58"/>
    <mergeCell ref="B55:E55"/>
    <mergeCell ref="F55:AI55"/>
    <mergeCell ref="AK55:AP55"/>
    <mergeCell ref="B56:E56"/>
    <mergeCell ref="F56:AI56"/>
    <mergeCell ref="AK56:AP56"/>
    <mergeCell ref="B61:E61"/>
    <mergeCell ref="F61:AI61"/>
    <mergeCell ref="AK61:AP61"/>
    <mergeCell ref="B62:E62"/>
    <mergeCell ref="F62:AI62"/>
    <mergeCell ref="AK62:AP62"/>
    <mergeCell ref="B59:E59"/>
    <mergeCell ref="F59:AI59"/>
    <mergeCell ref="AK59:AP59"/>
    <mergeCell ref="B60:E60"/>
    <mergeCell ref="F60:AI60"/>
    <mergeCell ref="AK60:AP60"/>
    <mergeCell ref="B65:E65"/>
    <mergeCell ref="F65:AI65"/>
    <mergeCell ref="AK65:AP65"/>
    <mergeCell ref="B66:E66"/>
    <mergeCell ref="F66:AI66"/>
    <mergeCell ref="AK66:AP66"/>
    <mergeCell ref="B63:E63"/>
    <mergeCell ref="F63:AI63"/>
    <mergeCell ref="AK63:AP63"/>
    <mergeCell ref="B64:E64"/>
    <mergeCell ref="F64:AI64"/>
    <mergeCell ref="AK64:AP64"/>
    <mergeCell ref="B69:E69"/>
    <mergeCell ref="F69:AI69"/>
    <mergeCell ref="AK69:AP69"/>
    <mergeCell ref="B70:E70"/>
    <mergeCell ref="F70:AI70"/>
    <mergeCell ref="AK70:AP70"/>
    <mergeCell ref="B67:E67"/>
    <mergeCell ref="F67:AI67"/>
    <mergeCell ref="AK67:AP67"/>
    <mergeCell ref="B68:E68"/>
    <mergeCell ref="F68:AI68"/>
    <mergeCell ref="AK68:AP68"/>
    <mergeCell ref="B73:E73"/>
    <mergeCell ref="F73:AI73"/>
    <mergeCell ref="AK73:AP73"/>
    <mergeCell ref="B74:E74"/>
    <mergeCell ref="F74:AI74"/>
    <mergeCell ref="AK74:AP74"/>
    <mergeCell ref="B71:E71"/>
    <mergeCell ref="F71:AI71"/>
    <mergeCell ref="AK71:AP71"/>
    <mergeCell ref="B72:E72"/>
    <mergeCell ref="F72:AI72"/>
    <mergeCell ref="AK72:AP72"/>
    <mergeCell ref="B77:E77"/>
    <mergeCell ref="F77:AI77"/>
    <mergeCell ref="AK77:AP77"/>
    <mergeCell ref="B78:E78"/>
    <mergeCell ref="F78:AI78"/>
    <mergeCell ref="AK78:AP78"/>
    <mergeCell ref="B75:E75"/>
    <mergeCell ref="F75:AI75"/>
    <mergeCell ref="AK75:AP75"/>
    <mergeCell ref="B76:E76"/>
    <mergeCell ref="F76:AI76"/>
    <mergeCell ref="AK76:AP76"/>
    <mergeCell ref="A81:AI81"/>
    <mergeCell ref="AK81:AP81"/>
    <mergeCell ref="B82:E82"/>
    <mergeCell ref="F82:AI82"/>
    <mergeCell ref="AK82:AP82"/>
    <mergeCell ref="B83:E83"/>
    <mergeCell ref="F83:AI83"/>
    <mergeCell ref="AK83:AP83"/>
    <mergeCell ref="B79:E79"/>
    <mergeCell ref="F79:AI79"/>
    <mergeCell ref="AK79:AP79"/>
    <mergeCell ref="B80:E80"/>
    <mergeCell ref="F80:AI80"/>
    <mergeCell ref="AK80:AP80"/>
    <mergeCell ref="B86:E86"/>
    <mergeCell ref="F86:AI86"/>
    <mergeCell ref="AK86:AP86"/>
    <mergeCell ref="AK87:AP87"/>
    <mergeCell ref="AK88:AP88"/>
    <mergeCell ref="AK89:AP89"/>
    <mergeCell ref="B84:E84"/>
    <mergeCell ref="F84:AI84"/>
    <mergeCell ref="AK84:AP84"/>
    <mergeCell ref="B85:E85"/>
    <mergeCell ref="F85:AI85"/>
    <mergeCell ref="AK85:AP85"/>
  </mergeCells>
  <phoneticPr fontId="2"/>
  <conditionalFormatting sqref="AQ20:AQ28 AQ30:AQ31 AQ9 AQ11:AQ12 AQ14 AQ33:AQ34">
    <cfRule type="containsBlanks" dxfId="155" priority="12">
      <formula>LEN(TRIM(AQ9))=0</formula>
    </cfRule>
  </conditionalFormatting>
  <conditionalFormatting sqref="BC11:CF11">
    <cfRule type="containsText" dxfId="154" priority="8" operator="containsText" text="青">
      <formula>NOT(ISERROR(SEARCH("青",BC11)))</formula>
    </cfRule>
    <cfRule type="containsText" dxfId="153" priority="9" operator="containsText" text="緑">
      <formula>NOT(ISERROR(SEARCH("緑",BC11)))</formula>
    </cfRule>
    <cfRule type="containsText" dxfId="152" priority="10" operator="containsText" text="黄">
      <formula>NOT(ISERROR(SEARCH("黄",BC11)))</formula>
    </cfRule>
    <cfRule type="containsText" dxfId="151" priority="11" operator="containsText" text="赤">
      <formula>NOT(ISERROR(SEARCH("赤",BC11)))</formula>
    </cfRule>
  </conditionalFormatting>
  <conditionalFormatting sqref="V7:X8">
    <cfRule type="containsBlanks" dxfId="150" priority="7">
      <formula>LEN(TRIM(V7))=0</formula>
    </cfRule>
  </conditionalFormatting>
  <conditionalFormatting sqref="AB7:AI8">
    <cfRule type="containsBlanks" dxfId="149" priority="6">
      <formula>LEN(TRIM(AB7))=0</formula>
    </cfRule>
  </conditionalFormatting>
  <conditionalFormatting sqref="A7:E8 G7:I8 K7:M8 O7:P8">
    <cfRule type="containsBlanks" dxfId="148" priority="5">
      <formula>LEN(TRIM(A7))=0</formula>
    </cfRule>
  </conditionalFormatting>
  <conditionalFormatting sqref="W15:Y15 AH15:AI15 J15:L15">
    <cfRule type="containsBlanks" dxfId="147" priority="4">
      <formula>LEN(TRIM(J15))=0</formula>
    </cfRule>
  </conditionalFormatting>
  <conditionalFormatting sqref="L41:R44">
    <cfRule type="cellIs" dxfId="146" priority="1" operator="equal">
      <formula>0</formula>
    </cfRule>
  </conditionalFormatting>
  <conditionalFormatting sqref="P36:R36 T36:V36 L38:O38 AC38:AI38 AC36:AI36">
    <cfRule type="containsBlanks" dxfId="145" priority="3">
      <formula>LEN(TRIM(L36))=0</formula>
    </cfRule>
  </conditionalFormatting>
  <conditionalFormatting sqref="W41:Y44 AA41:AI44">
    <cfRule type="cellIs" dxfId="144" priority="2" operator="equal">
      <formula>0</formula>
    </cfRule>
  </conditionalFormatting>
  <printOptions horizontalCentered="1" verticalCentered="1"/>
  <pageMargins left="0.70866141732283472" right="0.59055118110236227" top="0.55118110236220474" bottom="0.55118110236220474" header="0.31496062992125984" footer="0.31496062992125984"/>
  <pageSetup paperSize="9" orientation="portrait" horizontalDpi="300" verticalDpi="300" r:id="rId1"/>
  <headerFooter scaleWithDoc="0" alignWithMargins="0">
    <oddFooter>&amp;C&amp;P&amp;Rヒトトヒト株式会社</oddFooter>
  </headerFooter>
  <rowBreaks count="1" manualBreakCount="1">
    <brk id="44" max="34" man="1"/>
  </rowBreaks>
  <drawing r:id="rId2"/>
  <extLst>
    <ext xmlns:x14="http://schemas.microsoft.com/office/spreadsheetml/2009/9/main" uri="{CCE6A557-97BC-4b89-ADB6-D9C93CAAB3DF}">
      <x14:dataValidations xmlns:xm="http://schemas.microsoft.com/office/excel/2006/main" count="6">
        <x14:dataValidation type="list" allowBlank="1" showInputMessage="1" showErrorMessage="1" xr:uid="{DDEADCD6-88A0-4C70-A8A1-CD7E1F02CA12}">
          <x14:formula1>
            <xm:f>初期値!$N$12:$N$19</xm:f>
          </x14:formula1>
          <xm:sqref>AU22:AV22</xm:sqref>
        </x14:dataValidation>
        <x14:dataValidation type="list" allowBlank="1" showInputMessage="1" showErrorMessage="1" xr:uid="{77577ABC-4C84-4441-9072-CE0DC91A097B}">
          <x14:formula1>
            <xm:f>初期値!$P$12:$P$27</xm:f>
          </x14:formula1>
          <xm:sqref>BA24:BB24 BA22:BB22 BA28:BB28 BA30:BB30 BA32:BB32 BA34:BB34</xm:sqref>
        </x14:dataValidation>
        <x14:dataValidation type="list" allowBlank="1" showInputMessage="1" showErrorMessage="1" xr:uid="{9B6EAD52-A107-42C4-A622-1C80C5AF9D87}">
          <x14:formula1>
            <xm:f>初期値!$N$22:$N$23</xm:f>
          </x14:formula1>
          <xm:sqref>AW23</xm:sqref>
        </x14:dataValidation>
        <x14:dataValidation type="list" allowBlank="1" showInputMessage="1" showErrorMessage="1" xr:uid="{FF6EA023-EEB2-49F4-A646-F2F3F10A91C5}">
          <x14:formula1>
            <xm:f>初期値!$E$12:$E$13</xm:f>
          </x14:formula1>
          <xm:sqref>L38:O38 AC38:AI38 AC36:AI36</xm:sqref>
        </x14:dataValidation>
        <x14:dataValidation type="list" allowBlank="1" showInputMessage="1" showErrorMessage="1" xr:uid="{85ECF5A2-672A-4C08-AA83-805CB8633123}">
          <x14:formula1>
            <xm:f>初期値!$G$12:$G$24</xm:f>
          </x14:formula1>
          <xm:sqref>V7:X8</xm:sqref>
        </x14:dataValidation>
        <x14:dataValidation type="list" allowBlank="1" showInputMessage="1" showErrorMessage="1" xr:uid="{4B34457F-B438-4693-B4C9-C2A2EFF3B09A}">
          <x14:formula1>
            <xm:f>初期値!$C$12:$C$27</xm:f>
          </x14:formula1>
          <xm:sqref>P36:R36 T36:V36</xm:sqref>
        </x14:dataValidation>
      </x14:dataValidations>
    </ext>
  </extLst>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13882B2-3F4C-4ECF-939A-4F3663731B42}">
  <sheetPr codeName="Sheet26"/>
  <dimension ref="A1:CG266"/>
  <sheetViews>
    <sheetView topLeftCell="A38" zoomScaleNormal="100" zoomScaleSheetLayoutView="100" workbookViewId="0">
      <selection activeCell="F50" sqref="F50:AI50"/>
    </sheetView>
  </sheetViews>
  <sheetFormatPr defaultColWidth="8.875" defaultRowHeight="13.5"/>
  <cols>
    <col min="1" max="42" width="2.25" style="23" customWidth="1"/>
    <col min="43" max="43" width="6" style="23" bestFit="1" customWidth="1"/>
    <col min="44" max="44" width="4.5" style="23" bestFit="1" customWidth="1"/>
    <col min="45" max="45" width="6" style="23" bestFit="1" customWidth="1"/>
    <col min="46" max="46" width="4.5" style="23" bestFit="1" customWidth="1"/>
    <col min="47" max="47" width="9" style="23" bestFit="1" customWidth="1"/>
    <col min="48" max="48" width="8.5" style="23" bestFit="1" customWidth="1"/>
    <col min="49" max="49" width="7.5" style="23" bestFit="1" customWidth="1"/>
    <col min="50" max="50" width="6.5" style="23" bestFit="1" customWidth="1"/>
    <col min="51" max="51" width="7.5" style="23" bestFit="1" customWidth="1"/>
    <col min="52" max="52" width="2.125" style="23" customWidth="1"/>
    <col min="53" max="54" width="7.375" style="23" customWidth="1"/>
    <col min="55" max="63" width="3.625" style="23" bestFit="1" customWidth="1"/>
    <col min="64" max="84" width="4" style="23" bestFit="1" customWidth="1"/>
    <col min="85" max="16384" width="8.875" style="23"/>
  </cols>
  <sheetData>
    <row r="1" spans="1:85" ht="14.1" customHeight="1">
      <c r="A1" s="510" t="s">
        <v>551</v>
      </c>
      <c r="B1" s="510"/>
      <c r="C1" s="510"/>
      <c r="D1" s="510"/>
      <c r="E1" s="510"/>
      <c r="F1" s="510"/>
      <c r="G1" s="510"/>
      <c r="H1" s="510"/>
      <c r="I1" s="510"/>
      <c r="J1" s="510"/>
      <c r="K1" s="510"/>
      <c r="L1" s="510"/>
      <c r="M1" s="510"/>
      <c r="N1" s="510"/>
      <c r="O1" s="510"/>
      <c r="P1" s="510"/>
      <c r="Q1" s="510"/>
      <c r="R1" s="510"/>
      <c r="S1" s="510"/>
      <c r="T1" s="388"/>
      <c r="U1" s="388"/>
      <c r="V1" s="388"/>
      <c r="W1" s="388"/>
      <c r="X1" s="388"/>
      <c r="Y1" s="388"/>
      <c r="Z1" s="388"/>
      <c r="AA1" s="24"/>
      <c r="AB1" s="32"/>
      <c r="AD1" s="252" t="s">
        <v>167</v>
      </c>
      <c r="AE1" s="252"/>
      <c r="AF1" s="252"/>
      <c r="AG1" s="252"/>
      <c r="AH1" s="252"/>
      <c r="AI1" s="252"/>
      <c r="AM1" s="123">
        <v>19</v>
      </c>
      <c r="BB1"/>
    </row>
    <row r="2" spans="1:85" ht="14.1" customHeight="1">
      <c r="A2" s="510"/>
      <c r="B2" s="510"/>
      <c r="C2" s="510"/>
      <c r="D2" s="510"/>
      <c r="E2" s="510"/>
      <c r="F2" s="510"/>
      <c r="G2" s="510"/>
      <c r="H2" s="510"/>
      <c r="I2" s="510"/>
      <c r="J2" s="510"/>
      <c r="K2" s="510"/>
      <c r="L2" s="510"/>
      <c r="M2" s="510"/>
      <c r="N2" s="510"/>
      <c r="O2" s="510"/>
      <c r="P2" s="510"/>
      <c r="Q2" s="510"/>
      <c r="R2" s="510"/>
      <c r="S2" s="510"/>
      <c r="T2" s="388"/>
      <c r="U2" s="388"/>
      <c r="V2" s="388"/>
      <c r="W2" s="388"/>
      <c r="X2" s="388"/>
      <c r="Y2" s="388"/>
      <c r="Z2" s="388"/>
      <c r="AA2" s="25"/>
      <c r="AB2" s="31"/>
      <c r="AD2" s="253"/>
      <c r="AE2" s="253"/>
      <c r="AF2" s="253"/>
      <c r="AG2" s="253"/>
      <c r="AH2" s="253"/>
      <c r="AI2" s="253"/>
      <c r="BA2"/>
    </row>
    <row r="3" spans="1:85" ht="14.1" customHeight="1">
      <c r="A3" s="510"/>
      <c r="B3" s="510"/>
      <c r="C3" s="510"/>
      <c r="D3" s="510"/>
      <c r="E3" s="510"/>
      <c r="F3" s="510"/>
      <c r="G3" s="510"/>
      <c r="H3" s="510"/>
      <c r="I3" s="510"/>
      <c r="J3" s="510"/>
      <c r="K3" s="510"/>
      <c r="L3" s="510"/>
      <c r="M3" s="510"/>
      <c r="N3" s="510"/>
      <c r="O3" s="510"/>
      <c r="P3" s="510"/>
      <c r="Q3" s="510"/>
      <c r="R3" s="510"/>
      <c r="S3" s="510"/>
      <c r="T3" s="388"/>
      <c r="U3" s="388"/>
      <c r="V3" s="388"/>
      <c r="W3" s="388"/>
      <c r="X3" s="388"/>
      <c r="Y3" s="388"/>
      <c r="Z3" s="388"/>
      <c r="AA3" s="25"/>
      <c r="AB3" s="31"/>
      <c r="AD3" s="253"/>
      <c r="AE3" s="253"/>
      <c r="AF3" s="253"/>
      <c r="AG3" s="253"/>
      <c r="AH3" s="253"/>
      <c r="AI3" s="253"/>
      <c r="BA3"/>
    </row>
    <row r="4" spans="1:85" ht="14.1" customHeight="1">
      <c r="A4" s="395" t="s">
        <v>552</v>
      </c>
      <c r="B4" s="395"/>
      <c r="C4" s="395"/>
      <c r="D4" s="395"/>
      <c r="E4" s="395"/>
      <c r="F4" s="395"/>
      <c r="G4" s="395"/>
      <c r="H4" s="395"/>
      <c r="I4" s="395"/>
      <c r="J4" s="395"/>
      <c r="K4" s="395"/>
      <c r="L4" s="395"/>
      <c r="M4" s="395"/>
      <c r="N4" s="395"/>
      <c r="O4" s="395"/>
      <c r="P4" s="395"/>
      <c r="Q4" s="395"/>
      <c r="R4" s="395"/>
      <c r="S4" s="395"/>
      <c r="T4" s="155"/>
      <c r="U4" s="155"/>
      <c r="V4" s="155"/>
      <c r="W4" s="155"/>
      <c r="X4" s="155"/>
      <c r="Y4" s="155"/>
      <c r="Z4" s="155"/>
      <c r="AA4" s="26"/>
      <c r="AB4" s="31"/>
      <c r="AD4" s="253"/>
      <c r="AE4" s="253"/>
      <c r="AF4" s="253"/>
      <c r="AG4" s="253"/>
      <c r="AH4" s="253"/>
      <c r="AI4" s="253"/>
      <c r="BA4"/>
    </row>
    <row r="5" spans="1:85" ht="14.1" customHeight="1">
      <c r="A5" s="395"/>
      <c r="B5" s="395"/>
      <c r="C5" s="395"/>
      <c r="D5" s="395"/>
      <c r="E5" s="395"/>
      <c r="F5" s="395"/>
      <c r="G5" s="395"/>
      <c r="H5" s="395"/>
      <c r="I5" s="395"/>
      <c r="J5" s="395"/>
      <c r="K5" s="395"/>
      <c r="L5" s="395"/>
      <c r="M5" s="395"/>
      <c r="N5" s="395"/>
      <c r="O5" s="395"/>
      <c r="P5" s="395"/>
      <c r="Q5" s="395"/>
      <c r="R5" s="395"/>
      <c r="S5" s="395"/>
      <c r="T5" s="155"/>
      <c r="U5" s="155"/>
      <c r="V5" s="155"/>
      <c r="W5" s="155"/>
      <c r="X5" s="155"/>
      <c r="Y5" s="155"/>
      <c r="Z5" s="155"/>
      <c r="AA5" s="26"/>
      <c r="AB5" s="31"/>
      <c r="AC5" s="31"/>
      <c r="AD5" s="31"/>
      <c r="AE5" s="31"/>
      <c r="AF5" s="31"/>
      <c r="AG5" s="31"/>
      <c r="AH5" s="31"/>
      <c r="AI5" s="31"/>
      <c r="BA5"/>
    </row>
    <row r="6" spans="1:85" ht="14.1" customHeight="1" thickBot="1">
      <c r="A6" s="27"/>
      <c r="B6" s="27"/>
      <c r="C6" s="27"/>
      <c r="D6" s="27"/>
      <c r="E6" s="27"/>
      <c r="F6" s="27"/>
      <c r="G6" s="27"/>
      <c r="H6" s="27"/>
      <c r="I6" s="27"/>
      <c r="BA6"/>
    </row>
    <row r="7" spans="1:85" ht="12" customHeight="1">
      <c r="A7" s="255">
        <f>DATE(初期値!A2,初期値!A3,AM1)</f>
        <v>46192</v>
      </c>
      <c r="B7" s="256"/>
      <c r="C7" s="256"/>
      <c r="D7" s="256"/>
      <c r="E7" s="256"/>
      <c r="F7" s="259" t="s">
        <v>169</v>
      </c>
      <c r="G7" s="236">
        <f>$A$7</f>
        <v>46192</v>
      </c>
      <c r="H7" s="236"/>
      <c r="I7" s="236"/>
      <c r="J7" s="239" t="s">
        <v>170</v>
      </c>
      <c r="K7" s="261">
        <f>$A$7</f>
        <v>46192</v>
      </c>
      <c r="L7" s="261"/>
      <c r="M7" s="261"/>
      <c r="N7" s="239" t="s">
        <v>3</v>
      </c>
      <c r="O7" s="520">
        <f>$A$7</f>
        <v>46192</v>
      </c>
      <c r="P7" s="520"/>
      <c r="Q7" s="239" t="s">
        <v>292</v>
      </c>
      <c r="R7" s="240"/>
      <c r="S7" s="522" t="s">
        <v>553</v>
      </c>
      <c r="T7" s="244"/>
      <c r="U7" s="29" t="s">
        <v>554</v>
      </c>
      <c r="V7" s="518" t="s">
        <v>37</v>
      </c>
      <c r="W7" s="518"/>
      <c r="X7" s="518"/>
      <c r="Y7" s="511" t="s">
        <v>555</v>
      </c>
      <c r="Z7" s="512"/>
      <c r="AA7" s="513"/>
      <c r="AB7" s="244" t="str">
        <f>L43</f>
        <v>二野宮慧太</v>
      </c>
      <c r="AC7" s="244"/>
      <c r="AD7" s="244"/>
      <c r="AE7" s="244"/>
      <c r="AF7" s="244"/>
      <c r="AG7" s="244"/>
      <c r="AH7" s="244"/>
      <c r="AI7" s="245"/>
      <c r="AK7" s="425" t="s">
        <v>556</v>
      </c>
      <c r="AL7" s="425"/>
      <c r="AM7" s="425"/>
      <c r="AN7" s="425"/>
      <c r="AO7" s="425"/>
      <c r="AP7" s="425"/>
      <c r="AQ7" s="439" t="s">
        <v>557</v>
      </c>
      <c r="AR7" s="43"/>
      <c r="AS7" s="43"/>
      <c r="AT7" s="43"/>
      <c r="AU7" s="43"/>
      <c r="AV7" s="43"/>
      <c r="AW7" s="43"/>
      <c r="AX7" s="43"/>
      <c r="AY7" s="43"/>
      <c r="AZ7" s="43"/>
      <c r="BA7"/>
    </row>
    <row r="8" spans="1:85" ht="12" customHeight="1" thickBot="1">
      <c r="A8" s="257"/>
      <c r="B8" s="258"/>
      <c r="C8" s="258"/>
      <c r="D8" s="258"/>
      <c r="E8" s="258"/>
      <c r="F8" s="260"/>
      <c r="G8" s="237"/>
      <c r="H8" s="237"/>
      <c r="I8" s="237"/>
      <c r="J8" s="242"/>
      <c r="K8" s="262"/>
      <c r="L8" s="262"/>
      <c r="M8" s="262"/>
      <c r="N8" s="242"/>
      <c r="O8" s="521"/>
      <c r="P8" s="521"/>
      <c r="Q8" s="242"/>
      <c r="R8" s="243"/>
      <c r="S8" s="523"/>
      <c r="T8" s="246"/>
      <c r="U8" s="33" t="s">
        <v>558</v>
      </c>
      <c r="V8" s="519" t="s">
        <v>63</v>
      </c>
      <c r="W8" s="519"/>
      <c r="X8" s="519"/>
      <c r="Y8" s="514"/>
      <c r="Z8" s="515"/>
      <c r="AA8" s="516"/>
      <c r="AB8" s="246"/>
      <c r="AC8" s="246"/>
      <c r="AD8" s="246"/>
      <c r="AE8" s="246"/>
      <c r="AF8" s="246"/>
      <c r="AG8" s="246"/>
      <c r="AH8" s="246"/>
      <c r="AI8" s="247"/>
      <c r="AK8" s="425"/>
      <c r="AL8" s="425"/>
      <c r="AM8" s="425"/>
      <c r="AN8" s="425"/>
      <c r="AO8" s="425"/>
      <c r="AP8" s="425"/>
      <c r="AQ8" s="439"/>
      <c r="AR8" s="43"/>
      <c r="AS8" s="43"/>
      <c r="AT8" s="43"/>
      <c r="AU8" s="43"/>
      <c r="AV8" s="43"/>
      <c r="AW8" s="43"/>
      <c r="AX8" s="43"/>
      <c r="AY8" s="43"/>
      <c r="AZ8" s="43"/>
      <c r="BA8"/>
    </row>
    <row r="9" spans="1:85" ht="18" customHeight="1">
      <c r="A9" s="507" t="s">
        <v>559</v>
      </c>
      <c r="B9" s="508"/>
      <c r="C9" s="508"/>
      <c r="D9" s="508"/>
      <c r="E9" s="508"/>
      <c r="F9" s="508"/>
      <c r="G9" s="508"/>
      <c r="H9" s="508"/>
      <c r="I9" s="508"/>
      <c r="J9" s="508"/>
      <c r="K9" s="508"/>
      <c r="L9" s="508"/>
      <c r="M9" s="508"/>
      <c r="N9" s="508"/>
      <c r="O9" s="508"/>
      <c r="P9" s="508"/>
      <c r="Q9" s="508"/>
      <c r="R9" s="508"/>
      <c r="S9" s="508"/>
      <c r="T9" s="508"/>
      <c r="U9" s="508"/>
      <c r="V9" s="508"/>
      <c r="W9" s="508"/>
      <c r="X9" s="508"/>
      <c r="Y9" s="508"/>
      <c r="Z9" s="508"/>
      <c r="AA9" s="508"/>
      <c r="AB9" s="508"/>
      <c r="AC9" s="508"/>
      <c r="AD9" s="508"/>
      <c r="AE9" s="508"/>
      <c r="AF9" s="508"/>
      <c r="AG9" s="508"/>
      <c r="AH9" s="508"/>
      <c r="AI9" s="509"/>
      <c r="AK9" s="440" t="s">
        <v>560</v>
      </c>
      <c r="AL9" s="440"/>
      <c r="AM9" s="440"/>
      <c r="AN9" s="440"/>
      <c r="AO9" s="440"/>
      <c r="AP9" s="440"/>
      <c r="AQ9" s="42"/>
      <c r="AR9" s="43"/>
      <c r="AS9" s="44" t="s">
        <v>561</v>
      </c>
      <c r="AT9" s="44" t="s">
        <v>562</v>
      </c>
      <c r="AU9" s="44" t="s">
        <v>563</v>
      </c>
      <c r="AV9" s="44" t="s">
        <v>564</v>
      </c>
      <c r="AW9" s="45" t="s">
        <v>565</v>
      </c>
      <c r="AX9" s="45" t="s">
        <v>566</v>
      </c>
      <c r="AY9" s="44" t="s">
        <v>567</v>
      </c>
      <c r="AZ9" s="43"/>
      <c r="BB9" s="49" t="s">
        <v>568</v>
      </c>
      <c r="BC9" s="43"/>
      <c r="BD9" s="43"/>
      <c r="BE9" s="43"/>
      <c r="BF9" s="43"/>
      <c r="BG9" s="43"/>
      <c r="BH9" s="43"/>
      <c r="BI9" s="43"/>
      <c r="BJ9" s="43"/>
      <c r="BK9" s="43"/>
      <c r="BL9" s="43"/>
      <c r="BM9" s="43"/>
      <c r="BN9" s="43"/>
      <c r="BO9" s="43"/>
      <c r="BP9" s="43"/>
      <c r="BQ9" s="43"/>
      <c r="BR9" s="43"/>
      <c r="BS9" s="43"/>
      <c r="BT9" s="43"/>
      <c r="BU9" s="43"/>
      <c r="BV9" s="43"/>
      <c r="BW9" s="43"/>
      <c r="BX9" s="43"/>
      <c r="BY9" s="43"/>
      <c r="BZ9" s="43"/>
      <c r="CA9" s="43"/>
      <c r="CB9" s="43"/>
      <c r="CC9" s="43"/>
      <c r="CD9" s="43"/>
      <c r="CE9" s="43"/>
      <c r="CF9" s="43"/>
      <c r="CG9" s="43"/>
    </row>
    <row r="10" spans="1:85" ht="18" customHeight="1">
      <c r="A10" s="265" t="s">
        <v>569</v>
      </c>
      <c r="B10" s="266"/>
      <c r="C10" s="266"/>
      <c r="D10" s="266"/>
      <c r="E10" s="266"/>
      <c r="F10" s="266"/>
      <c r="G10" s="266"/>
      <c r="H10" s="266"/>
      <c r="I10" s="264">
        <f>AQ14</f>
        <v>0</v>
      </c>
      <c r="J10" s="264"/>
      <c r="K10" s="267" t="s">
        <v>176</v>
      </c>
      <c r="L10" s="268"/>
      <c r="M10" s="269" t="s">
        <v>570</v>
      </c>
      <c r="N10" s="266"/>
      <c r="O10" s="266"/>
      <c r="P10" s="266"/>
      <c r="Q10" s="266"/>
      <c r="R10" s="266"/>
      <c r="S10" s="266"/>
      <c r="T10" s="266"/>
      <c r="U10" s="264">
        <f>AQ37</f>
        <v>0</v>
      </c>
      <c r="V10" s="264"/>
      <c r="W10" s="267" t="s">
        <v>176</v>
      </c>
      <c r="X10" s="268"/>
      <c r="Y10" s="269" t="s">
        <v>571</v>
      </c>
      <c r="Z10" s="266"/>
      <c r="AA10" s="266"/>
      <c r="AB10" s="266"/>
      <c r="AC10" s="266"/>
      <c r="AD10" s="266"/>
      <c r="AE10" s="266"/>
      <c r="AF10" s="266"/>
      <c r="AG10" s="264">
        <f>AQ26+AQ25</f>
        <v>0</v>
      </c>
      <c r="AH10" s="264"/>
      <c r="AI10" s="28" t="s">
        <v>176</v>
      </c>
      <c r="AK10" s="440" t="s">
        <v>572</v>
      </c>
      <c r="AL10" s="440"/>
      <c r="AM10" s="440"/>
      <c r="AN10" s="440"/>
      <c r="AO10" s="440"/>
      <c r="AP10" s="440"/>
      <c r="AQ10" s="42"/>
      <c r="AR10" s="43"/>
      <c r="AS10" s="46">
        <v>1</v>
      </c>
      <c r="AT10" s="46"/>
      <c r="AU10" s="46" t="s">
        <v>20</v>
      </c>
      <c r="AV10" s="47" t="s">
        <v>573</v>
      </c>
      <c r="AW10" s="47" t="s">
        <v>574</v>
      </c>
      <c r="AX10" s="47">
        <v>0.33333333333333331</v>
      </c>
      <c r="AY10" s="47">
        <v>0.83333333333333337</v>
      </c>
      <c r="AZ10" s="43"/>
      <c r="BB10" s="49" t="s">
        <v>95</v>
      </c>
      <c r="BC10" s="120">
        <v>1</v>
      </c>
      <c r="BD10" s="120">
        <v>2</v>
      </c>
      <c r="BE10" s="120">
        <v>3</v>
      </c>
      <c r="BF10" s="120">
        <v>4</v>
      </c>
      <c r="BG10" s="120">
        <v>5</v>
      </c>
      <c r="BH10" s="120">
        <v>6</v>
      </c>
      <c r="BI10" s="120">
        <v>7</v>
      </c>
      <c r="BJ10" s="120">
        <v>8</v>
      </c>
      <c r="BK10" s="120">
        <v>9</v>
      </c>
      <c r="BL10" s="120">
        <v>10</v>
      </c>
      <c r="BM10" s="120">
        <v>11</v>
      </c>
      <c r="BN10" s="120">
        <v>12</v>
      </c>
      <c r="BO10" s="120">
        <v>13</v>
      </c>
      <c r="BP10" s="120">
        <v>14</v>
      </c>
      <c r="BQ10" s="120">
        <v>15</v>
      </c>
      <c r="BR10" s="120">
        <v>16</v>
      </c>
      <c r="BS10" s="120">
        <v>17</v>
      </c>
      <c r="BT10" s="120">
        <v>18</v>
      </c>
      <c r="BU10" s="120">
        <v>19</v>
      </c>
      <c r="BV10" s="120">
        <v>20</v>
      </c>
      <c r="BW10" s="120">
        <v>21</v>
      </c>
      <c r="BX10" s="120">
        <v>22</v>
      </c>
      <c r="BY10" s="120">
        <v>23</v>
      </c>
      <c r="BZ10" s="120">
        <v>24</v>
      </c>
      <c r="CA10" s="120">
        <v>25</v>
      </c>
      <c r="CB10" s="120">
        <v>26</v>
      </c>
      <c r="CC10" s="120">
        <v>27</v>
      </c>
      <c r="CD10" s="120">
        <v>28</v>
      </c>
      <c r="CE10" s="120">
        <v>29</v>
      </c>
      <c r="CF10" s="120">
        <v>30</v>
      </c>
      <c r="CG10" s="43"/>
    </row>
    <row r="11" spans="1:85" ht="18" customHeight="1">
      <c r="A11" s="265" t="s">
        <v>575</v>
      </c>
      <c r="B11" s="266"/>
      <c r="C11" s="266"/>
      <c r="D11" s="266"/>
      <c r="E11" s="266"/>
      <c r="F11" s="266"/>
      <c r="G11" s="266"/>
      <c r="H11" s="266"/>
      <c r="I11" s="264">
        <f>AQ27</f>
        <v>0</v>
      </c>
      <c r="J11" s="264"/>
      <c r="K11" s="267" t="s">
        <v>176</v>
      </c>
      <c r="L11" s="268"/>
      <c r="M11" s="269" t="s">
        <v>576</v>
      </c>
      <c r="N11" s="266"/>
      <c r="O11" s="266"/>
      <c r="P11" s="266"/>
      <c r="Q11" s="266"/>
      <c r="R11" s="266"/>
      <c r="S11" s="266"/>
      <c r="T11" s="266"/>
      <c r="U11" s="264">
        <f>AQ36</f>
        <v>0</v>
      </c>
      <c r="V11" s="264"/>
      <c r="W11" s="267" t="s">
        <v>176</v>
      </c>
      <c r="X11" s="268"/>
      <c r="Y11" s="269" t="s">
        <v>577</v>
      </c>
      <c r="Z11" s="266"/>
      <c r="AA11" s="266"/>
      <c r="AB11" s="266"/>
      <c r="AC11" s="266"/>
      <c r="AD11" s="266"/>
      <c r="AE11" s="266"/>
      <c r="AF11" s="266"/>
      <c r="AG11" s="264">
        <f>AQ34</f>
        <v>0</v>
      </c>
      <c r="AH11" s="264"/>
      <c r="AI11" s="28" t="s">
        <v>176</v>
      </c>
      <c r="AK11" s="441" t="s">
        <v>578</v>
      </c>
      <c r="AL11" s="442"/>
      <c r="AM11" s="442"/>
      <c r="AN11" s="442"/>
      <c r="AO11" s="442"/>
      <c r="AP11" s="443"/>
      <c r="AQ11" s="42"/>
      <c r="AR11" s="43"/>
      <c r="AS11" s="46">
        <v>2</v>
      </c>
      <c r="AT11" s="46"/>
      <c r="AU11" s="46"/>
      <c r="AV11" s="47" t="s">
        <v>579</v>
      </c>
      <c r="AW11" s="47" t="s">
        <v>580</v>
      </c>
      <c r="AX11" s="47">
        <v>0.33333333333333331</v>
      </c>
      <c r="AY11" s="47">
        <v>0.58333333333333337</v>
      </c>
      <c r="AZ11" s="43"/>
      <c r="BB11" s="121" t="s">
        <v>581</v>
      </c>
      <c r="BC11" s="138" t="s">
        <v>582</v>
      </c>
      <c r="BD11" s="138" t="s">
        <v>583</v>
      </c>
      <c r="BE11" s="138" t="s">
        <v>584</v>
      </c>
      <c r="BF11" s="138" t="s">
        <v>585</v>
      </c>
      <c r="BG11" s="139" t="s">
        <v>584</v>
      </c>
      <c r="BH11" s="138" t="s">
        <v>582</v>
      </c>
      <c r="BI11" s="138" t="s">
        <v>585</v>
      </c>
      <c r="BJ11" s="138" t="s">
        <v>583</v>
      </c>
      <c r="BK11" s="138" t="s">
        <v>584</v>
      </c>
      <c r="BL11" s="138" t="s">
        <v>583</v>
      </c>
      <c r="BM11" s="138" t="s">
        <v>585</v>
      </c>
      <c r="BN11" s="138" t="s">
        <v>582</v>
      </c>
      <c r="BO11" s="138" t="s">
        <v>584</v>
      </c>
      <c r="BP11" s="138" t="s">
        <v>585</v>
      </c>
      <c r="BQ11" s="138" t="s">
        <v>583</v>
      </c>
      <c r="BR11" s="138" t="s">
        <v>585</v>
      </c>
      <c r="BS11" s="138" t="s">
        <v>584</v>
      </c>
      <c r="BT11" s="138" t="s">
        <v>582</v>
      </c>
      <c r="BU11" s="138" t="s">
        <v>583</v>
      </c>
      <c r="BV11" s="138" t="s">
        <v>585</v>
      </c>
      <c r="BW11" s="138" t="s">
        <v>582</v>
      </c>
      <c r="BX11" s="138" t="s">
        <v>584</v>
      </c>
      <c r="BY11" s="138" t="s">
        <v>585</v>
      </c>
      <c r="BZ11" s="138" t="s">
        <v>583</v>
      </c>
      <c r="CA11" s="138" t="s">
        <v>582</v>
      </c>
      <c r="CB11" s="138" t="s">
        <v>585</v>
      </c>
      <c r="CC11" s="138" t="s">
        <v>584</v>
      </c>
      <c r="CD11" s="138" t="s">
        <v>582</v>
      </c>
      <c r="CE11" s="138" t="s">
        <v>585</v>
      </c>
      <c r="CF11" s="138" t="s">
        <v>583</v>
      </c>
      <c r="CG11" s="43"/>
    </row>
    <row r="12" spans="1:85" ht="18" customHeight="1">
      <c r="A12" s="265" t="s">
        <v>586</v>
      </c>
      <c r="B12" s="266"/>
      <c r="C12" s="266"/>
      <c r="D12" s="266"/>
      <c r="E12" s="266"/>
      <c r="F12" s="266"/>
      <c r="G12" s="266"/>
      <c r="H12" s="266"/>
      <c r="I12" s="264">
        <f>AQ33</f>
        <v>2</v>
      </c>
      <c r="J12" s="264"/>
      <c r="K12" s="267" t="s">
        <v>176</v>
      </c>
      <c r="L12" s="268"/>
      <c r="M12" s="269" t="s">
        <v>587</v>
      </c>
      <c r="N12" s="266"/>
      <c r="O12" s="266"/>
      <c r="P12" s="266"/>
      <c r="Q12" s="266"/>
      <c r="R12" s="266"/>
      <c r="S12" s="266"/>
      <c r="T12" s="266"/>
      <c r="U12" s="264">
        <f>AQ24</f>
        <v>0</v>
      </c>
      <c r="V12" s="264"/>
      <c r="W12" s="267" t="s">
        <v>176</v>
      </c>
      <c r="X12" s="268"/>
      <c r="Y12" s="269" t="s">
        <v>588</v>
      </c>
      <c r="Z12" s="266"/>
      <c r="AA12" s="266"/>
      <c r="AB12" s="266"/>
      <c r="AC12" s="266"/>
      <c r="AD12" s="266"/>
      <c r="AE12" s="266"/>
      <c r="AF12" s="266"/>
      <c r="AG12" s="264">
        <f>AQ20+AQ21+AQ22+AQ23</f>
        <v>0</v>
      </c>
      <c r="AH12" s="264"/>
      <c r="AI12" s="28" t="s">
        <v>176</v>
      </c>
      <c r="AK12" s="441" t="s">
        <v>589</v>
      </c>
      <c r="AL12" s="442"/>
      <c r="AM12" s="442"/>
      <c r="AN12" s="442"/>
      <c r="AO12" s="442"/>
      <c r="AP12" s="443"/>
      <c r="AQ12" s="42"/>
      <c r="AR12" s="43"/>
      <c r="AS12" s="46">
        <v>3</v>
      </c>
      <c r="AT12" s="46"/>
      <c r="AU12" s="46"/>
      <c r="AV12" s="47" t="s">
        <v>590</v>
      </c>
      <c r="AW12" s="47" t="s">
        <v>574</v>
      </c>
      <c r="AX12" s="47">
        <v>0.58333333333333337</v>
      </c>
      <c r="AY12" s="47">
        <v>0.83333333333333337</v>
      </c>
      <c r="AZ12" s="43"/>
      <c r="BB12" s="49"/>
      <c r="BC12" s="43"/>
      <c r="BD12" s="43"/>
      <c r="BE12" s="43"/>
      <c r="BF12" s="43"/>
      <c r="BG12" s="43"/>
      <c r="BH12" s="43"/>
      <c r="BI12" s="43"/>
      <c r="BJ12" s="43"/>
      <c r="BK12" s="43"/>
      <c r="BL12" s="43"/>
      <c r="BM12" s="43"/>
      <c r="BN12" s="43"/>
      <c r="BO12" s="43"/>
      <c r="BP12" s="43"/>
      <c r="BQ12" s="43"/>
      <c r="BR12" s="43"/>
      <c r="BS12" s="43"/>
      <c r="BT12" s="43"/>
      <c r="BU12" s="43"/>
      <c r="BV12" s="43"/>
      <c r="BW12" s="43"/>
      <c r="BX12" s="43"/>
      <c r="BY12" s="43"/>
      <c r="BZ12" s="43"/>
      <c r="CA12" s="43"/>
      <c r="CB12" s="43"/>
      <c r="CC12" s="43"/>
      <c r="CD12" s="43"/>
      <c r="CE12" s="43"/>
      <c r="CF12" s="43"/>
      <c r="CG12" s="43"/>
    </row>
    <row r="13" spans="1:85" ht="18" customHeight="1" thickBot="1">
      <c r="A13" s="517" t="s">
        <v>591</v>
      </c>
      <c r="B13" s="277"/>
      <c r="C13" s="277"/>
      <c r="D13" s="277"/>
      <c r="E13" s="277"/>
      <c r="F13" s="277"/>
      <c r="G13" s="277"/>
      <c r="H13" s="277"/>
      <c r="I13" s="272">
        <f>AQ30+AQ31</f>
        <v>0</v>
      </c>
      <c r="J13" s="272"/>
      <c r="K13" s="273" t="s">
        <v>176</v>
      </c>
      <c r="L13" s="274"/>
      <c r="M13" s="276" t="s">
        <v>592</v>
      </c>
      <c r="N13" s="277"/>
      <c r="O13" s="277"/>
      <c r="P13" s="277"/>
      <c r="Q13" s="277"/>
      <c r="R13" s="277"/>
      <c r="S13" s="277"/>
      <c r="T13" s="277"/>
      <c r="U13" s="272">
        <f>AQ28</f>
        <v>0</v>
      </c>
      <c r="V13" s="272"/>
      <c r="W13" s="273" t="s">
        <v>176</v>
      </c>
      <c r="X13" s="274"/>
      <c r="Y13" s="276" t="s">
        <v>593</v>
      </c>
      <c r="Z13" s="277"/>
      <c r="AA13" s="277"/>
      <c r="AB13" s="277"/>
      <c r="AC13" s="277"/>
      <c r="AD13" s="277"/>
      <c r="AE13" s="277"/>
      <c r="AF13" s="277"/>
      <c r="AG13" s="272">
        <f>AQ13</f>
        <v>0</v>
      </c>
      <c r="AH13" s="272"/>
      <c r="AI13" s="34" t="s">
        <v>176</v>
      </c>
      <c r="AK13" s="425" t="s">
        <v>594</v>
      </c>
      <c r="AL13" s="425"/>
      <c r="AM13" s="425"/>
      <c r="AN13" s="425"/>
      <c r="AO13" s="425"/>
      <c r="AP13" s="425"/>
      <c r="AQ13" s="42"/>
      <c r="AR13" s="43"/>
      <c r="AS13" s="46">
        <v>4</v>
      </c>
      <c r="AT13" s="46"/>
      <c r="AU13" s="46" t="s">
        <v>28</v>
      </c>
      <c r="AV13" s="47" t="s">
        <v>595</v>
      </c>
      <c r="AW13" s="47" t="s">
        <v>596</v>
      </c>
      <c r="AX13" s="47">
        <v>0.33333333333333331</v>
      </c>
      <c r="AY13" s="47">
        <v>0.83333333333333337</v>
      </c>
      <c r="AZ13" s="43"/>
      <c r="BB13" s="121" t="s">
        <v>597</v>
      </c>
      <c r="BC13" s="140" t="s">
        <v>20</v>
      </c>
      <c r="BD13" s="140" t="s">
        <v>119</v>
      </c>
      <c r="BE13" s="140" t="s">
        <v>20</v>
      </c>
      <c r="BF13" s="140" t="s">
        <v>20</v>
      </c>
      <c r="BG13" s="140" t="s">
        <v>20</v>
      </c>
      <c r="BH13" s="140" t="s">
        <v>20</v>
      </c>
      <c r="BI13" s="140" t="s">
        <v>80</v>
      </c>
      <c r="BJ13" s="140" t="s">
        <v>20</v>
      </c>
      <c r="BK13" s="140" t="s">
        <v>20</v>
      </c>
      <c r="BL13" s="140" t="s">
        <v>20</v>
      </c>
      <c r="BM13" s="140" t="s">
        <v>20</v>
      </c>
      <c r="BN13" s="140" t="s">
        <v>20</v>
      </c>
      <c r="BO13" s="140" t="s">
        <v>119</v>
      </c>
      <c r="BP13" s="140" t="s">
        <v>119</v>
      </c>
      <c r="BQ13" s="140" t="s">
        <v>20</v>
      </c>
      <c r="BR13" s="140" t="s">
        <v>119</v>
      </c>
      <c r="BS13" s="140" t="s">
        <v>20</v>
      </c>
      <c r="BT13" s="140" t="s">
        <v>20</v>
      </c>
      <c r="BU13" s="140" t="s">
        <v>20</v>
      </c>
      <c r="BV13" s="140" t="s">
        <v>119</v>
      </c>
      <c r="BW13" s="140" t="s">
        <v>119</v>
      </c>
      <c r="BX13" s="140" t="s">
        <v>20</v>
      </c>
      <c r="BY13" s="140" t="s">
        <v>119</v>
      </c>
      <c r="BZ13" s="140" t="s">
        <v>20</v>
      </c>
      <c r="CA13" s="140" t="s">
        <v>119</v>
      </c>
      <c r="CB13" s="140" t="s">
        <v>20</v>
      </c>
      <c r="CC13" s="140" t="s">
        <v>20</v>
      </c>
      <c r="CD13" s="140" t="s">
        <v>119</v>
      </c>
      <c r="CE13" s="140" t="s">
        <v>20</v>
      </c>
      <c r="CF13" s="140" t="s">
        <v>119</v>
      </c>
      <c r="CG13" s="43"/>
    </row>
    <row r="14" spans="1:85" ht="18" customHeight="1" thickBot="1">
      <c r="A14" s="452" t="s">
        <v>598</v>
      </c>
      <c r="B14" s="453"/>
      <c r="C14" s="453"/>
      <c r="D14" s="453"/>
      <c r="E14" s="453"/>
      <c r="F14" s="453"/>
      <c r="G14" s="453"/>
      <c r="H14" s="453"/>
      <c r="I14" s="453"/>
      <c r="J14" s="453"/>
      <c r="K14" s="453"/>
      <c r="L14" s="453"/>
      <c r="M14" s="453"/>
      <c r="N14" s="453"/>
      <c r="O14" s="453"/>
      <c r="P14" s="453"/>
      <c r="Q14" s="453"/>
      <c r="R14" s="453"/>
      <c r="S14" s="453"/>
      <c r="T14" s="453"/>
      <c r="U14" s="453"/>
      <c r="V14" s="453"/>
      <c r="W14" s="453"/>
      <c r="X14" s="453"/>
      <c r="Y14" s="453"/>
      <c r="Z14" s="453"/>
      <c r="AA14" s="453"/>
      <c r="AB14" s="453"/>
      <c r="AC14" s="453"/>
      <c r="AD14" s="453"/>
      <c r="AE14" s="453"/>
      <c r="AF14" s="453"/>
      <c r="AG14" s="453"/>
      <c r="AH14" s="453"/>
      <c r="AI14" s="454"/>
      <c r="AK14" s="440" t="s">
        <v>599</v>
      </c>
      <c r="AL14" s="440"/>
      <c r="AM14" s="440"/>
      <c r="AN14" s="440"/>
      <c r="AO14" s="440"/>
      <c r="AP14" s="440"/>
      <c r="AQ14" s="42"/>
      <c r="AR14" s="43"/>
      <c r="AS14" s="46">
        <v>5</v>
      </c>
      <c r="AT14" s="46"/>
      <c r="AU14" s="46" t="s">
        <v>602</v>
      </c>
      <c r="AV14" s="47" t="s">
        <v>600</v>
      </c>
      <c r="AW14" s="47" t="s">
        <v>596</v>
      </c>
      <c r="AX14" s="47">
        <v>0.33333333333333331</v>
      </c>
      <c r="AY14" s="47">
        <v>0.83333333333333337</v>
      </c>
      <c r="AZ14" s="43"/>
      <c r="BB14" s="121" t="s">
        <v>601</v>
      </c>
      <c r="BC14" s="162" t="s">
        <v>28</v>
      </c>
      <c r="BD14" s="162" t="s">
        <v>602</v>
      </c>
      <c r="BE14" s="162" t="s">
        <v>602</v>
      </c>
      <c r="BF14" s="162" t="s">
        <v>28</v>
      </c>
      <c r="BG14" s="162" t="s">
        <v>602</v>
      </c>
      <c r="BH14" s="162" t="s">
        <v>602</v>
      </c>
      <c r="BI14" s="162" t="s">
        <v>28</v>
      </c>
      <c r="BJ14" s="162" t="s">
        <v>28</v>
      </c>
      <c r="BK14" s="162" t="s">
        <v>602</v>
      </c>
      <c r="BL14" s="162" t="s">
        <v>28</v>
      </c>
      <c r="BM14" s="162" t="s">
        <v>602</v>
      </c>
      <c r="BN14" s="162" t="s">
        <v>28</v>
      </c>
      <c r="BO14" s="162" t="s">
        <v>28</v>
      </c>
      <c r="BP14" s="162" t="s">
        <v>76</v>
      </c>
      <c r="BQ14" s="162" t="s">
        <v>28</v>
      </c>
      <c r="BR14" s="162" t="s">
        <v>602</v>
      </c>
      <c r="BS14" s="162" t="s">
        <v>28</v>
      </c>
      <c r="BT14" s="162" t="s">
        <v>602</v>
      </c>
      <c r="BU14" s="162" t="s">
        <v>28</v>
      </c>
      <c r="BV14" s="162" t="s">
        <v>602</v>
      </c>
      <c r="BW14" s="162" t="s">
        <v>28</v>
      </c>
      <c r="BX14" s="162" t="s">
        <v>28</v>
      </c>
      <c r="BY14" s="162" t="s">
        <v>602</v>
      </c>
      <c r="BZ14" s="162" t="s">
        <v>28</v>
      </c>
      <c r="CA14" s="162" t="s">
        <v>602</v>
      </c>
      <c r="CB14" s="162" t="s">
        <v>28</v>
      </c>
      <c r="CC14" s="162" t="s">
        <v>28</v>
      </c>
      <c r="CD14" s="162" t="s">
        <v>76</v>
      </c>
      <c r="CE14" s="162" t="s">
        <v>28</v>
      </c>
      <c r="CF14" s="162" t="s">
        <v>602</v>
      </c>
      <c r="CG14" s="43"/>
    </row>
    <row r="15" spans="1:85" ht="18" customHeight="1" thickBot="1">
      <c r="A15" s="30" t="s">
        <v>189</v>
      </c>
      <c r="B15" s="264" t="s">
        <v>603</v>
      </c>
      <c r="C15" s="264"/>
      <c r="D15" s="264"/>
      <c r="E15" s="264"/>
      <c r="F15" s="264"/>
      <c r="G15" s="264"/>
      <c r="H15" s="264"/>
      <c r="I15" s="264"/>
      <c r="J15" s="278">
        <f>AQ9+AQ10</f>
        <v>0</v>
      </c>
      <c r="K15" s="278"/>
      <c r="L15" s="278"/>
      <c r="M15" s="264" t="s">
        <v>176</v>
      </c>
      <c r="N15" s="264"/>
      <c r="O15" s="264" t="s">
        <v>604</v>
      </c>
      <c r="P15" s="264"/>
      <c r="Q15" s="264"/>
      <c r="R15" s="264"/>
      <c r="S15" s="264"/>
      <c r="T15" s="264"/>
      <c r="U15" s="264"/>
      <c r="V15" s="264"/>
      <c r="W15" s="278">
        <f>AQ11+AQ12</f>
        <v>0</v>
      </c>
      <c r="X15" s="278"/>
      <c r="Y15" s="278"/>
      <c r="Z15" s="264" t="s">
        <v>176</v>
      </c>
      <c r="AA15" s="264"/>
      <c r="AB15" s="503" t="s">
        <v>605</v>
      </c>
      <c r="AC15" s="503"/>
      <c r="AD15" s="503"/>
      <c r="AE15" s="503"/>
      <c r="AF15" s="503"/>
      <c r="AG15" s="503"/>
      <c r="AH15" s="281" t="s">
        <v>583</v>
      </c>
      <c r="AI15" s="282"/>
      <c r="AK15" s="425" t="s">
        <v>606</v>
      </c>
      <c r="AL15" s="425"/>
      <c r="AM15" s="425"/>
      <c r="AN15" s="425"/>
      <c r="AO15" s="425"/>
      <c r="AP15" s="425"/>
      <c r="AQ15" s="42"/>
      <c r="AR15" s="43"/>
      <c r="AS15" s="46">
        <v>6</v>
      </c>
      <c r="AT15" s="46"/>
      <c r="AU15" s="46"/>
      <c r="AV15" s="47" t="s">
        <v>607</v>
      </c>
      <c r="AW15" s="47" t="s">
        <v>596</v>
      </c>
      <c r="AX15" s="47">
        <v>0.33333333333333331</v>
      </c>
      <c r="AY15" s="47">
        <v>0.83333333333333337</v>
      </c>
      <c r="AZ15" s="43"/>
      <c r="BB15" s="121" t="s">
        <v>31</v>
      </c>
      <c r="BC15" s="163" t="s">
        <v>119</v>
      </c>
      <c r="BD15" s="164"/>
      <c r="BE15" s="165" t="s">
        <v>28</v>
      </c>
      <c r="BF15" s="165" t="s">
        <v>119</v>
      </c>
      <c r="BG15" s="164"/>
      <c r="BH15" s="164"/>
      <c r="BI15" s="164"/>
      <c r="BJ15" s="164"/>
      <c r="BK15" s="165" t="s">
        <v>119</v>
      </c>
      <c r="BL15" s="165" t="s">
        <v>602</v>
      </c>
      <c r="BM15" s="165" t="s">
        <v>119</v>
      </c>
      <c r="BN15" s="165" t="s">
        <v>602</v>
      </c>
      <c r="BO15" s="164"/>
      <c r="BP15" s="164"/>
      <c r="BQ15" s="165" t="s">
        <v>608</v>
      </c>
      <c r="BR15" s="165" t="s">
        <v>20</v>
      </c>
      <c r="BS15" s="165" t="s">
        <v>602</v>
      </c>
      <c r="BT15" s="165" t="s">
        <v>119</v>
      </c>
      <c r="BU15" s="165" t="s">
        <v>602</v>
      </c>
      <c r="BV15" s="164"/>
      <c r="BW15" s="164"/>
      <c r="BX15" s="165" t="s">
        <v>119</v>
      </c>
      <c r="BY15" s="165" t="s">
        <v>20</v>
      </c>
      <c r="BZ15" s="165" t="s">
        <v>602</v>
      </c>
      <c r="CA15" s="165" t="s">
        <v>20</v>
      </c>
      <c r="CB15" s="165" t="s">
        <v>602</v>
      </c>
      <c r="CC15" s="165" t="s">
        <v>602</v>
      </c>
      <c r="CD15" s="164"/>
      <c r="CE15" s="165" t="s">
        <v>119</v>
      </c>
      <c r="CF15" s="165" t="s">
        <v>20</v>
      </c>
      <c r="CG15" s="43"/>
    </row>
    <row r="16" spans="1:85" ht="18" customHeight="1">
      <c r="A16" s="504" t="s">
        <v>609</v>
      </c>
      <c r="B16" s="505"/>
      <c r="C16" s="505"/>
      <c r="D16" s="505"/>
      <c r="E16" s="505"/>
      <c r="F16" s="505"/>
      <c r="G16" s="505"/>
      <c r="H16" s="505"/>
      <c r="I16" s="505"/>
      <c r="J16" s="505"/>
      <c r="K16" s="505"/>
      <c r="L16" s="505"/>
      <c r="M16" s="505"/>
      <c r="N16" s="505"/>
      <c r="O16" s="505"/>
      <c r="P16" s="505"/>
      <c r="Q16" s="505"/>
      <c r="R16" s="505"/>
      <c r="S16" s="505"/>
      <c r="T16" s="505"/>
      <c r="U16" s="505"/>
      <c r="V16" s="505"/>
      <c r="W16" s="505"/>
      <c r="X16" s="505"/>
      <c r="Y16" s="505"/>
      <c r="Z16" s="505"/>
      <c r="AA16" s="505"/>
      <c r="AB16" s="505"/>
      <c r="AC16" s="505"/>
      <c r="AD16" s="505"/>
      <c r="AE16" s="505"/>
      <c r="AF16" s="505"/>
      <c r="AG16" s="505"/>
      <c r="AH16" s="505"/>
      <c r="AI16" s="506"/>
      <c r="AK16" s="425" t="s">
        <v>610</v>
      </c>
      <c r="AL16" s="425"/>
      <c r="AM16" s="425"/>
      <c r="AN16" s="425"/>
      <c r="AO16" s="425"/>
      <c r="AP16" s="425"/>
      <c r="AQ16" s="42"/>
      <c r="AR16" s="43"/>
      <c r="AS16" s="46">
        <v>7</v>
      </c>
      <c r="AT16" s="46"/>
      <c r="AU16" s="46" t="s">
        <v>61</v>
      </c>
      <c r="AV16" s="47" t="s">
        <v>611</v>
      </c>
      <c r="AW16" s="47" t="s">
        <v>612</v>
      </c>
      <c r="AX16" s="47">
        <v>0.83333333333333337</v>
      </c>
      <c r="AY16" s="47" t="s">
        <v>613</v>
      </c>
      <c r="AZ16" s="43"/>
      <c r="BB16" s="121" t="s">
        <v>614</v>
      </c>
      <c r="BC16" s="142" t="s">
        <v>20</v>
      </c>
      <c r="BD16" s="140" t="s">
        <v>67</v>
      </c>
      <c r="BE16" s="142" t="s">
        <v>42</v>
      </c>
      <c r="BF16" s="142" t="s">
        <v>20</v>
      </c>
      <c r="BG16" s="142" t="s">
        <v>42</v>
      </c>
      <c r="BH16" s="142" t="s">
        <v>61</v>
      </c>
      <c r="BI16" s="142" t="s">
        <v>67</v>
      </c>
      <c r="BJ16" s="142" t="s">
        <v>67</v>
      </c>
      <c r="BK16" s="142" t="s">
        <v>42</v>
      </c>
      <c r="BL16" s="142" t="s">
        <v>42</v>
      </c>
      <c r="BM16" s="142" t="s">
        <v>67</v>
      </c>
      <c r="BN16" s="142" t="s">
        <v>67</v>
      </c>
      <c r="BO16" s="142" t="s">
        <v>42</v>
      </c>
      <c r="BP16" s="142" t="s">
        <v>67</v>
      </c>
      <c r="BQ16" s="142" t="s">
        <v>20</v>
      </c>
      <c r="BR16" s="142" t="s">
        <v>71</v>
      </c>
      <c r="BS16" s="142" t="s">
        <v>67</v>
      </c>
      <c r="BT16" s="142" t="s">
        <v>67</v>
      </c>
      <c r="BU16" s="142" t="s">
        <v>61</v>
      </c>
      <c r="BV16" s="142" t="s">
        <v>42</v>
      </c>
      <c r="BW16" s="142" t="s">
        <v>49</v>
      </c>
      <c r="BX16" s="142" t="s">
        <v>20</v>
      </c>
      <c r="BY16" s="142" t="s">
        <v>71</v>
      </c>
      <c r="BZ16" s="142" t="s">
        <v>42</v>
      </c>
      <c r="CA16" s="142" t="s">
        <v>20</v>
      </c>
      <c r="CB16" s="142" t="s">
        <v>61</v>
      </c>
      <c r="CC16" s="142" t="s">
        <v>42</v>
      </c>
      <c r="CD16" s="142" t="s">
        <v>49</v>
      </c>
      <c r="CE16" s="142" t="s">
        <v>20</v>
      </c>
      <c r="CF16" s="143" t="s">
        <v>71</v>
      </c>
      <c r="CG16" s="43"/>
    </row>
    <row r="17" spans="1:85" ht="18" customHeight="1">
      <c r="A17" s="396" t="s">
        <v>615</v>
      </c>
      <c r="B17" s="397"/>
      <c r="C17" s="397"/>
      <c r="D17" s="397"/>
      <c r="E17" s="397"/>
      <c r="F17" s="398" t="s">
        <v>616</v>
      </c>
      <c r="G17" s="398"/>
      <c r="H17" s="398"/>
      <c r="I17" s="398"/>
      <c r="J17" s="398"/>
      <c r="K17" s="398"/>
      <c r="L17" s="398"/>
      <c r="M17" s="398"/>
      <c r="N17" s="398"/>
      <c r="O17" s="398"/>
      <c r="P17" s="398"/>
      <c r="Q17" s="398"/>
      <c r="R17" s="398"/>
      <c r="S17" s="398"/>
      <c r="T17" s="398"/>
      <c r="U17" s="398"/>
      <c r="V17" s="398"/>
      <c r="W17" s="398"/>
      <c r="X17" s="398"/>
      <c r="Y17" s="398"/>
      <c r="Z17" s="398"/>
      <c r="AA17" s="398"/>
      <c r="AB17" s="398"/>
      <c r="AC17" s="398"/>
      <c r="AD17" s="398"/>
      <c r="AE17" s="398"/>
      <c r="AF17" s="398"/>
      <c r="AG17" s="398"/>
      <c r="AH17" s="398"/>
      <c r="AI17" s="399"/>
      <c r="AK17" s="425" t="s">
        <v>617</v>
      </c>
      <c r="AL17" s="425"/>
      <c r="AM17" s="425"/>
      <c r="AN17" s="425"/>
      <c r="AO17" s="425"/>
      <c r="AP17" s="425"/>
      <c r="AQ17" s="42"/>
      <c r="AR17" s="43"/>
      <c r="AS17" s="46">
        <v>8</v>
      </c>
      <c r="AT17" s="46"/>
      <c r="AU17" s="46" t="s">
        <v>42</v>
      </c>
      <c r="AV17" s="47" t="s">
        <v>618</v>
      </c>
      <c r="AW17" s="47" t="s">
        <v>612</v>
      </c>
      <c r="AX17" s="47">
        <v>0.83333333333333337</v>
      </c>
      <c r="AY17" s="47" t="s">
        <v>613</v>
      </c>
      <c r="AZ17" s="43"/>
      <c r="BB17" s="121" t="s">
        <v>619</v>
      </c>
      <c r="BC17" s="141" t="s">
        <v>67</v>
      </c>
      <c r="BD17" s="140" t="s">
        <v>42</v>
      </c>
      <c r="BE17" s="141" t="s">
        <v>71</v>
      </c>
      <c r="BF17" s="140" t="s">
        <v>67</v>
      </c>
      <c r="BG17" s="140" t="s">
        <v>61</v>
      </c>
      <c r="BH17" s="140" t="s">
        <v>42</v>
      </c>
      <c r="BI17" s="140" t="s">
        <v>49</v>
      </c>
      <c r="BJ17" s="140" t="s">
        <v>61</v>
      </c>
      <c r="BK17" s="140" t="s">
        <v>71</v>
      </c>
      <c r="BL17" s="140" t="s">
        <v>67</v>
      </c>
      <c r="BM17" s="140" t="s">
        <v>49</v>
      </c>
      <c r="BN17" s="140" t="s">
        <v>49</v>
      </c>
      <c r="BO17" s="140" t="s">
        <v>61</v>
      </c>
      <c r="BP17" s="140" t="s">
        <v>49</v>
      </c>
      <c r="BQ17" s="140" t="s">
        <v>67</v>
      </c>
      <c r="BR17" s="140" t="s">
        <v>42</v>
      </c>
      <c r="BS17" s="140" t="s">
        <v>42</v>
      </c>
      <c r="BT17" s="140" t="s">
        <v>49</v>
      </c>
      <c r="BU17" s="140" t="s">
        <v>42</v>
      </c>
      <c r="BV17" s="140" t="s">
        <v>61</v>
      </c>
      <c r="BW17" s="140" t="s">
        <v>71</v>
      </c>
      <c r="BX17" s="140" t="s">
        <v>67</v>
      </c>
      <c r="BY17" s="140" t="s">
        <v>42</v>
      </c>
      <c r="BZ17" s="140" t="s">
        <v>67</v>
      </c>
      <c r="CA17" s="140" t="s">
        <v>67</v>
      </c>
      <c r="CB17" s="140" t="s">
        <v>49</v>
      </c>
      <c r="CC17" s="140" t="s">
        <v>61</v>
      </c>
      <c r="CD17" s="140" t="s">
        <v>71</v>
      </c>
      <c r="CE17" s="140" t="s">
        <v>67</v>
      </c>
      <c r="CF17" s="140" t="s">
        <v>42</v>
      </c>
      <c r="CG17" s="43"/>
    </row>
    <row r="18" spans="1:85" ht="18" customHeight="1">
      <c r="A18" s="501" t="s">
        <v>620</v>
      </c>
      <c r="B18" s="502"/>
      <c r="C18" s="502"/>
      <c r="D18" s="502"/>
      <c r="E18" s="502"/>
      <c r="F18" s="400" t="s">
        <v>616</v>
      </c>
      <c r="G18" s="400"/>
      <c r="H18" s="400"/>
      <c r="I18" s="400"/>
      <c r="J18" s="400"/>
      <c r="K18" s="400"/>
      <c r="L18" s="400"/>
      <c r="M18" s="400"/>
      <c r="N18" s="400"/>
      <c r="O18" s="400"/>
      <c r="P18" s="400"/>
      <c r="Q18" s="400"/>
      <c r="R18" s="400"/>
      <c r="S18" s="400"/>
      <c r="T18" s="400"/>
      <c r="U18" s="400"/>
      <c r="V18" s="400"/>
      <c r="W18" s="400"/>
      <c r="X18" s="400"/>
      <c r="Y18" s="400"/>
      <c r="Z18" s="400"/>
      <c r="AA18" s="400"/>
      <c r="AB18" s="400"/>
      <c r="AC18" s="400"/>
      <c r="AD18" s="400"/>
      <c r="AE18" s="400"/>
      <c r="AF18" s="400"/>
      <c r="AG18" s="400"/>
      <c r="AH18" s="400"/>
      <c r="AI18" s="401"/>
      <c r="AK18" s="425" t="s">
        <v>621</v>
      </c>
      <c r="AL18" s="425"/>
      <c r="AM18" s="425"/>
      <c r="AN18" s="425"/>
      <c r="AO18" s="425"/>
      <c r="AP18" s="425"/>
      <c r="AQ18" s="42"/>
      <c r="AR18" s="43"/>
      <c r="AS18" s="46">
        <v>9</v>
      </c>
      <c r="AT18" s="46"/>
      <c r="AU18" s="46"/>
      <c r="AV18" s="47" t="s">
        <v>622</v>
      </c>
      <c r="AW18" s="47" t="s">
        <v>612</v>
      </c>
      <c r="AX18" s="47">
        <v>0.83333333333333337</v>
      </c>
      <c r="AY18" s="47" t="s">
        <v>613</v>
      </c>
      <c r="AZ18" s="43"/>
    </row>
    <row r="19" spans="1:85" ht="18" customHeight="1" thickBot="1">
      <c r="A19" s="35" t="s">
        <v>189</v>
      </c>
      <c r="B19" s="405">
        <v>0.56944444444444442</v>
      </c>
      <c r="C19" s="405"/>
      <c r="D19" s="405"/>
      <c r="E19" s="405"/>
      <c r="F19" s="402" t="s">
        <v>874</v>
      </c>
      <c r="G19" s="402"/>
      <c r="H19" s="402"/>
      <c r="I19" s="402"/>
      <c r="J19" s="402"/>
      <c r="K19" s="402"/>
      <c r="L19" s="402"/>
      <c r="M19" s="402"/>
      <c r="N19" s="402"/>
      <c r="O19" s="402"/>
      <c r="P19" s="402"/>
      <c r="Q19" s="402"/>
      <c r="R19" s="402"/>
      <c r="S19" s="402"/>
      <c r="T19" s="402"/>
      <c r="U19" s="402"/>
      <c r="V19" s="402"/>
      <c r="W19" s="402"/>
      <c r="X19" s="402"/>
      <c r="Y19" s="402"/>
      <c r="Z19" s="402"/>
      <c r="AA19" s="402"/>
      <c r="AB19" s="402"/>
      <c r="AC19" s="402"/>
      <c r="AD19" s="402"/>
      <c r="AE19" s="402"/>
      <c r="AF19" s="402"/>
      <c r="AG19" s="402"/>
      <c r="AH19" s="402"/>
      <c r="AI19" s="403"/>
      <c r="AK19" s="524" t="s">
        <v>623</v>
      </c>
      <c r="AL19" s="524"/>
      <c r="AM19" s="524"/>
      <c r="AN19" s="524"/>
      <c r="AO19" s="524"/>
      <c r="AP19" s="524"/>
      <c r="AQ19" s="58"/>
      <c r="AR19" s="43"/>
      <c r="AS19" s="46">
        <v>10</v>
      </c>
      <c r="AT19" s="46"/>
      <c r="AU19" s="46"/>
      <c r="AV19" s="47" t="s">
        <v>111</v>
      </c>
      <c r="AW19" s="47" t="s">
        <v>612</v>
      </c>
      <c r="AX19" s="47">
        <v>0.83333333333333337</v>
      </c>
      <c r="AY19" s="47" t="s">
        <v>613</v>
      </c>
      <c r="AZ19" s="43"/>
    </row>
    <row r="20" spans="1:85" ht="18" customHeight="1">
      <c r="A20" s="36" t="s">
        <v>189</v>
      </c>
      <c r="B20" s="404">
        <v>0.65277777777777779</v>
      </c>
      <c r="C20" s="404"/>
      <c r="D20" s="404"/>
      <c r="E20" s="404"/>
      <c r="F20" s="288" t="s">
        <v>875</v>
      </c>
      <c r="G20" s="288"/>
      <c r="H20" s="288"/>
      <c r="I20" s="288"/>
      <c r="J20" s="288"/>
      <c r="K20" s="288"/>
      <c r="L20" s="288"/>
      <c r="M20" s="288"/>
      <c r="N20" s="288"/>
      <c r="O20" s="288"/>
      <c r="P20" s="288"/>
      <c r="Q20" s="288"/>
      <c r="R20" s="288"/>
      <c r="S20" s="288"/>
      <c r="T20" s="288"/>
      <c r="U20" s="288"/>
      <c r="V20" s="288"/>
      <c r="W20" s="288"/>
      <c r="X20" s="288"/>
      <c r="Y20" s="288"/>
      <c r="Z20" s="288"/>
      <c r="AA20" s="288"/>
      <c r="AB20" s="288"/>
      <c r="AC20" s="288"/>
      <c r="AD20" s="288"/>
      <c r="AE20" s="288"/>
      <c r="AF20" s="288"/>
      <c r="AG20" s="288"/>
      <c r="AH20" s="288"/>
      <c r="AI20" s="289"/>
      <c r="AK20" s="447" t="s">
        <v>624</v>
      </c>
      <c r="AL20" s="448"/>
      <c r="AM20" s="448"/>
      <c r="AN20" s="448"/>
      <c r="AO20" s="448"/>
      <c r="AP20" s="448"/>
      <c r="AQ20" s="62"/>
      <c r="AR20" s="426" t="s">
        <v>625</v>
      </c>
      <c r="AS20" s="146">
        <v>11</v>
      </c>
      <c r="AT20" s="46"/>
      <c r="AU20" s="46"/>
      <c r="AV20" s="47" t="s">
        <v>111</v>
      </c>
      <c r="AW20" s="47" t="s">
        <v>612</v>
      </c>
      <c r="AX20" s="47">
        <v>0.83333333333333337</v>
      </c>
      <c r="AY20" s="47" t="s">
        <v>613</v>
      </c>
      <c r="AZ20" s="43"/>
    </row>
    <row r="21" spans="1:85" ht="18" customHeight="1" thickBot="1">
      <c r="A21" s="36"/>
      <c r="B21" s="404"/>
      <c r="C21" s="404"/>
      <c r="D21" s="404"/>
      <c r="E21" s="404"/>
      <c r="F21" s="288" t="s">
        <v>876</v>
      </c>
      <c r="G21" s="288"/>
      <c r="H21" s="288"/>
      <c r="I21" s="288"/>
      <c r="J21" s="288"/>
      <c r="K21" s="288"/>
      <c r="L21" s="288"/>
      <c r="M21" s="288"/>
      <c r="N21" s="288"/>
      <c r="O21" s="288"/>
      <c r="P21" s="288"/>
      <c r="Q21" s="288"/>
      <c r="R21" s="288"/>
      <c r="S21" s="288"/>
      <c r="T21" s="288"/>
      <c r="U21" s="288"/>
      <c r="V21" s="288"/>
      <c r="W21" s="288"/>
      <c r="X21" s="288"/>
      <c r="Y21" s="288"/>
      <c r="Z21" s="288"/>
      <c r="AA21" s="288"/>
      <c r="AB21" s="288"/>
      <c r="AC21" s="288"/>
      <c r="AD21" s="288"/>
      <c r="AE21" s="288"/>
      <c r="AF21" s="288"/>
      <c r="AG21" s="288"/>
      <c r="AH21" s="288"/>
      <c r="AI21" s="289"/>
      <c r="AK21" s="429" t="s">
        <v>626</v>
      </c>
      <c r="AL21" s="430"/>
      <c r="AM21" s="430"/>
      <c r="AN21" s="430"/>
      <c r="AO21" s="430"/>
      <c r="AP21" s="430"/>
      <c r="AQ21" s="63"/>
      <c r="AR21" s="427"/>
      <c r="AW21" s="43"/>
      <c r="AX21" s="43"/>
      <c r="AY21" s="43"/>
      <c r="AZ21" s="43"/>
    </row>
    <row r="22" spans="1:85" ht="18" customHeight="1">
      <c r="A22" s="36"/>
      <c r="B22" s="404">
        <v>0.66666666666666663</v>
      </c>
      <c r="C22" s="404"/>
      <c r="D22" s="404"/>
      <c r="E22" s="404"/>
      <c r="F22" s="288" t="s">
        <v>909</v>
      </c>
      <c r="G22" s="288"/>
      <c r="H22" s="288"/>
      <c r="I22" s="288"/>
      <c r="J22" s="288"/>
      <c r="K22" s="288"/>
      <c r="L22" s="288"/>
      <c r="M22" s="288"/>
      <c r="N22" s="288"/>
      <c r="O22" s="288"/>
      <c r="P22" s="288"/>
      <c r="Q22" s="288"/>
      <c r="R22" s="288"/>
      <c r="S22" s="288"/>
      <c r="T22" s="288"/>
      <c r="U22" s="288"/>
      <c r="V22" s="288"/>
      <c r="W22" s="288"/>
      <c r="X22" s="288"/>
      <c r="Y22" s="288"/>
      <c r="Z22" s="288"/>
      <c r="AA22" s="288"/>
      <c r="AB22" s="288"/>
      <c r="AC22" s="288"/>
      <c r="AD22" s="288"/>
      <c r="AE22" s="288"/>
      <c r="AF22" s="288"/>
      <c r="AG22" s="288"/>
      <c r="AH22" s="288"/>
      <c r="AI22" s="289"/>
      <c r="AK22" s="429" t="s">
        <v>627</v>
      </c>
      <c r="AL22" s="430"/>
      <c r="AM22" s="430"/>
      <c r="AN22" s="430"/>
      <c r="AO22" s="430"/>
      <c r="AP22" s="430"/>
      <c r="AQ22" s="63"/>
      <c r="AR22" s="427"/>
      <c r="AS22" s="433" t="s">
        <v>628</v>
      </c>
      <c r="AT22" s="434"/>
      <c r="AU22" s="435"/>
      <c r="AV22" s="435"/>
      <c r="AW22" s="60" t="s">
        <v>74</v>
      </c>
      <c r="AY22" s="413" t="s">
        <v>629</v>
      </c>
      <c r="AZ22" s="413"/>
      <c r="BA22" s="412"/>
      <c r="BB22" s="412"/>
    </row>
    <row r="23" spans="1:85" ht="18" customHeight="1" thickBot="1">
      <c r="A23" s="36"/>
      <c r="B23" s="404"/>
      <c r="C23" s="404"/>
      <c r="D23" s="404"/>
      <c r="E23" s="404"/>
      <c r="F23" s="288" t="s">
        <v>878</v>
      </c>
      <c r="G23" s="288"/>
      <c r="H23" s="288"/>
      <c r="I23" s="288"/>
      <c r="J23" s="288"/>
      <c r="K23" s="288"/>
      <c r="L23" s="288"/>
      <c r="M23" s="288"/>
      <c r="N23" s="288"/>
      <c r="O23" s="288"/>
      <c r="P23" s="288"/>
      <c r="Q23" s="288"/>
      <c r="R23" s="288"/>
      <c r="S23" s="288"/>
      <c r="T23" s="288"/>
      <c r="U23" s="288"/>
      <c r="V23" s="288"/>
      <c r="W23" s="288"/>
      <c r="X23" s="288"/>
      <c r="Y23" s="288"/>
      <c r="Z23" s="288"/>
      <c r="AA23" s="288"/>
      <c r="AB23" s="288"/>
      <c r="AC23" s="288"/>
      <c r="AD23" s="288"/>
      <c r="AE23" s="288"/>
      <c r="AF23" s="288"/>
      <c r="AG23" s="288"/>
      <c r="AH23" s="288"/>
      <c r="AI23" s="289"/>
      <c r="AK23" s="431" t="s">
        <v>630</v>
      </c>
      <c r="AL23" s="432"/>
      <c r="AM23" s="432"/>
      <c r="AN23" s="432"/>
      <c r="AO23" s="432"/>
      <c r="AP23" s="432"/>
      <c r="AQ23" s="64"/>
      <c r="AR23" s="428"/>
      <c r="AS23" s="536" t="s">
        <v>631</v>
      </c>
      <c r="AT23" s="246"/>
      <c r="AU23" s="537"/>
      <c r="AV23" s="537"/>
      <c r="AW23" s="56" t="s">
        <v>632</v>
      </c>
      <c r="AY23" s="413" t="s">
        <v>633</v>
      </c>
      <c r="AZ23" s="413"/>
      <c r="BA23" s="412"/>
      <c r="BB23" s="412"/>
    </row>
    <row r="24" spans="1:85" ht="18" customHeight="1" thickBot="1">
      <c r="A24" s="36"/>
      <c r="B24" s="404"/>
      <c r="C24" s="404"/>
      <c r="D24" s="404"/>
      <c r="E24" s="404"/>
      <c r="F24" s="288" t="s">
        <v>879</v>
      </c>
      <c r="G24" s="288"/>
      <c r="H24" s="288"/>
      <c r="I24" s="288"/>
      <c r="J24" s="288"/>
      <c r="K24" s="288"/>
      <c r="L24" s="288"/>
      <c r="M24" s="288"/>
      <c r="N24" s="288"/>
      <c r="O24" s="288"/>
      <c r="P24" s="288"/>
      <c r="Q24" s="288"/>
      <c r="R24" s="288"/>
      <c r="S24" s="288"/>
      <c r="T24" s="288"/>
      <c r="U24" s="288"/>
      <c r="V24" s="288"/>
      <c r="W24" s="288"/>
      <c r="X24" s="288"/>
      <c r="Y24" s="288"/>
      <c r="Z24" s="288"/>
      <c r="AA24" s="288"/>
      <c r="AB24" s="288"/>
      <c r="AC24" s="288"/>
      <c r="AD24" s="288"/>
      <c r="AE24" s="288"/>
      <c r="AF24" s="288"/>
      <c r="AG24" s="288"/>
      <c r="AH24" s="288"/>
      <c r="AI24" s="289"/>
      <c r="AK24" s="527" t="s">
        <v>634</v>
      </c>
      <c r="AL24" s="528"/>
      <c r="AM24" s="528"/>
      <c r="AN24" s="528"/>
      <c r="AO24" s="528"/>
      <c r="AP24" s="528"/>
      <c r="AQ24" s="65"/>
      <c r="AR24" s="43"/>
      <c r="AY24" s="413" t="s">
        <v>635</v>
      </c>
      <c r="AZ24" s="413"/>
      <c r="BA24" s="412"/>
      <c r="BB24" s="412"/>
    </row>
    <row r="25" spans="1:85" ht="18" customHeight="1">
      <c r="A25" s="36" t="s">
        <v>189</v>
      </c>
      <c r="B25" s="404">
        <v>0.89166666666666672</v>
      </c>
      <c r="C25" s="404"/>
      <c r="D25" s="404"/>
      <c r="E25" s="404"/>
      <c r="F25" s="288" t="s">
        <v>862</v>
      </c>
      <c r="G25" s="288"/>
      <c r="H25" s="288"/>
      <c r="I25" s="288"/>
      <c r="J25" s="288"/>
      <c r="K25" s="288"/>
      <c r="L25" s="288"/>
      <c r="M25" s="288"/>
      <c r="N25" s="288"/>
      <c r="O25" s="288"/>
      <c r="P25" s="288"/>
      <c r="Q25" s="288"/>
      <c r="R25" s="288"/>
      <c r="S25" s="288"/>
      <c r="T25" s="288"/>
      <c r="U25" s="288"/>
      <c r="V25" s="288"/>
      <c r="W25" s="288"/>
      <c r="X25" s="288"/>
      <c r="Y25" s="288"/>
      <c r="Z25" s="288"/>
      <c r="AA25" s="288"/>
      <c r="AB25" s="288"/>
      <c r="AC25" s="288"/>
      <c r="AD25" s="288"/>
      <c r="AE25" s="288"/>
      <c r="AF25" s="288"/>
      <c r="AG25" s="288"/>
      <c r="AH25" s="288"/>
      <c r="AI25" s="289"/>
      <c r="AK25" s="529" t="s">
        <v>636</v>
      </c>
      <c r="AL25" s="529"/>
      <c r="AM25" s="529"/>
      <c r="AN25" s="529"/>
      <c r="AO25" s="529"/>
      <c r="AP25" s="529"/>
      <c r="AQ25" s="66"/>
      <c r="AR25" s="43"/>
      <c r="AY25" s="413" t="s">
        <v>637</v>
      </c>
      <c r="AZ25" s="413"/>
      <c r="BA25" s="412"/>
      <c r="BB25" s="412"/>
    </row>
    <row r="26" spans="1:85" ht="18" customHeight="1">
      <c r="A26" s="36" t="s">
        <v>189</v>
      </c>
      <c r="B26" s="404">
        <v>0.92708333333333337</v>
      </c>
      <c r="C26" s="404"/>
      <c r="D26" s="404"/>
      <c r="E26" s="404"/>
      <c r="F26" s="288" t="s">
        <v>880</v>
      </c>
      <c r="G26" s="288"/>
      <c r="H26" s="288"/>
      <c r="I26" s="288"/>
      <c r="J26" s="288"/>
      <c r="K26" s="288"/>
      <c r="L26" s="288"/>
      <c r="M26" s="288"/>
      <c r="N26" s="288"/>
      <c r="O26" s="288"/>
      <c r="P26" s="288"/>
      <c r="Q26" s="288"/>
      <c r="R26" s="288"/>
      <c r="S26" s="288"/>
      <c r="T26" s="288"/>
      <c r="U26" s="288"/>
      <c r="V26" s="288"/>
      <c r="W26" s="288"/>
      <c r="X26" s="288"/>
      <c r="Y26" s="288"/>
      <c r="Z26" s="288"/>
      <c r="AA26" s="288"/>
      <c r="AB26" s="288"/>
      <c r="AC26" s="288"/>
      <c r="AD26" s="288"/>
      <c r="AE26" s="288"/>
      <c r="AF26" s="288"/>
      <c r="AG26" s="288"/>
      <c r="AH26" s="288"/>
      <c r="AI26" s="289"/>
      <c r="AK26" s="436" t="s">
        <v>638</v>
      </c>
      <c r="AL26" s="436"/>
      <c r="AM26" s="436"/>
      <c r="AN26" s="436"/>
      <c r="AO26" s="436"/>
      <c r="AP26" s="436"/>
      <c r="AQ26" s="67"/>
      <c r="AR26" s="43"/>
      <c r="AS26" s="548" t="s">
        <v>639</v>
      </c>
      <c r="AT26" s="549"/>
      <c r="AU26" s="549"/>
      <c r="AV26" s="549"/>
      <c r="AW26" s="550"/>
      <c r="AY26" s="147"/>
      <c r="AZ26" s="147"/>
      <c r="BA26" s="147"/>
      <c r="BB26" s="147"/>
    </row>
    <row r="27" spans="1:85" ht="18" customHeight="1">
      <c r="A27" s="36"/>
      <c r="B27" s="404">
        <v>0.92777777777777781</v>
      </c>
      <c r="C27" s="404"/>
      <c r="D27" s="404"/>
      <c r="E27" s="404"/>
      <c r="F27" s="288" t="s">
        <v>881</v>
      </c>
      <c r="G27" s="288"/>
      <c r="H27" s="288"/>
      <c r="I27" s="288"/>
      <c r="J27" s="288"/>
      <c r="K27" s="288"/>
      <c r="L27" s="288"/>
      <c r="M27" s="288"/>
      <c r="N27" s="288"/>
      <c r="O27" s="288"/>
      <c r="P27" s="288"/>
      <c r="Q27" s="288"/>
      <c r="R27" s="288"/>
      <c r="S27" s="288"/>
      <c r="T27" s="288"/>
      <c r="U27" s="288"/>
      <c r="V27" s="288"/>
      <c r="W27" s="288"/>
      <c r="X27" s="288"/>
      <c r="Y27" s="288"/>
      <c r="Z27" s="288"/>
      <c r="AA27" s="288"/>
      <c r="AB27" s="288"/>
      <c r="AC27" s="288"/>
      <c r="AD27" s="288"/>
      <c r="AE27" s="288"/>
      <c r="AF27" s="288"/>
      <c r="AG27" s="288"/>
      <c r="AH27" s="288"/>
      <c r="AI27" s="289"/>
      <c r="AK27" s="436" t="s">
        <v>640</v>
      </c>
      <c r="AL27" s="436"/>
      <c r="AM27" s="436"/>
      <c r="AN27" s="436"/>
      <c r="AO27" s="436"/>
      <c r="AP27" s="436"/>
      <c r="AQ27" s="67"/>
      <c r="AR27" s="43"/>
      <c r="AS27" s="458" t="s">
        <v>641</v>
      </c>
      <c r="AT27" s="460"/>
      <c r="AU27" s="458" t="s">
        <v>642</v>
      </c>
      <c r="AV27" s="459"/>
      <c r="AW27" s="460"/>
      <c r="AY27" s="411" t="s">
        <v>643</v>
      </c>
      <c r="AZ27" s="411"/>
      <c r="BA27" s="411"/>
      <c r="BB27" s="411"/>
    </row>
    <row r="28" spans="1:85" ht="18" customHeight="1" thickBot="1">
      <c r="A28" s="36"/>
      <c r="B28" s="404"/>
      <c r="C28" s="404"/>
      <c r="D28" s="404"/>
      <c r="E28" s="404"/>
      <c r="F28" s="288" t="s">
        <v>910</v>
      </c>
      <c r="G28" s="288"/>
      <c r="H28" s="288"/>
      <c r="I28" s="288"/>
      <c r="J28" s="288"/>
      <c r="K28" s="288"/>
      <c r="L28" s="288"/>
      <c r="M28" s="288"/>
      <c r="N28" s="288"/>
      <c r="O28" s="288"/>
      <c r="P28" s="288"/>
      <c r="Q28" s="288"/>
      <c r="R28" s="288"/>
      <c r="S28" s="288"/>
      <c r="T28" s="288"/>
      <c r="U28" s="288"/>
      <c r="V28" s="288"/>
      <c r="W28" s="288"/>
      <c r="X28" s="288"/>
      <c r="Y28" s="288"/>
      <c r="Z28" s="288"/>
      <c r="AA28" s="288"/>
      <c r="AB28" s="288"/>
      <c r="AC28" s="288"/>
      <c r="AD28" s="288"/>
      <c r="AE28" s="288"/>
      <c r="AF28" s="288"/>
      <c r="AG28" s="288"/>
      <c r="AH28" s="288"/>
      <c r="AI28" s="289"/>
      <c r="AK28" s="436" t="s">
        <v>644</v>
      </c>
      <c r="AL28" s="436"/>
      <c r="AM28" s="436"/>
      <c r="AN28" s="436"/>
      <c r="AO28" s="436"/>
      <c r="AP28" s="436"/>
      <c r="AQ28" s="67"/>
      <c r="AR28" s="43"/>
      <c r="AS28" s="538" t="s">
        <v>645</v>
      </c>
      <c r="AT28" s="539"/>
      <c r="AU28" s="533" t="s">
        <v>646</v>
      </c>
      <c r="AV28" s="534"/>
      <c r="AW28" s="535"/>
      <c r="AY28" s="413" t="s">
        <v>647</v>
      </c>
      <c r="AZ28" s="413"/>
      <c r="BA28" s="412"/>
      <c r="BB28" s="412"/>
    </row>
    <row r="29" spans="1:85" ht="18" customHeight="1" thickBot="1">
      <c r="A29" s="36"/>
      <c r="B29" s="404"/>
      <c r="C29" s="404"/>
      <c r="D29" s="404"/>
      <c r="E29" s="404"/>
      <c r="F29" s="288" t="s">
        <v>883</v>
      </c>
      <c r="G29" s="288"/>
      <c r="H29" s="288"/>
      <c r="I29" s="288"/>
      <c r="J29" s="288"/>
      <c r="K29" s="288"/>
      <c r="L29" s="288"/>
      <c r="M29" s="288"/>
      <c r="N29" s="288"/>
      <c r="O29" s="288"/>
      <c r="P29" s="288"/>
      <c r="Q29" s="288"/>
      <c r="R29" s="288"/>
      <c r="S29" s="288"/>
      <c r="T29" s="288"/>
      <c r="U29" s="288"/>
      <c r="V29" s="288"/>
      <c r="W29" s="288"/>
      <c r="X29" s="288"/>
      <c r="Y29" s="288"/>
      <c r="Z29" s="288"/>
      <c r="AA29" s="288"/>
      <c r="AB29" s="288"/>
      <c r="AC29" s="288"/>
      <c r="AD29" s="288"/>
      <c r="AE29" s="288"/>
      <c r="AF29" s="288"/>
      <c r="AG29" s="288"/>
      <c r="AH29" s="288"/>
      <c r="AI29" s="289"/>
      <c r="AK29" s="524"/>
      <c r="AL29" s="524"/>
      <c r="AM29" s="524"/>
      <c r="AN29" s="524"/>
      <c r="AO29" s="524"/>
      <c r="AP29" s="524"/>
      <c r="AQ29" s="58"/>
      <c r="AR29" s="43"/>
      <c r="AS29" s="551"/>
      <c r="AT29" s="552"/>
      <c r="AU29" s="434"/>
      <c r="AV29" s="434"/>
      <c r="AW29" s="553"/>
      <c r="AY29" s="413" t="s">
        <v>633</v>
      </c>
      <c r="AZ29" s="413"/>
      <c r="BA29" s="412"/>
      <c r="BB29" s="412"/>
    </row>
    <row r="30" spans="1:85" ht="18" customHeight="1">
      <c r="A30" s="36"/>
      <c r="B30" s="404"/>
      <c r="C30" s="404"/>
      <c r="D30" s="404"/>
      <c r="E30" s="404"/>
      <c r="F30" s="288" t="s">
        <v>884</v>
      </c>
      <c r="G30" s="288"/>
      <c r="H30" s="288"/>
      <c r="I30" s="288"/>
      <c r="J30" s="288"/>
      <c r="K30" s="288"/>
      <c r="L30" s="288"/>
      <c r="M30" s="288"/>
      <c r="N30" s="288"/>
      <c r="O30" s="288"/>
      <c r="P30" s="288"/>
      <c r="Q30" s="288"/>
      <c r="R30" s="288"/>
      <c r="S30" s="288"/>
      <c r="T30" s="288"/>
      <c r="U30" s="288"/>
      <c r="V30" s="288"/>
      <c r="W30" s="288"/>
      <c r="X30" s="288"/>
      <c r="Y30" s="288"/>
      <c r="Z30" s="288"/>
      <c r="AA30" s="288"/>
      <c r="AB30" s="288"/>
      <c r="AC30" s="288"/>
      <c r="AD30" s="288"/>
      <c r="AE30" s="288"/>
      <c r="AF30" s="288"/>
      <c r="AG30" s="288"/>
      <c r="AH30" s="288"/>
      <c r="AI30" s="289"/>
      <c r="AK30" s="449" t="s">
        <v>648</v>
      </c>
      <c r="AL30" s="450"/>
      <c r="AM30" s="450"/>
      <c r="AN30" s="450"/>
      <c r="AO30" s="450"/>
      <c r="AP30" s="450"/>
      <c r="AQ30" s="62"/>
      <c r="AR30" s="43"/>
      <c r="AS30" s="554"/>
      <c r="AT30" s="532"/>
      <c r="AU30" s="439"/>
      <c r="AV30" s="439"/>
      <c r="AW30" s="555"/>
      <c r="AY30" s="413" t="s">
        <v>649</v>
      </c>
      <c r="AZ30" s="413"/>
      <c r="BA30" s="412"/>
      <c r="BB30" s="412"/>
    </row>
    <row r="31" spans="1:85" ht="18" customHeight="1" thickBot="1">
      <c r="A31" s="37"/>
      <c r="B31" s="466">
        <v>0.95138888888888884</v>
      </c>
      <c r="C31" s="466"/>
      <c r="D31" s="466"/>
      <c r="E31" s="466"/>
      <c r="F31" s="467" t="s">
        <v>911</v>
      </c>
      <c r="G31" s="467"/>
      <c r="H31" s="467"/>
      <c r="I31" s="467"/>
      <c r="J31" s="467"/>
      <c r="K31" s="467"/>
      <c r="L31" s="467"/>
      <c r="M31" s="467"/>
      <c r="N31" s="467"/>
      <c r="O31" s="467"/>
      <c r="P31" s="467"/>
      <c r="Q31" s="467"/>
      <c r="R31" s="467"/>
      <c r="S31" s="467"/>
      <c r="T31" s="467"/>
      <c r="U31" s="467"/>
      <c r="V31" s="467"/>
      <c r="W31" s="467"/>
      <c r="X31" s="467"/>
      <c r="Y31" s="467"/>
      <c r="Z31" s="467"/>
      <c r="AA31" s="467"/>
      <c r="AB31" s="467"/>
      <c r="AC31" s="467"/>
      <c r="AD31" s="467"/>
      <c r="AE31" s="467"/>
      <c r="AF31" s="467"/>
      <c r="AG31" s="467"/>
      <c r="AH31" s="467"/>
      <c r="AI31" s="468"/>
      <c r="AK31" s="451" t="s">
        <v>650</v>
      </c>
      <c r="AL31" s="416"/>
      <c r="AM31" s="416"/>
      <c r="AN31" s="416"/>
      <c r="AO31" s="416"/>
      <c r="AP31" s="416"/>
      <c r="AQ31" s="64"/>
      <c r="AR31" s="48"/>
      <c r="AS31" s="556"/>
      <c r="AT31" s="557"/>
      <c r="AU31" s="424"/>
      <c r="AV31" s="424"/>
      <c r="AW31" s="491"/>
      <c r="AY31" s="413" t="s">
        <v>637</v>
      </c>
      <c r="AZ31" s="413"/>
      <c r="BA31" s="412"/>
      <c r="BB31" s="412"/>
    </row>
    <row r="32" spans="1:85" ht="18" customHeight="1" thickBot="1">
      <c r="A32" s="406" t="s">
        <v>651</v>
      </c>
      <c r="B32" s="407"/>
      <c r="C32" s="407"/>
      <c r="D32" s="407"/>
      <c r="E32" s="407"/>
      <c r="F32" s="407"/>
      <c r="G32" s="407"/>
      <c r="H32" s="407"/>
      <c r="I32" s="407"/>
      <c r="J32" s="407"/>
      <c r="K32" s="407"/>
      <c r="L32" s="407"/>
      <c r="M32" s="407"/>
      <c r="N32" s="407"/>
      <c r="O32" s="407"/>
      <c r="P32" s="407"/>
      <c r="Q32" s="407"/>
      <c r="R32" s="407"/>
      <c r="S32" s="407"/>
      <c r="T32" s="407"/>
      <c r="U32" s="407"/>
      <c r="V32" s="407"/>
      <c r="W32" s="407"/>
      <c r="X32" s="407"/>
      <c r="Y32" s="407"/>
      <c r="Z32" s="407"/>
      <c r="AA32" s="407"/>
      <c r="AB32" s="407"/>
      <c r="AC32" s="407"/>
      <c r="AD32" s="407"/>
      <c r="AE32" s="407"/>
      <c r="AF32" s="407"/>
      <c r="AG32" s="407"/>
      <c r="AH32" s="407"/>
      <c r="AI32" s="408"/>
      <c r="AK32" s="531"/>
      <c r="AL32" s="531"/>
      <c r="AM32" s="531"/>
      <c r="AN32" s="531"/>
      <c r="AO32" s="531"/>
      <c r="AP32" s="531"/>
      <c r="AQ32" s="61"/>
      <c r="AR32" s="48"/>
      <c r="AS32" s="558"/>
      <c r="AT32" s="558"/>
      <c r="AU32" s="559"/>
      <c r="AV32" s="559"/>
      <c r="AW32" s="559"/>
      <c r="AY32" s="413" t="s">
        <v>652</v>
      </c>
      <c r="AZ32" s="413"/>
      <c r="BA32" s="412"/>
      <c r="BB32" s="412"/>
    </row>
    <row r="33" spans="1:80" ht="18" customHeight="1">
      <c r="A33" s="39"/>
      <c r="B33" s="546" t="s">
        <v>653</v>
      </c>
      <c r="C33" s="546"/>
      <c r="D33" s="546"/>
      <c r="E33" s="546"/>
      <c r="F33" s="417" t="str" cm="1">
        <f t="array" ref="F33">_xlfn.TEXTJOIN("/",TRUE,IF(AS29:AS31&lt;&gt;"",TEXT(AS29:AS31,"h:mm")&amp;" "&amp;AU29:AU31,""))</f>
        <v/>
      </c>
      <c r="G33" s="418"/>
      <c r="H33" s="418"/>
      <c r="I33" s="418"/>
      <c r="J33" s="418"/>
      <c r="K33" s="418"/>
      <c r="L33" s="418"/>
      <c r="M33" s="418"/>
      <c r="N33" s="418"/>
      <c r="O33" s="418"/>
      <c r="P33" s="418"/>
      <c r="Q33" s="418"/>
      <c r="R33" s="418"/>
      <c r="S33" s="418"/>
      <c r="T33" s="418"/>
      <c r="U33" s="418"/>
      <c r="V33" s="418"/>
      <c r="W33" s="418"/>
      <c r="X33" s="418"/>
      <c r="Y33" s="418"/>
      <c r="Z33" s="418"/>
      <c r="AA33" s="418"/>
      <c r="AB33" s="418"/>
      <c r="AC33" s="418"/>
      <c r="AD33" s="418"/>
      <c r="AE33" s="418"/>
      <c r="AF33" s="418"/>
      <c r="AG33" s="418"/>
      <c r="AH33" s="418"/>
      <c r="AI33" s="419"/>
      <c r="AK33" s="449" t="s">
        <v>654</v>
      </c>
      <c r="AL33" s="450"/>
      <c r="AM33" s="450"/>
      <c r="AN33" s="450"/>
      <c r="AO33" s="450"/>
      <c r="AP33" s="450"/>
      <c r="AQ33" s="60">
        <v>2</v>
      </c>
      <c r="AR33" s="48"/>
      <c r="AS33" s="532"/>
      <c r="AT33" s="532"/>
      <c r="AU33" s="439"/>
      <c r="AV33" s="439"/>
      <c r="AW33" s="439"/>
      <c r="AY33" s="413" t="s">
        <v>655</v>
      </c>
      <c r="AZ33" s="413"/>
      <c r="BA33" s="412"/>
      <c r="BB33" s="412"/>
    </row>
    <row r="34" spans="1:80" ht="18" customHeight="1" thickBot="1">
      <c r="A34" s="39"/>
      <c r="B34" s="546" t="s">
        <v>656</v>
      </c>
      <c r="C34" s="546"/>
      <c r="D34" s="546"/>
      <c r="E34" s="546"/>
      <c r="F34" s="420" t="s">
        <v>79</v>
      </c>
      <c r="G34" s="420"/>
      <c r="H34" s="420"/>
      <c r="I34" s="420"/>
      <c r="J34" s="420"/>
      <c r="K34" s="420"/>
      <c r="L34" s="420"/>
      <c r="M34" s="420"/>
      <c r="N34" s="420"/>
      <c r="O34" s="420"/>
      <c r="P34" s="420"/>
      <c r="Q34" s="420"/>
      <c r="R34" s="420"/>
      <c r="S34" s="420"/>
      <c r="T34" s="420"/>
      <c r="U34" s="420"/>
      <c r="V34" s="420"/>
      <c r="W34" s="420"/>
      <c r="X34" s="420"/>
      <c r="Y34" s="420"/>
      <c r="Z34" s="420"/>
      <c r="AA34" s="420"/>
      <c r="AB34" s="420"/>
      <c r="AC34" s="421"/>
      <c r="AD34" s="421"/>
      <c r="AE34" s="421"/>
      <c r="AF34" s="421"/>
      <c r="AG34" s="421"/>
      <c r="AH34" s="421"/>
      <c r="AI34" s="422"/>
      <c r="AK34" s="451" t="s">
        <v>657</v>
      </c>
      <c r="AL34" s="416"/>
      <c r="AM34" s="416"/>
      <c r="AN34" s="416"/>
      <c r="AO34" s="416"/>
      <c r="AP34" s="416"/>
      <c r="AQ34" s="56"/>
      <c r="AR34" s="48"/>
      <c r="AS34" s="532"/>
      <c r="AT34" s="532"/>
      <c r="AU34" s="439"/>
      <c r="AV34" s="439"/>
      <c r="AW34" s="439"/>
      <c r="AY34" s="413" t="s">
        <v>658</v>
      </c>
      <c r="AZ34" s="413"/>
      <c r="BA34" s="412"/>
      <c r="BB34" s="412"/>
    </row>
    <row r="35" spans="1:80" ht="18" customHeight="1" thickBot="1">
      <c r="A35" s="57"/>
      <c r="B35" s="547" t="s">
        <v>659</v>
      </c>
      <c r="C35" s="547"/>
      <c r="D35" s="547"/>
      <c r="E35" s="547"/>
      <c r="F35" s="389" t="s">
        <v>660</v>
      </c>
      <c r="G35" s="389"/>
      <c r="H35" s="389"/>
      <c r="I35" s="389"/>
      <c r="J35" s="389"/>
      <c r="K35" s="389"/>
      <c r="L35" s="389"/>
      <c r="M35" s="389"/>
      <c r="N35" s="389"/>
      <c r="O35" s="389"/>
      <c r="P35" s="389"/>
      <c r="Q35" s="389"/>
      <c r="R35" s="389"/>
      <c r="S35" s="389"/>
      <c r="T35" s="389"/>
      <c r="U35" s="389"/>
      <c r="V35" s="389"/>
      <c r="W35" s="390" t="s">
        <v>661</v>
      </c>
      <c r="X35" s="391"/>
      <c r="Y35" s="391"/>
      <c r="Z35" s="391"/>
      <c r="AA35" s="391"/>
      <c r="AB35" s="391"/>
      <c r="AC35" s="392" t="s">
        <v>662</v>
      </c>
      <c r="AD35" s="393"/>
      <c r="AE35" s="393"/>
      <c r="AF35" s="393"/>
      <c r="AG35" s="393"/>
      <c r="AH35" s="393"/>
      <c r="AI35" s="394"/>
      <c r="AK35" s="531"/>
      <c r="AL35" s="531"/>
      <c r="AM35" s="531"/>
      <c r="AN35" s="531"/>
      <c r="AO35" s="531"/>
      <c r="AP35" s="531"/>
      <c r="AQ35" s="61"/>
      <c r="AR35" s="48"/>
      <c r="AS35" s="532"/>
      <c r="AT35" s="532"/>
      <c r="AU35" s="439"/>
      <c r="AV35" s="439"/>
      <c r="AW35" s="439"/>
      <c r="AY35" s="413" t="s">
        <v>663</v>
      </c>
      <c r="AZ35" s="413"/>
      <c r="BA35" s="412"/>
      <c r="BB35" s="412"/>
    </row>
    <row r="36" spans="1:80" ht="18" customHeight="1" thickBot="1">
      <c r="A36" s="492" t="s">
        <v>664</v>
      </c>
      <c r="B36" s="493"/>
      <c r="C36" s="493"/>
      <c r="D36" s="493"/>
      <c r="E36" s="493"/>
      <c r="F36" s="498">
        <v>4.1666666666666664E-2</v>
      </c>
      <c r="G36" s="439"/>
      <c r="H36" s="439"/>
      <c r="I36" s="439"/>
      <c r="J36" s="439"/>
      <c r="K36" s="439"/>
      <c r="L36" s="499" t="s">
        <v>665</v>
      </c>
      <c r="M36" s="489"/>
      <c r="N36" s="489"/>
      <c r="O36" s="500"/>
      <c r="P36" s="410" t="s">
        <v>62</v>
      </c>
      <c r="Q36" s="410"/>
      <c r="R36" s="410"/>
      <c r="S36" s="55" t="s">
        <v>666</v>
      </c>
      <c r="T36" s="410" t="s">
        <v>43</v>
      </c>
      <c r="U36" s="410"/>
      <c r="V36" s="530"/>
      <c r="W36" s="489" t="s">
        <v>667</v>
      </c>
      <c r="X36" s="489"/>
      <c r="Y36" s="489"/>
      <c r="Z36" s="489"/>
      <c r="AA36" s="489"/>
      <c r="AB36" s="489"/>
      <c r="AC36" s="490" t="s">
        <v>722</v>
      </c>
      <c r="AD36" s="487"/>
      <c r="AE36" s="487"/>
      <c r="AF36" s="487"/>
      <c r="AG36" s="487"/>
      <c r="AH36" s="487"/>
      <c r="AI36" s="488"/>
      <c r="AK36" s="525" t="s">
        <v>668</v>
      </c>
      <c r="AL36" s="526"/>
      <c r="AM36" s="526"/>
      <c r="AN36" s="526"/>
      <c r="AO36" s="526"/>
      <c r="AP36" s="526"/>
      <c r="AQ36" s="117"/>
      <c r="AR36" s="48"/>
      <c r="AS36" s="532"/>
      <c r="AT36" s="532"/>
      <c r="AU36" s="439"/>
      <c r="AV36" s="439"/>
      <c r="AW36" s="439"/>
      <c r="BH36" s="50"/>
      <c r="BI36" s="51"/>
    </row>
    <row r="37" spans="1:80" ht="18" customHeight="1" thickBot="1">
      <c r="A37" s="494" t="s">
        <v>669</v>
      </c>
      <c r="B37" s="495"/>
      <c r="C37" s="495"/>
      <c r="D37" s="495"/>
      <c r="E37" s="495"/>
      <c r="F37" s="487"/>
      <c r="G37" s="487"/>
      <c r="H37" s="487"/>
      <c r="I37" s="487"/>
      <c r="J37" s="487"/>
      <c r="K37" s="487"/>
      <c r="L37" s="487"/>
      <c r="M37" s="487"/>
      <c r="N37" s="487"/>
      <c r="O37" s="487"/>
      <c r="P37" s="487"/>
      <c r="Q37" s="487"/>
      <c r="R37" s="487"/>
      <c r="S37" s="487"/>
      <c r="T37" s="487"/>
      <c r="U37" s="487"/>
      <c r="V37" s="487"/>
      <c r="W37" s="487"/>
      <c r="X37" s="487"/>
      <c r="Y37" s="487"/>
      <c r="Z37" s="487"/>
      <c r="AA37" s="487"/>
      <c r="AB37" s="487"/>
      <c r="AC37" s="487"/>
      <c r="AD37" s="487"/>
      <c r="AE37" s="487"/>
      <c r="AF37" s="487"/>
      <c r="AG37" s="487"/>
      <c r="AH37" s="487"/>
      <c r="AI37" s="488"/>
      <c r="AK37" s="544" t="s">
        <v>240</v>
      </c>
      <c r="AL37" s="545"/>
      <c r="AM37" s="545"/>
      <c r="AN37" s="545"/>
      <c r="AO37" s="545"/>
      <c r="AP37" s="545"/>
      <c r="AQ37" s="122"/>
      <c r="AR37" s="48"/>
      <c r="AS37" s="532"/>
      <c r="AT37" s="532"/>
      <c r="AU37" s="439"/>
      <c r="AV37" s="439"/>
      <c r="AW37" s="439"/>
      <c r="BH37" s="50"/>
      <c r="BI37" s="51"/>
    </row>
    <row r="38" spans="1:80" ht="18" customHeight="1" thickBot="1">
      <c r="A38" s="496" t="s">
        <v>670</v>
      </c>
      <c r="B38" s="497"/>
      <c r="C38" s="497"/>
      <c r="D38" s="497"/>
      <c r="E38" s="497"/>
      <c r="F38" s="416" t="s">
        <v>667</v>
      </c>
      <c r="G38" s="416"/>
      <c r="H38" s="416"/>
      <c r="I38" s="416"/>
      <c r="J38" s="416"/>
      <c r="K38" s="416"/>
      <c r="L38" s="424" t="s">
        <v>722</v>
      </c>
      <c r="M38" s="424"/>
      <c r="N38" s="424"/>
      <c r="O38" s="424"/>
      <c r="P38" s="416" t="s">
        <v>671</v>
      </c>
      <c r="Q38" s="416"/>
      <c r="R38" s="416"/>
      <c r="S38" s="416"/>
      <c r="T38" s="416"/>
      <c r="U38" s="416"/>
      <c r="V38" s="416"/>
      <c r="W38" s="416" t="s">
        <v>667</v>
      </c>
      <c r="X38" s="416"/>
      <c r="Y38" s="416"/>
      <c r="Z38" s="416"/>
      <c r="AA38" s="416"/>
      <c r="AB38" s="416"/>
      <c r="AC38" s="424" t="s">
        <v>722</v>
      </c>
      <c r="AD38" s="424"/>
      <c r="AE38" s="424"/>
      <c r="AF38" s="424"/>
      <c r="AG38" s="424"/>
      <c r="AH38" s="424"/>
      <c r="AI38" s="491"/>
      <c r="AK38" s="543"/>
      <c r="AL38" s="543"/>
      <c r="AM38" s="543"/>
      <c r="AN38" s="543"/>
      <c r="AO38" s="543"/>
      <c r="AP38" s="543"/>
      <c r="AQ38" s="59"/>
      <c r="AR38" s="48"/>
      <c r="BC38" s="50"/>
      <c r="BD38" s="51"/>
    </row>
    <row r="39" spans="1:80" ht="18" customHeight="1">
      <c r="A39" s="452" t="s">
        <v>672</v>
      </c>
      <c r="B39" s="453"/>
      <c r="C39" s="453"/>
      <c r="D39" s="453"/>
      <c r="E39" s="453"/>
      <c r="F39" s="453"/>
      <c r="G39" s="453"/>
      <c r="H39" s="453"/>
      <c r="I39" s="453"/>
      <c r="J39" s="453"/>
      <c r="K39" s="453"/>
      <c r="L39" s="453"/>
      <c r="M39" s="453"/>
      <c r="N39" s="453"/>
      <c r="O39" s="453"/>
      <c r="P39" s="453"/>
      <c r="Q39" s="453"/>
      <c r="R39" s="453"/>
      <c r="S39" s="453"/>
      <c r="T39" s="453"/>
      <c r="U39" s="453"/>
      <c r="V39" s="453"/>
      <c r="W39" s="453"/>
      <c r="X39" s="453"/>
      <c r="Y39" s="453"/>
      <c r="Z39" s="453"/>
      <c r="AA39" s="453"/>
      <c r="AB39" s="453"/>
      <c r="AC39" s="453"/>
      <c r="AD39" s="453"/>
      <c r="AE39" s="453"/>
      <c r="AF39" s="453"/>
      <c r="AG39" s="453"/>
      <c r="AH39" s="453"/>
      <c r="AI39" s="454"/>
      <c r="AK39" s="444" t="s">
        <v>673</v>
      </c>
      <c r="AL39" s="444"/>
      <c r="AM39" s="444"/>
      <c r="AN39" s="444"/>
      <c r="AO39" s="444"/>
      <c r="AP39" s="444"/>
      <c r="AQ39" s="42"/>
      <c r="AR39" s="48"/>
      <c r="AS39" s="423" t="s">
        <v>526</v>
      </c>
      <c r="AT39" s="423"/>
      <c r="AU39" s="148">
        <v>32</v>
      </c>
      <c r="AV39" s="423" t="s">
        <v>528</v>
      </c>
      <c r="AW39" s="423"/>
      <c r="BC39" s="50"/>
      <c r="BD39" s="51"/>
    </row>
    <row r="40" spans="1:80" ht="18" customHeight="1">
      <c r="A40" s="464" t="s">
        <v>674</v>
      </c>
      <c r="B40" s="459"/>
      <c r="C40" s="459"/>
      <c r="D40" s="459"/>
      <c r="E40" s="470" t="s">
        <v>675</v>
      </c>
      <c r="F40" s="471"/>
      <c r="G40" s="471"/>
      <c r="H40" s="471"/>
      <c r="I40" s="471"/>
      <c r="J40" s="471"/>
      <c r="K40" s="472"/>
      <c r="L40" s="458" t="s">
        <v>676</v>
      </c>
      <c r="M40" s="459"/>
      <c r="N40" s="459"/>
      <c r="O40" s="459"/>
      <c r="P40" s="459"/>
      <c r="Q40" s="459"/>
      <c r="R40" s="460"/>
      <c r="S40" s="458" t="s">
        <v>677</v>
      </c>
      <c r="T40" s="459"/>
      <c r="U40" s="459"/>
      <c r="V40" s="459"/>
      <c r="W40" s="470" t="s">
        <v>675</v>
      </c>
      <c r="X40" s="471"/>
      <c r="Y40" s="471"/>
      <c r="Z40" s="471"/>
      <c r="AA40" s="471"/>
      <c r="AB40" s="471"/>
      <c r="AC40" s="472"/>
      <c r="AD40" s="458" t="s">
        <v>678</v>
      </c>
      <c r="AE40" s="459"/>
      <c r="AF40" s="459"/>
      <c r="AG40" s="459"/>
      <c r="AH40" s="459"/>
      <c r="AI40" s="463"/>
      <c r="AK40" s="444" t="s">
        <v>679</v>
      </c>
      <c r="AL40" s="444"/>
      <c r="AM40" s="444"/>
      <c r="AN40" s="444"/>
      <c r="AO40" s="444"/>
      <c r="AP40" s="444"/>
      <c r="AQ40" s="42"/>
      <c r="AR40" s="48"/>
      <c r="AS40" s="423" t="s">
        <v>527</v>
      </c>
      <c r="AT40" s="423"/>
      <c r="AU40" s="148">
        <v>26</v>
      </c>
      <c r="AV40" s="560">
        <v>0.87690000000000001</v>
      </c>
      <c r="AW40" s="560"/>
      <c r="BC40" s="50"/>
      <c r="BD40" s="51"/>
    </row>
    <row r="41" spans="1:80" ht="18" customHeight="1">
      <c r="A41" s="464" t="s">
        <v>16</v>
      </c>
      <c r="B41" s="459"/>
      <c r="C41" s="459"/>
      <c r="D41" s="459"/>
      <c r="E41" s="469">
        <f>AX10</f>
        <v>0.33333333333333331</v>
      </c>
      <c r="F41" s="456"/>
      <c r="G41" s="456"/>
      <c r="H41" s="144" t="s">
        <v>680</v>
      </c>
      <c r="I41" s="456">
        <f>AY10</f>
        <v>0.83333333333333337</v>
      </c>
      <c r="J41" s="456"/>
      <c r="K41" s="457"/>
      <c r="L41" s="458" t="str">
        <f>AU10</f>
        <v>三角龍彦</v>
      </c>
      <c r="M41" s="459"/>
      <c r="N41" s="459"/>
      <c r="O41" s="459"/>
      <c r="P41" s="459"/>
      <c r="Q41" s="459"/>
      <c r="R41" s="460"/>
      <c r="S41" s="409" t="s">
        <v>31</v>
      </c>
      <c r="T41" s="410"/>
      <c r="U41" s="410"/>
      <c r="V41" s="410"/>
      <c r="W41" s="414">
        <v>0.39583333333333331</v>
      </c>
      <c r="X41" s="415"/>
      <c r="Y41" s="415"/>
      <c r="Z41" s="40" t="s">
        <v>680</v>
      </c>
      <c r="AA41" s="415">
        <v>0.77083333333333337</v>
      </c>
      <c r="AB41" s="415"/>
      <c r="AC41" s="461"/>
      <c r="AD41" s="409" t="str">
        <f>AU14</f>
        <v>木村重明</v>
      </c>
      <c r="AE41" s="410"/>
      <c r="AF41" s="410"/>
      <c r="AG41" s="410"/>
      <c r="AH41" s="410"/>
      <c r="AI41" s="462"/>
      <c r="AK41" s="444" t="s">
        <v>681</v>
      </c>
      <c r="AL41" s="444"/>
      <c r="AM41" s="444"/>
      <c r="AN41" s="444"/>
      <c r="AO41" s="444"/>
      <c r="AP41" s="444"/>
      <c r="AQ41" s="42"/>
      <c r="AR41" s="48"/>
      <c r="BC41" s="50"/>
      <c r="BD41" s="51"/>
    </row>
    <row r="42" spans="1:80" ht="18" customHeight="1">
      <c r="A42" s="464" t="s">
        <v>24</v>
      </c>
      <c r="B42" s="459"/>
      <c r="C42" s="459"/>
      <c r="D42" s="459"/>
      <c r="E42" s="469">
        <f>AX13</f>
        <v>0.33333333333333331</v>
      </c>
      <c r="F42" s="456"/>
      <c r="G42" s="456"/>
      <c r="H42" s="144" t="s">
        <v>680</v>
      </c>
      <c r="I42" s="456">
        <f>AY12</f>
        <v>0.83333333333333337</v>
      </c>
      <c r="J42" s="456"/>
      <c r="K42" s="457"/>
      <c r="L42" s="458" t="str">
        <f>AU13</f>
        <v>松葉眞</v>
      </c>
      <c r="M42" s="459"/>
      <c r="N42" s="459"/>
      <c r="O42" s="459"/>
      <c r="P42" s="459"/>
      <c r="Q42" s="459"/>
      <c r="R42" s="460"/>
      <c r="S42" s="409"/>
      <c r="T42" s="410"/>
      <c r="U42" s="410"/>
      <c r="V42" s="410"/>
      <c r="W42" s="414"/>
      <c r="X42" s="415"/>
      <c r="Y42" s="415"/>
      <c r="Z42" s="136"/>
      <c r="AA42" s="415"/>
      <c r="AB42" s="415"/>
      <c r="AC42" s="461"/>
      <c r="AD42" s="409">
        <f>AU15</f>
        <v>0</v>
      </c>
      <c r="AE42" s="410"/>
      <c r="AF42" s="410"/>
      <c r="AG42" s="410"/>
      <c r="AH42" s="410"/>
      <c r="AI42" s="462"/>
      <c r="AK42" s="445" t="s">
        <v>682</v>
      </c>
      <c r="AL42" s="445"/>
      <c r="AM42" s="445"/>
      <c r="AN42" s="445"/>
      <c r="AO42" s="445"/>
      <c r="AP42" s="445"/>
      <c r="AQ42" s="42"/>
      <c r="AR42" s="48"/>
      <c r="AS42" s="561" t="s">
        <v>683</v>
      </c>
      <c r="AT42" s="561"/>
      <c r="AU42" s="561"/>
      <c r="AV42" s="561"/>
      <c r="AW42" s="561"/>
      <c r="BC42" s="50"/>
      <c r="BD42" s="51"/>
    </row>
    <row r="43" spans="1:80" ht="18" customHeight="1">
      <c r="A43" s="464" t="s">
        <v>38</v>
      </c>
      <c r="B43" s="459"/>
      <c r="C43" s="459"/>
      <c r="D43" s="459"/>
      <c r="E43" s="469">
        <f>AX16</f>
        <v>0.83333333333333337</v>
      </c>
      <c r="F43" s="456"/>
      <c r="G43" s="456"/>
      <c r="H43" s="144" t="s">
        <v>680</v>
      </c>
      <c r="I43" s="456" t="str">
        <f>AY16</f>
        <v>翌8:00</v>
      </c>
      <c r="J43" s="456"/>
      <c r="K43" s="457"/>
      <c r="L43" s="458" t="str">
        <f>AU16</f>
        <v>二野宮慧太</v>
      </c>
      <c r="M43" s="459"/>
      <c r="N43" s="459"/>
      <c r="O43" s="459"/>
      <c r="P43" s="459"/>
      <c r="Q43" s="459"/>
      <c r="R43" s="460"/>
      <c r="S43" s="409"/>
      <c r="T43" s="410"/>
      <c r="U43" s="410"/>
      <c r="V43" s="410"/>
      <c r="W43" s="414"/>
      <c r="X43" s="415"/>
      <c r="Y43" s="415"/>
      <c r="Z43" s="136"/>
      <c r="AA43" s="415"/>
      <c r="AB43" s="415"/>
      <c r="AC43" s="461"/>
      <c r="AD43" s="486">
        <f>AU18</f>
        <v>0</v>
      </c>
      <c r="AE43" s="410"/>
      <c r="AF43" s="410"/>
      <c r="AG43" s="410"/>
      <c r="AH43" s="410"/>
      <c r="AI43" s="462"/>
      <c r="AK43" s="444" t="s">
        <v>684</v>
      </c>
      <c r="AL43" s="444"/>
      <c r="AM43" s="444"/>
      <c r="AN43" s="444"/>
      <c r="AO43" s="444"/>
      <c r="AP43" s="444"/>
      <c r="AQ43" s="42"/>
      <c r="AR43" s="43"/>
      <c r="AW43"/>
      <c r="AX43"/>
      <c r="AY43"/>
      <c r="AZ43"/>
      <c r="BA43"/>
      <c r="BB43"/>
      <c r="BC43" s="50"/>
      <c r="BD43" s="51"/>
      <c r="BE43"/>
      <c r="BF43"/>
      <c r="BG43"/>
      <c r="BH43"/>
      <c r="BI43"/>
      <c r="BJ43"/>
      <c r="BK43"/>
      <c r="BL43"/>
      <c r="BM43"/>
      <c r="BN43"/>
      <c r="BO43"/>
      <c r="BP43"/>
      <c r="BQ43"/>
      <c r="BR43"/>
      <c r="BS43"/>
      <c r="BT43"/>
      <c r="BU43"/>
      <c r="BV43"/>
      <c r="BW43"/>
      <c r="BX43"/>
      <c r="BY43"/>
      <c r="BZ43"/>
      <c r="CA43"/>
      <c r="CB43"/>
    </row>
    <row r="44" spans="1:80" ht="18" customHeight="1" thickBot="1">
      <c r="A44" s="473" t="s">
        <v>45</v>
      </c>
      <c r="B44" s="474"/>
      <c r="C44" s="474"/>
      <c r="D44" s="474"/>
      <c r="E44" s="475">
        <f>AX17</f>
        <v>0.83333333333333337</v>
      </c>
      <c r="F44" s="476"/>
      <c r="G44" s="476"/>
      <c r="H44" s="145" t="s">
        <v>680</v>
      </c>
      <c r="I44" s="476" t="str">
        <f>AY17</f>
        <v>翌8:00</v>
      </c>
      <c r="J44" s="476"/>
      <c r="K44" s="477"/>
      <c r="L44" s="478" t="str">
        <f>AU17</f>
        <v>山本喜久</v>
      </c>
      <c r="M44" s="478"/>
      <c r="N44" s="478"/>
      <c r="O44" s="478"/>
      <c r="P44" s="478"/>
      <c r="Q44" s="478"/>
      <c r="R44" s="478"/>
      <c r="S44" s="479"/>
      <c r="T44" s="480"/>
      <c r="U44" s="480"/>
      <c r="V44" s="480"/>
      <c r="W44" s="481"/>
      <c r="X44" s="482"/>
      <c r="Y44" s="482"/>
      <c r="Z44" s="137"/>
      <c r="AA44" s="482"/>
      <c r="AB44" s="482"/>
      <c r="AC44" s="483"/>
      <c r="AD44" s="484">
        <f>AU19</f>
        <v>0</v>
      </c>
      <c r="AE44" s="480"/>
      <c r="AF44" s="480"/>
      <c r="AG44" s="480"/>
      <c r="AH44" s="480"/>
      <c r="AI44" s="485"/>
      <c r="AK44" s="446" t="s">
        <v>685</v>
      </c>
      <c r="AL44" s="446"/>
      <c r="AM44" s="446"/>
      <c r="AN44" s="446"/>
      <c r="AO44" s="446"/>
      <c r="AP44" s="446"/>
      <c r="AQ44" s="42"/>
      <c r="AR44" s="43"/>
      <c r="BC44" s="50"/>
      <c r="BD44" s="51"/>
    </row>
    <row r="45" spans="1:80" ht="18" customHeight="1" thickBot="1">
      <c r="A45" s="27"/>
      <c r="B45" s="27"/>
      <c r="C45" s="27"/>
      <c r="D45" s="27"/>
      <c r="E45" s="27"/>
      <c r="F45" s="27"/>
      <c r="G45" s="27"/>
      <c r="H45" s="27"/>
      <c r="I45" s="27"/>
      <c r="R45" s="307">
        <f>A7</f>
        <v>46192</v>
      </c>
      <c r="S45" s="308"/>
      <c r="T45" s="308"/>
      <c r="U45" s="308"/>
      <c r="V45" s="23" t="s">
        <v>169</v>
      </c>
      <c r="W45" s="309">
        <f>G7</f>
        <v>46192</v>
      </c>
      <c r="X45" s="308"/>
      <c r="Y45" s="23" t="s">
        <v>170</v>
      </c>
      <c r="Z45" s="310">
        <f>K7</f>
        <v>46192</v>
      </c>
      <c r="AA45" s="308"/>
      <c r="AB45" s="23" t="s">
        <v>3</v>
      </c>
      <c r="AC45" s="455">
        <f>O7</f>
        <v>46192</v>
      </c>
      <c r="AD45" s="308"/>
      <c r="AE45" s="308" t="s">
        <v>292</v>
      </c>
      <c r="AF45" s="308"/>
      <c r="AK45" s="425" t="s">
        <v>686</v>
      </c>
      <c r="AL45" s="425"/>
      <c r="AM45" s="425"/>
      <c r="AN45" s="425"/>
      <c r="AO45" s="425"/>
      <c r="AP45" s="425"/>
      <c r="AQ45" s="42"/>
      <c r="AR45" s="43"/>
      <c r="BC45" s="50"/>
      <c r="BD45" s="51"/>
    </row>
    <row r="46" spans="1:80" customFormat="1" ht="18" customHeight="1">
      <c r="A46" s="452" t="s">
        <v>598</v>
      </c>
      <c r="B46" s="453"/>
      <c r="C46" s="453"/>
      <c r="D46" s="453"/>
      <c r="E46" s="453"/>
      <c r="F46" s="453"/>
      <c r="G46" s="453"/>
      <c r="H46" s="453"/>
      <c r="I46" s="453"/>
      <c r="J46" s="453"/>
      <c r="K46" s="453"/>
      <c r="L46" s="453"/>
      <c r="M46" s="453"/>
      <c r="N46" s="453"/>
      <c r="O46" s="453"/>
      <c r="P46" s="453"/>
      <c r="Q46" s="453"/>
      <c r="R46" s="453"/>
      <c r="S46" s="453"/>
      <c r="T46" s="453"/>
      <c r="U46" s="453"/>
      <c r="V46" s="453"/>
      <c r="W46" s="453"/>
      <c r="X46" s="453"/>
      <c r="Y46" s="453"/>
      <c r="Z46" s="453"/>
      <c r="AA46" s="453"/>
      <c r="AB46" s="453"/>
      <c r="AC46" s="453"/>
      <c r="AD46" s="453"/>
      <c r="AE46" s="453"/>
      <c r="AF46" s="453"/>
      <c r="AG46" s="453"/>
      <c r="AH46" s="453"/>
      <c r="AI46" s="454"/>
      <c r="AK46" s="425" t="s">
        <v>687</v>
      </c>
      <c r="AL46" s="425"/>
      <c r="AM46" s="425"/>
      <c r="AN46" s="425"/>
      <c r="AO46" s="425"/>
      <c r="AP46" s="425"/>
      <c r="AQ46" s="42"/>
      <c r="AR46" s="43"/>
      <c r="AW46" s="23"/>
      <c r="AX46" s="23"/>
      <c r="AY46" s="23"/>
      <c r="AZ46" s="23"/>
      <c r="BA46" s="23"/>
      <c r="BB46" s="23"/>
      <c r="BC46" s="50"/>
      <c r="BD46" s="51"/>
      <c r="BE46" s="23"/>
      <c r="BF46" s="23"/>
      <c r="BG46" s="23"/>
      <c r="BH46" s="23"/>
      <c r="BI46" s="23"/>
      <c r="BJ46" s="23"/>
      <c r="BK46" s="23"/>
      <c r="BL46" s="23"/>
      <c r="BM46" s="23"/>
      <c r="BN46" s="23"/>
      <c r="BO46" s="23"/>
      <c r="BP46" s="23"/>
      <c r="BQ46" s="23"/>
      <c r="BR46" s="23"/>
      <c r="BS46" s="23"/>
      <c r="BT46" s="23"/>
      <c r="BU46" s="23"/>
      <c r="BV46" s="23"/>
      <c r="BW46" s="23"/>
      <c r="BX46" s="23"/>
      <c r="BY46" s="23"/>
      <c r="BZ46" s="23"/>
      <c r="CA46" s="23"/>
      <c r="CB46" s="23"/>
    </row>
    <row r="47" spans="1:80" ht="18" customHeight="1">
      <c r="A47" s="36" t="s">
        <v>189</v>
      </c>
      <c r="B47" s="404">
        <v>0.95902777777777781</v>
      </c>
      <c r="C47" s="404"/>
      <c r="D47" s="404"/>
      <c r="E47" s="404"/>
      <c r="F47" s="288" t="s">
        <v>912</v>
      </c>
      <c r="G47" s="288"/>
      <c r="H47" s="288"/>
      <c r="I47" s="288"/>
      <c r="J47" s="288"/>
      <c r="K47" s="288"/>
      <c r="L47" s="288"/>
      <c r="M47" s="288"/>
      <c r="N47" s="288"/>
      <c r="O47" s="288"/>
      <c r="P47" s="288"/>
      <c r="Q47" s="288"/>
      <c r="R47" s="288"/>
      <c r="S47" s="288"/>
      <c r="T47" s="288"/>
      <c r="U47" s="288"/>
      <c r="V47" s="288"/>
      <c r="W47" s="288"/>
      <c r="X47" s="288"/>
      <c r="Y47" s="288"/>
      <c r="Z47" s="288"/>
      <c r="AA47" s="288"/>
      <c r="AB47" s="288"/>
      <c r="AC47" s="288"/>
      <c r="AD47" s="288"/>
      <c r="AE47" s="288"/>
      <c r="AF47" s="288"/>
      <c r="AG47" s="288"/>
      <c r="AH47" s="288"/>
      <c r="AI47" s="289"/>
      <c r="AK47" s="425" t="s">
        <v>688</v>
      </c>
      <c r="AL47" s="425"/>
      <c r="AM47" s="425"/>
      <c r="AN47" s="425"/>
      <c r="AO47" s="425"/>
      <c r="AP47" s="425"/>
      <c r="AQ47" s="42"/>
      <c r="AR47" s="43"/>
      <c r="AS47" s="120" t="s">
        <v>189</v>
      </c>
      <c r="AT47" s="43" t="s">
        <v>728</v>
      </c>
      <c r="AU47" s="43"/>
      <c r="BC47" s="50"/>
      <c r="BD47" s="51"/>
    </row>
    <row r="48" spans="1:80" ht="18" customHeight="1">
      <c r="A48" s="36"/>
      <c r="B48" s="404"/>
      <c r="C48" s="404"/>
      <c r="D48" s="404"/>
      <c r="E48" s="404"/>
      <c r="F48" s="288" t="s">
        <v>887</v>
      </c>
      <c r="G48" s="288"/>
      <c r="H48" s="288"/>
      <c r="I48" s="288"/>
      <c r="J48" s="288"/>
      <c r="K48" s="288"/>
      <c r="L48" s="288"/>
      <c r="M48" s="288"/>
      <c r="N48" s="288"/>
      <c r="O48" s="288"/>
      <c r="P48" s="288"/>
      <c r="Q48" s="288"/>
      <c r="R48" s="288"/>
      <c r="S48" s="288"/>
      <c r="T48" s="288"/>
      <c r="U48" s="288"/>
      <c r="V48" s="288"/>
      <c r="W48" s="288"/>
      <c r="X48" s="288"/>
      <c r="Y48" s="288"/>
      <c r="Z48" s="288"/>
      <c r="AA48" s="288"/>
      <c r="AB48" s="288"/>
      <c r="AC48" s="288"/>
      <c r="AD48" s="288"/>
      <c r="AE48" s="288"/>
      <c r="AF48" s="288"/>
      <c r="AG48" s="288"/>
      <c r="AH48" s="288"/>
      <c r="AI48" s="289"/>
      <c r="AK48" s="425" t="s">
        <v>690</v>
      </c>
      <c r="AL48" s="425"/>
      <c r="AM48" s="425"/>
      <c r="AN48" s="425"/>
      <c r="AO48" s="425"/>
      <c r="AP48" s="425"/>
      <c r="AQ48" s="42"/>
      <c r="AR48" s="43"/>
      <c r="AS48" s="43"/>
      <c r="AT48" s="43"/>
      <c r="AU48" s="43"/>
      <c r="BC48" s="50"/>
      <c r="BD48" s="51"/>
    </row>
    <row r="49" spans="1:61" ht="18" customHeight="1">
      <c r="A49" s="36"/>
      <c r="B49" s="404">
        <v>0.95972222222222225</v>
      </c>
      <c r="C49" s="404"/>
      <c r="D49" s="404"/>
      <c r="E49" s="404"/>
      <c r="F49" s="288" t="s">
        <v>913</v>
      </c>
      <c r="G49" s="288"/>
      <c r="H49" s="288"/>
      <c r="I49" s="288"/>
      <c r="J49" s="288"/>
      <c r="K49" s="288"/>
      <c r="L49" s="288"/>
      <c r="M49" s="288"/>
      <c r="N49" s="288"/>
      <c r="O49" s="288"/>
      <c r="P49" s="288"/>
      <c r="Q49" s="288"/>
      <c r="R49" s="288"/>
      <c r="S49" s="288"/>
      <c r="T49" s="288"/>
      <c r="U49" s="288"/>
      <c r="V49" s="288"/>
      <c r="W49" s="288"/>
      <c r="X49" s="288"/>
      <c r="Y49" s="288"/>
      <c r="Z49" s="288"/>
      <c r="AA49" s="288"/>
      <c r="AB49" s="288"/>
      <c r="AC49" s="288"/>
      <c r="AD49" s="288"/>
      <c r="AE49" s="288"/>
      <c r="AF49" s="288"/>
      <c r="AG49" s="288"/>
      <c r="AH49" s="288"/>
      <c r="AI49" s="289"/>
      <c r="AK49" s="425" t="s">
        <v>691</v>
      </c>
      <c r="AL49" s="425"/>
      <c r="AM49" s="425"/>
      <c r="AN49" s="425"/>
      <c r="AO49" s="425"/>
      <c r="AP49" s="425"/>
      <c r="AQ49" s="42"/>
      <c r="AR49" s="43"/>
      <c r="AS49" s="43"/>
      <c r="AT49" s="43"/>
      <c r="AU49" s="43"/>
      <c r="BC49" s="50"/>
      <c r="BD49" s="51"/>
    </row>
    <row r="50" spans="1:61" ht="18" customHeight="1">
      <c r="A50" s="36" t="s">
        <v>189</v>
      </c>
      <c r="B50" s="404">
        <v>0.99027777777777781</v>
      </c>
      <c r="C50" s="404"/>
      <c r="D50" s="404"/>
      <c r="E50" s="404"/>
      <c r="F50" s="288" t="s">
        <v>914</v>
      </c>
      <c r="G50" s="288"/>
      <c r="H50" s="288"/>
      <c r="I50" s="288"/>
      <c r="J50" s="288"/>
      <c r="K50" s="288"/>
      <c r="L50" s="288"/>
      <c r="M50" s="288"/>
      <c r="N50" s="288"/>
      <c r="O50" s="288"/>
      <c r="P50" s="288"/>
      <c r="Q50" s="288"/>
      <c r="R50" s="288"/>
      <c r="S50" s="288"/>
      <c r="T50" s="288"/>
      <c r="U50" s="288"/>
      <c r="V50" s="288"/>
      <c r="W50" s="288"/>
      <c r="X50" s="288"/>
      <c r="Y50" s="288"/>
      <c r="Z50" s="288"/>
      <c r="AA50" s="288"/>
      <c r="AB50" s="288"/>
      <c r="AC50" s="288"/>
      <c r="AD50" s="288"/>
      <c r="AE50" s="288"/>
      <c r="AF50" s="288"/>
      <c r="AG50" s="288"/>
      <c r="AH50" s="288"/>
      <c r="AI50" s="289"/>
      <c r="AK50" s="425" t="s">
        <v>692</v>
      </c>
      <c r="AL50" s="425"/>
      <c r="AM50" s="425"/>
      <c r="AN50" s="425"/>
      <c r="AO50" s="425"/>
      <c r="AP50" s="425"/>
      <c r="AQ50" s="42"/>
      <c r="AR50" s="43"/>
      <c r="AS50" s="43"/>
      <c r="AT50" s="43"/>
      <c r="AU50" s="43"/>
      <c r="BC50" s="50"/>
      <c r="BD50" s="51"/>
    </row>
    <row r="51" spans="1:61" ht="18" customHeight="1">
      <c r="A51" s="36"/>
      <c r="B51" s="404">
        <v>0.99444444444444446</v>
      </c>
      <c r="C51" s="404"/>
      <c r="D51" s="404"/>
      <c r="E51" s="404"/>
      <c r="F51" s="288" t="s">
        <v>915</v>
      </c>
      <c r="G51" s="288"/>
      <c r="H51" s="288"/>
      <c r="I51" s="288"/>
      <c r="J51" s="288"/>
      <c r="K51" s="288"/>
      <c r="L51" s="288"/>
      <c r="M51" s="288"/>
      <c r="N51" s="288"/>
      <c r="O51" s="288"/>
      <c r="P51" s="288"/>
      <c r="Q51" s="288"/>
      <c r="R51" s="288"/>
      <c r="S51" s="288"/>
      <c r="T51" s="288"/>
      <c r="U51" s="288"/>
      <c r="V51" s="288"/>
      <c r="W51" s="288"/>
      <c r="X51" s="288"/>
      <c r="Y51" s="288"/>
      <c r="Z51" s="288"/>
      <c r="AA51" s="288"/>
      <c r="AB51" s="288"/>
      <c r="AC51" s="288"/>
      <c r="AD51" s="288"/>
      <c r="AE51" s="288"/>
      <c r="AF51" s="288"/>
      <c r="AG51" s="288"/>
      <c r="AH51" s="288"/>
      <c r="AI51" s="289"/>
      <c r="AK51" s="425" t="s">
        <v>693</v>
      </c>
      <c r="AL51" s="425"/>
      <c r="AM51" s="425"/>
      <c r="AN51" s="425"/>
      <c r="AO51" s="425"/>
      <c r="AP51" s="425"/>
      <c r="AQ51" s="42"/>
      <c r="AR51" s="43"/>
      <c r="AS51" s="43"/>
      <c r="AT51" s="43"/>
      <c r="AU51" s="43"/>
      <c r="BC51" s="50"/>
      <c r="BD51" s="51"/>
    </row>
    <row r="52" spans="1:61" ht="18" customHeight="1">
      <c r="A52" s="36" t="s">
        <v>189</v>
      </c>
      <c r="B52" s="404">
        <v>2.7777777777777779E-3</v>
      </c>
      <c r="C52" s="404"/>
      <c r="D52" s="404"/>
      <c r="E52" s="404"/>
      <c r="F52" s="565" t="s">
        <v>916</v>
      </c>
      <c r="G52" s="288"/>
      <c r="H52" s="288"/>
      <c r="I52" s="288"/>
      <c r="J52" s="288"/>
      <c r="K52" s="288"/>
      <c r="L52" s="288"/>
      <c r="M52" s="288"/>
      <c r="N52" s="288"/>
      <c r="O52" s="288"/>
      <c r="P52" s="288"/>
      <c r="Q52" s="288"/>
      <c r="R52" s="288"/>
      <c r="S52" s="288"/>
      <c r="T52" s="288"/>
      <c r="U52" s="288"/>
      <c r="V52" s="288"/>
      <c r="W52" s="288"/>
      <c r="X52" s="288"/>
      <c r="Y52" s="288"/>
      <c r="Z52" s="288"/>
      <c r="AA52" s="288"/>
      <c r="AB52" s="288"/>
      <c r="AC52" s="288"/>
      <c r="AD52" s="288"/>
      <c r="AE52" s="288"/>
      <c r="AF52" s="288"/>
      <c r="AG52" s="288"/>
      <c r="AH52" s="288"/>
      <c r="AI52" s="289"/>
      <c r="AK52" s="425" t="s">
        <v>694</v>
      </c>
      <c r="AL52" s="425"/>
      <c r="AM52" s="425"/>
      <c r="AN52" s="425"/>
      <c r="AO52" s="425"/>
      <c r="AP52" s="425"/>
      <c r="AQ52" s="42"/>
      <c r="AR52" s="43"/>
      <c r="AS52" s="43"/>
      <c r="AV52" s="43"/>
      <c r="AW52" s="43"/>
      <c r="AX52" s="43"/>
      <c r="AY52" s="43"/>
      <c r="AZ52" s="43"/>
      <c r="BA52" s="43"/>
      <c r="BH52" s="52"/>
      <c r="BI52" s="51"/>
    </row>
    <row r="53" spans="1:61" ht="18" customHeight="1">
      <c r="A53" s="36"/>
      <c r="B53" s="404"/>
      <c r="C53" s="404"/>
      <c r="D53" s="404"/>
      <c r="E53" s="404"/>
      <c r="F53" s="565" t="s">
        <v>917</v>
      </c>
      <c r="G53" s="288"/>
      <c r="H53" s="288"/>
      <c r="I53" s="288"/>
      <c r="J53" s="288"/>
      <c r="K53" s="288"/>
      <c r="L53" s="288"/>
      <c r="M53" s="288"/>
      <c r="N53" s="288"/>
      <c r="O53" s="288"/>
      <c r="P53" s="288"/>
      <c r="Q53" s="288"/>
      <c r="R53" s="288"/>
      <c r="S53" s="288"/>
      <c r="T53" s="288"/>
      <c r="U53" s="288"/>
      <c r="V53" s="288"/>
      <c r="W53" s="288"/>
      <c r="X53" s="288"/>
      <c r="Y53" s="288"/>
      <c r="Z53" s="288"/>
      <c r="AA53" s="288"/>
      <c r="AB53" s="288"/>
      <c r="AC53" s="288"/>
      <c r="AD53" s="288"/>
      <c r="AE53" s="288"/>
      <c r="AF53" s="288"/>
      <c r="AG53" s="288"/>
      <c r="AH53" s="288"/>
      <c r="AI53" s="289"/>
      <c r="AK53" s="425" t="s">
        <v>695</v>
      </c>
      <c r="AL53" s="425"/>
      <c r="AM53" s="425"/>
      <c r="AN53" s="425"/>
      <c r="AO53" s="425"/>
      <c r="AP53" s="425"/>
      <c r="AQ53" s="42"/>
      <c r="AR53" s="43"/>
      <c r="AS53" s="43"/>
      <c r="AT53" s="43"/>
      <c r="AU53" s="43"/>
      <c r="AV53" s="43"/>
      <c r="AW53" s="43"/>
      <c r="AX53" s="43"/>
      <c r="AY53" s="43"/>
      <c r="AZ53" s="43"/>
      <c r="BH53" s="50"/>
      <c r="BI53" s="51"/>
    </row>
    <row r="54" spans="1:61" ht="18" customHeight="1">
      <c r="A54" s="36"/>
      <c r="B54" s="404">
        <v>4.8611111111111112E-3</v>
      </c>
      <c r="C54" s="404"/>
      <c r="D54" s="404"/>
      <c r="E54" s="404"/>
      <c r="F54" s="565" t="s">
        <v>918</v>
      </c>
      <c r="G54" s="288"/>
      <c r="H54" s="288"/>
      <c r="I54" s="288"/>
      <c r="J54" s="288"/>
      <c r="K54" s="288"/>
      <c r="L54" s="288"/>
      <c r="M54" s="288"/>
      <c r="N54" s="288"/>
      <c r="O54" s="288"/>
      <c r="P54" s="288"/>
      <c r="Q54" s="288"/>
      <c r="R54" s="288"/>
      <c r="S54" s="288"/>
      <c r="T54" s="288"/>
      <c r="U54" s="288"/>
      <c r="V54" s="288"/>
      <c r="W54" s="288"/>
      <c r="X54" s="288"/>
      <c r="Y54" s="288"/>
      <c r="Z54" s="288"/>
      <c r="AA54" s="288"/>
      <c r="AB54" s="288"/>
      <c r="AC54" s="288"/>
      <c r="AD54" s="288"/>
      <c r="AE54" s="288"/>
      <c r="AF54" s="288"/>
      <c r="AG54" s="288"/>
      <c r="AH54" s="288"/>
      <c r="AI54" s="289"/>
      <c r="AK54" s="425" t="s">
        <v>696</v>
      </c>
      <c r="AL54" s="425"/>
      <c r="AM54" s="425"/>
      <c r="AN54" s="425"/>
      <c r="AO54" s="425"/>
      <c r="AP54" s="425"/>
      <c r="AQ54" s="42"/>
      <c r="AR54" s="43"/>
      <c r="AS54" s="43"/>
      <c r="AT54" s="43"/>
      <c r="AU54" s="43"/>
      <c r="AV54" s="43"/>
      <c r="AW54" s="43"/>
      <c r="AX54" s="43"/>
      <c r="AY54" s="43"/>
      <c r="AZ54" s="43"/>
      <c r="BH54" s="50"/>
      <c r="BI54" s="51"/>
    </row>
    <row r="55" spans="1:61" ht="18" customHeight="1">
      <c r="A55" s="36"/>
      <c r="B55" s="404">
        <v>1.1805555555555555E-2</v>
      </c>
      <c r="C55" s="404"/>
      <c r="D55" s="404"/>
      <c r="E55" s="404"/>
      <c r="F55" s="565" t="s">
        <v>919</v>
      </c>
      <c r="G55" s="288"/>
      <c r="H55" s="288"/>
      <c r="I55" s="288"/>
      <c r="J55" s="288"/>
      <c r="K55" s="288"/>
      <c r="L55" s="288"/>
      <c r="M55" s="288"/>
      <c r="N55" s="288"/>
      <c r="O55" s="288"/>
      <c r="P55" s="288"/>
      <c r="Q55" s="288"/>
      <c r="R55" s="288"/>
      <c r="S55" s="288"/>
      <c r="T55" s="288"/>
      <c r="U55" s="288"/>
      <c r="V55" s="288"/>
      <c r="W55" s="288"/>
      <c r="X55" s="288"/>
      <c r="Y55" s="288"/>
      <c r="Z55" s="288"/>
      <c r="AA55" s="288"/>
      <c r="AB55" s="288"/>
      <c r="AC55" s="288"/>
      <c r="AD55" s="288"/>
      <c r="AE55" s="288"/>
      <c r="AF55" s="288"/>
      <c r="AG55" s="288"/>
      <c r="AH55" s="288"/>
      <c r="AI55" s="289"/>
      <c r="AK55" s="425" t="s">
        <v>697</v>
      </c>
      <c r="AL55" s="425"/>
      <c r="AM55" s="425"/>
      <c r="AN55" s="425"/>
      <c r="AO55" s="425"/>
      <c r="AP55" s="425"/>
      <c r="AQ55" s="42"/>
      <c r="AR55" s="43"/>
      <c r="AS55" s="43"/>
      <c r="AT55" s="43"/>
      <c r="AU55" s="43"/>
      <c r="AV55" s="43"/>
      <c r="AW55" s="43"/>
      <c r="AX55" s="43"/>
      <c r="AY55" s="43"/>
      <c r="AZ55" s="43"/>
      <c r="BH55" s="50"/>
      <c r="BI55" s="51"/>
    </row>
    <row r="56" spans="1:61" ht="18" customHeight="1">
      <c r="A56" s="36" t="s">
        <v>189</v>
      </c>
      <c r="B56" s="404">
        <v>2.5000000000000001E-2</v>
      </c>
      <c r="C56" s="404"/>
      <c r="D56" s="404"/>
      <c r="E56" s="404"/>
      <c r="F56" s="288" t="s">
        <v>920</v>
      </c>
      <c r="G56" s="288"/>
      <c r="H56" s="288"/>
      <c r="I56" s="288"/>
      <c r="J56" s="288"/>
      <c r="K56" s="288"/>
      <c r="L56" s="288"/>
      <c r="M56" s="288"/>
      <c r="N56" s="288"/>
      <c r="O56" s="288"/>
      <c r="P56" s="288"/>
      <c r="Q56" s="288"/>
      <c r="R56" s="288"/>
      <c r="S56" s="288"/>
      <c r="T56" s="288"/>
      <c r="U56" s="288"/>
      <c r="V56" s="288"/>
      <c r="W56" s="288"/>
      <c r="X56" s="288"/>
      <c r="Y56" s="288"/>
      <c r="Z56" s="288"/>
      <c r="AA56" s="288"/>
      <c r="AB56" s="288"/>
      <c r="AC56" s="288"/>
      <c r="AD56" s="288"/>
      <c r="AE56" s="288"/>
      <c r="AF56" s="288"/>
      <c r="AG56" s="288"/>
      <c r="AH56" s="288"/>
      <c r="AI56" s="289"/>
      <c r="AK56" s="425" t="s">
        <v>698</v>
      </c>
      <c r="AL56" s="425"/>
      <c r="AM56" s="425"/>
      <c r="AN56" s="425"/>
      <c r="AO56" s="425"/>
      <c r="AP56" s="425"/>
      <c r="AQ56" s="42"/>
      <c r="AR56" s="43"/>
      <c r="AS56" s="43"/>
      <c r="AT56" s="43"/>
      <c r="AU56" s="43"/>
      <c r="AV56" s="43"/>
      <c r="AW56" s="43"/>
      <c r="AX56" s="43"/>
      <c r="AY56" s="43"/>
      <c r="AZ56" s="43"/>
      <c r="BH56" s="52"/>
      <c r="BI56" s="51"/>
    </row>
    <row r="57" spans="1:61" ht="18" customHeight="1">
      <c r="A57" s="36"/>
      <c r="B57" s="404">
        <v>2.6388888888888889E-2</v>
      </c>
      <c r="C57" s="404"/>
      <c r="D57" s="404"/>
      <c r="E57" s="404"/>
      <c r="F57" s="288" t="s">
        <v>921</v>
      </c>
      <c r="G57" s="288"/>
      <c r="H57" s="288"/>
      <c r="I57" s="288"/>
      <c r="J57" s="288"/>
      <c r="K57" s="288"/>
      <c r="L57" s="288"/>
      <c r="M57" s="288"/>
      <c r="N57" s="288"/>
      <c r="O57" s="288"/>
      <c r="P57" s="288"/>
      <c r="Q57" s="288"/>
      <c r="R57" s="288"/>
      <c r="S57" s="288"/>
      <c r="T57" s="288"/>
      <c r="U57" s="288"/>
      <c r="V57" s="288"/>
      <c r="W57" s="288"/>
      <c r="X57" s="288"/>
      <c r="Y57" s="288"/>
      <c r="Z57" s="288"/>
      <c r="AA57" s="288"/>
      <c r="AB57" s="288"/>
      <c r="AC57" s="288"/>
      <c r="AD57" s="288"/>
      <c r="AE57" s="288"/>
      <c r="AF57" s="288"/>
      <c r="AG57" s="288"/>
      <c r="AH57" s="288"/>
      <c r="AI57" s="289"/>
      <c r="AK57" s="425" t="s">
        <v>699</v>
      </c>
      <c r="AL57" s="425"/>
      <c r="AM57" s="425"/>
      <c r="AN57" s="425"/>
      <c r="AO57" s="425"/>
      <c r="AP57" s="425"/>
      <c r="AQ57" s="42"/>
      <c r="AR57" s="43"/>
      <c r="AS57" s="43"/>
      <c r="AT57" s="43"/>
      <c r="AU57" s="43"/>
      <c r="AV57" s="43"/>
      <c r="AW57" s="43"/>
      <c r="AX57" s="43"/>
      <c r="AY57" s="43"/>
      <c r="AZ57" s="43"/>
      <c r="BH57" s="50"/>
      <c r="BI57" s="51"/>
    </row>
    <row r="58" spans="1:61" ht="18" customHeight="1">
      <c r="A58" s="36"/>
      <c r="B58" s="404">
        <v>4.4444444444444446E-2</v>
      </c>
      <c r="C58" s="404"/>
      <c r="D58" s="404"/>
      <c r="E58" s="404"/>
      <c r="F58" s="288" t="s">
        <v>922</v>
      </c>
      <c r="G58" s="288"/>
      <c r="H58" s="288"/>
      <c r="I58" s="288"/>
      <c r="J58" s="288"/>
      <c r="K58" s="288"/>
      <c r="L58" s="288"/>
      <c r="M58" s="288"/>
      <c r="N58" s="288"/>
      <c r="O58" s="288"/>
      <c r="P58" s="288"/>
      <c r="Q58" s="288"/>
      <c r="R58" s="288"/>
      <c r="S58" s="288"/>
      <c r="T58" s="288"/>
      <c r="U58" s="288"/>
      <c r="V58" s="288"/>
      <c r="W58" s="288"/>
      <c r="X58" s="288"/>
      <c r="Y58" s="288"/>
      <c r="Z58" s="288"/>
      <c r="AA58" s="288"/>
      <c r="AB58" s="288"/>
      <c r="AC58" s="288"/>
      <c r="AD58" s="288"/>
      <c r="AE58" s="288"/>
      <c r="AF58" s="288"/>
      <c r="AG58" s="288"/>
      <c r="AH58" s="288"/>
      <c r="AI58" s="289"/>
      <c r="AK58" s="425" t="s">
        <v>700</v>
      </c>
      <c r="AL58" s="425"/>
      <c r="AM58" s="425"/>
      <c r="AN58" s="425"/>
      <c r="AO58" s="425"/>
      <c r="AP58" s="425"/>
      <c r="AQ58" s="42"/>
      <c r="AR58" s="43"/>
      <c r="AS58" s="43"/>
      <c r="AT58" s="43"/>
      <c r="AU58" s="43"/>
      <c r="AV58" s="43"/>
      <c r="AW58" s="43"/>
      <c r="AX58" s="43"/>
      <c r="AY58" s="43"/>
      <c r="AZ58" s="43"/>
      <c r="BH58" s="50"/>
      <c r="BI58" s="51"/>
    </row>
    <row r="59" spans="1:61" ht="18" customHeight="1">
      <c r="A59" s="36" t="s">
        <v>189</v>
      </c>
      <c r="B59" s="404">
        <v>0.29652777777777778</v>
      </c>
      <c r="C59" s="404"/>
      <c r="D59" s="404"/>
      <c r="E59" s="404"/>
      <c r="F59" s="288" t="s">
        <v>689</v>
      </c>
      <c r="G59" s="288"/>
      <c r="H59" s="288"/>
      <c r="I59" s="288"/>
      <c r="J59" s="288"/>
      <c r="K59" s="288"/>
      <c r="L59" s="288"/>
      <c r="M59" s="288"/>
      <c r="N59" s="288"/>
      <c r="O59" s="288"/>
      <c r="P59" s="288"/>
      <c r="Q59" s="288"/>
      <c r="R59" s="288"/>
      <c r="S59" s="288"/>
      <c r="T59" s="288"/>
      <c r="U59" s="288"/>
      <c r="V59" s="288"/>
      <c r="W59" s="288"/>
      <c r="X59" s="288"/>
      <c r="Y59" s="288"/>
      <c r="Z59" s="288"/>
      <c r="AA59" s="288"/>
      <c r="AB59" s="288"/>
      <c r="AC59" s="288"/>
      <c r="AD59" s="288"/>
      <c r="AE59" s="288"/>
      <c r="AF59" s="288"/>
      <c r="AG59" s="288"/>
      <c r="AH59" s="288"/>
      <c r="AI59" s="289"/>
      <c r="AK59" s="425" t="s">
        <v>701</v>
      </c>
      <c r="AL59" s="425"/>
      <c r="AM59" s="425"/>
      <c r="AN59" s="425"/>
      <c r="AO59" s="425"/>
      <c r="AP59" s="425"/>
      <c r="AQ59" s="42"/>
      <c r="AR59" s="43"/>
      <c r="AS59" s="43"/>
      <c r="AT59" s="43"/>
      <c r="AU59" s="43"/>
      <c r="AV59" s="43"/>
      <c r="AW59" s="43"/>
      <c r="AX59" s="43"/>
      <c r="AY59" s="43"/>
      <c r="AZ59" s="43"/>
      <c r="BH59" s="50"/>
      <c r="BI59" s="51"/>
    </row>
    <row r="60" spans="1:61" ht="18" customHeight="1">
      <c r="A60" s="36"/>
      <c r="B60" s="404"/>
      <c r="C60" s="404"/>
      <c r="D60" s="404"/>
      <c r="E60" s="404"/>
      <c r="F60" s="288"/>
      <c r="G60" s="288"/>
      <c r="H60" s="288"/>
      <c r="I60" s="288"/>
      <c r="J60" s="288"/>
      <c r="K60" s="288"/>
      <c r="L60" s="288"/>
      <c r="M60" s="288"/>
      <c r="N60" s="288"/>
      <c r="O60" s="288"/>
      <c r="P60" s="288"/>
      <c r="Q60" s="288"/>
      <c r="R60" s="288"/>
      <c r="S60" s="288"/>
      <c r="T60" s="288"/>
      <c r="U60" s="288"/>
      <c r="V60" s="288"/>
      <c r="W60" s="288"/>
      <c r="X60" s="288"/>
      <c r="Y60" s="288"/>
      <c r="Z60" s="288"/>
      <c r="AA60" s="288"/>
      <c r="AB60" s="288"/>
      <c r="AC60" s="288"/>
      <c r="AD60" s="288"/>
      <c r="AE60" s="288"/>
      <c r="AF60" s="288"/>
      <c r="AG60" s="288"/>
      <c r="AH60" s="288"/>
      <c r="AI60" s="289"/>
      <c r="AK60" s="425" t="s">
        <v>702</v>
      </c>
      <c r="AL60" s="425"/>
      <c r="AM60" s="425"/>
      <c r="AN60" s="425"/>
      <c r="AO60" s="425"/>
      <c r="AP60" s="425"/>
      <c r="AQ60" s="42"/>
      <c r="AR60" s="43"/>
      <c r="AS60" s="43"/>
      <c r="AT60" s="43"/>
      <c r="AU60" s="43"/>
      <c r="AV60" s="43"/>
      <c r="AW60" s="43"/>
      <c r="AX60" s="43"/>
      <c r="AY60" s="43"/>
      <c r="AZ60" s="43"/>
      <c r="BH60" s="52"/>
      <c r="BI60" s="51"/>
    </row>
    <row r="61" spans="1:61" ht="18" customHeight="1">
      <c r="A61" s="36"/>
      <c r="B61" s="404"/>
      <c r="C61" s="404"/>
      <c r="D61" s="404"/>
      <c r="E61" s="404"/>
      <c r="F61" s="288"/>
      <c r="G61" s="288"/>
      <c r="H61" s="288"/>
      <c r="I61" s="288"/>
      <c r="J61" s="288"/>
      <c r="K61" s="288"/>
      <c r="L61" s="288"/>
      <c r="M61" s="288"/>
      <c r="N61" s="288"/>
      <c r="O61" s="288"/>
      <c r="P61" s="288"/>
      <c r="Q61" s="288"/>
      <c r="R61" s="288"/>
      <c r="S61" s="288"/>
      <c r="T61" s="288"/>
      <c r="U61" s="288"/>
      <c r="V61" s="288"/>
      <c r="W61" s="288"/>
      <c r="X61" s="288"/>
      <c r="Y61" s="288"/>
      <c r="Z61" s="288"/>
      <c r="AA61" s="288"/>
      <c r="AB61" s="288"/>
      <c r="AC61" s="288"/>
      <c r="AD61" s="288"/>
      <c r="AE61" s="288"/>
      <c r="AF61" s="288"/>
      <c r="AG61" s="288"/>
      <c r="AH61" s="288"/>
      <c r="AI61" s="289"/>
      <c r="AK61" s="425" t="s">
        <v>703</v>
      </c>
      <c r="AL61" s="425"/>
      <c r="AM61" s="425"/>
      <c r="AN61" s="425"/>
      <c r="AO61" s="425"/>
      <c r="AP61" s="425"/>
      <c r="AQ61" s="42"/>
      <c r="AR61" s="43"/>
      <c r="AS61" s="43"/>
      <c r="AT61" s="43"/>
      <c r="AU61" s="43"/>
      <c r="AV61" s="43"/>
      <c r="AW61" s="43"/>
      <c r="AX61" s="43"/>
      <c r="AY61" s="43"/>
      <c r="AZ61" s="43"/>
      <c r="BH61" s="50"/>
      <c r="BI61" s="51"/>
    </row>
    <row r="62" spans="1:61" ht="18" customHeight="1">
      <c r="A62" s="36"/>
      <c r="B62" s="404"/>
      <c r="C62" s="404"/>
      <c r="D62" s="404"/>
      <c r="E62" s="404"/>
      <c r="F62" s="288"/>
      <c r="G62" s="288"/>
      <c r="H62" s="288"/>
      <c r="I62" s="288"/>
      <c r="J62" s="288"/>
      <c r="K62" s="288"/>
      <c r="L62" s="288"/>
      <c r="M62" s="288"/>
      <c r="N62" s="288"/>
      <c r="O62" s="288"/>
      <c r="P62" s="288"/>
      <c r="Q62" s="288"/>
      <c r="R62" s="288"/>
      <c r="S62" s="288"/>
      <c r="T62" s="288"/>
      <c r="U62" s="288"/>
      <c r="V62" s="288"/>
      <c r="W62" s="288"/>
      <c r="X62" s="288"/>
      <c r="Y62" s="288"/>
      <c r="Z62" s="288"/>
      <c r="AA62" s="288"/>
      <c r="AB62" s="288"/>
      <c r="AC62" s="288"/>
      <c r="AD62" s="288"/>
      <c r="AE62" s="288"/>
      <c r="AF62" s="288"/>
      <c r="AG62" s="288"/>
      <c r="AH62" s="288"/>
      <c r="AI62" s="289"/>
      <c r="AK62" s="425"/>
      <c r="AL62" s="425"/>
      <c r="AM62" s="425"/>
      <c r="AN62" s="425"/>
      <c r="AO62" s="425"/>
      <c r="AP62" s="425"/>
      <c r="AQ62" s="42"/>
      <c r="AR62" s="43"/>
      <c r="AS62" s="43"/>
      <c r="AT62" s="43"/>
      <c r="AU62" s="43"/>
      <c r="AV62" s="43"/>
      <c r="AW62" s="43"/>
      <c r="AX62" s="43"/>
      <c r="AY62" s="43"/>
      <c r="AZ62" s="43"/>
      <c r="BH62" s="50"/>
      <c r="BI62" s="51"/>
    </row>
    <row r="63" spans="1:61" ht="18" customHeight="1">
      <c r="A63" s="36"/>
      <c r="B63" s="404"/>
      <c r="C63" s="404"/>
      <c r="D63" s="404"/>
      <c r="E63" s="404"/>
      <c r="F63" s="288"/>
      <c r="G63" s="288"/>
      <c r="H63" s="288"/>
      <c r="I63" s="288"/>
      <c r="J63" s="288"/>
      <c r="K63" s="288"/>
      <c r="L63" s="288"/>
      <c r="M63" s="288"/>
      <c r="N63" s="288"/>
      <c r="O63" s="288"/>
      <c r="P63" s="288"/>
      <c r="Q63" s="288"/>
      <c r="R63" s="288"/>
      <c r="S63" s="288"/>
      <c r="T63" s="288"/>
      <c r="U63" s="288"/>
      <c r="V63" s="288"/>
      <c r="W63" s="288"/>
      <c r="X63" s="288"/>
      <c r="Y63" s="288"/>
      <c r="Z63" s="288"/>
      <c r="AA63" s="288"/>
      <c r="AB63" s="288"/>
      <c r="AC63" s="288"/>
      <c r="AD63" s="288"/>
      <c r="AE63" s="288"/>
      <c r="AF63" s="288"/>
      <c r="AG63" s="288"/>
      <c r="AH63" s="288"/>
      <c r="AI63" s="289"/>
      <c r="AK63" s="425"/>
      <c r="AL63" s="425"/>
      <c r="AM63" s="425"/>
      <c r="AN63" s="425"/>
      <c r="AO63" s="425"/>
      <c r="AP63" s="425"/>
      <c r="AQ63" s="42"/>
      <c r="AR63" s="43"/>
      <c r="AS63" s="43"/>
      <c r="AT63" s="43"/>
      <c r="AU63" s="43"/>
      <c r="AV63" s="43"/>
      <c r="AW63" s="43"/>
      <c r="AX63" s="43"/>
      <c r="AY63" s="43"/>
      <c r="AZ63" s="43"/>
      <c r="BH63" s="52"/>
      <c r="BI63" s="51"/>
    </row>
    <row r="64" spans="1:61" ht="18" customHeight="1">
      <c r="A64" s="36"/>
      <c r="B64" s="404"/>
      <c r="C64" s="404"/>
      <c r="D64" s="404"/>
      <c r="E64" s="404"/>
      <c r="F64" s="288"/>
      <c r="G64" s="288"/>
      <c r="H64" s="288"/>
      <c r="I64" s="288"/>
      <c r="J64" s="288"/>
      <c r="K64" s="288"/>
      <c r="L64" s="288"/>
      <c r="M64" s="288"/>
      <c r="N64" s="288"/>
      <c r="O64" s="288"/>
      <c r="P64" s="288"/>
      <c r="Q64" s="288"/>
      <c r="R64" s="288"/>
      <c r="S64" s="288"/>
      <c r="T64" s="288"/>
      <c r="U64" s="288"/>
      <c r="V64" s="288"/>
      <c r="W64" s="288"/>
      <c r="X64" s="288"/>
      <c r="Y64" s="288"/>
      <c r="Z64" s="288"/>
      <c r="AA64" s="288"/>
      <c r="AB64" s="288"/>
      <c r="AC64" s="288"/>
      <c r="AD64" s="288"/>
      <c r="AE64" s="288"/>
      <c r="AF64" s="288"/>
      <c r="AG64" s="288"/>
      <c r="AH64" s="288"/>
      <c r="AI64" s="289"/>
      <c r="AK64" s="425"/>
      <c r="AL64" s="425"/>
      <c r="AM64" s="425"/>
      <c r="AN64" s="425"/>
      <c r="AO64" s="425"/>
      <c r="AP64" s="425"/>
      <c r="AQ64" s="42"/>
      <c r="AR64" s="43"/>
      <c r="AS64" s="43"/>
      <c r="AT64" s="43"/>
      <c r="AU64" s="43"/>
      <c r="AV64" s="43"/>
      <c r="AW64" s="43"/>
      <c r="AX64" s="43"/>
      <c r="AY64" s="43"/>
      <c r="AZ64" s="43"/>
      <c r="BH64" s="52"/>
      <c r="BI64" s="51"/>
    </row>
    <row r="65" spans="1:61" ht="18" customHeight="1">
      <c r="A65" s="36"/>
      <c r="B65" s="404"/>
      <c r="C65" s="404"/>
      <c r="D65" s="404"/>
      <c r="E65" s="404"/>
      <c r="F65" s="288"/>
      <c r="G65" s="288"/>
      <c r="H65" s="288"/>
      <c r="I65" s="288"/>
      <c r="J65" s="288"/>
      <c r="K65" s="288"/>
      <c r="L65" s="288"/>
      <c r="M65" s="288"/>
      <c r="N65" s="288"/>
      <c r="O65" s="288"/>
      <c r="P65" s="288"/>
      <c r="Q65" s="288"/>
      <c r="R65" s="288"/>
      <c r="S65" s="288"/>
      <c r="T65" s="288"/>
      <c r="U65" s="288"/>
      <c r="V65" s="288"/>
      <c r="W65" s="288"/>
      <c r="X65" s="288"/>
      <c r="Y65" s="288"/>
      <c r="Z65" s="288"/>
      <c r="AA65" s="288"/>
      <c r="AB65" s="288"/>
      <c r="AC65" s="288"/>
      <c r="AD65" s="288"/>
      <c r="AE65" s="288"/>
      <c r="AF65" s="288"/>
      <c r="AG65" s="288"/>
      <c r="AH65" s="288"/>
      <c r="AI65" s="289"/>
      <c r="AK65" s="425"/>
      <c r="AL65" s="425"/>
      <c r="AM65" s="425"/>
      <c r="AN65" s="425"/>
      <c r="AO65" s="425"/>
      <c r="AP65" s="425"/>
      <c r="AQ65" s="42"/>
      <c r="AR65" s="43"/>
      <c r="AS65" s="43"/>
      <c r="AT65" s="43"/>
      <c r="AU65" s="43"/>
      <c r="AV65" s="43"/>
      <c r="AW65" s="43"/>
      <c r="AX65" s="43"/>
      <c r="AY65" s="43"/>
      <c r="AZ65" s="43"/>
      <c r="BH65" s="50"/>
      <c r="BI65" s="51"/>
    </row>
    <row r="66" spans="1:61" ht="18" customHeight="1">
      <c r="A66" s="36"/>
      <c r="B66" s="404"/>
      <c r="C66" s="404"/>
      <c r="D66" s="404"/>
      <c r="E66" s="404"/>
      <c r="F66" s="288"/>
      <c r="G66" s="288"/>
      <c r="H66" s="288"/>
      <c r="I66" s="288"/>
      <c r="J66" s="288"/>
      <c r="K66" s="288"/>
      <c r="L66" s="288"/>
      <c r="M66" s="288"/>
      <c r="N66" s="288"/>
      <c r="O66" s="288"/>
      <c r="P66" s="288"/>
      <c r="Q66" s="288"/>
      <c r="R66" s="288"/>
      <c r="S66" s="288"/>
      <c r="T66" s="288"/>
      <c r="U66" s="288"/>
      <c r="V66" s="288"/>
      <c r="W66" s="288"/>
      <c r="X66" s="288"/>
      <c r="Y66" s="288"/>
      <c r="Z66" s="288"/>
      <c r="AA66" s="288"/>
      <c r="AB66" s="288"/>
      <c r="AC66" s="288"/>
      <c r="AD66" s="288"/>
      <c r="AE66" s="288"/>
      <c r="AF66" s="288"/>
      <c r="AG66" s="288"/>
      <c r="AH66" s="288"/>
      <c r="AI66" s="289"/>
      <c r="AK66" s="425"/>
      <c r="AL66" s="425"/>
      <c r="AM66" s="425"/>
      <c r="AN66" s="425"/>
      <c r="AO66" s="425"/>
      <c r="AP66" s="425"/>
      <c r="AQ66" s="42"/>
      <c r="AR66" s="43"/>
      <c r="AS66" s="43"/>
      <c r="AT66" s="43"/>
      <c r="AU66" s="43"/>
      <c r="AV66" s="43"/>
      <c r="AW66" s="43"/>
      <c r="AX66" s="43"/>
      <c r="AY66" s="43"/>
      <c r="AZ66" s="43"/>
      <c r="BH66" s="50"/>
      <c r="BI66" s="51"/>
    </row>
    <row r="67" spans="1:61" ht="18" customHeight="1">
      <c r="A67" s="36"/>
      <c r="B67" s="404"/>
      <c r="C67" s="404"/>
      <c r="D67" s="404"/>
      <c r="E67" s="404"/>
      <c r="F67" s="288"/>
      <c r="G67" s="288"/>
      <c r="H67" s="288"/>
      <c r="I67" s="288"/>
      <c r="J67" s="288"/>
      <c r="K67" s="288"/>
      <c r="L67" s="288"/>
      <c r="M67" s="288"/>
      <c r="N67" s="288"/>
      <c r="O67" s="288"/>
      <c r="P67" s="288"/>
      <c r="Q67" s="288"/>
      <c r="R67" s="288"/>
      <c r="S67" s="288"/>
      <c r="T67" s="288"/>
      <c r="U67" s="288"/>
      <c r="V67" s="288"/>
      <c r="W67" s="288"/>
      <c r="X67" s="288"/>
      <c r="Y67" s="288"/>
      <c r="Z67" s="288"/>
      <c r="AA67" s="288"/>
      <c r="AB67" s="288"/>
      <c r="AC67" s="288"/>
      <c r="AD67" s="288"/>
      <c r="AE67" s="288"/>
      <c r="AF67" s="288"/>
      <c r="AG67" s="288"/>
      <c r="AH67" s="288"/>
      <c r="AI67" s="289"/>
      <c r="AK67" s="425"/>
      <c r="AL67" s="425"/>
      <c r="AM67" s="425"/>
      <c r="AN67" s="425"/>
      <c r="AO67" s="425"/>
      <c r="AP67" s="425"/>
      <c r="AQ67" s="67"/>
      <c r="AR67" s="43"/>
      <c r="AS67" s="43"/>
      <c r="AT67" s="43"/>
      <c r="AU67" s="43"/>
      <c r="AV67" s="43"/>
      <c r="AW67" s="43"/>
      <c r="AX67" s="43"/>
      <c r="AY67" s="43"/>
      <c r="AZ67" s="43"/>
      <c r="BH67" s="50"/>
      <c r="BI67" s="51"/>
    </row>
    <row r="68" spans="1:61" ht="18" customHeight="1">
      <c r="A68" s="36"/>
      <c r="B68" s="404"/>
      <c r="C68" s="404"/>
      <c r="D68" s="404"/>
      <c r="E68" s="404"/>
      <c r="F68" s="288"/>
      <c r="G68" s="288"/>
      <c r="H68" s="288"/>
      <c r="I68" s="288"/>
      <c r="J68" s="288"/>
      <c r="K68" s="288"/>
      <c r="L68" s="288"/>
      <c r="M68" s="288"/>
      <c r="N68" s="288"/>
      <c r="O68" s="288"/>
      <c r="P68" s="288"/>
      <c r="Q68" s="288"/>
      <c r="R68" s="288"/>
      <c r="S68" s="288"/>
      <c r="T68" s="288"/>
      <c r="U68" s="288"/>
      <c r="V68" s="288"/>
      <c r="W68" s="288"/>
      <c r="X68" s="288"/>
      <c r="Y68" s="288"/>
      <c r="Z68" s="288"/>
      <c r="AA68" s="288"/>
      <c r="AB68" s="288"/>
      <c r="AC68" s="288"/>
      <c r="AD68" s="288"/>
      <c r="AE68" s="288"/>
      <c r="AF68" s="288"/>
      <c r="AG68" s="288"/>
      <c r="AH68" s="288"/>
      <c r="AI68" s="289"/>
      <c r="AK68" s="425"/>
      <c r="AL68" s="425"/>
      <c r="AM68" s="425"/>
      <c r="AN68" s="425"/>
      <c r="AO68" s="425"/>
      <c r="AP68" s="425"/>
      <c r="AQ68" s="67"/>
      <c r="AR68" s="43"/>
      <c r="AS68" s="43"/>
      <c r="AT68" s="43"/>
      <c r="AU68" s="43"/>
      <c r="AV68" s="43"/>
      <c r="AW68" s="43"/>
      <c r="AX68" s="43"/>
      <c r="AY68" s="43"/>
      <c r="AZ68" s="43"/>
      <c r="BH68" s="50"/>
      <c r="BI68" s="51"/>
    </row>
    <row r="69" spans="1:61" ht="18" customHeight="1">
      <c r="A69" s="36"/>
      <c r="B69" s="404"/>
      <c r="C69" s="404"/>
      <c r="D69" s="404"/>
      <c r="E69" s="404"/>
      <c r="F69" s="288"/>
      <c r="G69" s="288"/>
      <c r="H69" s="288"/>
      <c r="I69" s="288"/>
      <c r="J69" s="288"/>
      <c r="K69" s="288"/>
      <c r="L69" s="288"/>
      <c r="M69" s="288"/>
      <c r="N69" s="288"/>
      <c r="O69" s="288"/>
      <c r="P69" s="288"/>
      <c r="Q69" s="288"/>
      <c r="R69" s="288"/>
      <c r="S69" s="288"/>
      <c r="T69" s="288"/>
      <c r="U69" s="288"/>
      <c r="V69" s="288"/>
      <c r="W69" s="288"/>
      <c r="X69" s="288"/>
      <c r="Y69" s="288"/>
      <c r="Z69" s="288"/>
      <c r="AA69" s="288"/>
      <c r="AB69" s="288"/>
      <c r="AC69" s="288"/>
      <c r="AD69" s="288"/>
      <c r="AE69" s="288"/>
      <c r="AF69" s="288"/>
      <c r="AG69" s="288"/>
      <c r="AH69" s="288"/>
      <c r="AI69" s="289"/>
      <c r="AK69" s="425"/>
      <c r="AL69" s="425"/>
      <c r="AM69" s="425"/>
      <c r="AN69" s="425"/>
      <c r="AO69" s="425"/>
      <c r="AP69" s="425"/>
      <c r="AQ69" s="42"/>
      <c r="AR69" s="43"/>
      <c r="AS69" s="43"/>
      <c r="AT69" s="43"/>
      <c r="AU69" s="43"/>
      <c r="AV69" s="43"/>
      <c r="AW69" s="43"/>
      <c r="AX69" s="43"/>
      <c r="AY69" s="43"/>
      <c r="AZ69" s="43"/>
      <c r="BH69" s="50"/>
      <c r="BI69" s="51"/>
    </row>
    <row r="70" spans="1:61" ht="18" customHeight="1">
      <c r="A70" s="36"/>
      <c r="B70" s="404"/>
      <c r="C70" s="404"/>
      <c r="D70" s="404"/>
      <c r="E70" s="404"/>
      <c r="F70" s="288"/>
      <c r="G70" s="288"/>
      <c r="H70" s="288"/>
      <c r="I70" s="288"/>
      <c r="J70" s="288"/>
      <c r="K70" s="288"/>
      <c r="L70" s="288"/>
      <c r="M70" s="288"/>
      <c r="N70" s="288"/>
      <c r="O70" s="288"/>
      <c r="P70" s="288"/>
      <c r="Q70" s="288"/>
      <c r="R70" s="288"/>
      <c r="S70" s="288"/>
      <c r="T70" s="288"/>
      <c r="U70" s="288"/>
      <c r="V70" s="288"/>
      <c r="W70" s="288"/>
      <c r="X70" s="288"/>
      <c r="Y70" s="288"/>
      <c r="Z70" s="288"/>
      <c r="AA70" s="288"/>
      <c r="AB70" s="288"/>
      <c r="AC70" s="288"/>
      <c r="AD70" s="288"/>
      <c r="AE70" s="288"/>
      <c r="AF70" s="288"/>
      <c r="AG70" s="288"/>
      <c r="AH70" s="288"/>
      <c r="AI70" s="289"/>
      <c r="AK70" s="425"/>
      <c r="AL70" s="425"/>
      <c r="AM70" s="425"/>
      <c r="AN70" s="425"/>
      <c r="AO70" s="425"/>
      <c r="AP70" s="425"/>
      <c r="AQ70" s="42"/>
      <c r="AR70" s="43"/>
      <c r="AS70" s="43"/>
      <c r="AT70" s="43"/>
      <c r="AU70" s="43"/>
      <c r="AV70" s="43"/>
      <c r="AW70" s="43"/>
      <c r="AX70" s="43"/>
      <c r="AY70" s="43"/>
      <c r="AZ70" s="43"/>
      <c r="BH70" s="50"/>
      <c r="BI70" s="51"/>
    </row>
    <row r="71" spans="1:61" ht="18" customHeight="1">
      <c r="A71" s="36"/>
      <c r="B71" s="404"/>
      <c r="C71" s="404"/>
      <c r="D71" s="404"/>
      <c r="E71" s="404"/>
      <c r="F71" s="288"/>
      <c r="G71" s="288"/>
      <c r="H71" s="288"/>
      <c r="I71" s="288"/>
      <c r="J71" s="288"/>
      <c r="K71" s="288"/>
      <c r="L71" s="288"/>
      <c r="M71" s="288"/>
      <c r="N71" s="288"/>
      <c r="O71" s="288"/>
      <c r="P71" s="288"/>
      <c r="Q71" s="288"/>
      <c r="R71" s="288"/>
      <c r="S71" s="288"/>
      <c r="T71" s="288"/>
      <c r="U71" s="288"/>
      <c r="V71" s="288"/>
      <c r="W71" s="288"/>
      <c r="X71" s="288"/>
      <c r="Y71" s="288"/>
      <c r="Z71" s="288"/>
      <c r="AA71" s="288"/>
      <c r="AB71" s="288"/>
      <c r="AC71" s="288"/>
      <c r="AD71" s="288"/>
      <c r="AE71" s="288"/>
      <c r="AF71" s="288"/>
      <c r="AG71" s="288"/>
      <c r="AH71" s="288"/>
      <c r="AI71" s="289"/>
      <c r="AK71" s="425"/>
      <c r="AL71" s="425"/>
      <c r="AM71" s="425"/>
      <c r="AN71" s="425"/>
      <c r="AO71" s="425"/>
      <c r="AP71" s="425"/>
      <c r="AQ71" s="42"/>
      <c r="AR71" s="43"/>
      <c r="AS71" s="43"/>
      <c r="AT71" s="43"/>
      <c r="AU71" s="43"/>
      <c r="AV71" s="43"/>
      <c r="AW71" s="43"/>
      <c r="AX71" s="43"/>
      <c r="AY71" s="43"/>
      <c r="AZ71" s="43"/>
      <c r="BH71" s="52"/>
      <c r="BI71" s="51"/>
    </row>
    <row r="72" spans="1:61" ht="18" customHeight="1">
      <c r="A72" s="36"/>
      <c r="B72" s="404"/>
      <c r="C72" s="404"/>
      <c r="D72" s="404"/>
      <c r="E72" s="404"/>
      <c r="F72" s="288"/>
      <c r="G72" s="288"/>
      <c r="H72" s="288"/>
      <c r="I72" s="288"/>
      <c r="J72" s="288"/>
      <c r="K72" s="288"/>
      <c r="L72" s="288"/>
      <c r="M72" s="288"/>
      <c r="N72" s="288"/>
      <c r="O72" s="288"/>
      <c r="P72" s="288"/>
      <c r="Q72" s="288"/>
      <c r="R72" s="288"/>
      <c r="S72" s="288"/>
      <c r="T72" s="288"/>
      <c r="U72" s="288"/>
      <c r="V72" s="288"/>
      <c r="W72" s="288"/>
      <c r="X72" s="288"/>
      <c r="Y72" s="288"/>
      <c r="Z72" s="288"/>
      <c r="AA72" s="288"/>
      <c r="AB72" s="288"/>
      <c r="AC72" s="288"/>
      <c r="AD72" s="288"/>
      <c r="AE72" s="288"/>
      <c r="AF72" s="288"/>
      <c r="AG72" s="288"/>
      <c r="AH72" s="288"/>
      <c r="AI72" s="289"/>
      <c r="AK72" s="425"/>
      <c r="AL72" s="425"/>
      <c r="AM72" s="425"/>
      <c r="AN72" s="425"/>
      <c r="AO72" s="425"/>
      <c r="AP72" s="425"/>
      <c r="AQ72" s="42"/>
      <c r="AR72" s="43"/>
      <c r="AS72" s="43"/>
      <c r="AT72" s="43"/>
      <c r="AU72" s="43"/>
      <c r="AV72" s="43"/>
      <c r="AW72" s="43"/>
      <c r="AX72" s="43"/>
      <c r="AY72" s="43"/>
      <c r="AZ72" s="43"/>
      <c r="BH72" s="53"/>
      <c r="BI72" s="51"/>
    </row>
    <row r="73" spans="1:61" ht="18" customHeight="1">
      <c r="A73" s="36"/>
      <c r="B73" s="404"/>
      <c r="C73" s="404"/>
      <c r="D73" s="404"/>
      <c r="E73" s="404"/>
      <c r="F73" s="288"/>
      <c r="G73" s="288"/>
      <c r="H73" s="288"/>
      <c r="I73" s="288"/>
      <c r="J73" s="288"/>
      <c r="K73" s="288"/>
      <c r="L73" s="288"/>
      <c r="M73" s="288"/>
      <c r="N73" s="288"/>
      <c r="O73" s="288"/>
      <c r="P73" s="288"/>
      <c r="Q73" s="288"/>
      <c r="R73" s="288"/>
      <c r="S73" s="288"/>
      <c r="T73" s="288"/>
      <c r="U73" s="288"/>
      <c r="V73" s="288"/>
      <c r="W73" s="288"/>
      <c r="X73" s="288"/>
      <c r="Y73" s="288"/>
      <c r="Z73" s="288"/>
      <c r="AA73" s="288"/>
      <c r="AB73" s="288"/>
      <c r="AC73" s="288"/>
      <c r="AD73" s="288"/>
      <c r="AE73" s="288"/>
      <c r="AF73" s="288"/>
      <c r="AG73" s="288"/>
      <c r="AH73" s="288"/>
      <c r="AI73" s="289"/>
      <c r="AK73" s="425"/>
      <c r="AL73" s="425"/>
      <c r="AM73" s="425"/>
      <c r="AN73" s="425"/>
      <c r="AO73" s="425"/>
      <c r="AP73" s="425"/>
      <c r="AQ73" s="42"/>
      <c r="AR73" s="43"/>
      <c r="AS73" s="43"/>
      <c r="AT73" s="43"/>
      <c r="AU73" s="43"/>
      <c r="AV73" s="43"/>
      <c r="AW73" s="43"/>
      <c r="AX73" s="43"/>
      <c r="AY73" s="43"/>
      <c r="AZ73" s="43"/>
      <c r="BH73" s="54"/>
      <c r="BI73" s="51"/>
    </row>
    <row r="74" spans="1:61" ht="18" customHeight="1">
      <c r="A74" s="36"/>
      <c r="B74" s="404"/>
      <c r="C74" s="404"/>
      <c r="D74" s="404"/>
      <c r="E74" s="404"/>
      <c r="F74" s="288"/>
      <c r="G74" s="288"/>
      <c r="H74" s="288"/>
      <c r="I74" s="288"/>
      <c r="J74" s="288"/>
      <c r="K74" s="288"/>
      <c r="L74" s="288"/>
      <c r="M74" s="288"/>
      <c r="N74" s="288"/>
      <c r="O74" s="288"/>
      <c r="P74" s="288"/>
      <c r="Q74" s="288"/>
      <c r="R74" s="288"/>
      <c r="S74" s="288"/>
      <c r="T74" s="288"/>
      <c r="U74" s="288"/>
      <c r="V74" s="288"/>
      <c r="W74" s="288"/>
      <c r="X74" s="288"/>
      <c r="Y74" s="288"/>
      <c r="Z74" s="288"/>
      <c r="AA74" s="288"/>
      <c r="AB74" s="288"/>
      <c r="AC74" s="288"/>
      <c r="AD74" s="288"/>
      <c r="AE74" s="288"/>
      <c r="AF74" s="288"/>
      <c r="AG74" s="288"/>
      <c r="AH74" s="288"/>
      <c r="AI74" s="289"/>
      <c r="AK74" s="425"/>
      <c r="AL74" s="425"/>
      <c r="AM74" s="425"/>
      <c r="AN74" s="425"/>
      <c r="AO74" s="425"/>
      <c r="AP74" s="425"/>
      <c r="AQ74" s="42"/>
      <c r="AR74" s="43"/>
      <c r="AS74" s="43"/>
      <c r="AT74" s="43"/>
      <c r="AU74" s="43"/>
      <c r="AV74" s="43"/>
      <c r="AW74" s="43"/>
      <c r="AX74" s="43"/>
      <c r="AY74" s="43"/>
      <c r="AZ74" s="43"/>
      <c r="BH74" s="54"/>
      <c r="BI74" s="51"/>
    </row>
    <row r="75" spans="1:61" ht="18" customHeight="1">
      <c r="A75" s="36"/>
      <c r="B75" s="404"/>
      <c r="C75" s="404"/>
      <c r="D75" s="404"/>
      <c r="E75" s="404"/>
      <c r="F75" s="288"/>
      <c r="G75" s="288"/>
      <c r="H75" s="288"/>
      <c r="I75" s="288"/>
      <c r="J75" s="288"/>
      <c r="K75" s="288"/>
      <c r="L75" s="288"/>
      <c r="M75" s="288"/>
      <c r="N75" s="288"/>
      <c r="O75" s="288"/>
      <c r="P75" s="288"/>
      <c r="Q75" s="288"/>
      <c r="R75" s="288"/>
      <c r="S75" s="288"/>
      <c r="T75" s="288"/>
      <c r="U75" s="288"/>
      <c r="V75" s="288"/>
      <c r="W75" s="288"/>
      <c r="X75" s="288"/>
      <c r="Y75" s="288"/>
      <c r="Z75" s="288"/>
      <c r="AA75" s="288"/>
      <c r="AB75" s="288"/>
      <c r="AC75" s="288"/>
      <c r="AD75" s="288"/>
      <c r="AE75" s="288"/>
      <c r="AF75" s="288"/>
      <c r="AG75" s="288"/>
      <c r="AH75" s="288"/>
      <c r="AI75" s="289"/>
      <c r="AK75" s="425"/>
      <c r="AL75" s="425"/>
      <c r="AM75" s="425"/>
      <c r="AN75" s="425"/>
      <c r="AO75" s="425"/>
      <c r="AP75" s="425"/>
      <c r="AQ75" s="42"/>
      <c r="AR75" s="43"/>
      <c r="AS75" s="43"/>
      <c r="AT75" s="43"/>
      <c r="AU75" s="43"/>
      <c r="AV75" s="43"/>
      <c r="AW75" s="43"/>
      <c r="AX75" s="43"/>
      <c r="AY75" s="43"/>
      <c r="AZ75" s="43"/>
      <c r="BH75" s="53"/>
      <c r="BI75" s="51"/>
    </row>
    <row r="76" spans="1:61" ht="18" customHeight="1">
      <c r="A76" s="36"/>
      <c r="B76" s="404"/>
      <c r="C76" s="404"/>
      <c r="D76" s="404"/>
      <c r="E76" s="404"/>
      <c r="F76" s="288"/>
      <c r="G76" s="288"/>
      <c r="H76" s="288"/>
      <c r="I76" s="288"/>
      <c r="J76" s="288"/>
      <c r="K76" s="288"/>
      <c r="L76" s="288"/>
      <c r="M76" s="288"/>
      <c r="N76" s="288"/>
      <c r="O76" s="288"/>
      <c r="P76" s="288"/>
      <c r="Q76" s="288"/>
      <c r="R76" s="288"/>
      <c r="S76" s="288"/>
      <c r="T76" s="288"/>
      <c r="U76" s="288"/>
      <c r="V76" s="288"/>
      <c r="W76" s="288"/>
      <c r="X76" s="288"/>
      <c r="Y76" s="288"/>
      <c r="Z76" s="288"/>
      <c r="AA76" s="288"/>
      <c r="AB76" s="288"/>
      <c r="AC76" s="288"/>
      <c r="AD76" s="288"/>
      <c r="AE76" s="288"/>
      <c r="AF76" s="288"/>
      <c r="AG76" s="288"/>
      <c r="AH76" s="288"/>
      <c r="AI76" s="289"/>
      <c r="AK76" s="425"/>
      <c r="AL76" s="425"/>
      <c r="AM76" s="425"/>
      <c r="AN76" s="425"/>
      <c r="AO76" s="425"/>
      <c r="AP76" s="425"/>
      <c r="AQ76" s="42"/>
      <c r="AR76" s="43"/>
      <c r="AS76" s="43"/>
      <c r="AT76" s="43"/>
      <c r="AU76" s="43"/>
      <c r="AV76" s="43"/>
      <c r="AW76" s="43"/>
      <c r="AX76" s="43"/>
      <c r="AY76" s="43"/>
      <c r="AZ76" s="43"/>
      <c r="BH76" s="53"/>
      <c r="BI76" s="51"/>
    </row>
    <row r="77" spans="1:61" ht="18" customHeight="1">
      <c r="A77" s="36"/>
      <c r="B77" s="404"/>
      <c r="C77" s="404"/>
      <c r="D77" s="404"/>
      <c r="E77" s="404"/>
      <c r="F77" s="288"/>
      <c r="G77" s="288"/>
      <c r="H77" s="288"/>
      <c r="I77" s="288"/>
      <c r="J77" s="288"/>
      <c r="K77" s="288"/>
      <c r="L77" s="288"/>
      <c r="M77" s="288"/>
      <c r="N77" s="288"/>
      <c r="O77" s="288"/>
      <c r="P77" s="288"/>
      <c r="Q77" s="288"/>
      <c r="R77" s="288"/>
      <c r="S77" s="288"/>
      <c r="T77" s="288"/>
      <c r="U77" s="288"/>
      <c r="V77" s="288"/>
      <c r="W77" s="288"/>
      <c r="X77" s="288"/>
      <c r="Y77" s="288"/>
      <c r="Z77" s="288"/>
      <c r="AA77" s="288"/>
      <c r="AB77" s="288"/>
      <c r="AC77" s="288"/>
      <c r="AD77" s="288"/>
      <c r="AE77" s="288"/>
      <c r="AF77" s="288"/>
      <c r="AG77" s="288"/>
      <c r="AH77" s="288"/>
      <c r="AI77" s="289"/>
      <c r="AK77" s="425"/>
      <c r="AL77" s="425"/>
      <c r="AM77" s="425"/>
      <c r="AN77" s="425"/>
      <c r="AO77" s="425"/>
      <c r="AP77" s="425"/>
      <c r="AQ77" s="42"/>
      <c r="AR77" s="43"/>
      <c r="AS77" s="43"/>
      <c r="AT77" s="43"/>
      <c r="AU77" s="43"/>
      <c r="AV77" s="43"/>
      <c r="AW77" s="43"/>
      <c r="AX77" s="43"/>
      <c r="AY77" s="43"/>
      <c r="AZ77" s="43"/>
      <c r="BH77" s="54"/>
      <c r="BI77" s="51"/>
    </row>
    <row r="78" spans="1:61" ht="18" customHeight="1">
      <c r="A78" s="36"/>
      <c r="B78" s="404"/>
      <c r="C78" s="404"/>
      <c r="D78" s="404"/>
      <c r="E78" s="404"/>
      <c r="F78" s="288"/>
      <c r="G78" s="288"/>
      <c r="H78" s="288"/>
      <c r="I78" s="288"/>
      <c r="J78" s="288"/>
      <c r="K78" s="288"/>
      <c r="L78" s="288"/>
      <c r="M78" s="288"/>
      <c r="N78" s="288"/>
      <c r="O78" s="288"/>
      <c r="P78" s="288"/>
      <c r="Q78" s="288"/>
      <c r="R78" s="288"/>
      <c r="S78" s="288"/>
      <c r="T78" s="288"/>
      <c r="U78" s="288"/>
      <c r="V78" s="288"/>
      <c r="W78" s="288"/>
      <c r="X78" s="288"/>
      <c r="Y78" s="288"/>
      <c r="Z78" s="288"/>
      <c r="AA78" s="288"/>
      <c r="AB78" s="288"/>
      <c r="AC78" s="288"/>
      <c r="AD78" s="288"/>
      <c r="AE78" s="288"/>
      <c r="AF78" s="288"/>
      <c r="AG78" s="288"/>
      <c r="AH78" s="288"/>
      <c r="AI78" s="289"/>
      <c r="AK78" s="425"/>
      <c r="AL78" s="425"/>
      <c r="AM78" s="425"/>
      <c r="AN78" s="425"/>
      <c r="AO78" s="425"/>
      <c r="AP78" s="425"/>
      <c r="AQ78" s="42"/>
      <c r="AR78" s="43"/>
      <c r="AS78" s="43"/>
      <c r="AT78" s="43"/>
      <c r="AU78" s="43"/>
      <c r="AV78" s="43"/>
      <c r="AW78" s="43"/>
      <c r="AX78" s="43"/>
      <c r="AY78" s="43"/>
      <c r="AZ78" s="43"/>
      <c r="BH78" s="54"/>
      <c r="BI78" s="51"/>
    </row>
    <row r="79" spans="1:61" ht="18" customHeight="1">
      <c r="A79" s="36"/>
      <c r="B79" s="404"/>
      <c r="C79" s="404"/>
      <c r="D79" s="404"/>
      <c r="E79" s="404"/>
      <c r="F79" s="288"/>
      <c r="G79" s="288"/>
      <c r="H79" s="288"/>
      <c r="I79" s="288"/>
      <c r="J79" s="288"/>
      <c r="K79" s="288"/>
      <c r="L79" s="288"/>
      <c r="M79" s="288"/>
      <c r="N79" s="288"/>
      <c r="O79" s="288"/>
      <c r="P79" s="288"/>
      <c r="Q79" s="288"/>
      <c r="R79" s="288"/>
      <c r="S79" s="288"/>
      <c r="T79" s="288"/>
      <c r="U79" s="288"/>
      <c r="V79" s="288"/>
      <c r="W79" s="288"/>
      <c r="X79" s="288"/>
      <c r="Y79" s="288"/>
      <c r="Z79" s="288"/>
      <c r="AA79" s="288"/>
      <c r="AB79" s="288"/>
      <c r="AC79" s="288"/>
      <c r="AD79" s="288"/>
      <c r="AE79" s="288"/>
      <c r="AF79" s="288"/>
      <c r="AG79" s="288"/>
      <c r="AH79" s="288"/>
      <c r="AI79" s="289"/>
      <c r="AK79" s="425"/>
      <c r="AL79" s="425"/>
      <c r="AM79" s="425"/>
      <c r="AN79" s="425"/>
      <c r="AO79" s="425"/>
      <c r="AP79" s="425"/>
      <c r="AQ79" s="42"/>
      <c r="AR79" s="43"/>
      <c r="AS79" s="43"/>
      <c r="AT79" s="43"/>
      <c r="AU79" s="43"/>
      <c r="AV79" s="43"/>
      <c r="AW79" s="43"/>
      <c r="AX79" s="43"/>
      <c r="AY79" s="43"/>
      <c r="AZ79" s="43"/>
      <c r="BH79" s="54"/>
      <c r="BI79" s="51"/>
    </row>
    <row r="80" spans="1:61" ht="18" customHeight="1">
      <c r="A80" s="37"/>
      <c r="B80" s="466"/>
      <c r="C80" s="466"/>
      <c r="D80" s="466"/>
      <c r="E80" s="466"/>
      <c r="F80" s="467"/>
      <c r="G80" s="467"/>
      <c r="H80" s="467"/>
      <c r="I80" s="467"/>
      <c r="J80" s="467"/>
      <c r="K80" s="467"/>
      <c r="L80" s="467"/>
      <c r="M80" s="467"/>
      <c r="N80" s="467"/>
      <c r="O80" s="467"/>
      <c r="P80" s="467"/>
      <c r="Q80" s="467"/>
      <c r="R80" s="467"/>
      <c r="S80" s="467"/>
      <c r="T80" s="467"/>
      <c r="U80" s="467"/>
      <c r="V80" s="467"/>
      <c r="W80" s="467"/>
      <c r="X80" s="467"/>
      <c r="Y80" s="467"/>
      <c r="Z80" s="467"/>
      <c r="AA80" s="467"/>
      <c r="AB80" s="467"/>
      <c r="AC80" s="467"/>
      <c r="AD80" s="467"/>
      <c r="AE80" s="467"/>
      <c r="AF80" s="467"/>
      <c r="AG80" s="467"/>
      <c r="AH80" s="467"/>
      <c r="AI80" s="468"/>
      <c r="AK80" s="425"/>
      <c r="AL80" s="425"/>
      <c r="AM80" s="425"/>
      <c r="AN80" s="425"/>
      <c r="AO80" s="425"/>
      <c r="AP80" s="425"/>
      <c r="AQ80" s="42"/>
      <c r="AR80" s="43"/>
      <c r="AS80" s="43"/>
      <c r="AT80" s="43"/>
      <c r="AU80" s="43"/>
      <c r="AV80" s="43"/>
      <c r="AW80" s="43"/>
      <c r="AX80" s="43"/>
      <c r="AY80" s="43"/>
      <c r="AZ80" s="43"/>
      <c r="BH80" s="54"/>
      <c r="BI80" s="51"/>
    </row>
    <row r="81" spans="1:61" ht="18" customHeight="1">
      <c r="A81" s="406" t="s">
        <v>704</v>
      </c>
      <c r="B81" s="407"/>
      <c r="C81" s="407"/>
      <c r="D81" s="407"/>
      <c r="E81" s="407"/>
      <c r="F81" s="407"/>
      <c r="G81" s="407"/>
      <c r="H81" s="407"/>
      <c r="I81" s="407"/>
      <c r="J81" s="407"/>
      <c r="K81" s="407"/>
      <c r="L81" s="407"/>
      <c r="M81" s="407"/>
      <c r="N81" s="407"/>
      <c r="O81" s="407"/>
      <c r="P81" s="407"/>
      <c r="Q81" s="407"/>
      <c r="R81" s="407"/>
      <c r="S81" s="407"/>
      <c r="T81" s="407"/>
      <c r="U81" s="407"/>
      <c r="V81" s="407"/>
      <c r="W81" s="407"/>
      <c r="X81" s="407"/>
      <c r="Y81" s="407"/>
      <c r="Z81" s="407"/>
      <c r="AA81" s="407"/>
      <c r="AB81" s="407"/>
      <c r="AC81" s="407"/>
      <c r="AD81" s="407"/>
      <c r="AE81" s="407"/>
      <c r="AF81" s="407"/>
      <c r="AG81" s="407"/>
      <c r="AH81" s="407"/>
      <c r="AI81" s="408"/>
      <c r="AK81" s="425"/>
      <c r="AL81" s="425"/>
      <c r="AM81" s="425"/>
      <c r="AN81" s="425"/>
      <c r="AO81" s="425"/>
      <c r="AP81" s="425"/>
      <c r="AQ81" s="42"/>
      <c r="AR81" s="43"/>
      <c r="AS81" s="43"/>
      <c r="AT81" s="43"/>
      <c r="AU81" s="43"/>
      <c r="AV81" s="43"/>
      <c r="AW81" s="43"/>
      <c r="AX81" s="43"/>
      <c r="AY81" s="43"/>
      <c r="AZ81" s="43"/>
      <c r="BH81" s="53"/>
      <c r="BI81" s="51"/>
    </row>
    <row r="82" spans="1:61" ht="18" customHeight="1">
      <c r="A82" s="38"/>
      <c r="B82" s="465">
        <v>45644</v>
      </c>
      <c r="C82" s="465"/>
      <c r="D82" s="465"/>
      <c r="E82" s="465"/>
      <c r="F82" s="288" t="s">
        <v>837</v>
      </c>
      <c r="G82" s="288"/>
      <c r="H82" s="288"/>
      <c r="I82" s="288"/>
      <c r="J82" s="288"/>
      <c r="K82" s="288"/>
      <c r="L82" s="288"/>
      <c r="M82" s="288"/>
      <c r="N82" s="288"/>
      <c r="O82" s="288"/>
      <c r="P82" s="288"/>
      <c r="Q82" s="288"/>
      <c r="R82" s="288"/>
      <c r="S82" s="288"/>
      <c r="T82" s="288"/>
      <c r="U82" s="288"/>
      <c r="V82" s="288"/>
      <c r="W82" s="288"/>
      <c r="X82" s="288"/>
      <c r="Y82" s="288"/>
      <c r="Z82" s="288"/>
      <c r="AA82" s="288"/>
      <c r="AB82" s="288"/>
      <c r="AC82" s="288"/>
      <c r="AD82" s="288"/>
      <c r="AE82" s="288"/>
      <c r="AF82" s="288"/>
      <c r="AG82" s="288"/>
      <c r="AH82" s="288"/>
      <c r="AI82" s="289"/>
      <c r="AK82" s="425"/>
      <c r="AL82" s="425"/>
      <c r="AM82" s="425"/>
      <c r="AN82" s="425"/>
      <c r="AO82" s="425"/>
      <c r="AP82" s="425"/>
      <c r="AQ82" s="42"/>
      <c r="AR82" s="43"/>
      <c r="AS82" s="43"/>
      <c r="AT82" s="43"/>
      <c r="AU82" s="43"/>
      <c r="AV82" s="43"/>
      <c r="AW82" s="43"/>
      <c r="AX82" s="43"/>
      <c r="AY82" s="43"/>
      <c r="AZ82" s="43"/>
      <c r="BH82" s="53"/>
      <c r="BI82" s="51"/>
    </row>
    <row r="83" spans="1:61" ht="18" customHeight="1">
      <c r="A83" s="38"/>
      <c r="B83" s="465">
        <v>46160</v>
      </c>
      <c r="C83" s="465"/>
      <c r="D83" s="465"/>
      <c r="E83" s="465"/>
      <c r="F83" s="288" t="s">
        <v>838</v>
      </c>
      <c r="G83" s="288"/>
      <c r="H83" s="288"/>
      <c r="I83" s="288"/>
      <c r="J83" s="288"/>
      <c r="K83" s="288"/>
      <c r="L83" s="288"/>
      <c r="M83" s="288"/>
      <c r="N83" s="288"/>
      <c r="O83" s="288"/>
      <c r="P83" s="288"/>
      <c r="Q83" s="288"/>
      <c r="R83" s="288"/>
      <c r="S83" s="288"/>
      <c r="T83" s="288"/>
      <c r="U83" s="288"/>
      <c r="V83" s="288"/>
      <c r="W83" s="288"/>
      <c r="X83" s="288"/>
      <c r="Y83" s="288"/>
      <c r="Z83" s="288"/>
      <c r="AA83" s="288"/>
      <c r="AB83" s="288"/>
      <c r="AC83" s="288"/>
      <c r="AD83" s="288"/>
      <c r="AE83" s="288"/>
      <c r="AF83" s="288"/>
      <c r="AG83" s="288"/>
      <c r="AH83" s="288"/>
      <c r="AI83" s="289"/>
      <c r="AK83" s="425"/>
      <c r="AL83" s="425"/>
      <c r="AM83" s="425"/>
      <c r="AN83" s="425"/>
      <c r="AO83" s="425"/>
      <c r="AP83" s="425"/>
      <c r="AQ83" s="42"/>
      <c r="AR83" s="43"/>
      <c r="AS83" s="43"/>
      <c r="AT83" s="43"/>
      <c r="AU83" s="43"/>
      <c r="AV83" s="43"/>
      <c r="AW83" s="43"/>
      <c r="AX83" s="43"/>
      <c r="AY83" s="43"/>
      <c r="AZ83" s="43"/>
      <c r="BH83" s="53"/>
      <c r="BI83" s="51"/>
    </row>
    <row r="84" spans="1:61" ht="18" customHeight="1">
      <c r="A84" s="38"/>
      <c r="B84" s="465"/>
      <c r="C84" s="465"/>
      <c r="D84" s="465"/>
      <c r="E84" s="465"/>
      <c r="F84" s="288"/>
      <c r="G84" s="288"/>
      <c r="H84" s="288"/>
      <c r="I84" s="288"/>
      <c r="J84" s="288"/>
      <c r="K84" s="288"/>
      <c r="L84" s="288"/>
      <c r="M84" s="288"/>
      <c r="N84" s="288"/>
      <c r="O84" s="288"/>
      <c r="P84" s="288"/>
      <c r="Q84" s="288"/>
      <c r="R84" s="288"/>
      <c r="S84" s="288"/>
      <c r="T84" s="288"/>
      <c r="U84" s="288"/>
      <c r="V84" s="288"/>
      <c r="W84" s="288"/>
      <c r="X84" s="288"/>
      <c r="Y84" s="288"/>
      <c r="Z84" s="288"/>
      <c r="AA84" s="288"/>
      <c r="AB84" s="288"/>
      <c r="AC84" s="288"/>
      <c r="AD84" s="288"/>
      <c r="AE84" s="288"/>
      <c r="AF84" s="288"/>
      <c r="AG84" s="288"/>
      <c r="AH84" s="288"/>
      <c r="AI84" s="289"/>
      <c r="AK84" s="425"/>
      <c r="AL84" s="425"/>
      <c r="AM84" s="425"/>
      <c r="AN84" s="425"/>
      <c r="AO84" s="425"/>
      <c r="AP84" s="425"/>
      <c r="AQ84" s="42"/>
      <c r="AR84" s="43"/>
      <c r="AS84" s="43"/>
      <c r="AT84" s="43"/>
      <c r="AU84" s="43"/>
      <c r="AV84" s="43"/>
      <c r="AW84" s="43"/>
      <c r="AX84" s="43"/>
      <c r="AY84" s="43"/>
      <c r="AZ84" s="43"/>
    </row>
    <row r="85" spans="1:61" ht="18" customHeight="1">
      <c r="A85" s="38"/>
      <c r="B85" s="465"/>
      <c r="C85" s="465"/>
      <c r="D85" s="465"/>
      <c r="E85" s="465"/>
      <c r="F85" s="288"/>
      <c r="G85" s="288"/>
      <c r="H85" s="288"/>
      <c r="I85" s="288"/>
      <c r="J85" s="288"/>
      <c r="K85" s="288"/>
      <c r="L85" s="288"/>
      <c r="M85" s="288"/>
      <c r="N85" s="288"/>
      <c r="O85" s="288"/>
      <c r="P85" s="288"/>
      <c r="Q85" s="288"/>
      <c r="R85" s="288"/>
      <c r="S85" s="288"/>
      <c r="T85" s="288"/>
      <c r="U85" s="288"/>
      <c r="V85" s="288"/>
      <c r="W85" s="288"/>
      <c r="X85" s="288"/>
      <c r="Y85" s="288"/>
      <c r="Z85" s="288"/>
      <c r="AA85" s="288"/>
      <c r="AB85" s="288"/>
      <c r="AC85" s="288"/>
      <c r="AD85" s="288"/>
      <c r="AE85" s="288"/>
      <c r="AF85" s="288"/>
      <c r="AG85" s="288"/>
      <c r="AH85" s="288"/>
      <c r="AI85" s="289"/>
      <c r="AK85" s="425"/>
      <c r="AL85" s="425"/>
      <c r="AM85" s="425"/>
      <c r="AN85" s="425"/>
      <c r="AO85" s="425"/>
      <c r="AP85" s="425"/>
      <c r="AQ85" s="42"/>
      <c r="AR85" s="43"/>
      <c r="AS85" s="43"/>
      <c r="AT85" s="43"/>
      <c r="AU85" s="43"/>
      <c r="AV85" s="43"/>
      <c r="AW85" s="43"/>
      <c r="AX85" s="43"/>
      <c r="AY85" s="43"/>
      <c r="AZ85" s="43"/>
    </row>
    <row r="86" spans="1:61" ht="18" customHeight="1" thickBot="1">
      <c r="A86" s="41"/>
      <c r="B86" s="540"/>
      <c r="C86" s="540"/>
      <c r="D86" s="540"/>
      <c r="E86" s="540"/>
      <c r="F86" s="541"/>
      <c r="G86" s="541"/>
      <c r="H86" s="541"/>
      <c r="I86" s="541"/>
      <c r="J86" s="541"/>
      <c r="K86" s="541"/>
      <c r="L86" s="541"/>
      <c r="M86" s="541"/>
      <c r="N86" s="541"/>
      <c r="O86" s="541"/>
      <c r="P86" s="541"/>
      <c r="Q86" s="541"/>
      <c r="R86" s="541"/>
      <c r="S86" s="541"/>
      <c r="T86" s="541"/>
      <c r="U86" s="541"/>
      <c r="V86" s="541"/>
      <c r="W86" s="541"/>
      <c r="X86" s="541"/>
      <c r="Y86" s="541"/>
      <c r="Z86" s="541"/>
      <c r="AA86" s="541"/>
      <c r="AB86" s="541"/>
      <c r="AC86" s="541"/>
      <c r="AD86" s="541"/>
      <c r="AE86" s="541"/>
      <c r="AF86" s="541"/>
      <c r="AG86" s="541"/>
      <c r="AH86" s="541"/>
      <c r="AI86" s="542"/>
      <c r="AK86" s="425"/>
      <c r="AL86" s="425"/>
      <c r="AM86" s="425"/>
      <c r="AN86" s="425"/>
      <c r="AO86" s="425"/>
      <c r="AP86" s="425"/>
      <c r="AQ86" s="42"/>
      <c r="AR86" s="43"/>
      <c r="AS86" s="43"/>
      <c r="AT86" s="43"/>
      <c r="AU86" s="43"/>
      <c r="AV86" s="43"/>
      <c r="AW86" s="43"/>
      <c r="AX86" s="43"/>
      <c r="AY86" s="43"/>
      <c r="AZ86" s="43"/>
    </row>
    <row r="87" spans="1:61" ht="14.1" customHeight="1">
      <c r="AK87" s="438"/>
      <c r="AL87" s="438"/>
      <c r="AM87" s="438"/>
      <c r="AN87" s="438"/>
      <c r="AO87" s="438"/>
      <c r="AP87" s="438"/>
      <c r="AQ87" s="119"/>
    </row>
    <row r="88" spans="1:61" ht="14.1" customHeight="1">
      <c r="AK88" s="437"/>
      <c r="AL88" s="437"/>
      <c r="AM88" s="437"/>
      <c r="AN88" s="437"/>
      <c r="AO88" s="437"/>
      <c r="AP88" s="437"/>
      <c r="AQ88" s="120"/>
    </row>
    <row r="89" spans="1:61" ht="14.1" customHeight="1">
      <c r="AK89" s="437"/>
      <c r="AL89" s="437"/>
      <c r="AM89" s="437"/>
      <c r="AN89" s="437"/>
      <c r="AO89" s="437"/>
      <c r="AP89" s="437"/>
      <c r="AQ89" s="120"/>
    </row>
    <row r="90" spans="1:61" ht="14.1" customHeight="1"/>
    <row r="91" spans="1:61" ht="14.1" customHeight="1"/>
    <row r="92" spans="1:61" ht="14.1" customHeight="1"/>
    <row r="93" spans="1:61" ht="14.1" customHeight="1"/>
    <row r="94" spans="1:61" ht="14.1" customHeight="1"/>
    <row r="95" spans="1:61" ht="14.1" customHeight="1"/>
    <row r="96" spans="1:61" ht="14.1" customHeight="1"/>
    <row r="97" ht="14.1" customHeight="1"/>
    <row r="98" ht="14.1" customHeight="1"/>
    <row r="99" ht="14.1" customHeight="1"/>
    <row r="100" ht="14.1" customHeight="1"/>
    <row r="101" ht="14.1" customHeight="1"/>
    <row r="102" ht="14.1" customHeight="1"/>
    <row r="103" ht="14.1" customHeight="1"/>
    <row r="104" ht="14.1" customHeight="1"/>
    <row r="105" ht="14.1" customHeight="1"/>
    <row r="106" ht="14.1" customHeight="1"/>
    <row r="107" ht="14.1" customHeight="1"/>
    <row r="108" ht="14.1" customHeight="1"/>
    <row r="109" ht="14.1" customHeight="1"/>
    <row r="110" ht="14.1" customHeight="1"/>
    <row r="111" ht="14.1" customHeight="1"/>
    <row r="112" ht="14.1" customHeight="1"/>
    <row r="113" ht="14.1" customHeight="1"/>
    <row r="114" ht="14.1" customHeight="1"/>
    <row r="115" ht="14.1" customHeight="1"/>
    <row r="116" ht="14.1" customHeight="1"/>
    <row r="117" ht="14.1" customHeight="1"/>
    <row r="118" ht="14.1" customHeight="1"/>
    <row r="119" ht="14.1" customHeight="1"/>
    <row r="120" ht="14.1" customHeight="1"/>
    <row r="121" ht="14.1" customHeight="1"/>
    <row r="122" ht="14.1" customHeight="1"/>
    <row r="123" ht="14.1" customHeight="1"/>
    <row r="124" ht="14.1" customHeight="1"/>
    <row r="125" ht="14.1" customHeight="1"/>
    <row r="126" ht="14.1" customHeight="1"/>
    <row r="127" ht="14.1" customHeight="1"/>
    <row r="128" ht="14.1" customHeight="1"/>
    <row r="129" ht="14.1" customHeight="1"/>
    <row r="130" ht="14.1" customHeight="1"/>
    <row r="131" ht="14.1" customHeight="1"/>
    <row r="132" ht="14.1" customHeight="1"/>
    <row r="133" ht="14.1" customHeight="1"/>
    <row r="134" ht="14.1" customHeight="1"/>
    <row r="135" ht="14.1" customHeight="1"/>
    <row r="136" ht="14.1" customHeight="1"/>
    <row r="137" ht="14.1" customHeight="1"/>
    <row r="138" ht="14.1" customHeight="1"/>
    <row r="139" ht="14.1" customHeight="1"/>
    <row r="140" ht="14.1" customHeight="1"/>
    <row r="141" ht="14.1" customHeight="1"/>
    <row r="142" ht="14.1" customHeight="1"/>
    <row r="143" ht="14.1" customHeight="1"/>
    <row r="144" ht="14.1" customHeight="1"/>
    <row r="145" ht="14.1" customHeight="1"/>
    <row r="146" ht="14.1" customHeight="1"/>
    <row r="147" ht="14.1" customHeight="1"/>
    <row r="148" ht="14.1" customHeight="1"/>
    <row r="149" ht="14.1" customHeight="1"/>
    <row r="150" ht="14.1" customHeight="1"/>
    <row r="151" ht="14.1" customHeight="1"/>
    <row r="152" ht="14.1" customHeight="1"/>
    <row r="153" ht="14.1" customHeight="1"/>
    <row r="154" ht="14.1" customHeight="1"/>
    <row r="155" ht="14.1" customHeight="1"/>
    <row r="156" ht="14.1" customHeight="1"/>
    <row r="157" ht="14.1" customHeight="1"/>
    <row r="158" ht="14.1" customHeight="1"/>
    <row r="159" ht="14.1" customHeight="1"/>
    <row r="160" ht="14.1" customHeight="1"/>
    <row r="161" ht="14.1" customHeight="1"/>
    <row r="162" ht="14.1" customHeight="1"/>
    <row r="163" ht="14.1" customHeight="1"/>
    <row r="164" ht="14.1" customHeight="1"/>
    <row r="165" ht="14.1" customHeight="1"/>
    <row r="166" ht="14.1" customHeight="1"/>
    <row r="167" ht="14.1" customHeight="1"/>
    <row r="168" ht="14.1" customHeight="1"/>
    <row r="169" ht="14.1" customHeight="1"/>
    <row r="170" ht="14.1" customHeight="1"/>
    <row r="171" ht="14.1" customHeight="1"/>
    <row r="172" ht="14.1" customHeight="1"/>
    <row r="173" ht="14.1" customHeight="1"/>
    <row r="174" ht="14.1" customHeight="1"/>
    <row r="175" ht="14.1" customHeight="1"/>
    <row r="176" ht="14.1" customHeight="1"/>
    <row r="177" ht="14.1" customHeight="1"/>
    <row r="178" ht="14.1" customHeight="1"/>
    <row r="179" ht="14.1" customHeight="1"/>
    <row r="180" ht="14.1" customHeight="1"/>
    <row r="181" ht="14.1" customHeight="1"/>
    <row r="182" ht="14.1" customHeight="1"/>
    <row r="183" ht="14.1" customHeight="1"/>
    <row r="184" ht="14.1" customHeight="1"/>
    <row r="185" ht="14.1" customHeight="1"/>
    <row r="186" ht="14.1" customHeight="1"/>
    <row r="187" ht="14.1" customHeight="1"/>
    <row r="188" ht="14.1" customHeight="1"/>
    <row r="189" ht="14.1" customHeight="1"/>
    <row r="190" ht="14.1" customHeight="1"/>
    <row r="191" ht="14.1" customHeight="1"/>
    <row r="192" ht="14.1" customHeight="1"/>
    <row r="193" ht="14.1" customHeight="1"/>
    <row r="194" ht="14.1" customHeight="1"/>
    <row r="195" ht="14.1" customHeight="1"/>
    <row r="196" ht="14.1" customHeight="1"/>
    <row r="197" ht="14.1" customHeight="1"/>
    <row r="198" ht="14.1" customHeight="1"/>
    <row r="199" ht="14.1" customHeight="1"/>
    <row r="200" ht="14.1" customHeight="1"/>
    <row r="201" ht="14.1" customHeight="1"/>
    <row r="202" ht="14.1" customHeight="1"/>
    <row r="203" ht="14.1" customHeight="1"/>
    <row r="204" ht="14.1" customHeight="1"/>
    <row r="205" ht="14.1" customHeight="1"/>
    <row r="206" ht="14.1" customHeight="1"/>
    <row r="207" ht="14.1" customHeight="1"/>
    <row r="208" ht="14.1" customHeight="1"/>
    <row r="209" ht="14.1" customHeight="1"/>
    <row r="210" ht="14.1" customHeight="1"/>
    <row r="211" ht="14.1" customHeight="1"/>
    <row r="212" ht="14.1" customHeight="1"/>
    <row r="213" ht="14.1" customHeight="1"/>
    <row r="214" ht="14.1" customHeight="1"/>
    <row r="215" ht="14.1" customHeight="1"/>
    <row r="216" ht="14.1" customHeight="1"/>
    <row r="217" ht="14.1" customHeight="1"/>
    <row r="218" ht="14.1" customHeight="1"/>
    <row r="219" ht="14.1" customHeight="1"/>
    <row r="220" ht="14.1" customHeight="1"/>
    <row r="221" ht="14.1" customHeight="1"/>
    <row r="222" ht="14.1" customHeight="1"/>
    <row r="223" ht="14.1" customHeight="1"/>
    <row r="224" ht="14.1" customHeight="1"/>
    <row r="225" ht="14.1" customHeight="1"/>
    <row r="226" ht="14.1" customHeight="1"/>
    <row r="227" ht="14.1" customHeight="1"/>
    <row r="228" ht="14.1" customHeight="1"/>
    <row r="229" ht="14.1" customHeight="1"/>
    <row r="230" ht="14.1" customHeight="1"/>
    <row r="231" ht="14.1" customHeight="1"/>
    <row r="232" ht="14.1" customHeight="1"/>
    <row r="233" ht="14.1" customHeight="1"/>
    <row r="234" ht="14.1" customHeight="1"/>
    <row r="235" ht="14.1" customHeight="1"/>
    <row r="236" ht="14.1" customHeight="1"/>
    <row r="237" ht="14.1" customHeight="1"/>
    <row r="238" ht="14.1" customHeight="1"/>
    <row r="239" ht="14.1" customHeight="1"/>
    <row r="240" ht="14.1" customHeight="1"/>
    <row r="241" ht="14.1" customHeight="1"/>
    <row r="242" ht="14.1" customHeight="1"/>
    <row r="243" ht="14.1" customHeight="1"/>
    <row r="244" ht="14.1" customHeight="1"/>
    <row r="245" ht="14.1" customHeight="1"/>
    <row r="246" ht="14.1" customHeight="1"/>
    <row r="247" ht="14.1" customHeight="1"/>
    <row r="248" ht="14.1" customHeight="1"/>
    <row r="249" ht="14.1" customHeight="1"/>
    <row r="250" ht="14.1" customHeight="1"/>
    <row r="251" ht="14.1" customHeight="1"/>
    <row r="252" ht="14.1" customHeight="1"/>
    <row r="253" ht="14.1" customHeight="1"/>
    <row r="254" ht="14.1" customHeight="1"/>
    <row r="255" ht="14.1" customHeight="1"/>
    <row r="256" ht="14.1" customHeight="1"/>
    <row r="257" ht="14.1" customHeight="1"/>
    <row r="258" ht="14.1" customHeight="1"/>
    <row r="259" ht="14.1" customHeight="1"/>
    <row r="260" ht="14.1" customHeight="1"/>
    <row r="261" ht="14.1" customHeight="1"/>
    <row r="262" ht="14.1" customHeight="1"/>
    <row r="263" ht="14.1" customHeight="1"/>
    <row r="264" ht="14.1" customHeight="1"/>
    <row r="265" ht="14.1" customHeight="1"/>
    <row r="266" ht="14.1" customHeight="1"/>
  </sheetData>
  <sheetProtection algorithmName="SHA-512" hashValue="0loLJCJhL4ad+e9W1BFBlntzNt2hf75qC+V2eugpQkoXMOcFlTwiL5DSpVRXAf1cyQ/kgBnOXO/4cSPzCUKn4A==" saltValue="4etb9yyOEqZ9UduJqdtb6g==" spinCount="100000" sheet="1" autoFilter="0"/>
  <mergeCells count="381">
    <mergeCell ref="A1:S3"/>
    <mergeCell ref="T1:Z3"/>
    <mergeCell ref="AD1:AI1"/>
    <mergeCell ref="AD2:AF4"/>
    <mergeCell ref="AG2:AI4"/>
    <mergeCell ref="A4:S5"/>
    <mergeCell ref="AK7:AP8"/>
    <mergeCell ref="AQ7:AQ8"/>
    <mergeCell ref="V8:X8"/>
    <mergeCell ref="A9:AI9"/>
    <mergeCell ref="AK9:AP9"/>
    <mergeCell ref="A10:H10"/>
    <mergeCell ref="I10:J10"/>
    <mergeCell ref="K10:L10"/>
    <mergeCell ref="M10:T10"/>
    <mergeCell ref="U10:V10"/>
    <mergeCell ref="O7:P8"/>
    <mergeCell ref="Q7:R8"/>
    <mergeCell ref="S7:T8"/>
    <mergeCell ref="V7:X7"/>
    <mergeCell ref="Y7:AA8"/>
    <mergeCell ref="AB7:AI8"/>
    <mergeCell ref="A7:E8"/>
    <mergeCell ref="F7:F8"/>
    <mergeCell ref="G7:I8"/>
    <mergeCell ref="J7:J8"/>
    <mergeCell ref="K7:M8"/>
    <mergeCell ref="N7:N8"/>
    <mergeCell ref="W10:X10"/>
    <mergeCell ref="Y10:AF10"/>
    <mergeCell ref="AG10:AH10"/>
    <mergeCell ref="AK10:AP10"/>
    <mergeCell ref="A11:H11"/>
    <mergeCell ref="I11:J11"/>
    <mergeCell ref="K11:L11"/>
    <mergeCell ref="M11:T11"/>
    <mergeCell ref="U11:V11"/>
    <mergeCell ref="W11:X11"/>
    <mergeCell ref="Y11:AF11"/>
    <mergeCell ref="AG11:AH11"/>
    <mergeCell ref="AK11:AP11"/>
    <mergeCell ref="A12:H12"/>
    <mergeCell ref="I12:J12"/>
    <mergeCell ref="K12:L12"/>
    <mergeCell ref="M12:T12"/>
    <mergeCell ref="U12:V12"/>
    <mergeCell ref="W12:X12"/>
    <mergeCell ref="Y12:AF12"/>
    <mergeCell ref="AG12:AH12"/>
    <mergeCell ref="AK12:AP12"/>
    <mergeCell ref="A13:H13"/>
    <mergeCell ref="I13:J13"/>
    <mergeCell ref="K13:L13"/>
    <mergeCell ref="M13:T13"/>
    <mergeCell ref="U13:V13"/>
    <mergeCell ref="W13:X13"/>
    <mergeCell ref="Y13:AF13"/>
    <mergeCell ref="AG13:AH13"/>
    <mergeCell ref="AK13:AP13"/>
    <mergeCell ref="A14:AI14"/>
    <mergeCell ref="AK14:AP14"/>
    <mergeCell ref="B15:I15"/>
    <mergeCell ref="J15:L15"/>
    <mergeCell ref="M15:N15"/>
    <mergeCell ref="O15:V15"/>
    <mergeCell ref="W15:Y15"/>
    <mergeCell ref="Z15:AA15"/>
    <mergeCell ref="AB15:AG15"/>
    <mergeCell ref="A18:E18"/>
    <mergeCell ref="F18:AI18"/>
    <mergeCell ref="AK18:AP18"/>
    <mergeCell ref="B19:E19"/>
    <mergeCell ref="F19:AI19"/>
    <mergeCell ref="AK19:AP19"/>
    <mergeCell ref="AH15:AI15"/>
    <mergeCell ref="AK15:AP15"/>
    <mergeCell ref="A16:AI16"/>
    <mergeCell ref="AK16:AP16"/>
    <mergeCell ref="A17:E17"/>
    <mergeCell ref="F17:AI17"/>
    <mergeCell ref="AK17:AP17"/>
    <mergeCell ref="B20:E20"/>
    <mergeCell ref="F20:AI20"/>
    <mergeCell ref="AK20:AP20"/>
    <mergeCell ref="AR20:AR23"/>
    <mergeCell ref="B21:E21"/>
    <mergeCell ref="F21:AI21"/>
    <mergeCell ref="AK21:AP21"/>
    <mergeCell ref="B22:E22"/>
    <mergeCell ref="F22:AI22"/>
    <mergeCell ref="AK22:AP22"/>
    <mergeCell ref="BA23:BB23"/>
    <mergeCell ref="B24:E24"/>
    <mergeCell ref="F24:AI24"/>
    <mergeCell ref="AK24:AP24"/>
    <mergeCell ref="AY24:AZ24"/>
    <mergeCell ref="BA24:BB24"/>
    <mergeCell ref="AS22:AT22"/>
    <mergeCell ref="AU22:AV22"/>
    <mergeCell ref="AY22:AZ22"/>
    <mergeCell ref="BA22:BB22"/>
    <mergeCell ref="B23:E23"/>
    <mergeCell ref="F23:AI23"/>
    <mergeCell ref="AK23:AP23"/>
    <mergeCell ref="AS23:AT23"/>
    <mergeCell ref="AU23:AV23"/>
    <mergeCell ref="AY23:AZ23"/>
    <mergeCell ref="B27:E27"/>
    <mergeCell ref="F27:AI27"/>
    <mergeCell ref="AK27:AP27"/>
    <mergeCell ref="AS27:AT27"/>
    <mergeCell ref="AU27:AW27"/>
    <mergeCell ref="AY27:BB27"/>
    <mergeCell ref="B25:E25"/>
    <mergeCell ref="F25:AI25"/>
    <mergeCell ref="AK25:AP25"/>
    <mergeCell ref="AY25:AZ25"/>
    <mergeCell ref="BA25:BB25"/>
    <mergeCell ref="B26:E26"/>
    <mergeCell ref="F26:AI26"/>
    <mergeCell ref="AK26:AP26"/>
    <mergeCell ref="AS26:AW26"/>
    <mergeCell ref="BA28:BB28"/>
    <mergeCell ref="B29:E29"/>
    <mergeCell ref="F29:AI29"/>
    <mergeCell ref="AK29:AP29"/>
    <mergeCell ref="AS29:AT29"/>
    <mergeCell ref="AU29:AW29"/>
    <mergeCell ref="AY29:AZ29"/>
    <mergeCell ref="BA29:BB29"/>
    <mergeCell ref="B28:E28"/>
    <mergeCell ref="F28:AI28"/>
    <mergeCell ref="AK28:AP28"/>
    <mergeCell ref="AS28:AT28"/>
    <mergeCell ref="AU28:AW28"/>
    <mergeCell ref="AY28:AZ28"/>
    <mergeCell ref="A32:AI32"/>
    <mergeCell ref="AK32:AP32"/>
    <mergeCell ref="AS32:AT32"/>
    <mergeCell ref="AU32:AW32"/>
    <mergeCell ref="AY32:AZ32"/>
    <mergeCell ref="BA32:BB32"/>
    <mergeCell ref="BA30:BB30"/>
    <mergeCell ref="B31:E31"/>
    <mergeCell ref="F31:AI31"/>
    <mergeCell ref="AK31:AP31"/>
    <mergeCell ref="AS31:AT31"/>
    <mergeCell ref="AU31:AW31"/>
    <mergeCell ref="AY31:AZ31"/>
    <mergeCell ref="BA31:BB31"/>
    <mergeCell ref="B30:E30"/>
    <mergeCell ref="F30:AI30"/>
    <mergeCell ref="AK30:AP30"/>
    <mergeCell ref="AS30:AT30"/>
    <mergeCell ref="AU30:AW30"/>
    <mergeCell ref="AY30:AZ30"/>
    <mergeCell ref="BA33:BB33"/>
    <mergeCell ref="B34:E34"/>
    <mergeCell ref="F34:AI34"/>
    <mergeCell ref="AK34:AP34"/>
    <mergeCell ref="AS34:AT34"/>
    <mergeCell ref="AU34:AW34"/>
    <mergeCell ref="AY34:AZ34"/>
    <mergeCell ref="BA34:BB34"/>
    <mergeCell ref="B33:E33"/>
    <mergeCell ref="F33:AI33"/>
    <mergeCell ref="AK33:AP33"/>
    <mergeCell ref="AS33:AT33"/>
    <mergeCell ref="AU33:AW33"/>
    <mergeCell ref="AY33:AZ33"/>
    <mergeCell ref="AY35:AZ35"/>
    <mergeCell ref="BA35:BB35"/>
    <mergeCell ref="A36:E36"/>
    <mergeCell ref="F36:K36"/>
    <mergeCell ref="L36:O36"/>
    <mergeCell ref="P36:R36"/>
    <mergeCell ref="T36:V36"/>
    <mergeCell ref="W36:AB36"/>
    <mergeCell ref="AC36:AI36"/>
    <mergeCell ref="B35:E35"/>
    <mergeCell ref="F35:V35"/>
    <mergeCell ref="W35:AB35"/>
    <mergeCell ref="AC35:AI35"/>
    <mergeCell ref="AK35:AP35"/>
    <mergeCell ref="AS35:AT35"/>
    <mergeCell ref="AK36:AP36"/>
    <mergeCell ref="AS36:AT36"/>
    <mergeCell ref="AU36:AW36"/>
    <mergeCell ref="AU35:AW35"/>
    <mergeCell ref="A39:AI39"/>
    <mergeCell ref="AK39:AP39"/>
    <mergeCell ref="AS39:AT39"/>
    <mergeCell ref="AV39:AW39"/>
    <mergeCell ref="A38:E38"/>
    <mergeCell ref="F38:K38"/>
    <mergeCell ref="L38:O38"/>
    <mergeCell ref="P38:V38"/>
    <mergeCell ref="W38:AB38"/>
    <mergeCell ref="AC38:AI38"/>
    <mergeCell ref="AD40:AI40"/>
    <mergeCell ref="A37:E37"/>
    <mergeCell ref="F37:AI37"/>
    <mergeCell ref="AK40:AP40"/>
    <mergeCell ref="AS40:AT40"/>
    <mergeCell ref="AV40:AW40"/>
    <mergeCell ref="A41:D41"/>
    <mergeCell ref="E41:G41"/>
    <mergeCell ref="I41:K41"/>
    <mergeCell ref="L41:R41"/>
    <mergeCell ref="S41:V41"/>
    <mergeCell ref="W41:Y41"/>
    <mergeCell ref="AA41:AC41"/>
    <mergeCell ref="AD41:AI41"/>
    <mergeCell ref="AK41:AP41"/>
    <mergeCell ref="A40:D40"/>
    <mergeCell ref="E40:K40"/>
    <mergeCell ref="L40:R40"/>
    <mergeCell ref="S40:V40"/>
    <mergeCell ref="W40:AC40"/>
    <mergeCell ref="AK37:AP37"/>
    <mergeCell ref="AS37:AT37"/>
    <mergeCell ref="AU37:AW37"/>
    <mergeCell ref="AK38:AP38"/>
    <mergeCell ref="A42:D42"/>
    <mergeCell ref="E42:G42"/>
    <mergeCell ref="I42:K42"/>
    <mergeCell ref="L42:R42"/>
    <mergeCell ref="S42:V42"/>
    <mergeCell ref="W42:Y42"/>
    <mergeCell ref="AA42:AC42"/>
    <mergeCell ref="AK42:AP42"/>
    <mergeCell ref="AS42:AW42"/>
    <mergeCell ref="A43:D43"/>
    <mergeCell ref="E43:G43"/>
    <mergeCell ref="I43:K43"/>
    <mergeCell ref="L43:R43"/>
    <mergeCell ref="S43:V43"/>
    <mergeCell ref="W43:Y43"/>
    <mergeCell ref="AA43:AC43"/>
    <mergeCell ref="A44:D44"/>
    <mergeCell ref="E44:G44"/>
    <mergeCell ref="I44:K44"/>
    <mergeCell ref="L44:R44"/>
    <mergeCell ref="S44:V44"/>
    <mergeCell ref="W44:Y44"/>
    <mergeCell ref="AA44:AC44"/>
    <mergeCell ref="AD44:AI44"/>
    <mergeCell ref="AD42:AI42"/>
    <mergeCell ref="AK44:AP44"/>
    <mergeCell ref="R45:U45"/>
    <mergeCell ref="W45:X45"/>
    <mergeCell ref="Z45:AA45"/>
    <mergeCell ref="AC45:AD45"/>
    <mergeCell ref="AE45:AF45"/>
    <mergeCell ref="AK45:AP45"/>
    <mergeCell ref="AD43:AI43"/>
    <mergeCell ref="AK43:AP43"/>
    <mergeCell ref="B49:E49"/>
    <mergeCell ref="F49:AI49"/>
    <mergeCell ref="AK49:AP49"/>
    <mergeCell ref="B50:E50"/>
    <mergeCell ref="F50:AI50"/>
    <mergeCell ref="AK50:AP50"/>
    <mergeCell ref="A46:AI46"/>
    <mergeCell ref="AK46:AP46"/>
    <mergeCell ref="B47:E47"/>
    <mergeCell ref="F47:AI47"/>
    <mergeCell ref="AK47:AP47"/>
    <mergeCell ref="B48:E48"/>
    <mergeCell ref="F48:AI48"/>
    <mergeCell ref="AK48:AP48"/>
    <mergeCell ref="B53:E53"/>
    <mergeCell ref="F53:AI53"/>
    <mergeCell ref="AK53:AP53"/>
    <mergeCell ref="B54:E54"/>
    <mergeCell ref="F54:AI54"/>
    <mergeCell ref="AK54:AP54"/>
    <mergeCell ref="B51:E51"/>
    <mergeCell ref="F51:AI51"/>
    <mergeCell ref="AK51:AP51"/>
    <mergeCell ref="B52:E52"/>
    <mergeCell ref="F52:AI52"/>
    <mergeCell ref="AK52:AP52"/>
    <mergeCell ref="B57:E57"/>
    <mergeCell ref="F57:AI57"/>
    <mergeCell ref="AK57:AP57"/>
    <mergeCell ref="B58:E58"/>
    <mergeCell ref="F58:AI58"/>
    <mergeCell ref="AK58:AP58"/>
    <mergeCell ref="B55:E55"/>
    <mergeCell ref="F55:AI55"/>
    <mergeCell ref="AK55:AP55"/>
    <mergeCell ref="B56:E56"/>
    <mergeCell ref="F56:AI56"/>
    <mergeCell ref="AK56:AP56"/>
    <mergeCell ref="B61:E61"/>
    <mergeCell ref="F61:AI61"/>
    <mergeCell ref="AK61:AP61"/>
    <mergeCell ref="B62:E62"/>
    <mergeCell ref="F62:AI62"/>
    <mergeCell ref="AK62:AP62"/>
    <mergeCell ref="B59:E59"/>
    <mergeCell ref="F59:AI59"/>
    <mergeCell ref="AK59:AP59"/>
    <mergeCell ref="B60:E60"/>
    <mergeCell ref="F60:AI60"/>
    <mergeCell ref="AK60:AP60"/>
    <mergeCell ref="B65:E65"/>
    <mergeCell ref="F65:AI65"/>
    <mergeCell ref="AK65:AP65"/>
    <mergeCell ref="B66:E66"/>
    <mergeCell ref="F66:AI66"/>
    <mergeCell ref="AK66:AP66"/>
    <mergeCell ref="B63:E63"/>
    <mergeCell ref="F63:AI63"/>
    <mergeCell ref="AK63:AP63"/>
    <mergeCell ref="B64:E64"/>
    <mergeCell ref="F64:AI64"/>
    <mergeCell ref="AK64:AP64"/>
    <mergeCell ref="B69:E69"/>
    <mergeCell ref="F69:AI69"/>
    <mergeCell ref="AK69:AP69"/>
    <mergeCell ref="B70:E70"/>
    <mergeCell ref="F70:AI70"/>
    <mergeCell ref="AK70:AP70"/>
    <mergeCell ref="B67:E67"/>
    <mergeCell ref="F67:AI67"/>
    <mergeCell ref="AK67:AP67"/>
    <mergeCell ref="B68:E68"/>
    <mergeCell ref="F68:AI68"/>
    <mergeCell ref="AK68:AP68"/>
    <mergeCell ref="B73:E73"/>
    <mergeCell ref="F73:AI73"/>
    <mergeCell ref="AK73:AP73"/>
    <mergeCell ref="B74:E74"/>
    <mergeCell ref="F74:AI74"/>
    <mergeCell ref="AK74:AP74"/>
    <mergeCell ref="B71:E71"/>
    <mergeCell ref="F71:AI71"/>
    <mergeCell ref="AK71:AP71"/>
    <mergeCell ref="B72:E72"/>
    <mergeCell ref="F72:AI72"/>
    <mergeCell ref="AK72:AP72"/>
    <mergeCell ref="B77:E77"/>
    <mergeCell ref="F77:AI77"/>
    <mergeCell ref="AK77:AP77"/>
    <mergeCell ref="B78:E78"/>
    <mergeCell ref="F78:AI78"/>
    <mergeCell ref="AK78:AP78"/>
    <mergeCell ref="B75:E75"/>
    <mergeCell ref="F75:AI75"/>
    <mergeCell ref="AK75:AP75"/>
    <mergeCell ref="B76:E76"/>
    <mergeCell ref="F76:AI76"/>
    <mergeCell ref="AK76:AP76"/>
    <mergeCell ref="A81:AI81"/>
    <mergeCell ref="AK81:AP81"/>
    <mergeCell ref="B82:E82"/>
    <mergeCell ref="F82:AI82"/>
    <mergeCell ref="AK82:AP82"/>
    <mergeCell ref="B83:E83"/>
    <mergeCell ref="F83:AI83"/>
    <mergeCell ref="AK83:AP83"/>
    <mergeCell ref="B79:E79"/>
    <mergeCell ref="F79:AI79"/>
    <mergeCell ref="AK79:AP79"/>
    <mergeCell ref="B80:E80"/>
    <mergeCell ref="F80:AI80"/>
    <mergeCell ref="AK80:AP80"/>
    <mergeCell ref="B86:E86"/>
    <mergeCell ref="F86:AI86"/>
    <mergeCell ref="AK86:AP86"/>
    <mergeCell ref="AK87:AP87"/>
    <mergeCell ref="AK88:AP88"/>
    <mergeCell ref="AK89:AP89"/>
    <mergeCell ref="B84:E84"/>
    <mergeCell ref="F84:AI84"/>
    <mergeCell ref="AK84:AP84"/>
    <mergeCell ref="B85:E85"/>
    <mergeCell ref="F85:AI85"/>
    <mergeCell ref="AK85:AP85"/>
  </mergeCells>
  <phoneticPr fontId="2"/>
  <conditionalFormatting sqref="AQ20:AQ28 AQ30:AQ31 AQ9 AQ11:AQ12 AQ14 AQ33:AQ34">
    <cfRule type="containsBlanks" dxfId="143" priority="12">
      <formula>LEN(TRIM(AQ9))=0</formula>
    </cfRule>
  </conditionalFormatting>
  <conditionalFormatting sqref="BC11:CF11">
    <cfRule type="containsText" dxfId="142" priority="8" operator="containsText" text="青">
      <formula>NOT(ISERROR(SEARCH("青",BC11)))</formula>
    </cfRule>
    <cfRule type="containsText" dxfId="141" priority="9" operator="containsText" text="緑">
      <formula>NOT(ISERROR(SEARCH("緑",BC11)))</formula>
    </cfRule>
    <cfRule type="containsText" dxfId="140" priority="10" operator="containsText" text="黄">
      <formula>NOT(ISERROR(SEARCH("黄",BC11)))</formula>
    </cfRule>
    <cfRule type="containsText" dxfId="139" priority="11" operator="containsText" text="赤">
      <formula>NOT(ISERROR(SEARCH("赤",BC11)))</formula>
    </cfRule>
  </conditionalFormatting>
  <conditionalFormatting sqref="V7:X8">
    <cfRule type="containsBlanks" dxfId="138" priority="7">
      <formula>LEN(TRIM(V7))=0</formula>
    </cfRule>
  </conditionalFormatting>
  <conditionalFormatting sqref="AB7:AI8">
    <cfRule type="containsBlanks" dxfId="137" priority="6">
      <formula>LEN(TRIM(AB7))=0</formula>
    </cfRule>
  </conditionalFormatting>
  <conditionalFormatting sqref="A7:E8 G7:I8 K7:M8 O7:P8">
    <cfRule type="containsBlanks" dxfId="136" priority="5">
      <formula>LEN(TRIM(A7))=0</formula>
    </cfRule>
  </conditionalFormatting>
  <conditionalFormatting sqref="W15:Y15 AH15:AI15 J15:L15">
    <cfRule type="containsBlanks" dxfId="135" priority="4">
      <formula>LEN(TRIM(J15))=0</formula>
    </cfRule>
  </conditionalFormatting>
  <conditionalFormatting sqref="L41:R44">
    <cfRule type="cellIs" dxfId="134" priority="1" operator="equal">
      <formula>0</formula>
    </cfRule>
  </conditionalFormatting>
  <conditionalFormatting sqref="P36:R36 T36:V36 L38:O38 AC38:AI38 AC36:AI36">
    <cfRule type="containsBlanks" dxfId="133" priority="3">
      <formula>LEN(TRIM(L36))=0</formula>
    </cfRule>
  </conditionalFormatting>
  <conditionalFormatting sqref="W41:Y44 AA41:AI44">
    <cfRule type="cellIs" dxfId="132" priority="2" operator="equal">
      <formula>0</formula>
    </cfRule>
  </conditionalFormatting>
  <printOptions horizontalCentered="1" verticalCentered="1"/>
  <pageMargins left="0.70866141732283472" right="0.59055118110236227" top="0.55118110236220474" bottom="0.55118110236220474" header="0.31496062992125984" footer="0.31496062992125984"/>
  <pageSetup paperSize="9" orientation="portrait" horizontalDpi="300" verticalDpi="300" r:id="rId1"/>
  <headerFooter scaleWithDoc="0" alignWithMargins="0">
    <oddFooter>&amp;C&amp;P&amp;Rヒトトヒト株式会社</oddFooter>
  </headerFooter>
  <rowBreaks count="1" manualBreakCount="1">
    <brk id="44" max="34" man="1"/>
  </rowBreaks>
  <drawing r:id="rId2"/>
  <extLst>
    <ext xmlns:x14="http://schemas.microsoft.com/office/spreadsheetml/2009/9/main" uri="{CCE6A557-97BC-4b89-ADB6-D9C93CAAB3DF}">
      <x14:dataValidations xmlns:xm="http://schemas.microsoft.com/office/excel/2006/main" count="6">
        <x14:dataValidation type="list" allowBlank="1" showInputMessage="1" showErrorMessage="1" xr:uid="{27580C8D-B206-4FE7-80EF-45429C589CB2}">
          <x14:formula1>
            <xm:f>初期値!$C$12:$C$27</xm:f>
          </x14:formula1>
          <xm:sqref>P36:R36 T36:V36</xm:sqref>
        </x14:dataValidation>
        <x14:dataValidation type="list" allowBlank="1" showInputMessage="1" showErrorMessage="1" xr:uid="{ADB965A5-5A90-40D3-8118-74E695BB8AA7}">
          <x14:formula1>
            <xm:f>初期値!$G$12:$G$24</xm:f>
          </x14:formula1>
          <xm:sqref>V7:X8</xm:sqref>
        </x14:dataValidation>
        <x14:dataValidation type="list" allowBlank="1" showInputMessage="1" showErrorMessage="1" xr:uid="{74D458D4-1A9F-453C-A514-2CF537DC6ACA}">
          <x14:formula1>
            <xm:f>初期値!$E$12:$E$13</xm:f>
          </x14:formula1>
          <xm:sqref>L38:O38 AC38:AI38 AC36:AI36</xm:sqref>
        </x14:dataValidation>
        <x14:dataValidation type="list" allowBlank="1" showInputMessage="1" showErrorMessage="1" xr:uid="{8BC4742B-C17D-4CA9-AE46-88F64F0D82A5}">
          <x14:formula1>
            <xm:f>初期値!$N$22:$N$23</xm:f>
          </x14:formula1>
          <xm:sqref>AW23</xm:sqref>
        </x14:dataValidation>
        <x14:dataValidation type="list" allowBlank="1" showInputMessage="1" showErrorMessage="1" xr:uid="{E2BE4AB8-3136-4D3F-B761-403F2EE97BC5}">
          <x14:formula1>
            <xm:f>初期値!$P$12:$P$27</xm:f>
          </x14:formula1>
          <xm:sqref>BA24:BB24 BA22:BB22 BA28:BB28 BA30:BB30 BA32:BB32 BA34:BB34</xm:sqref>
        </x14:dataValidation>
        <x14:dataValidation type="list" allowBlank="1" showInputMessage="1" showErrorMessage="1" xr:uid="{F35016F6-6170-49A4-9FCD-F75FA9F810FE}">
          <x14:formula1>
            <xm:f>初期値!$N$12:$N$19</xm:f>
          </x14:formula1>
          <xm:sqref>AU22:AV22</xm:sqref>
        </x14:dataValidation>
      </x14:dataValidations>
    </ext>
  </extLst>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3DF9531-ABBA-4707-ADDA-A4637725F349}">
  <sheetPr codeName="Sheet27"/>
  <dimension ref="A1:CG266"/>
  <sheetViews>
    <sheetView topLeftCell="A18" zoomScaleNormal="100" zoomScaleSheetLayoutView="100" workbookViewId="0">
      <selection activeCell="F29" sqref="F29:AI29"/>
    </sheetView>
  </sheetViews>
  <sheetFormatPr defaultColWidth="8.875" defaultRowHeight="13.5"/>
  <cols>
    <col min="1" max="42" width="2.25" style="23" customWidth="1"/>
    <col min="43" max="43" width="6" style="23" bestFit="1" customWidth="1"/>
    <col min="44" max="44" width="4.5" style="23" bestFit="1" customWidth="1"/>
    <col min="45" max="45" width="6" style="23" bestFit="1" customWidth="1"/>
    <col min="46" max="46" width="4.5" style="23" bestFit="1" customWidth="1"/>
    <col min="47" max="47" width="9" style="23" bestFit="1" customWidth="1"/>
    <col min="48" max="48" width="8.5" style="23" bestFit="1" customWidth="1"/>
    <col min="49" max="49" width="7.5" style="23" bestFit="1" customWidth="1"/>
    <col min="50" max="50" width="6.5" style="23" bestFit="1" customWidth="1"/>
    <col min="51" max="51" width="7.5" style="23" bestFit="1" customWidth="1"/>
    <col min="52" max="52" width="2.125" style="23" customWidth="1"/>
    <col min="53" max="54" width="7.375" style="23" customWidth="1"/>
    <col min="55" max="63" width="3.625" style="23" bestFit="1" customWidth="1"/>
    <col min="64" max="84" width="4" style="23" bestFit="1" customWidth="1"/>
    <col min="85" max="16384" width="8.875" style="23"/>
  </cols>
  <sheetData>
    <row r="1" spans="1:85" ht="14.1" customHeight="1">
      <c r="A1" s="510" t="s">
        <v>551</v>
      </c>
      <c r="B1" s="510"/>
      <c r="C1" s="510"/>
      <c r="D1" s="510"/>
      <c r="E1" s="510"/>
      <c r="F1" s="510"/>
      <c r="G1" s="510"/>
      <c r="H1" s="510"/>
      <c r="I1" s="510"/>
      <c r="J1" s="510"/>
      <c r="K1" s="510"/>
      <c r="L1" s="510"/>
      <c r="M1" s="510"/>
      <c r="N1" s="510"/>
      <c r="O1" s="510"/>
      <c r="P1" s="510"/>
      <c r="Q1" s="510"/>
      <c r="R1" s="510"/>
      <c r="S1" s="510"/>
      <c r="T1" s="388"/>
      <c r="U1" s="388"/>
      <c r="V1" s="388"/>
      <c r="W1" s="388"/>
      <c r="X1" s="388"/>
      <c r="Y1" s="388"/>
      <c r="Z1" s="388"/>
      <c r="AA1" s="24"/>
      <c r="AB1" s="32"/>
      <c r="AD1" s="252" t="s">
        <v>167</v>
      </c>
      <c r="AE1" s="252"/>
      <c r="AF1" s="252"/>
      <c r="AG1" s="252"/>
      <c r="AH1" s="252"/>
      <c r="AI1" s="252"/>
      <c r="AM1" s="123">
        <v>20</v>
      </c>
      <c r="BB1"/>
    </row>
    <row r="2" spans="1:85" ht="14.1" customHeight="1">
      <c r="A2" s="510"/>
      <c r="B2" s="510"/>
      <c r="C2" s="510"/>
      <c r="D2" s="510"/>
      <c r="E2" s="510"/>
      <c r="F2" s="510"/>
      <c r="G2" s="510"/>
      <c r="H2" s="510"/>
      <c r="I2" s="510"/>
      <c r="J2" s="510"/>
      <c r="K2" s="510"/>
      <c r="L2" s="510"/>
      <c r="M2" s="510"/>
      <c r="N2" s="510"/>
      <c r="O2" s="510"/>
      <c r="P2" s="510"/>
      <c r="Q2" s="510"/>
      <c r="R2" s="510"/>
      <c r="S2" s="510"/>
      <c r="T2" s="388"/>
      <c r="U2" s="388"/>
      <c r="V2" s="388"/>
      <c r="W2" s="388"/>
      <c r="X2" s="388"/>
      <c r="Y2" s="388"/>
      <c r="Z2" s="388"/>
      <c r="AA2" s="25"/>
      <c r="AB2" s="31"/>
      <c r="AD2" s="253"/>
      <c r="AE2" s="253"/>
      <c r="AF2" s="253"/>
      <c r="AG2" s="253"/>
      <c r="AH2" s="253"/>
      <c r="AI2" s="253"/>
      <c r="BA2"/>
    </row>
    <row r="3" spans="1:85" ht="14.1" customHeight="1">
      <c r="A3" s="510"/>
      <c r="B3" s="510"/>
      <c r="C3" s="510"/>
      <c r="D3" s="510"/>
      <c r="E3" s="510"/>
      <c r="F3" s="510"/>
      <c r="G3" s="510"/>
      <c r="H3" s="510"/>
      <c r="I3" s="510"/>
      <c r="J3" s="510"/>
      <c r="K3" s="510"/>
      <c r="L3" s="510"/>
      <c r="M3" s="510"/>
      <c r="N3" s="510"/>
      <c r="O3" s="510"/>
      <c r="P3" s="510"/>
      <c r="Q3" s="510"/>
      <c r="R3" s="510"/>
      <c r="S3" s="510"/>
      <c r="T3" s="388"/>
      <c r="U3" s="388"/>
      <c r="V3" s="388"/>
      <c r="W3" s="388"/>
      <c r="X3" s="388"/>
      <c r="Y3" s="388"/>
      <c r="Z3" s="388"/>
      <c r="AA3" s="25"/>
      <c r="AB3" s="31"/>
      <c r="AD3" s="253"/>
      <c r="AE3" s="253"/>
      <c r="AF3" s="253"/>
      <c r="AG3" s="253"/>
      <c r="AH3" s="253"/>
      <c r="AI3" s="253"/>
      <c r="BA3"/>
    </row>
    <row r="4" spans="1:85" ht="14.1" customHeight="1">
      <c r="A4" s="395" t="s">
        <v>552</v>
      </c>
      <c r="B4" s="395"/>
      <c r="C4" s="395"/>
      <c r="D4" s="395"/>
      <c r="E4" s="395"/>
      <c r="F4" s="395"/>
      <c r="G4" s="395"/>
      <c r="H4" s="395"/>
      <c r="I4" s="395"/>
      <c r="J4" s="395"/>
      <c r="K4" s="395"/>
      <c r="L4" s="395"/>
      <c r="M4" s="395"/>
      <c r="N4" s="395"/>
      <c r="O4" s="395"/>
      <c r="P4" s="395"/>
      <c r="Q4" s="395"/>
      <c r="R4" s="395"/>
      <c r="S4" s="395"/>
      <c r="T4" s="155"/>
      <c r="U4" s="155"/>
      <c r="V4" s="155"/>
      <c r="W4" s="155"/>
      <c r="X4" s="155"/>
      <c r="Y4" s="155"/>
      <c r="Z4" s="155"/>
      <c r="AA4" s="26"/>
      <c r="AB4" s="31"/>
      <c r="AD4" s="253"/>
      <c r="AE4" s="253"/>
      <c r="AF4" s="253"/>
      <c r="AG4" s="253"/>
      <c r="AH4" s="253"/>
      <c r="AI4" s="253"/>
      <c r="BA4"/>
    </row>
    <row r="5" spans="1:85" ht="14.1" customHeight="1">
      <c r="A5" s="395"/>
      <c r="B5" s="395"/>
      <c r="C5" s="395"/>
      <c r="D5" s="395"/>
      <c r="E5" s="395"/>
      <c r="F5" s="395"/>
      <c r="G5" s="395"/>
      <c r="H5" s="395"/>
      <c r="I5" s="395"/>
      <c r="J5" s="395"/>
      <c r="K5" s="395"/>
      <c r="L5" s="395"/>
      <c r="M5" s="395"/>
      <c r="N5" s="395"/>
      <c r="O5" s="395"/>
      <c r="P5" s="395"/>
      <c r="Q5" s="395"/>
      <c r="R5" s="395"/>
      <c r="S5" s="395"/>
      <c r="T5" s="155"/>
      <c r="U5" s="155"/>
      <c r="V5" s="155"/>
      <c r="W5" s="155"/>
      <c r="X5" s="155"/>
      <c r="Y5" s="155"/>
      <c r="Z5" s="155"/>
      <c r="AA5" s="26"/>
      <c r="AB5" s="31"/>
      <c r="AC5" s="31"/>
      <c r="AD5" s="31"/>
      <c r="AE5" s="31"/>
      <c r="AF5" s="31"/>
      <c r="AG5" s="31"/>
      <c r="AH5" s="31"/>
      <c r="AI5" s="31"/>
      <c r="BA5"/>
    </row>
    <row r="6" spans="1:85" ht="14.1" customHeight="1" thickBot="1">
      <c r="A6" s="27"/>
      <c r="B6" s="27"/>
      <c r="C6" s="27"/>
      <c r="D6" s="27"/>
      <c r="E6" s="27"/>
      <c r="F6" s="27"/>
      <c r="G6" s="27"/>
      <c r="H6" s="27"/>
      <c r="I6" s="27"/>
      <c r="BA6"/>
    </row>
    <row r="7" spans="1:85" ht="12" customHeight="1">
      <c r="A7" s="255">
        <f>DATE(初期値!A2,初期値!A3,AM1)</f>
        <v>46193</v>
      </c>
      <c r="B7" s="256"/>
      <c r="C7" s="256"/>
      <c r="D7" s="256"/>
      <c r="E7" s="256"/>
      <c r="F7" s="259" t="s">
        <v>169</v>
      </c>
      <c r="G7" s="236">
        <f>$A$7</f>
        <v>46193</v>
      </c>
      <c r="H7" s="236"/>
      <c r="I7" s="236"/>
      <c r="J7" s="239" t="s">
        <v>170</v>
      </c>
      <c r="K7" s="261">
        <f>$A$7</f>
        <v>46193</v>
      </c>
      <c r="L7" s="261"/>
      <c r="M7" s="261"/>
      <c r="N7" s="239" t="s">
        <v>3</v>
      </c>
      <c r="O7" s="520">
        <f>$A$7</f>
        <v>46193</v>
      </c>
      <c r="P7" s="520"/>
      <c r="Q7" s="239" t="s">
        <v>292</v>
      </c>
      <c r="R7" s="240"/>
      <c r="S7" s="522" t="s">
        <v>553</v>
      </c>
      <c r="T7" s="244"/>
      <c r="U7" s="29" t="s">
        <v>554</v>
      </c>
      <c r="V7" s="518" t="s">
        <v>63</v>
      </c>
      <c r="W7" s="518"/>
      <c r="X7" s="518"/>
      <c r="Y7" s="511" t="s">
        <v>555</v>
      </c>
      <c r="Z7" s="512"/>
      <c r="AA7" s="513"/>
      <c r="AB7" s="244" t="str">
        <f>L43</f>
        <v>山本喜久</v>
      </c>
      <c r="AC7" s="244"/>
      <c r="AD7" s="244"/>
      <c r="AE7" s="244"/>
      <c r="AF7" s="244"/>
      <c r="AG7" s="244"/>
      <c r="AH7" s="244"/>
      <c r="AI7" s="245"/>
      <c r="AK7" s="425" t="s">
        <v>556</v>
      </c>
      <c r="AL7" s="425"/>
      <c r="AM7" s="425"/>
      <c r="AN7" s="425"/>
      <c r="AO7" s="425"/>
      <c r="AP7" s="425"/>
      <c r="AQ7" s="439" t="s">
        <v>557</v>
      </c>
      <c r="AR7" s="43"/>
      <c r="AS7" s="43"/>
      <c r="AT7" s="43"/>
      <c r="AU7" s="43"/>
      <c r="AV7" s="43"/>
      <c r="AW7" s="43"/>
      <c r="AX7" s="43"/>
      <c r="AY7" s="43"/>
      <c r="AZ7" s="43"/>
      <c r="BA7"/>
    </row>
    <row r="8" spans="1:85" ht="12" customHeight="1" thickBot="1">
      <c r="A8" s="257"/>
      <c r="B8" s="258"/>
      <c r="C8" s="258"/>
      <c r="D8" s="258"/>
      <c r="E8" s="258"/>
      <c r="F8" s="260"/>
      <c r="G8" s="237"/>
      <c r="H8" s="237"/>
      <c r="I8" s="237"/>
      <c r="J8" s="242"/>
      <c r="K8" s="262"/>
      <c r="L8" s="262"/>
      <c r="M8" s="262"/>
      <c r="N8" s="242"/>
      <c r="O8" s="521"/>
      <c r="P8" s="521"/>
      <c r="Q8" s="242"/>
      <c r="R8" s="243"/>
      <c r="S8" s="523"/>
      <c r="T8" s="246"/>
      <c r="U8" s="33" t="s">
        <v>558</v>
      </c>
      <c r="V8" s="519" t="s">
        <v>63</v>
      </c>
      <c r="W8" s="519"/>
      <c r="X8" s="519"/>
      <c r="Y8" s="514"/>
      <c r="Z8" s="515"/>
      <c r="AA8" s="516"/>
      <c r="AB8" s="246"/>
      <c r="AC8" s="246"/>
      <c r="AD8" s="246"/>
      <c r="AE8" s="246"/>
      <c r="AF8" s="246"/>
      <c r="AG8" s="246"/>
      <c r="AH8" s="246"/>
      <c r="AI8" s="247"/>
      <c r="AK8" s="425"/>
      <c r="AL8" s="425"/>
      <c r="AM8" s="425"/>
      <c r="AN8" s="425"/>
      <c r="AO8" s="425"/>
      <c r="AP8" s="425"/>
      <c r="AQ8" s="439"/>
      <c r="AR8" s="43"/>
      <c r="AS8" s="43"/>
      <c r="AT8" s="43"/>
      <c r="AU8" s="43"/>
      <c r="AV8" s="43"/>
      <c r="AW8" s="43"/>
      <c r="AX8" s="43"/>
      <c r="AY8" s="43"/>
      <c r="AZ8" s="43"/>
      <c r="BA8"/>
    </row>
    <row r="9" spans="1:85" ht="18" customHeight="1">
      <c r="A9" s="507" t="s">
        <v>559</v>
      </c>
      <c r="B9" s="508"/>
      <c r="C9" s="508"/>
      <c r="D9" s="508"/>
      <c r="E9" s="508"/>
      <c r="F9" s="508"/>
      <c r="G9" s="508"/>
      <c r="H9" s="508"/>
      <c r="I9" s="508"/>
      <c r="J9" s="508"/>
      <c r="K9" s="508"/>
      <c r="L9" s="508"/>
      <c r="M9" s="508"/>
      <c r="N9" s="508"/>
      <c r="O9" s="508"/>
      <c r="P9" s="508"/>
      <c r="Q9" s="508"/>
      <c r="R9" s="508"/>
      <c r="S9" s="508"/>
      <c r="T9" s="508"/>
      <c r="U9" s="508"/>
      <c r="V9" s="508"/>
      <c r="W9" s="508"/>
      <c r="X9" s="508"/>
      <c r="Y9" s="508"/>
      <c r="Z9" s="508"/>
      <c r="AA9" s="508"/>
      <c r="AB9" s="508"/>
      <c r="AC9" s="508"/>
      <c r="AD9" s="508"/>
      <c r="AE9" s="508"/>
      <c r="AF9" s="508"/>
      <c r="AG9" s="508"/>
      <c r="AH9" s="508"/>
      <c r="AI9" s="509"/>
      <c r="AK9" s="440" t="s">
        <v>560</v>
      </c>
      <c r="AL9" s="440"/>
      <c r="AM9" s="440"/>
      <c r="AN9" s="440"/>
      <c r="AO9" s="440"/>
      <c r="AP9" s="440"/>
      <c r="AQ9" s="42">
        <v>26</v>
      </c>
      <c r="AR9" s="43"/>
      <c r="AS9" s="44" t="s">
        <v>561</v>
      </c>
      <c r="AT9" s="44" t="s">
        <v>562</v>
      </c>
      <c r="AU9" s="44" t="s">
        <v>563</v>
      </c>
      <c r="AV9" s="44" t="s">
        <v>564</v>
      </c>
      <c r="AW9" s="45" t="s">
        <v>565</v>
      </c>
      <c r="AX9" s="45" t="s">
        <v>566</v>
      </c>
      <c r="AY9" s="44" t="s">
        <v>567</v>
      </c>
      <c r="AZ9" s="43"/>
      <c r="BB9" s="49" t="s">
        <v>568</v>
      </c>
      <c r="BC9" s="43"/>
      <c r="BD9" s="43"/>
      <c r="BE9" s="43"/>
      <c r="BF9" s="43"/>
      <c r="BG9" s="43"/>
      <c r="BH9" s="43"/>
      <c r="BI9" s="43"/>
      <c r="BJ9" s="43"/>
      <c r="BK9" s="43"/>
      <c r="BL9" s="43"/>
      <c r="BM9" s="43"/>
      <c r="BN9" s="43"/>
      <c r="BO9" s="43"/>
      <c r="BP9" s="43"/>
      <c r="BQ9" s="43"/>
      <c r="BR9" s="43"/>
      <c r="BS9" s="43"/>
      <c r="BT9" s="43"/>
      <c r="BU9" s="43"/>
      <c r="BV9" s="43"/>
      <c r="BW9" s="43"/>
      <c r="BX9" s="43"/>
      <c r="BY9" s="43"/>
      <c r="BZ9" s="43"/>
      <c r="CA9" s="43"/>
      <c r="CB9" s="43"/>
      <c r="CC9" s="43"/>
      <c r="CD9" s="43"/>
      <c r="CE9" s="43"/>
      <c r="CF9" s="43"/>
      <c r="CG9" s="43"/>
    </row>
    <row r="10" spans="1:85" ht="18" customHeight="1">
      <c r="A10" s="265" t="s">
        <v>569</v>
      </c>
      <c r="B10" s="266"/>
      <c r="C10" s="266"/>
      <c r="D10" s="266"/>
      <c r="E10" s="266"/>
      <c r="F10" s="266"/>
      <c r="G10" s="266"/>
      <c r="H10" s="266"/>
      <c r="I10" s="264">
        <f>AQ14</f>
        <v>0</v>
      </c>
      <c r="J10" s="264"/>
      <c r="K10" s="267" t="s">
        <v>176</v>
      </c>
      <c r="L10" s="268"/>
      <c r="M10" s="269" t="s">
        <v>570</v>
      </c>
      <c r="N10" s="266"/>
      <c r="O10" s="266"/>
      <c r="P10" s="266"/>
      <c r="Q10" s="266"/>
      <c r="R10" s="266"/>
      <c r="S10" s="266"/>
      <c r="T10" s="266"/>
      <c r="U10" s="264">
        <f>AQ37</f>
        <v>0</v>
      </c>
      <c r="V10" s="264"/>
      <c r="W10" s="267" t="s">
        <v>176</v>
      </c>
      <c r="X10" s="268"/>
      <c r="Y10" s="269" t="s">
        <v>571</v>
      </c>
      <c r="Z10" s="266"/>
      <c r="AA10" s="266"/>
      <c r="AB10" s="266"/>
      <c r="AC10" s="266"/>
      <c r="AD10" s="266"/>
      <c r="AE10" s="266"/>
      <c r="AF10" s="266"/>
      <c r="AG10" s="264">
        <f>AQ26+AQ25</f>
        <v>0</v>
      </c>
      <c r="AH10" s="264"/>
      <c r="AI10" s="28" t="s">
        <v>176</v>
      </c>
      <c r="AK10" s="440" t="s">
        <v>572</v>
      </c>
      <c r="AL10" s="440"/>
      <c r="AM10" s="440"/>
      <c r="AN10" s="440"/>
      <c r="AO10" s="440"/>
      <c r="AP10" s="440"/>
      <c r="AQ10" s="42"/>
      <c r="AR10" s="43"/>
      <c r="AS10" s="46">
        <v>1</v>
      </c>
      <c r="AT10" s="46"/>
      <c r="AU10" s="46" t="s">
        <v>20</v>
      </c>
      <c r="AV10" s="47" t="s">
        <v>573</v>
      </c>
      <c r="AW10" s="47" t="s">
        <v>574</v>
      </c>
      <c r="AX10" s="47">
        <v>0.33333333333333331</v>
      </c>
      <c r="AY10" s="47">
        <v>0.83333333333333337</v>
      </c>
      <c r="AZ10" s="43"/>
      <c r="BB10" s="49" t="s">
        <v>95</v>
      </c>
      <c r="BC10" s="120">
        <v>1</v>
      </c>
      <c r="BD10" s="120">
        <v>2</v>
      </c>
      <c r="BE10" s="120">
        <v>3</v>
      </c>
      <c r="BF10" s="120">
        <v>4</v>
      </c>
      <c r="BG10" s="120">
        <v>5</v>
      </c>
      <c r="BH10" s="120">
        <v>6</v>
      </c>
      <c r="BI10" s="120">
        <v>7</v>
      </c>
      <c r="BJ10" s="120">
        <v>8</v>
      </c>
      <c r="BK10" s="120">
        <v>9</v>
      </c>
      <c r="BL10" s="120">
        <v>10</v>
      </c>
      <c r="BM10" s="120">
        <v>11</v>
      </c>
      <c r="BN10" s="120">
        <v>12</v>
      </c>
      <c r="BO10" s="120">
        <v>13</v>
      </c>
      <c r="BP10" s="120">
        <v>14</v>
      </c>
      <c r="BQ10" s="120">
        <v>15</v>
      </c>
      <c r="BR10" s="120">
        <v>16</v>
      </c>
      <c r="BS10" s="120">
        <v>17</v>
      </c>
      <c r="BT10" s="120">
        <v>18</v>
      </c>
      <c r="BU10" s="120">
        <v>19</v>
      </c>
      <c r="BV10" s="120">
        <v>20</v>
      </c>
      <c r="BW10" s="120">
        <v>21</v>
      </c>
      <c r="BX10" s="120">
        <v>22</v>
      </c>
      <c r="BY10" s="120">
        <v>23</v>
      </c>
      <c r="BZ10" s="120">
        <v>24</v>
      </c>
      <c r="CA10" s="120">
        <v>25</v>
      </c>
      <c r="CB10" s="120">
        <v>26</v>
      </c>
      <c r="CC10" s="120">
        <v>27</v>
      </c>
      <c r="CD10" s="120">
        <v>28</v>
      </c>
      <c r="CE10" s="120">
        <v>29</v>
      </c>
      <c r="CF10" s="120">
        <v>30</v>
      </c>
      <c r="CG10" s="43"/>
    </row>
    <row r="11" spans="1:85" ht="18" customHeight="1">
      <c r="A11" s="265" t="s">
        <v>575</v>
      </c>
      <c r="B11" s="266"/>
      <c r="C11" s="266"/>
      <c r="D11" s="266"/>
      <c r="E11" s="266"/>
      <c r="F11" s="266"/>
      <c r="G11" s="266"/>
      <c r="H11" s="266"/>
      <c r="I11" s="264">
        <f>AQ27</f>
        <v>0</v>
      </c>
      <c r="J11" s="264"/>
      <c r="K11" s="267" t="s">
        <v>176</v>
      </c>
      <c r="L11" s="268"/>
      <c r="M11" s="269" t="s">
        <v>576</v>
      </c>
      <c r="N11" s="266"/>
      <c r="O11" s="266"/>
      <c r="P11" s="266"/>
      <c r="Q11" s="266"/>
      <c r="R11" s="266"/>
      <c r="S11" s="266"/>
      <c r="T11" s="266"/>
      <c r="U11" s="264">
        <f>AQ36</f>
        <v>0</v>
      </c>
      <c r="V11" s="264"/>
      <c r="W11" s="267" t="s">
        <v>176</v>
      </c>
      <c r="X11" s="268"/>
      <c r="Y11" s="269" t="s">
        <v>577</v>
      </c>
      <c r="Z11" s="266"/>
      <c r="AA11" s="266"/>
      <c r="AB11" s="266"/>
      <c r="AC11" s="266"/>
      <c r="AD11" s="266"/>
      <c r="AE11" s="266"/>
      <c r="AF11" s="266"/>
      <c r="AG11" s="264">
        <f>AQ34</f>
        <v>0</v>
      </c>
      <c r="AH11" s="264"/>
      <c r="AI11" s="28" t="s">
        <v>176</v>
      </c>
      <c r="AK11" s="441" t="s">
        <v>578</v>
      </c>
      <c r="AL11" s="442"/>
      <c r="AM11" s="442"/>
      <c r="AN11" s="442"/>
      <c r="AO11" s="442"/>
      <c r="AP11" s="443"/>
      <c r="AQ11" s="42">
        <v>28</v>
      </c>
      <c r="AR11" s="43"/>
      <c r="AS11" s="46">
        <v>2</v>
      </c>
      <c r="AT11" s="46"/>
      <c r="AU11" s="46"/>
      <c r="AV11" s="47" t="s">
        <v>579</v>
      </c>
      <c r="AW11" s="47" t="s">
        <v>580</v>
      </c>
      <c r="AX11" s="47">
        <v>0.33333333333333331</v>
      </c>
      <c r="AY11" s="47">
        <v>0.58333333333333337</v>
      </c>
      <c r="AZ11" s="43"/>
      <c r="BB11" s="121" t="s">
        <v>581</v>
      </c>
      <c r="BC11" s="138" t="s">
        <v>582</v>
      </c>
      <c r="BD11" s="138" t="s">
        <v>583</v>
      </c>
      <c r="BE11" s="138" t="s">
        <v>584</v>
      </c>
      <c r="BF11" s="138" t="s">
        <v>585</v>
      </c>
      <c r="BG11" s="139" t="s">
        <v>584</v>
      </c>
      <c r="BH11" s="138" t="s">
        <v>582</v>
      </c>
      <c r="BI11" s="138" t="s">
        <v>585</v>
      </c>
      <c r="BJ11" s="138" t="s">
        <v>583</v>
      </c>
      <c r="BK11" s="138" t="s">
        <v>584</v>
      </c>
      <c r="BL11" s="138" t="s">
        <v>583</v>
      </c>
      <c r="BM11" s="138" t="s">
        <v>585</v>
      </c>
      <c r="BN11" s="138" t="s">
        <v>582</v>
      </c>
      <c r="BO11" s="138" t="s">
        <v>584</v>
      </c>
      <c r="BP11" s="138" t="s">
        <v>585</v>
      </c>
      <c r="BQ11" s="138" t="s">
        <v>583</v>
      </c>
      <c r="BR11" s="138" t="s">
        <v>585</v>
      </c>
      <c r="BS11" s="138" t="s">
        <v>584</v>
      </c>
      <c r="BT11" s="138" t="s">
        <v>582</v>
      </c>
      <c r="BU11" s="138" t="s">
        <v>583</v>
      </c>
      <c r="BV11" s="138" t="s">
        <v>585</v>
      </c>
      <c r="BW11" s="138" t="s">
        <v>582</v>
      </c>
      <c r="BX11" s="138" t="s">
        <v>584</v>
      </c>
      <c r="BY11" s="138" t="s">
        <v>585</v>
      </c>
      <c r="BZ11" s="138" t="s">
        <v>583</v>
      </c>
      <c r="CA11" s="138" t="s">
        <v>582</v>
      </c>
      <c r="CB11" s="138" t="s">
        <v>585</v>
      </c>
      <c r="CC11" s="138" t="s">
        <v>584</v>
      </c>
      <c r="CD11" s="138" t="s">
        <v>582</v>
      </c>
      <c r="CE11" s="138" t="s">
        <v>585</v>
      </c>
      <c r="CF11" s="138" t="s">
        <v>583</v>
      </c>
      <c r="CG11" s="43"/>
    </row>
    <row r="12" spans="1:85" ht="18" customHeight="1">
      <c r="A12" s="265" t="s">
        <v>586</v>
      </c>
      <c r="B12" s="266"/>
      <c r="C12" s="266"/>
      <c r="D12" s="266"/>
      <c r="E12" s="266"/>
      <c r="F12" s="266"/>
      <c r="G12" s="266"/>
      <c r="H12" s="266"/>
      <c r="I12" s="264">
        <f>AQ33</f>
        <v>1</v>
      </c>
      <c r="J12" s="264"/>
      <c r="K12" s="267" t="s">
        <v>176</v>
      </c>
      <c r="L12" s="268"/>
      <c r="M12" s="269" t="s">
        <v>587</v>
      </c>
      <c r="N12" s="266"/>
      <c r="O12" s="266"/>
      <c r="P12" s="266"/>
      <c r="Q12" s="266"/>
      <c r="R12" s="266"/>
      <c r="S12" s="266"/>
      <c r="T12" s="266"/>
      <c r="U12" s="264">
        <f>AQ24</f>
        <v>0</v>
      </c>
      <c r="V12" s="264"/>
      <c r="W12" s="267" t="s">
        <v>176</v>
      </c>
      <c r="X12" s="268"/>
      <c r="Y12" s="269" t="s">
        <v>588</v>
      </c>
      <c r="Z12" s="266"/>
      <c r="AA12" s="266"/>
      <c r="AB12" s="266"/>
      <c r="AC12" s="266"/>
      <c r="AD12" s="266"/>
      <c r="AE12" s="266"/>
      <c r="AF12" s="266"/>
      <c r="AG12" s="264">
        <f>AQ20+AQ21+AQ22+AQ23</f>
        <v>0</v>
      </c>
      <c r="AH12" s="264"/>
      <c r="AI12" s="28" t="s">
        <v>176</v>
      </c>
      <c r="AK12" s="441" t="s">
        <v>589</v>
      </c>
      <c r="AL12" s="442"/>
      <c r="AM12" s="442"/>
      <c r="AN12" s="442"/>
      <c r="AO12" s="442"/>
      <c r="AP12" s="443"/>
      <c r="AQ12" s="42">
        <v>14</v>
      </c>
      <c r="AR12" s="43"/>
      <c r="AS12" s="46">
        <v>3</v>
      </c>
      <c r="AT12" s="46"/>
      <c r="AU12" s="46"/>
      <c r="AV12" s="47" t="s">
        <v>590</v>
      </c>
      <c r="AW12" s="47" t="s">
        <v>574</v>
      </c>
      <c r="AX12" s="47">
        <v>0.58333333333333337</v>
      </c>
      <c r="AY12" s="47">
        <v>0.83333333333333337</v>
      </c>
      <c r="AZ12" s="43"/>
      <c r="BB12" s="49"/>
      <c r="BC12" s="43"/>
      <c r="BD12" s="43"/>
      <c r="BE12" s="43"/>
      <c r="BF12" s="43"/>
      <c r="BG12" s="43"/>
      <c r="BH12" s="43"/>
      <c r="BI12" s="43"/>
      <c r="BJ12" s="43"/>
      <c r="BK12" s="43"/>
      <c r="BL12" s="43"/>
      <c r="BM12" s="43"/>
      <c r="BN12" s="43"/>
      <c r="BO12" s="43"/>
      <c r="BP12" s="43"/>
      <c r="BQ12" s="43"/>
      <c r="BR12" s="43"/>
      <c r="BS12" s="43"/>
      <c r="BT12" s="43"/>
      <c r="BU12" s="43"/>
      <c r="BV12" s="43"/>
      <c r="BW12" s="43"/>
      <c r="BX12" s="43"/>
      <c r="BY12" s="43"/>
      <c r="BZ12" s="43"/>
      <c r="CA12" s="43"/>
      <c r="CB12" s="43"/>
      <c r="CC12" s="43"/>
      <c r="CD12" s="43"/>
      <c r="CE12" s="43"/>
      <c r="CF12" s="43"/>
      <c r="CG12" s="43"/>
    </row>
    <row r="13" spans="1:85" ht="18" customHeight="1" thickBot="1">
      <c r="A13" s="517" t="s">
        <v>591</v>
      </c>
      <c r="B13" s="277"/>
      <c r="C13" s="277"/>
      <c r="D13" s="277"/>
      <c r="E13" s="277"/>
      <c r="F13" s="277"/>
      <c r="G13" s="277"/>
      <c r="H13" s="277"/>
      <c r="I13" s="272">
        <f>AQ30+AQ31</f>
        <v>0</v>
      </c>
      <c r="J13" s="272"/>
      <c r="K13" s="273" t="s">
        <v>176</v>
      </c>
      <c r="L13" s="274"/>
      <c r="M13" s="276" t="s">
        <v>592</v>
      </c>
      <c r="N13" s="277"/>
      <c r="O13" s="277"/>
      <c r="P13" s="277"/>
      <c r="Q13" s="277"/>
      <c r="R13" s="277"/>
      <c r="S13" s="277"/>
      <c r="T13" s="277"/>
      <c r="U13" s="272">
        <f>AQ28</f>
        <v>0</v>
      </c>
      <c r="V13" s="272"/>
      <c r="W13" s="273" t="s">
        <v>176</v>
      </c>
      <c r="X13" s="274"/>
      <c r="Y13" s="276" t="s">
        <v>593</v>
      </c>
      <c r="Z13" s="277"/>
      <c r="AA13" s="277"/>
      <c r="AB13" s="277"/>
      <c r="AC13" s="277"/>
      <c r="AD13" s="277"/>
      <c r="AE13" s="277"/>
      <c r="AF13" s="277"/>
      <c r="AG13" s="272">
        <f>AQ13</f>
        <v>0</v>
      </c>
      <c r="AH13" s="272"/>
      <c r="AI13" s="34" t="s">
        <v>176</v>
      </c>
      <c r="AK13" s="425" t="s">
        <v>594</v>
      </c>
      <c r="AL13" s="425"/>
      <c r="AM13" s="425"/>
      <c r="AN13" s="425"/>
      <c r="AO13" s="425"/>
      <c r="AP13" s="425"/>
      <c r="AQ13" s="42"/>
      <c r="AR13" s="43"/>
      <c r="AS13" s="46">
        <v>4</v>
      </c>
      <c r="AT13" s="46"/>
      <c r="AU13" s="46" t="s">
        <v>602</v>
      </c>
      <c r="AV13" s="47" t="s">
        <v>595</v>
      </c>
      <c r="AW13" s="47" t="s">
        <v>596</v>
      </c>
      <c r="AX13" s="47">
        <v>0.33333333333333331</v>
      </c>
      <c r="AY13" s="47">
        <v>0.83333333333333337</v>
      </c>
      <c r="AZ13" s="43"/>
      <c r="BB13" s="121" t="s">
        <v>597</v>
      </c>
      <c r="BC13" s="140" t="s">
        <v>20</v>
      </c>
      <c r="BD13" s="140" t="s">
        <v>119</v>
      </c>
      <c r="BE13" s="140" t="s">
        <v>20</v>
      </c>
      <c r="BF13" s="140" t="s">
        <v>20</v>
      </c>
      <c r="BG13" s="140" t="s">
        <v>20</v>
      </c>
      <c r="BH13" s="140" t="s">
        <v>20</v>
      </c>
      <c r="BI13" s="140" t="s">
        <v>80</v>
      </c>
      <c r="BJ13" s="140" t="s">
        <v>20</v>
      </c>
      <c r="BK13" s="140" t="s">
        <v>20</v>
      </c>
      <c r="BL13" s="140" t="s">
        <v>20</v>
      </c>
      <c r="BM13" s="140" t="s">
        <v>20</v>
      </c>
      <c r="BN13" s="140" t="s">
        <v>20</v>
      </c>
      <c r="BO13" s="140" t="s">
        <v>119</v>
      </c>
      <c r="BP13" s="140" t="s">
        <v>119</v>
      </c>
      <c r="BQ13" s="140" t="s">
        <v>20</v>
      </c>
      <c r="BR13" s="140" t="s">
        <v>119</v>
      </c>
      <c r="BS13" s="140" t="s">
        <v>20</v>
      </c>
      <c r="BT13" s="140" t="s">
        <v>20</v>
      </c>
      <c r="BU13" s="140" t="s">
        <v>20</v>
      </c>
      <c r="BV13" s="140" t="s">
        <v>119</v>
      </c>
      <c r="BW13" s="140" t="s">
        <v>119</v>
      </c>
      <c r="BX13" s="140" t="s">
        <v>20</v>
      </c>
      <c r="BY13" s="140" t="s">
        <v>119</v>
      </c>
      <c r="BZ13" s="140" t="s">
        <v>20</v>
      </c>
      <c r="CA13" s="140" t="s">
        <v>119</v>
      </c>
      <c r="CB13" s="140" t="s">
        <v>20</v>
      </c>
      <c r="CC13" s="140" t="s">
        <v>20</v>
      </c>
      <c r="CD13" s="140" t="s">
        <v>119</v>
      </c>
      <c r="CE13" s="140" t="s">
        <v>20</v>
      </c>
      <c r="CF13" s="140" t="s">
        <v>119</v>
      </c>
      <c r="CG13" s="43"/>
    </row>
    <row r="14" spans="1:85" ht="18" customHeight="1" thickBot="1">
      <c r="A14" s="452" t="s">
        <v>598</v>
      </c>
      <c r="B14" s="453"/>
      <c r="C14" s="453"/>
      <c r="D14" s="453"/>
      <c r="E14" s="453"/>
      <c r="F14" s="453"/>
      <c r="G14" s="453"/>
      <c r="H14" s="453"/>
      <c r="I14" s="453"/>
      <c r="J14" s="453"/>
      <c r="K14" s="453"/>
      <c r="L14" s="453"/>
      <c r="M14" s="453"/>
      <c r="N14" s="453"/>
      <c r="O14" s="453"/>
      <c r="P14" s="453"/>
      <c r="Q14" s="453"/>
      <c r="R14" s="453"/>
      <c r="S14" s="453"/>
      <c r="T14" s="453"/>
      <c r="U14" s="453"/>
      <c r="V14" s="453"/>
      <c r="W14" s="453"/>
      <c r="X14" s="453"/>
      <c r="Y14" s="453"/>
      <c r="Z14" s="453"/>
      <c r="AA14" s="453"/>
      <c r="AB14" s="453"/>
      <c r="AC14" s="453"/>
      <c r="AD14" s="453"/>
      <c r="AE14" s="453"/>
      <c r="AF14" s="453"/>
      <c r="AG14" s="453"/>
      <c r="AH14" s="453"/>
      <c r="AI14" s="454"/>
      <c r="AK14" s="440" t="s">
        <v>599</v>
      </c>
      <c r="AL14" s="440"/>
      <c r="AM14" s="440"/>
      <c r="AN14" s="440"/>
      <c r="AO14" s="440"/>
      <c r="AP14" s="440"/>
      <c r="AQ14" s="42"/>
      <c r="AR14" s="43"/>
      <c r="AS14" s="46">
        <v>5</v>
      </c>
      <c r="AT14" s="46"/>
      <c r="AU14" s="46" t="s">
        <v>119</v>
      </c>
      <c r="AV14" s="47" t="s">
        <v>600</v>
      </c>
      <c r="AW14" s="47" t="s">
        <v>596</v>
      </c>
      <c r="AX14" s="47">
        <v>0.33333333333333331</v>
      </c>
      <c r="AY14" s="47">
        <v>0.83333333333333337</v>
      </c>
      <c r="AZ14" s="43"/>
      <c r="BB14" s="121" t="s">
        <v>601</v>
      </c>
      <c r="BC14" s="162" t="s">
        <v>28</v>
      </c>
      <c r="BD14" s="162" t="s">
        <v>602</v>
      </c>
      <c r="BE14" s="162" t="s">
        <v>602</v>
      </c>
      <c r="BF14" s="162" t="s">
        <v>28</v>
      </c>
      <c r="BG14" s="162" t="s">
        <v>602</v>
      </c>
      <c r="BH14" s="162" t="s">
        <v>602</v>
      </c>
      <c r="BI14" s="162" t="s">
        <v>28</v>
      </c>
      <c r="BJ14" s="162" t="s">
        <v>28</v>
      </c>
      <c r="BK14" s="162" t="s">
        <v>602</v>
      </c>
      <c r="BL14" s="162" t="s">
        <v>28</v>
      </c>
      <c r="BM14" s="162" t="s">
        <v>602</v>
      </c>
      <c r="BN14" s="162" t="s">
        <v>28</v>
      </c>
      <c r="BO14" s="162" t="s">
        <v>28</v>
      </c>
      <c r="BP14" s="162" t="s">
        <v>76</v>
      </c>
      <c r="BQ14" s="162" t="s">
        <v>28</v>
      </c>
      <c r="BR14" s="162" t="s">
        <v>602</v>
      </c>
      <c r="BS14" s="162" t="s">
        <v>28</v>
      </c>
      <c r="BT14" s="162" t="s">
        <v>602</v>
      </c>
      <c r="BU14" s="162" t="s">
        <v>28</v>
      </c>
      <c r="BV14" s="162" t="s">
        <v>602</v>
      </c>
      <c r="BW14" s="162" t="s">
        <v>28</v>
      </c>
      <c r="BX14" s="162" t="s">
        <v>28</v>
      </c>
      <c r="BY14" s="162" t="s">
        <v>602</v>
      </c>
      <c r="BZ14" s="162" t="s">
        <v>28</v>
      </c>
      <c r="CA14" s="162" t="s">
        <v>602</v>
      </c>
      <c r="CB14" s="162" t="s">
        <v>28</v>
      </c>
      <c r="CC14" s="162" t="s">
        <v>28</v>
      </c>
      <c r="CD14" s="162" t="s">
        <v>76</v>
      </c>
      <c r="CE14" s="162" t="s">
        <v>28</v>
      </c>
      <c r="CF14" s="162" t="s">
        <v>602</v>
      </c>
      <c r="CG14" s="43"/>
    </row>
    <row r="15" spans="1:85" ht="18" customHeight="1" thickBot="1">
      <c r="A15" s="30" t="s">
        <v>189</v>
      </c>
      <c r="B15" s="264" t="s">
        <v>603</v>
      </c>
      <c r="C15" s="264"/>
      <c r="D15" s="264"/>
      <c r="E15" s="264"/>
      <c r="F15" s="264"/>
      <c r="G15" s="264"/>
      <c r="H15" s="264"/>
      <c r="I15" s="264"/>
      <c r="J15" s="278">
        <f>AQ9+AQ10</f>
        <v>26</v>
      </c>
      <c r="K15" s="278"/>
      <c r="L15" s="278"/>
      <c r="M15" s="264" t="s">
        <v>176</v>
      </c>
      <c r="N15" s="264"/>
      <c r="O15" s="264" t="s">
        <v>604</v>
      </c>
      <c r="P15" s="264"/>
      <c r="Q15" s="264"/>
      <c r="R15" s="264"/>
      <c r="S15" s="264"/>
      <c r="T15" s="264"/>
      <c r="U15" s="264"/>
      <c r="V15" s="264"/>
      <c r="W15" s="278">
        <f>AQ11+AQ12</f>
        <v>42</v>
      </c>
      <c r="X15" s="278"/>
      <c r="Y15" s="278"/>
      <c r="Z15" s="264" t="s">
        <v>176</v>
      </c>
      <c r="AA15" s="264"/>
      <c r="AB15" s="503" t="s">
        <v>605</v>
      </c>
      <c r="AC15" s="503"/>
      <c r="AD15" s="503"/>
      <c r="AE15" s="503"/>
      <c r="AF15" s="503"/>
      <c r="AG15" s="503"/>
      <c r="AH15" s="281" t="s">
        <v>585</v>
      </c>
      <c r="AI15" s="282"/>
      <c r="AK15" s="425" t="s">
        <v>606</v>
      </c>
      <c r="AL15" s="425"/>
      <c r="AM15" s="425"/>
      <c r="AN15" s="425"/>
      <c r="AO15" s="425"/>
      <c r="AP15" s="425"/>
      <c r="AQ15" s="42"/>
      <c r="AR15" s="43"/>
      <c r="AS15" s="46">
        <v>6</v>
      </c>
      <c r="AT15" s="46"/>
      <c r="AU15" s="46"/>
      <c r="AV15" s="47" t="s">
        <v>607</v>
      </c>
      <c r="AW15" s="47" t="s">
        <v>596</v>
      </c>
      <c r="AX15" s="47">
        <v>0.33333333333333331</v>
      </c>
      <c r="AY15" s="47">
        <v>0.83333333333333337</v>
      </c>
      <c r="AZ15" s="43"/>
      <c r="BB15" s="121" t="s">
        <v>31</v>
      </c>
      <c r="BC15" s="163" t="s">
        <v>119</v>
      </c>
      <c r="BD15" s="164"/>
      <c r="BE15" s="165" t="s">
        <v>28</v>
      </c>
      <c r="BF15" s="165" t="s">
        <v>119</v>
      </c>
      <c r="BG15" s="164"/>
      <c r="BH15" s="164"/>
      <c r="BI15" s="164"/>
      <c r="BJ15" s="164"/>
      <c r="BK15" s="165" t="s">
        <v>119</v>
      </c>
      <c r="BL15" s="165" t="s">
        <v>602</v>
      </c>
      <c r="BM15" s="165" t="s">
        <v>119</v>
      </c>
      <c r="BN15" s="165" t="s">
        <v>602</v>
      </c>
      <c r="BO15" s="164"/>
      <c r="BP15" s="164"/>
      <c r="BQ15" s="165" t="s">
        <v>608</v>
      </c>
      <c r="BR15" s="165" t="s">
        <v>20</v>
      </c>
      <c r="BS15" s="165" t="s">
        <v>602</v>
      </c>
      <c r="BT15" s="165" t="s">
        <v>119</v>
      </c>
      <c r="BU15" s="165" t="s">
        <v>602</v>
      </c>
      <c r="BV15" s="164"/>
      <c r="BW15" s="164"/>
      <c r="BX15" s="165" t="s">
        <v>119</v>
      </c>
      <c r="BY15" s="165" t="s">
        <v>20</v>
      </c>
      <c r="BZ15" s="165" t="s">
        <v>602</v>
      </c>
      <c r="CA15" s="165" t="s">
        <v>20</v>
      </c>
      <c r="CB15" s="165" t="s">
        <v>602</v>
      </c>
      <c r="CC15" s="165" t="s">
        <v>602</v>
      </c>
      <c r="CD15" s="164"/>
      <c r="CE15" s="165" t="s">
        <v>119</v>
      </c>
      <c r="CF15" s="165" t="s">
        <v>20</v>
      </c>
      <c r="CG15" s="43"/>
    </row>
    <row r="16" spans="1:85" ht="18" customHeight="1">
      <c r="A16" s="504" t="s">
        <v>609</v>
      </c>
      <c r="B16" s="505"/>
      <c r="C16" s="505"/>
      <c r="D16" s="505"/>
      <c r="E16" s="505"/>
      <c r="F16" s="505"/>
      <c r="G16" s="505"/>
      <c r="H16" s="505"/>
      <c r="I16" s="505"/>
      <c r="J16" s="505"/>
      <c r="K16" s="505"/>
      <c r="L16" s="505"/>
      <c r="M16" s="505"/>
      <c r="N16" s="505"/>
      <c r="O16" s="505"/>
      <c r="P16" s="505"/>
      <c r="Q16" s="505"/>
      <c r="R16" s="505"/>
      <c r="S16" s="505"/>
      <c r="T16" s="505"/>
      <c r="U16" s="505"/>
      <c r="V16" s="505"/>
      <c r="W16" s="505"/>
      <c r="X16" s="505"/>
      <c r="Y16" s="505"/>
      <c r="Z16" s="505"/>
      <c r="AA16" s="505"/>
      <c r="AB16" s="505"/>
      <c r="AC16" s="505"/>
      <c r="AD16" s="505"/>
      <c r="AE16" s="505"/>
      <c r="AF16" s="505"/>
      <c r="AG16" s="505"/>
      <c r="AH16" s="505"/>
      <c r="AI16" s="506"/>
      <c r="AK16" s="425" t="s">
        <v>610</v>
      </c>
      <c r="AL16" s="425"/>
      <c r="AM16" s="425"/>
      <c r="AN16" s="425"/>
      <c r="AO16" s="425"/>
      <c r="AP16" s="425"/>
      <c r="AQ16" s="42"/>
      <c r="AR16" s="43"/>
      <c r="AS16" s="46">
        <v>7</v>
      </c>
      <c r="AT16" s="46"/>
      <c r="AU16" s="46" t="s">
        <v>42</v>
      </c>
      <c r="AV16" s="47" t="s">
        <v>611</v>
      </c>
      <c r="AW16" s="47" t="s">
        <v>612</v>
      </c>
      <c r="AX16" s="47">
        <v>0.83333333333333337</v>
      </c>
      <c r="AY16" s="47" t="s">
        <v>613</v>
      </c>
      <c r="AZ16" s="43"/>
      <c r="BB16" s="121" t="s">
        <v>614</v>
      </c>
      <c r="BC16" s="142" t="s">
        <v>20</v>
      </c>
      <c r="BD16" s="140" t="s">
        <v>67</v>
      </c>
      <c r="BE16" s="142" t="s">
        <v>42</v>
      </c>
      <c r="BF16" s="142" t="s">
        <v>20</v>
      </c>
      <c r="BG16" s="142" t="s">
        <v>42</v>
      </c>
      <c r="BH16" s="142" t="s">
        <v>61</v>
      </c>
      <c r="BI16" s="142" t="s">
        <v>67</v>
      </c>
      <c r="BJ16" s="142" t="s">
        <v>67</v>
      </c>
      <c r="BK16" s="142" t="s">
        <v>42</v>
      </c>
      <c r="BL16" s="142" t="s">
        <v>42</v>
      </c>
      <c r="BM16" s="142" t="s">
        <v>67</v>
      </c>
      <c r="BN16" s="142" t="s">
        <v>67</v>
      </c>
      <c r="BO16" s="142" t="s">
        <v>42</v>
      </c>
      <c r="BP16" s="142" t="s">
        <v>67</v>
      </c>
      <c r="BQ16" s="142" t="s">
        <v>20</v>
      </c>
      <c r="BR16" s="142" t="s">
        <v>71</v>
      </c>
      <c r="BS16" s="142" t="s">
        <v>67</v>
      </c>
      <c r="BT16" s="142" t="s">
        <v>67</v>
      </c>
      <c r="BU16" s="142" t="s">
        <v>61</v>
      </c>
      <c r="BV16" s="142" t="s">
        <v>42</v>
      </c>
      <c r="BW16" s="142" t="s">
        <v>49</v>
      </c>
      <c r="BX16" s="142" t="s">
        <v>20</v>
      </c>
      <c r="BY16" s="142" t="s">
        <v>71</v>
      </c>
      <c r="BZ16" s="142" t="s">
        <v>42</v>
      </c>
      <c r="CA16" s="142" t="s">
        <v>20</v>
      </c>
      <c r="CB16" s="142" t="s">
        <v>61</v>
      </c>
      <c r="CC16" s="142" t="s">
        <v>42</v>
      </c>
      <c r="CD16" s="142" t="s">
        <v>49</v>
      </c>
      <c r="CE16" s="142" t="s">
        <v>20</v>
      </c>
      <c r="CF16" s="143" t="s">
        <v>71</v>
      </c>
      <c r="CG16" s="43"/>
    </row>
    <row r="17" spans="1:85" ht="18" customHeight="1">
      <c r="A17" s="396" t="s">
        <v>615</v>
      </c>
      <c r="B17" s="397"/>
      <c r="C17" s="397"/>
      <c r="D17" s="397"/>
      <c r="E17" s="397"/>
      <c r="F17" s="398" t="s">
        <v>616</v>
      </c>
      <c r="G17" s="398"/>
      <c r="H17" s="398"/>
      <c r="I17" s="398"/>
      <c r="J17" s="398"/>
      <c r="K17" s="398"/>
      <c r="L17" s="398"/>
      <c r="M17" s="398"/>
      <c r="N17" s="398"/>
      <c r="O17" s="398"/>
      <c r="P17" s="398"/>
      <c r="Q17" s="398"/>
      <c r="R17" s="398"/>
      <c r="S17" s="398"/>
      <c r="T17" s="398"/>
      <c r="U17" s="398"/>
      <c r="V17" s="398"/>
      <c r="W17" s="398"/>
      <c r="X17" s="398"/>
      <c r="Y17" s="398"/>
      <c r="Z17" s="398"/>
      <c r="AA17" s="398"/>
      <c r="AB17" s="398"/>
      <c r="AC17" s="398"/>
      <c r="AD17" s="398"/>
      <c r="AE17" s="398"/>
      <c r="AF17" s="398"/>
      <c r="AG17" s="398"/>
      <c r="AH17" s="398"/>
      <c r="AI17" s="399"/>
      <c r="AK17" s="425" t="s">
        <v>617</v>
      </c>
      <c r="AL17" s="425"/>
      <c r="AM17" s="425"/>
      <c r="AN17" s="425"/>
      <c r="AO17" s="425"/>
      <c r="AP17" s="425"/>
      <c r="AQ17" s="42"/>
      <c r="AR17" s="43"/>
      <c r="AS17" s="46">
        <v>8</v>
      </c>
      <c r="AT17" s="46"/>
      <c r="AU17" s="46" t="s">
        <v>61</v>
      </c>
      <c r="AV17" s="47" t="s">
        <v>618</v>
      </c>
      <c r="AW17" s="47" t="s">
        <v>612</v>
      </c>
      <c r="AX17" s="47">
        <v>0.83333333333333337</v>
      </c>
      <c r="AY17" s="47" t="s">
        <v>613</v>
      </c>
      <c r="AZ17" s="43"/>
      <c r="BB17" s="121" t="s">
        <v>619</v>
      </c>
      <c r="BC17" s="141" t="s">
        <v>67</v>
      </c>
      <c r="BD17" s="140" t="s">
        <v>42</v>
      </c>
      <c r="BE17" s="141" t="s">
        <v>71</v>
      </c>
      <c r="BF17" s="140" t="s">
        <v>67</v>
      </c>
      <c r="BG17" s="140" t="s">
        <v>61</v>
      </c>
      <c r="BH17" s="140" t="s">
        <v>42</v>
      </c>
      <c r="BI17" s="140" t="s">
        <v>49</v>
      </c>
      <c r="BJ17" s="140" t="s">
        <v>61</v>
      </c>
      <c r="BK17" s="140" t="s">
        <v>71</v>
      </c>
      <c r="BL17" s="140" t="s">
        <v>67</v>
      </c>
      <c r="BM17" s="140" t="s">
        <v>49</v>
      </c>
      <c r="BN17" s="140" t="s">
        <v>49</v>
      </c>
      <c r="BO17" s="140" t="s">
        <v>61</v>
      </c>
      <c r="BP17" s="140" t="s">
        <v>49</v>
      </c>
      <c r="BQ17" s="140" t="s">
        <v>67</v>
      </c>
      <c r="BR17" s="140" t="s">
        <v>42</v>
      </c>
      <c r="BS17" s="140" t="s">
        <v>42</v>
      </c>
      <c r="BT17" s="140" t="s">
        <v>49</v>
      </c>
      <c r="BU17" s="140" t="s">
        <v>42</v>
      </c>
      <c r="BV17" s="140" t="s">
        <v>61</v>
      </c>
      <c r="BW17" s="140" t="s">
        <v>71</v>
      </c>
      <c r="BX17" s="140" t="s">
        <v>67</v>
      </c>
      <c r="BY17" s="140" t="s">
        <v>42</v>
      </c>
      <c r="BZ17" s="140" t="s">
        <v>67</v>
      </c>
      <c r="CA17" s="140" t="s">
        <v>67</v>
      </c>
      <c r="CB17" s="140" t="s">
        <v>49</v>
      </c>
      <c r="CC17" s="140" t="s">
        <v>61</v>
      </c>
      <c r="CD17" s="140" t="s">
        <v>71</v>
      </c>
      <c r="CE17" s="140" t="s">
        <v>67</v>
      </c>
      <c r="CF17" s="140" t="s">
        <v>42</v>
      </c>
      <c r="CG17" s="43"/>
    </row>
    <row r="18" spans="1:85" ht="18" customHeight="1">
      <c r="A18" s="501" t="s">
        <v>620</v>
      </c>
      <c r="B18" s="502"/>
      <c r="C18" s="502"/>
      <c r="D18" s="502"/>
      <c r="E18" s="502"/>
      <c r="F18" s="400" t="s">
        <v>616</v>
      </c>
      <c r="G18" s="400"/>
      <c r="H18" s="400"/>
      <c r="I18" s="400"/>
      <c r="J18" s="400"/>
      <c r="K18" s="400"/>
      <c r="L18" s="400"/>
      <c r="M18" s="400"/>
      <c r="N18" s="400"/>
      <c r="O18" s="400"/>
      <c r="P18" s="400"/>
      <c r="Q18" s="400"/>
      <c r="R18" s="400"/>
      <c r="S18" s="400"/>
      <c r="T18" s="400"/>
      <c r="U18" s="400"/>
      <c r="V18" s="400"/>
      <c r="W18" s="400"/>
      <c r="X18" s="400"/>
      <c r="Y18" s="400"/>
      <c r="Z18" s="400"/>
      <c r="AA18" s="400"/>
      <c r="AB18" s="400"/>
      <c r="AC18" s="400"/>
      <c r="AD18" s="400"/>
      <c r="AE18" s="400"/>
      <c r="AF18" s="400"/>
      <c r="AG18" s="400"/>
      <c r="AH18" s="400"/>
      <c r="AI18" s="401"/>
      <c r="AK18" s="425" t="s">
        <v>621</v>
      </c>
      <c r="AL18" s="425"/>
      <c r="AM18" s="425"/>
      <c r="AN18" s="425"/>
      <c r="AO18" s="425"/>
      <c r="AP18" s="425"/>
      <c r="AQ18" s="42"/>
      <c r="AR18" s="43"/>
      <c r="AS18" s="46">
        <v>9</v>
      </c>
      <c r="AT18" s="46"/>
      <c r="AU18" s="46"/>
      <c r="AV18" s="47" t="s">
        <v>622</v>
      </c>
      <c r="AW18" s="47" t="s">
        <v>612</v>
      </c>
      <c r="AX18" s="47">
        <v>0.83333333333333337</v>
      </c>
      <c r="AY18" s="47" t="s">
        <v>613</v>
      </c>
      <c r="AZ18" s="43"/>
    </row>
    <row r="19" spans="1:85" ht="18" customHeight="1" thickBot="1">
      <c r="A19" s="35" t="s">
        <v>189</v>
      </c>
      <c r="B19" s="405">
        <v>0.56944444444444442</v>
      </c>
      <c r="C19" s="405"/>
      <c r="D19" s="405"/>
      <c r="E19" s="405"/>
      <c r="F19" s="402" t="s">
        <v>714</v>
      </c>
      <c r="G19" s="402"/>
      <c r="H19" s="402"/>
      <c r="I19" s="402"/>
      <c r="J19" s="402"/>
      <c r="K19" s="402"/>
      <c r="L19" s="402"/>
      <c r="M19" s="402"/>
      <c r="N19" s="402"/>
      <c r="O19" s="402"/>
      <c r="P19" s="402"/>
      <c r="Q19" s="402"/>
      <c r="R19" s="402"/>
      <c r="S19" s="402"/>
      <c r="T19" s="402"/>
      <c r="U19" s="402"/>
      <c r="V19" s="402"/>
      <c r="W19" s="402"/>
      <c r="X19" s="402"/>
      <c r="Y19" s="402"/>
      <c r="Z19" s="402"/>
      <c r="AA19" s="402"/>
      <c r="AB19" s="402"/>
      <c r="AC19" s="402"/>
      <c r="AD19" s="402"/>
      <c r="AE19" s="402"/>
      <c r="AF19" s="402"/>
      <c r="AG19" s="402"/>
      <c r="AH19" s="402"/>
      <c r="AI19" s="403"/>
      <c r="AK19" s="524" t="s">
        <v>623</v>
      </c>
      <c r="AL19" s="524"/>
      <c r="AM19" s="524"/>
      <c r="AN19" s="524"/>
      <c r="AO19" s="524"/>
      <c r="AP19" s="524"/>
      <c r="AQ19" s="58"/>
      <c r="AR19" s="43"/>
      <c r="AS19" s="46">
        <v>10</v>
      </c>
      <c r="AT19" s="46"/>
      <c r="AU19" s="46"/>
      <c r="AV19" s="47" t="s">
        <v>111</v>
      </c>
      <c r="AW19" s="47" t="s">
        <v>612</v>
      </c>
      <c r="AX19" s="47">
        <v>0.83333333333333337</v>
      </c>
      <c r="AY19" s="47" t="s">
        <v>613</v>
      </c>
      <c r="AZ19" s="43"/>
    </row>
    <row r="20" spans="1:85" ht="18" customHeight="1">
      <c r="A20" s="36" t="s">
        <v>189</v>
      </c>
      <c r="B20" s="404">
        <v>0.79861111111111116</v>
      </c>
      <c r="C20" s="404"/>
      <c r="D20" s="404"/>
      <c r="E20" s="404"/>
      <c r="F20" s="288" t="s">
        <v>923</v>
      </c>
      <c r="G20" s="288"/>
      <c r="H20" s="288"/>
      <c r="I20" s="288"/>
      <c r="J20" s="288"/>
      <c r="K20" s="288"/>
      <c r="L20" s="288"/>
      <c r="M20" s="288"/>
      <c r="N20" s="288"/>
      <c r="O20" s="288"/>
      <c r="P20" s="288"/>
      <c r="Q20" s="288"/>
      <c r="R20" s="288"/>
      <c r="S20" s="288"/>
      <c r="T20" s="288"/>
      <c r="U20" s="288"/>
      <c r="V20" s="288"/>
      <c r="W20" s="288"/>
      <c r="X20" s="288"/>
      <c r="Y20" s="288"/>
      <c r="Z20" s="288"/>
      <c r="AA20" s="288"/>
      <c r="AB20" s="288"/>
      <c r="AC20" s="288"/>
      <c r="AD20" s="288"/>
      <c r="AE20" s="288"/>
      <c r="AF20" s="288"/>
      <c r="AG20" s="288"/>
      <c r="AH20" s="288"/>
      <c r="AI20" s="289"/>
      <c r="AK20" s="447" t="s">
        <v>624</v>
      </c>
      <c r="AL20" s="448"/>
      <c r="AM20" s="448"/>
      <c r="AN20" s="448"/>
      <c r="AO20" s="448"/>
      <c r="AP20" s="448"/>
      <c r="AQ20" s="62"/>
      <c r="AR20" s="426" t="s">
        <v>625</v>
      </c>
      <c r="AS20" s="146">
        <v>11</v>
      </c>
      <c r="AT20" s="46"/>
      <c r="AU20" s="46"/>
      <c r="AV20" s="47" t="s">
        <v>111</v>
      </c>
      <c r="AW20" s="47" t="s">
        <v>612</v>
      </c>
      <c r="AX20" s="47">
        <v>0.83333333333333337</v>
      </c>
      <c r="AY20" s="47" t="s">
        <v>613</v>
      </c>
      <c r="AZ20" s="43"/>
    </row>
    <row r="21" spans="1:85" ht="18" customHeight="1" thickBot="1">
      <c r="A21" s="36"/>
      <c r="B21" s="404"/>
      <c r="C21" s="404"/>
      <c r="D21" s="404"/>
      <c r="E21" s="404"/>
      <c r="F21" s="288" t="s">
        <v>924</v>
      </c>
      <c r="G21" s="288"/>
      <c r="H21" s="288"/>
      <c r="I21" s="288"/>
      <c r="J21" s="288"/>
      <c r="K21" s="288"/>
      <c r="L21" s="288"/>
      <c r="M21" s="288"/>
      <c r="N21" s="288"/>
      <c r="O21" s="288"/>
      <c r="P21" s="288"/>
      <c r="Q21" s="288"/>
      <c r="R21" s="288"/>
      <c r="S21" s="288"/>
      <c r="T21" s="288"/>
      <c r="U21" s="288"/>
      <c r="V21" s="288"/>
      <c r="W21" s="288"/>
      <c r="X21" s="288"/>
      <c r="Y21" s="288"/>
      <c r="Z21" s="288"/>
      <c r="AA21" s="288"/>
      <c r="AB21" s="288"/>
      <c r="AC21" s="288"/>
      <c r="AD21" s="288"/>
      <c r="AE21" s="288"/>
      <c r="AF21" s="288"/>
      <c r="AG21" s="288"/>
      <c r="AH21" s="288"/>
      <c r="AI21" s="289"/>
      <c r="AK21" s="429" t="s">
        <v>626</v>
      </c>
      <c r="AL21" s="430"/>
      <c r="AM21" s="430"/>
      <c r="AN21" s="430"/>
      <c r="AO21" s="430"/>
      <c r="AP21" s="430"/>
      <c r="AQ21" s="63"/>
      <c r="AR21" s="427"/>
      <c r="AW21" s="43"/>
      <c r="AX21" s="43"/>
      <c r="AY21" s="43"/>
      <c r="AZ21" s="43"/>
    </row>
    <row r="22" spans="1:85" ht="18" customHeight="1">
      <c r="A22" s="36"/>
      <c r="B22" s="404"/>
      <c r="C22" s="404"/>
      <c r="D22" s="404"/>
      <c r="E22" s="404"/>
      <c r="F22" s="288" t="s">
        <v>925</v>
      </c>
      <c r="G22" s="288"/>
      <c r="H22" s="288"/>
      <c r="I22" s="288"/>
      <c r="J22" s="288"/>
      <c r="K22" s="288"/>
      <c r="L22" s="288"/>
      <c r="M22" s="288"/>
      <c r="N22" s="288"/>
      <c r="O22" s="288"/>
      <c r="P22" s="288"/>
      <c r="Q22" s="288"/>
      <c r="R22" s="288"/>
      <c r="S22" s="288"/>
      <c r="T22" s="288"/>
      <c r="U22" s="288"/>
      <c r="V22" s="288"/>
      <c r="W22" s="288"/>
      <c r="X22" s="288"/>
      <c r="Y22" s="288"/>
      <c r="Z22" s="288"/>
      <c r="AA22" s="288"/>
      <c r="AB22" s="288"/>
      <c r="AC22" s="288"/>
      <c r="AD22" s="288"/>
      <c r="AE22" s="288"/>
      <c r="AF22" s="288"/>
      <c r="AG22" s="288"/>
      <c r="AH22" s="288"/>
      <c r="AI22" s="289"/>
      <c r="AK22" s="429" t="s">
        <v>627</v>
      </c>
      <c r="AL22" s="430"/>
      <c r="AM22" s="430"/>
      <c r="AN22" s="430"/>
      <c r="AO22" s="430"/>
      <c r="AP22" s="430"/>
      <c r="AQ22" s="63"/>
      <c r="AR22" s="427"/>
      <c r="AS22" s="433" t="s">
        <v>628</v>
      </c>
      <c r="AT22" s="434"/>
      <c r="AU22" s="435"/>
      <c r="AV22" s="435"/>
      <c r="AW22" s="60" t="s">
        <v>74</v>
      </c>
      <c r="AY22" s="413" t="s">
        <v>629</v>
      </c>
      <c r="AZ22" s="413"/>
      <c r="BA22" s="412"/>
      <c r="BB22" s="412"/>
    </row>
    <row r="23" spans="1:85" ht="18" customHeight="1" thickBot="1">
      <c r="A23" s="36"/>
      <c r="B23" s="404"/>
      <c r="C23" s="404"/>
      <c r="D23" s="404"/>
      <c r="E23" s="404"/>
      <c r="F23" s="288" t="s">
        <v>926</v>
      </c>
      <c r="G23" s="288"/>
      <c r="H23" s="288"/>
      <c r="I23" s="288"/>
      <c r="J23" s="288"/>
      <c r="K23" s="288"/>
      <c r="L23" s="288"/>
      <c r="M23" s="288"/>
      <c r="N23" s="288"/>
      <c r="O23" s="288"/>
      <c r="P23" s="288"/>
      <c r="Q23" s="288"/>
      <c r="R23" s="288"/>
      <c r="S23" s="288"/>
      <c r="T23" s="288"/>
      <c r="U23" s="288"/>
      <c r="V23" s="288"/>
      <c r="W23" s="288"/>
      <c r="X23" s="288"/>
      <c r="Y23" s="288"/>
      <c r="Z23" s="288"/>
      <c r="AA23" s="288"/>
      <c r="AB23" s="288"/>
      <c r="AC23" s="288"/>
      <c r="AD23" s="288"/>
      <c r="AE23" s="288"/>
      <c r="AF23" s="288"/>
      <c r="AG23" s="288"/>
      <c r="AH23" s="288"/>
      <c r="AI23" s="289"/>
      <c r="AK23" s="431" t="s">
        <v>630</v>
      </c>
      <c r="AL23" s="432"/>
      <c r="AM23" s="432"/>
      <c r="AN23" s="432"/>
      <c r="AO23" s="432"/>
      <c r="AP23" s="432"/>
      <c r="AQ23" s="64"/>
      <c r="AR23" s="428"/>
      <c r="AS23" s="536" t="s">
        <v>631</v>
      </c>
      <c r="AT23" s="246"/>
      <c r="AU23" s="537"/>
      <c r="AV23" s="537"/>
      <c r="AW23" s="56" t="s">
        <v>632</v>
      </c>
      <c r="AY23" s="413" t="s">
        <v>633</v>
      </c>
      <c r="AZ23" s="413"/>
      <c r="BA23" s="412"/>
      <c r="BB23" s="412"/>
    </row>
    <row r="24" spans="1:85" ht="18" customHeight="1" thickBot="1">
      <c r="A24" s="36" t="s">
        <v>189</v>
      </c>
      <c r="B24" s="404">
        <v>0.89375000000000004</v>
      </c>
      <c r="C24" s="404"/>
      <c r="D24" s="404"/>
      <c r="E24" s="404"/>
      <c r="F24" s="288" t="s">
        <v>927</v>
      </c>
      <c r="G24" s="288"/>
      <c r="H24" s="288"/>
      <c r="I24" s="288"/>
      <c r="J24" s="288"/>
      <c r="K24" s="288"/>
      <c r="L24" s="288"/>
      <c r="M24" s="288"/>
      <c r="N24" s="288"/>
      <c r="O24" s="288"/>
      <c r="P24" s="288"/>
      <c r="Q24" s="288"/>
      <c r="R24" s="288"/>
      <c r="S24" s="288"/>
      <c r="T24" s="288"/>
      <c r="U24" s="288"/>
      <c r="V24" s="288"/>
      <c r="W24" s="288"/>
      <c r="X24" s="288"/>
      <c r="Y24" s="288"/>
      <c r="Z24" s="288"/>
      <c r="AA24" s="288"/>
      <c r="AB24" s="288"/>
      <c r="AC24" s="288"/>
      <c r="AD24" s="288"/>
      <c r="AE24" s="288"/>
      <c r="AF24" s="288"/>
      <c r="AG24" s="288"/>
      <c r="AH24" s="288"/>
      <c r="AI24" s="289"/>
      <c r="AK24" s="527" t="s">
        <v>634</v>
      </c>
      <c r="AL24" s="528"/>
      <c r="AM24" s="528"/>
      <c r="AN24" s="528"/>
      <c r="AO24" s="528"/>
      <c r="AP24" s="528"/>
      <c r="AQ24" s="65"/>
      <c r="AR24" s="43"/>
      <c r="AY24" s="413" t="s">
        <v>635</v>
      </c>
      <c r="AZ24" s="413"/>
      <c r="BA24" s="412"/>
      <c r="BB24" s="412"/>
    </row>
    <row r="25" spans="1:85" ht="18" customHeight="1">
      <c r="A25" s="36" t="s">
        <v>189</v>
      </c>
      <c r="B25" s="404">
        <v>0.96875</v>
      </c>
      <c r="C25" s="404"/>
      <c r="D25" s="404"/>
      <c r="E25" s="404"/>
      <c r="F25" s="288" t="s">
        <v>928</v>
      </c>
      <c r="G25" s="288"/>
      <c r="H25" s="288"/>
      <c r="I25" s="288"/>
      <c r="J25" s="288"/>
      <c r="K25" s="288"/>
      <c r="L25" s="288"/>
      <c r="M25" s="288"/>
      <c r="N25" s="288"/>
      <c r="O25" s="288"/>
      <c r="P25" s="288"/>
      <c r="Q25" s="288"/>
      <c r="R25" s="288"/>
      <c r="S25" s="288"/>
      <c r="T25" s="288"/>
      <c r="U25" s="288"/>
      <c r="V25" s="288"/>
      <c r="W25" s="288"/>
      <c r="X25" s="288"/>
      <c r="Y25" s="288"/>
      <c r="Z25" s="288"/>
      <c r="AA25" s="288"/>
      <c r="AB25" s="288"/>
      <c r="AC25" s="288"/>
      <c r="AD25" s="288"/>
      <c r="AE25" s="288"/>
      <c r="AF25" s="288"/>
      <c r="AG25" s="288"/>
      <c r="AH25" s="288"/>
      <c r="AI25" s="289"/>
      <c r="AK25" s="529" t="s">
        <v>636</v>
      </c>
      <c r="AL25" s="529"/>
      <c r="AM25" s="529"/>
      <c r="AN25" s="529"/>
      <c r="AO25" s="529"/>
      <c r="AP25" s="529"/>
      <c r="AQ25" s="66"/>
      <c r="AR25" s="43"/>
      <c r="AY25" s="413" t="s">
        <v>637</v>
      </c>
      <c r="AZ25" s="413"/>
      <c r="BA25" s="412"/>
      <c r="BB25" s="412"/>
    </row>
    <row r="26" spans="1:85" ht="18" customHeight="1">
      <c r="A26" s="36"/>
      <c r="B26" s="404"/>
      <c r="C26" s="404"/>
      <c r="D26" s="404"/>
      <c r="E26" s="404"/>
      <c r="F26" s="288" t="s">
        <v>929</v>
      </c>
      <c r="G26" s="288"/>
      <c r="H26" s="288"/>
      <c r="I26" s="288"/>
      <c r="J26" s="288"/>
      <c r="K26" s="288"/>
      <c r="L26" s="288"/>
      <c r="M26" s="288"/>
      <c r="N26" s="288"/>
      <c r="O26" s="288"/>
      <c r="P26" s="288"/>
      <c r="Q26" s="288"/>
      <c r="R26" s="288"/>
      <c r="S26" s="288"/>
      <c r="T26" s="288"/>
      <c r="U26" s="288"/>
      <c r="V26" s="288"/>
      <c r="W26" s="288"/>
      <c r="X26" s="288"/>
      <c r="Y26" s="288"/>
      <c r="Z26" s="288"/>
      <c r="AA26" s="288"/>
      <c r="AB26" s="288"/>
      <c r="AC26" s="288"/>
      <c r="AD26" s="288"/>
      <c r="AE26" s="288"/>
      <c r="AF26" s="288"/>
      <c r="AG26" s="288"/>
      <c r="AH26" s="288"/>
      <c r="AI26" s="289"/>
      <c r="AK26" s="436" t="s">
        <v>638</v>
      </c>
      <c r="AL26" s="436"/>
      <c r="AM26" s="436"/>
      <c r="AN26" s="436"/>
      <c r="AO26" s="436"/>
      <c r="AP26" s="436"/>
      <c r="AQ26" s="67"/>
      <c r="AR26" s="43"/>
      <c r="AS26" s="548" t="s">
        <v>639</v>
      </c>
      <c r="AT26" s="549"/>
      <c r="AU26" s="549"/>
      <c r="AV26" s="549"/>
      <c r="AW26" s="550"/>
      <c r="AY26" s="147"/>
      <c r="AZ26" s="147"/>
      <c r="BA26" s="147"/>
      <c r="BB26" s="147"/>
    </row>
    <row r="27" spans="1:85" ht="18" customHeight="1">
      <c r="A27" s="36"/>
      <c r="B27" s="404">
        <v>0.97222222222222221</v>
      </c>
      <c r="C27" s="404"/>
      <c r="D27" s="404"/>
      <c r="E27" s="404"/>
      <c r="F27" s="288" t="s">
        <v>797</v>
      </c>
      <c r="G27" s="288"/>
      <c r="H27" s="288"/>
      <c r="I27" s="288"/>
      <c r="J27" s="288"/>
      <c r="K27" s="288"/>
      <c r="L27" s="288"/>
      <c r="M27" s="288"/>
      <c r="N27" s="288"/>
      <c r="O27" s="288"/>
      <c r="P27" s="288"/>
      <c r="Q27" s="288"/>
      <c r="R27" s="288"/>
      <c r="S27" s="288"/>
      <c r="T27" s="288"/>
      <c r="U27" s="288"/>
      <c r="V27" s="288"/>
      <c r="W27" s="288"/>
      <c r="X27" s="288"/>
      <c r="Y27" s="288"/>
      <c r="Z27" s="288"/>
      <c r="AA27" s="288"/>
      <c r="AB27" s="288"/>
      <c r="AC27" s="288"/>
      <c r="AD27" s="288"/>
      <c r="AE27" s="288"/>
      <c r="AF27" s="288"/>
      <c r="AG27" s="288"/>
      <c r="AH27" s="288"/>
      <c r="AI27" s="289"/>
      <c r="AK27" s="436" t="s">
        <v>640</v>
      </c>
      <c r="AL27" s="436"/>
      <c r="AM27" s="436"/>
      <c r="AN27" s="436"/>
      <c r="AO27" s="436"/>
      <c r="AP27" s="436"/>
      <c r="AQ27" s="67"/>
      <c r="AR27" s="43"/>
      <c r="AS27" s="458" t="s">
        <v>641</v>
      </c>
      <c r="AT27" s="460"/>
      <c r="AU27" s="458" t="s">
        <v>642</v>
      </c>
      <c r="AV27" s="459"/>
      <c r="AW27" s="460"/>
      <c r="AY27" s="411" t="s">
        <v>643</v>
      </c>
      <c r="AZ27" s="411"/>
      <c r="BA27" s="411"/>
      <c r="BB27" s="411"/>
    </row>
    <row r="28" spans="1:85" ht="18" customHeight="1" thickBot="1">
      <c r="A28" s="36" t="s">
        <v>189</v>
      </c>
      <c r="B28" s="404">
        <v>1.5277777777777777E-2</v>
      </c>
      <c r="C28" s="404"/>
      <c r="D28" s="404"/>
      <c r="E28" s="404"/>
      <c r="F28" s="288" t="s">
        <v>930</v>
      </c>
      <c r="G28" s="288"/>
      <c r="H28" s="288"/>
      <c r="I28" s="288"/>
      <c r="J28" s="288"/>
      <c r="K28" s="288"/>
      <c r="L28" s="288"/>
      <c r="M28" s="288"/>
      <c r="N28" s="288"/>
      <c r="O28" s="288"/>
      <c r="P28" s="288"/>
      <c r="Q28" s="288"/>
      <c r="R28" s="288"/>
      <c r="S28" s="288"/>
      <c r="T28" s="288"/>
      <c r="U28" s="288"/>
      <c r="V28" s="288"/>
      <c r="W28" s="288"/>
      <c r="X28" s="288"/>
      <c r="Y28" s="288"/>
      <c r="Z28" s="288"/>
      <c r="AA28" s="288"/>
      <c r="AB28" s="288"/>
      <c r="AC28" s="288"/>
      <c r="AD28" s="288"/>
      <c r="AE28" s="288"/>
      <c r="AF28" s="288"/>
      <c r="AG28" s="288"/>
      <c r="AH28" s="288"/>
      <c r="AI28" s="289"/>
      <c r="AK28" s="436" t="s">
        <v>644</v>
      </c>
      <c r="AL28" s="436"/>
      <c r="AM28" s="436"/>
      <c r="AN28" s="436"/>
      <c r="AO28" s="436"/>
      <c r="AP28" s="436"/>
      <c r="AQ28" s="67"/>
      <c r="AR28" s="43"/>
      <c r="AS28" s="538" t="s">
        <v>645</v>
      </c>
      <c r="AT28" s="539"/>
      <c r="AU28" s="533" t="s">
        <v>646</v>
      </c>
      <c r="AV28" s="534"/>
      <c r="AW28" s="535"/>
      <c r="AY28" s="413" t="s">
        <v>647</v>
      </c>
      <c r="AZ28" s="413"/>
      <c r="BA28" s="412"/>
      <c r="BB28" s="412"/>
    </row>
    <row r="29" spans="1:85" ht="18" customHeight="1" thickBot="1">
      <c r="A29" s="36"/>
      <c r="B29" s="404"/>
      <c r="C29" s="404"/>
      <c r="D29" s="404"/>
      <c r="E29" s="404"/>
      <c r="F29" s="288" t="s">
        <v>931</v>
      </c>
      <c r="G29" s="288"/>
      <c r="H29" s="288"/>
      <c r="I29" s="288"/>
      <c r="J29" s="288"/>
      <c r="K29" s="288"/>
      <c r="L29" s="288"/>
      <c r="M29" s="288"/>
      <c r="N29" s="288"/>
      <c r="O29" s="288"/>
      <c r="P29" s="288"/>
      <c r="Q29" s="288"/>
      <c r="R29" s="288"/>
      <c r="S29" s="288"/>
      <c r="T29" s="288"/>
      <c r="U29" s="288"/>
      <c r="V29" s="288"/>
      <c r="W29" s="288"/>
      <c r="X29" s="288"/>
      <c r="Y29" s="288"/>
      <c r="Z29" s="288"/>
      <c r="AA29" s="288"/>
      <c r="AB29" s="288"/>
      <c r="AC29" s="288"/>
      <c r="AD29" s="288"/>
      <c r="AE29" s="288"/>
      <c r="AF29" s="288"/>
      <c r="AG29" s="288"/>
      <c r="AH29" s="288"/>
      <c r="AI29" s="289"/>
      <c r="AK29" s="524"/>
      <c r="AL29" s="524"/>
      <c r="AM29" s="524"/>
      <c r="AN29" s="524"/>
      <c r="AO29" s="524"/>
      <c r="AP29" s="524"/>
      <c r="AQ29" s="58"/>
      <c r="AR29" s="43"/>
      <c r="AS29" s="551"/>
      <c r="AT29" s="552"/>
      <c r="AU29" s="434"/>
      <c r="AV29" s="434"/>
      <c r="AW29" s="553"/>
      <c r="AY29" s="413" t="s">
        <v>633</v>
      </c>
      <c r="AZ29" s="413"/>
      <c r="BA29" s="412"/>
      <c r="BB29" s="412"/>
    </row>
    <row r="30" spans="1:85" ht="18" customHeight="1">
      <c r="A30" s="36"/>
      <c r="B30" s="404"/>
      <c r="C30" s="404"/>
      <c r="D30" s="404"/>
      <c r="E30" s="404"/>
      <c r="F30" s="288" t="s">
        <v>932</v>
      </c>
      <c r="G30" s="288"/>
      <c r="H30" s="288"/>
      <c r="I30" s="288"/>
      <c r="J30" s="288"/>
      <c r="K30" s="288"/>
      <c r="L30" s="288"/>
      <c r="M30" s="288"/>
      <c r="N30" s="288"/>
      <c r="O30" s="288"/>
      <c r="P30" s="288"/>
      <c r="Q30" s="288"/>
      <c r="R30" s="288"/>
      <c r="S30" s="288"/>
      <c r="T30" s="288"/>
      <c r="U30" s="288"/>
      <c r="V30" s="288"/>
      <c r="W30" s="288"/>
      <c r="X30" s="288"/>
      <c r="Y30" s="288"/>
      <c r="Z30" s="288"/>
      <c r="AA30" s="288"/>
      <c r="AB30" s="288"/>
      <c r="AC30" s="288"/>
      <c r="AD30" s="288"/>
      <c r="AE30" s="288"/>
      <c r="AF30" s="288"/>
      <c r="AG30" s="288"/>
      <c r="AH30" s="288"/>
      <c r="AI30" s="289"/>
      <c r="AK30" s="449" t="s">
        <v>648</v>
      </c>
      <c r="AL30" s="450"/>
      <c r="AM30" s="450"/>
      <c r="AN30" s="450"/>
      <c r="AO30" s="450"/>
      <c r="AP30" s="450"/>
      <c r="AQ30" s="62"/>
      <c r="AR30" s="43"/>
      <c r="AS30" s="554"/>
      <c r="AT30" s="532"/>
      <c r="AU30" s="439"/>
      <c r="AV30" s="439"/>
      <c r="AW30" s="555"/>
      <c r="AY30" s="413" t="s">
        <v>649</v>
      </c>
      <c r="AZ30" s="413"/>
      <c r="BA30" s="412"/>
      <c r="BB30" s="412"/>
    </row>
    <row r="31" spans="1:85" ht="18" customHeight="1" thickBot="1">
      <c r="A31" s="37"/>
      <c r="B31" s="466"/>
      <c r="C31" s="466"/>
      <c r="D31" s="466"/>
      <c r="E31" s="466"/>
      <c r="F31" s="467" t="s">
        <v>933</v>
      </c>
      <c r="G31" s="467"/>
      <c r="H31" s="467"/>
      <c r="I31" s="467"/>
      <c r="J31" s="467"/>
      <c r="K31" s="467"/>
      <c r="L31" s="467"/>
      <c r="M31" s="467"/>
      <c r="N31" s="467"/>
      <c r="O31" s="467"/>
      <c r="P31" s="467"/>
      <c r="Q31" s="467"/>
      <c r="R31" s="467"/>
      <c r="S31" s="467"/>
      <c r="T31" s="467"/>
      <c r="U31" s="467"/>
      <c r="V31" s="467"/>
      <c r="W31" s="467"/>
      <c r="X31" s="467"/>
      <c r="Y31" s="467"/>
      <c r="Z31" s="467"/>
      <c r="AA31" s="467"/>
      <c r="AB31" s="467"/>
      <c r="AC31" s="467"/>
      <c r="AD31" s="467"/>
      <c r="AE31" s="467"/>
      <c r="AF31" s="467"/>
      <c r="AG31" s="467"/>
      <c r="AH31" s="467"/>
      <c r="AI31" s="468"/>
      <c r="AK31" s="451" t="s">
        <v>650</v>
      </c>
      <c r="AL31" s="416"/>
      <c r="AM31" s="416"/>
      <c r="AN31" s="416"/>
      <c r="AO31" s="416"/>
      <c r="AP31" s="416"/>
      <c r="AQ31" s="64"/>
      <c r="AR31" s="48"/>
      <c r="AS31" s="556"/>
      <c r="AT31" s="557"/>
      <c r="AU31" s="424"/>
      <c r="AV31" s="424"/>
      <c r="AW31" s="491"/>
      <c r="AY31" s="413" t="s">
        <v>637</v>
      </c>
      <c r="AZ31" s="413"/>
      <c r="BA31" s="412"/>
      <c r="BB31" s="412"/>
    </row>
    <row r="32" spans="1:85" ht="18" customHeight="1" thickBot="1">
      <c r="A32" s="406" t="s">
        <v>651</v>
      </c>
      <c r="B32" s="407"/>
      <c r="C32" s="407"/>
      <c r="D32" s="407"/>
      <c r="E32" s="407"/>
      <c r="F32" s="407"/>
      <c r="G32" s="407"/>
      <c r="H32" s="407"/>
      <c r="I32" s="407"/>
      <c r="J32" s="407"/>
      <c r="K32" s="407"/>
      <c r="L32" s="407"/>
      <c r="M32" s="407"/>
      <c r="N32" s="407"/>
      <c r="O32" s="407"/>
      <c r="P32" s="407"/>
      <c r="Q32" s="407"/>
      <c r="R32" s="407"/>
      <c r="S32" s="407"/>
      <c r="T32" s="407"/>
      <c r="U32" s="407"/>
      <c r="V32" s="407"/>
      <c r="W32" s="407"/>
      <c r="X32" s="407"/>
      <c r="Y32" s="407"/>
      <c r="Z32" s="407"/>
      <c r="AA32" s="407"/>
      <c r="AB32" s="407"/>
      <c r="AC32" s="407"/>
      <c r="AD32" s="407"/>
      <c r="AE32" s="407"/>
      <c r="AF32" s="407"/>
      <c r="AG32" s="407"/>
      <c r="AH32" s="407"/>
      <c r="AI32" s="408"/>
      <c r="AK32" s="531"/>
      <c r="AL32" s="531"/>
      <c r="AM32" s="531"/>
      <c r="AN32" s="531"/>
      <c r="AO32" s="531"/>
      <c r="AP32" s="531"/>
      <c r="AQ32" s="61"/>
      <c r="AR32" s="48"/>
      <c r="AS32" s="558"/>
      <c r="AT32" s="558"/>
      <c r="AU32" s="559"/>
      <c r="AV32" s="559"/>
      <c r="AW32" s="559"/>
      <c r="AY32" s="413" t="s">
        <v>652</v>
      </c>
      <c r="AZ32" s="413"/>
      <c r="BA32" s="412"/>
      <c r="BB32" s="412"/>
    </row>
    <row r="33" spans="1:80" ht="18" customHeight="1">
      <c r="A33" s="39"/>
      <c r="B33" s="546" t="s">
        <v>653</v>
      </c>
      <c r="C33" s="546"/>
      <c r="D33" s="546"/>
      <c r="E33" s="546"/>
      <c r="F33" s="417" t="str" cm="1">
        <f t="array" ref="F33">_xlfn.TEXTJOIN("/",TRUE,IF(AS29:AS31&lt;&gt;"",TEXT(AS29:AS31,"h:mm")&amp;" "&amp;AU29:AU31,""))</f>
        <v/>
      </c>
      <c r="G33" s="418"/>
      <c r="H33" s="418"/>
      <c r="I33" s="418"/>
      <c r="J33" s="418"/>
      <c r="K33" s="418"/>
      <c r="L33" s="418"/>
      <c r="M33" s="418"/>
      <c r="N33" s="418"/>
      <c r="O33" s="418"/>
      <c r="P33" s="418"/>
      <c r="Q33" s="418"/>
      <c r="R33" s="418"/>
      <c r="S33" s="418"/>
      <c r="T33" s="418"/>
      <c r="U33" s="418"/>
      <c r="V33" s="418"/>
      <c r="W33" s="418"/>
      <c r="X33" s="418"/>
      <c r="Y33" s="418"/>
      <c r="Z33" s="418"/>
      <c r="AA33" s="418"/>
      <c r="AB33" s="418"/>
      <c r="AC33" s="418"/>
      <c r="AD33" s="418"/>
      <c r="AE33" s="418"/>
      <c r="AF33" s="418"/>
      <c r="AG33" s="418"/>
      <c r="AH33" s="418"/>
      <c r="AI33" s="419"/>
      <c r="AK33" s="449" t="s">
        <v>654</v>
      </c>
      <c r="AL33" s="450"/>
      <c r="AM33" s="450"/>
      <c r="AN33" s="450"/>
      <c r="AO33" s="450"/>
      <c r="AP33" s="450"/>
      <c r="AQ33" s="60">
        <v>1</v>
      </c>
      <c r="AR33" s="48"/>
      <c r="AS33" s="532"/>
      <c r="AT33" s="532"/>
      <c r="AU33" s="439"/>
      <c r="AV33" s="439"/>
      <c r="AW33" s="439"/>
      <c r="AY33" s="413" t="s">
        <v>655</v>
      </c>
      <c r="AZ33" s="413"/>
      <c r="BA33" s="412"/>
      <c r="BB33" s="412"/>
    </row>
    <row r="34" spans="1:80" ht="18" customHeight="1" thickBot="1">
      <c r="A34" s="39"/>
      <c r="B34" s="546" t="s">
        <v>656</v>
      </c>
      <c r="C34" s="546"/>
      <c r="D34" s="546"/>
      <c r="E34" s="546"/>
      <c r="F34" s="420" t="s">
        <v>79</v>
      </c>
      <c r="G34" s="420"/>
      <c r="H34" s="420"/>
      <c r="I34" s="420"/>
      <c r="J34" s="420"/>
      <c r="K34" s="420"/>
      <c r="L34" s="420"/>
      <c r="M34" s="420"/>
      <c r="N34" s="420"/>
      <c r="O34" s="420"/>
      <c r="P34" s="420"/>
      <c r="Q34" s="420"/>
      <c r="R34" s="420"/>
      <c r="S34" s="420"/>
      <c r="T34" s="420"/>
      <c r="U34" s="420"/>
      <c r="V34" s="420"/>
      <c r="W34" s="420"/>
      <c r="X34" s="420"/>
      <c r="Y34" s="420"/>
      <c r="Z34" s="420"/>
      <c r="AA34" s="420"/>
      <c r="AB34" s="420"/>
      <c r="AC34" s="421"/>
      <c r="AD34" s="421"/>
      <c r="AE34" s="421"/>
      <c r="AF34" s="421"/>
      <c r="AG34" s="421"/>
      <c r="AH34" s="421"/>
      <c r="AI34" s="422"/>
      <c r="AK34" s="451" t="s">
        <v>657</v>
      </c>
      <c r="AL34" s="416"/>
      <c r="AM34" s="416"/>
      <c r="AN34" s="416"/>
      <c r="AO34" s="416"/>
      <c r="AP34" s="416"/>
      <c r="AQ34" s="56"/>
      <c r="AR34" s="48"/>
      <c r="AS34" s="532"/>
      <c r="AT34" s="532"/>
      <c r="AU34" s="439"/>
      <c r="AV34" s="439"/>
      <c r="AW34" s="439"/>
      <c r="AY34" s="413" t="s">
        <v>658</v>
      </c>
      <c r="AZ34" s="413"/>
      <c r="BA34" s="412"/>
      <c r="BB34" s="412"/>
    </row>
    <row r="35" spans="1:80" ht="18" customHeight="1" thickBot="1">
      <c r="A35" s="57"/>
      <c r="B35" s="547" t="s">
        <v>659</v>
      </c>
      <c r="C35" s="547"/>
      <c r="D35" s="547"/>
      <c r="E35" s="547"/>
      <c r="F35" s="389" t="s">
        <v>660</v>
      </c>
      <c r="G35" s="389"/>
      <c r="H35" s="389"/>
      <c r="I35" s="389"/>
      <c r="J35" s="389"/>
      <c r="K35" s="389"/>
      <c r="L35" s="389"/>
      <c r="M35" s="389"/>
      <c r="N35" s="389"/>
      <c r="O35" s="389"/>
      <c r="P35" s="389"/>
      <c r="Q35" s="389"/>
      <c r="R35" s="389"/>
      <c r="S35" s="389"/>
      <c r="T35" s="389"/>
      <c r="U35" s="389"/>
      <c r="V35" s="389"/>
      <c r="W35" s="390" t="s">
        <v>661</v>
      </c>
      <c r="X35" s="391"/>
      <c r="Y35" s="391"/>
      <c r="Z35" s="391"/>
      <c r="AA35" s="391"/>
      <c r="AB35" s="391"/>
      <c r="AC35" s="392" t="s">
        <v>662</v>
      </c>
      <c r="AD35" s="393"/>
      <c r="AE35" s="393"/>
      <c r="AF35" s="393"/>
      <c r="AG35" s="393"/>
      <c r="AH35" s="393"/>
      <c r="AI35" s="394"/>
      <c r="AK35" s="531"/>
      <c r="AL35" s="531"/>
      <c r="AM35" s="531"/>
      <c r="AN35" s="531"/>
      <c r="AO35" s="531"/>
      <c r="AP35" s="531"/>
      <c r="AQ35" s="61"/>
      <c r="AR35" s="48"/>
      <c r="AS35" s="532"/>
      <c r="AT35" s="532"/>
      <c r="AU35" s="439"/>
      <c r="AV35" s="439"/>
      <c r="AW35" s="439"/>
      <c r="AY35" s="413" t="s">
        <v>663</v>
      </c>
      <c r="AZ35" s="413"/>
      <c r="BA35" s="412"/>
      <c r="BB35" s="412"/>
    </row>
    <row r="36" spans="1:80" ht="18" customHeight="1" thickBot="1">
      <c r="A36" s="492" t="s">
        <v>664</v>
      </c>
      <c r="B36" s="493"/>
      <c r="C36" s="493"/>
      <c r="D36" s="493"/>
      <c r="E36" s="493"/>
      <c r="F36" s="498">
        <v>4.1666666666666664E-2</v>
      </c>
      <c r="G36" s="439"/>
      <c r="H36" s="439"/>
      <c r="I36" s="439"/>
      <c r="J36" s="439"/>
      <c r="K36" s="439"/>
      <c r="L36" s="499" t="s">
        <v>665</v>
      </c>
      <c r="M36" s="489"/>
      <c r="N36" s="489"/>
      <c r="O36" s="500"/>
      <c r="P36" s="410" t="s">
        <v>43</v>
      </c>
      <c r="Q36" s="410"/>
      <c r="R36" s="410"/>
      <c r="S36" s="55" t="s">
        <v>666</v>
      </c>
      <c r="T36" s="410" t="s">
        <v>62</v>
      </c>
      <c r="U36" s="410"/>
      <c r="V36" s="530"/>
      <c r="W36" s="489" t="s">
        <v>667</v>
      </c>
      <c r="X36" s="489"/>
      <c r="Y36" s="489"/>
      <c r="Z36" s="489"/>
      <c r="AA36" s="489"/>
      <c r="AB36" s="489"/>
      <c r="AC36" s="490" t="s">
        <v>722</v>
      </c>
      <c r="AD36" s="487"/>
      <c r="AE36" s="487"/>
      <c r="AF36" s="487"/>
      <c r="AG36" s="487"/>
      <c r="AH36" s="487"/>
      <c r="AI36" s="488"/>
      <c r="AK36" s="525" t="s">
        <v>668</v>
      </c>
      <c r="AL36" s="526"/>
      <c r="AM36" s="526"/>
      <c r="AN36" s="526"/>
      <c r="AO36" s="526"/>
      <c r="AP36" s="526"/>
      <c r="AQ36" s="117"/>
      <c r="AR36" s="48"/>
      <c r="AS36" s="532"/>
      <c r="AT36" s="532"/>
      <c r="AU36" s="439"/>
      <c r="AV36" s="439"/>
      <c r="AW36" s="439"/>
      <c r="BH36" s="50"/>
      <c r="BI36" s="51"/>
    </row>
    <row r="37" spans="1:80" ht="18" customHeight="1" thickBot="1">
      <c r="A37" s="494" t="s">
        <v>669</v>
      </c>
      <c r="B37" s="495"/>
      <c r="C37" s="495"/>
      <c r="D37" s="495"/>
      <c r="E37" s="495"/>
      <c r="F37" s="487"/>
      <c r="G37" s="487"/>
      <c r="H37" s="487"/>
      <c r="I37" s="487"/>
      <c r="J37" s="487"/>
      <c r="K37" s="487"/>
      <c r="L37" s="487"/>
      <c r="M37" s="487"/>
      <c r="N37" s="487"/>
      <c r="O37" s="487"/>
      <c r="P37" s="487"/>
      <c r="Q37" s="487"/>
      <c r="R37" s="487"/>
      <c r="S37" s="487"/>
      <c r="T37" s="487"/>
      <c r="U37" s="487"/>
      <c r="V37" s="487"/>
      <c r="W37" s="487"/>
      <c r="X37" s="487"/>
      <c r="Y37" s="487"/>
      <c r="Z37" s="487"/>
      <c r="AA37" s="487"/>
      <c r="AB37" s="487"/>
      <c r="AC37" s="487"/>
      <c r="AD37" s="487"/>
      <c r="AE37" s="487"/>
      <c r="AF37" s="487"/>
      <c r="AG37" s="487"/>
      <c r="AH37" s="487"/>
      <c r="AI37" s="488"/>
      <c r="AK37" s="544" t="s">
        <v>240</v>
      </c>
      <c r="AL37" s="545"/>
      <c r="AM37" s="545"/>
      <c r="AN37" s="545"/>
      <c r="AO37" s="545"/>
      <c r="AP37" s="545"/>
      <c r="AQ37" s="122"/>
      <c r="AR37" s="48"/>
      <c r="AS37" s="532"/>
      <c r="AT37" s="532"/>
      <c r="AU37" s="439"/>
      <c r="AV37" s="439"/>
      <c r="AW37" s="439"/>
      <c r="BH37" s="50"/>
      <c r="BI37" s="51"/>
    </row>
    <row r="38" spans="1:80" ht="18" customHeight="1" thickBot="1">
      <c r="A38" s="496" t="s">
        <v>670</v>
      </c>
      <c r="B38" s="497"/>
      <c r="C38" s="497"/>
      <c r="D38" s="497"/>
      <c r="E38" s="497"/>
      <c r="F38" s="416" t="s">
        <v>667</v>
      </c>
      <c r="G38" s="416"/>
      <c r="H38" s="416"/>
      <c r="I38" s="416"/>
      <c r="J38" s="416"/>
      <c r="K38" s="416"/>
      <c r="L38" s="424" t="s">
        <v>722</v>
      </c>
      <c r="M38" s="424"/>
      <c r="N38" s="424"/>
      <c r="O38" s="424"/>
      <c r="P38" s="416" t="s">
        <v>671</v>
      </c>
      <c r="Q38" s="416"/>
      <c r="R38" s="416"/>
      <c r="S38" s="416"/>
      <c r="T38" s="416"/>
      <c r="U38" s="416"/>
      <c r="V38" s="416"/>
      <c r="W38" s="416" t="s">
        <v>667</v>
      </c>
      <c r="X38" s="416"/>
      <c r="Y38" s="416"/>
      <c r="Z38" s="416"/>
      <c r="AA38" s="416"/>
      <c r="AB38" s="416"/>
      <c r="AC38" s="424" t="s">
        <v>722</v>
      </c>
      <c r="AD38" s="424"/>
      <c r="AE38" s="424"/>
      <c r="AF38" s="424"/>
      <c r="AG38" s="424"/>
      <c r="AH38" s="424"/>
      <c r="AI38" s="491"/>
      <c r="AK38" s="543"/>
      <c r="AL38" s="543"/>
      <c r="AM38" s="543"/>
      <c r="AN38" s="543"/>
      <c r="AO38" s="543"/>
      <c r="AP38" s="543"/>
      <c r="AQ38" s="59"/>
      <c r="AR38" s="48"/>
      <c r="BC38" s="50"/>
      <c r="BD38" s="51"/>
    </row>
    <row r="39" spans="1:80" ht="18" customHeight="1">
      <c r="A39" s="452" t="s">
        <v>672</v>
      </c>
      <c r="B39" s="453"/>
      <c r="C39" s="453"/>
      <c r="D39" s="453"/>
      <c r="E39" s="453"/>
      <c r="F39" s="453"/>
      <c r="G39" s="453"/>
      <c r="H39" s="453"/>
      <c r="I39" s="453"/>
      <c r="J39" s="453"/>
      <c r="K39" s="453"/>
      <c r="L39" s="453"/>
      <c r="M39" s="453"/>
      <c r="N39" s="453"/>
      <c r="O39" s="453"/>
      <c r="P39" s="453"/>
      <c r="Q39" s="453"/>
      <c r="R39" s="453"/>
      <c r="S39" s="453"/>
      <c r="T39" s="453"/>
      <c r="U39" s="453"/>
      <c r="V39" s="453"/>
      <c r="W39" s="453"/>
      <c r="X39" s="453"/>
      <c r="Y39" s="453"/>
      <c r="Z39" s="453"/>
      <c r="AA39" s="453"/>
      <c r="AB39" s="453"/>
      <c r="AC39" s="453"/>
      <c r="AD39" s="453"/>
      <c r="AE39" s="453"/>
      <c r="AF39" s="453"/>
      <c r="AG39" s="453"/>
      <c r="AH39" s="453"/>
      <c r="AI39" s="454"/>
      <c r="AK39" s="444" t="s">
        <v>673</v>
      </c>
      <c r="AL39" s="444"/>
      <c r="AM39" s="444"/>
      <c r="AN39" s="444"/>
      <c r="AO39" s="444"/>
      <c r="AP39" s="444"/>
      <c r="AQ39" s="42"/>
      <c r="AR39" s="48"/>
      <c r="AS39" s="423" t="s">
        <v>526</v>
      </c>
      <c r="AT39" s="423"/>
      <c r="AU39" s="148">
        <v>23</v>
      </c>
      <c r="AV39" s="423" t="s">
        <v>528</v>
      </c>
      <c r="AW39" s="423"/>
      <c r="BC39" s="50"/>
      <c r="BD39" s="51"/>
    </row>
    <row r="40" spans="1:80" ht="18" customHeight="1">
      <c r="A40" s="464" t="s">
        <v>674</v>
      </c>
      <c r="B40" s="459"/>
      <c r="C40" s="459"/>
      <c r="D40" s="459"/>
      <c r="E40" s="470" t="s">
        <v>675</v>
      </c>
      <c r="F40" s="471"/>
      <c r="G40" s="471"/>
      <c r="H40" s="471"/>
      <c r="I40" s="471"/>
      <c r="J40" s="471"/>
      <c r="K40" s="472"/>
      <c r="L40" s="458" t="s">
        <v>676</v>
      </c>
      <c r="M40" s="459"/>
      <c r="N40" s="459"/>
      <c r="O40" s="459"/>
      <c r="P40" s="459"/>
      <c r="Q40" s="459"/>
      <c r="R40" s="460"/>
      <c r="S40" s="458" t="s">
        <v>677</v>
      </c>
      <c r="T40" s="459"/>
      <c r="U40" s="459"/>
      <c r="V40" s="459"/>
      <c r="W40" s="470" t="s">
        <v>675</v>
      </c>
      <c r="X40" s="471"/>
      <c r="Y40" s="471"/>
      <c r="Z40" s="471"/>
      <c r="AA40" s="471"/>
      <c r="AB40" s="471"/>
      <c r="AC40" s="472"/>
      <c r="AD40" s="458" t="s">
        <v>678</v>
      </c>
      <c r="AE40" s="459"/>
      <c r="AF40" s="459"/>
      <c r="AG40" s="459"/>
      <c r="AH40" s="459"/>
      <c r="AI40" s="463"/>
      <c r="AK40" s="444" t="s">
        <v>679</v>
      </c>
      <c r="AL40" s="444"/>
      <c r="AM40" s="444"/>
      <c r="AN40" s="444"/>
      <c r="AO40" s="444"/>
      <c r="AP40" s="444"/>
      <c r="AQ40" s="42"/>
      <c r="AR40" s="48"/>
      <c r="AS40" s="423" t="s">
        <v>527</v>
      </c>
      <c r="AT40" s="423"/>
      <c r="AU40" s="148">
        <v>27</v>
      </c>
      <c r="AV40" s="560">
        <v>0.74490000000000001</v>
      </c>
      <c r="AW40" s="560"/>
      <c r="BC40" s="50"/>
      <c r="BD40" s="51"/>
    </row>
    <row r="41" spans="1:80" ht="18" customHeight="1">
      <c r="A41" s="464" t="s">
        <v>16</v>
      </c>
      <c r="B41" s="459"/>
      <c r="C41" s="459"/>
      <c r="D41" s="459"/>
      <c r="E41" s="469">
        <f>AX10</f>
        <v>0.33333333333333331</v>
      </c>
      <c r="F41" s="456"/>
      <c r="G41" s="456"/>
      <c r="H41" s="144" t="s">
        <v>680</v>
      </c>
      <c r="I41" s="456">
        <f>AY10</f>
        <v>0.83333333333333337</v>
      </c>
      <c r="J41" s="456"/>
      <c r="K41" s="457"/>
      <c r="L41" s="458" t="str">
        <f>AU10</f>
        <v>三角龍彦</v>
      </c>
      <c r="M41" s="459"/>
      <c r="N41" s="459"/>
      <c r="O41" s="459"/>
      <c r="P41" s="459"/>
      <c r="Q41" s="459"/>
      <c r="R41" s="460"/>
      <c r="S41" s="409" t="s">
        <v>31</v>
      </c>
      <c r="T41" s="410"/>
      <c r="U41" s="410"/>
      <c r="V41" s="410"/>
      <c r="W41" s="414">
        <v>0.39583333333333331</v>
      </c>
      <c r="X41" s="415"/>
      <c r="Y41" s="415"/>
      <c r="Z41" s="40" t="s">
        <v>680</v>
      </c>
      <c r="AA41" s="415">
        <v>0.77083333333333337</v>
      </c>
      <c r="AB41" s="415"/>
      <c r="AC41" s="461"/>
      <c r="AD41" s="409" t="str">
        <f>AU14</f>
        <v>藤井隆幸</v>
      </c>
      <c r="AE41" s="410"/>
      <c r="AF41" s="410"/>
      <c r="AG41" s="410"/>
      <c r="AH41" s="410"/>
      <c r="AI41" s="462"/>
      <c r="AK41" s="444" t="s">
        <v>681</v>
      </c>
      <c r="AL41" s="444"/>
      <c r="AM41" s="444"/>
      <c r="AN41" s="444"/>
      <c r="AO41" s="444"/>
      <c r="AP41" s="444"/>
      <c r="AQ41" s="42"/>
      <c r="AR41" s="48"/>
      <c r="BC41" s="50"/>
      <c r="BD41" s="51"/>
    </row>
    <row r="42" spans="1:80" ht="18" customHeight="1">
      <c r="A42" s="464" t="s">
        <v>24</v>
      </c>
      <c r="B42" s="459"/>
      <c r="C42" s="459"/>
      <c r="D42" s="459"/>
      <c r="E42" s="469">
        <f>AX13</f>
        <v>0.33333333333333331</v>
      </c>
      <c r="F42" s="456"/>
      <c r="G42" s="456"/>
      <c r="H42" s="144" t="s">
        <v>680</v>
      </c>
      <c r="I42" s="456">
        <f>AY12</f>
        <v>0.83333333333333337</v>
      </c>
      <c r="J42" s="456"/>
      <c r="K42" s="457"/>
      <c r="L42" s="458" t="str">
        <f>AU13</f>
        <v>木村重明</v>
      </c>
      <c r="M42" s="459"/>
      <c r="N42" s="459"/>
      <c r="O42" s="459"/>
      <c r="P42" s="459"/>
      <c r="Q42" s="459"/>
      <c r="R42" s="460"/>
      <c r="S42" s="409"/>
      <c r="T42" s="410"/>
      <c r="U42" s="410"/>
      <c r="V42" s="410"/>
      <c r="W42" s="414"/>
      <c r="X42" s="415"/>
      <c r="Y42" s="415"/>
      <c r="Z42" s="136"/>
      <c r="AA42" s="415"/>
      <c r="AB42" s="415"/>
      <c r="AC42" s="461"/>
      <c r="AD42" s="409">
        <f>AU15</f>
        <v>0</v>
      </c>
      <c r="AE42" s="410"/>
      <c r="AF42" s="410"/>
      <c r="AG42" s="410"/>
      <c r="AH42" s="410"/>
      <c r="AI42" s="462"/>
      <c r="AK42" s="445" t="s">
        <v>682</v>
      </c>
      <c r="AL42" s="445"/>
      <c r="AM42" s="445"/>
      <c r="AN42" s="445"/>
      <c r="AO42" s="445"/>
      <c r="AP42" s="445"/>
      <c r="AQ42" s="42"/>
      <c r="AR42" s="48"/>
      <c r="AS42" s="561" t="s">
        <v>683</v>
      </c>
      <c r="AT42" s="561"/>
      <c r="AU42" s="561"/>
      <c r="AV42" s="561"/>
      <c r="AW42" s="561"/>
      <c r="BC42" s="50"/>
      <c r="BD42" s="51"/>
    </row>
    <row r="43" spans="1:80" ht="18" customHeight="1">
      <c r="A43" s="464" t="s">
        <v>38</v>
      </c>
      <c r="B43" s="459"/>
      <c r="C43" s="459"/>
      <c r="D43" s="459"/>
      <c r="E43" s="469">
        <f>AX16</f>
        <v>0.83333333333333337</v>
      </c>
      <c r="F43" s="456"/>
      <c r="G43" s="456"/>
      <c r="H43" s="144" t="s">
        <v>680</v>
      </c>
      <c r="I43" s="456" t="str">
        <f>AY16</f>
        <v>翌8:00</v>
      </c>
      <c r="J43" s="456"/>
      <c r="K43" s="457"/>
      <c r="L43" s="458" t="str">
        <f>AU16</f>
        <v>山本喜久</v>
      </c>
      <c r="M43" s="459"/>
      <c r="N43" s="459"/>
      <c r="O43" s="459"/>
      <c r="P43" s="459"/>
      <c r="Q43" s="459"/>
      <c r="R43" s="460"/>
      <c r="S43" s="409"/>
      <c r="T43" s="410"/>
      <c r="U43" s="410"/>
      <c r="V43" s="410"/>
      <c r="W43" s="414"/>
      <c r="X43" s="415"/>
      <c r="Y43" s="415"/>
      <c r="Z43" s="136"/>
      <c r="AA43" s="415"/>
      <c r="AB43" s="415"/>
      <c r="AC43" s="461"/>
      <c r="AD43" s="486">
        <f>AU18</f>
        <v>0</v>
      </c>
      <c r="AE43" s="410"/>
      <c r="AF43" s="410"/>
      <c r="AG43" s="410"/>
      <c r="AH43" s="410"/>
      <c r="AI43" s="462"/>
      <c r="AK43" s="444" t="s">
        <v>684</v>
      </c>
      <c r="AL43" s="444"/>
      <c r="AM43" s="444"/>
      <c r="AN43" s="444"/>
      <c r="AO43" s="444"/>
      <c r="AP43" s="444"/>
      <c r="AQ43" s="42"/>
      <c r="AR43" s="43"/>
      <c r="AW43"/>
      <c r="AX43"/>
      <c r="AY43"/>
      <c r="AZ43"/>
      <c r="BA43"/>
      <c r="BB43"/>
      <c r="BC43" s="50"/>
      <c r="BD43" s="51"/>
      <c r="BE43"/>
      <c r="BF43"/>
      <c r="BG43"/>
      <c r="BH43"/>
      <c r="BI43"/>
      <c r="BJ43"/>
      <c r="BK43"/>
      <c r="BL43"/>
      <c r="BM43"/>
      <c r="BN43"/>
      <c r="BO43"/>
      <c r="BP43"/>
      <c r="BQ43"/>
      <c r="BR43"/>
      <c r="BS43"/>
      <c r="BT43"/>
      <c r="BU43"/>
      <c r="BV43"/>
      <c r="BW43"/>
      <c r="BX43"/>
      <c r="BY43"/>
      <c r="BZ43"/>
      <c r="CA43"/>
      <c r="CB43"/>
    </row>
    <row r="44" spans="1:80" ht="18" customHeight="1" thickBot="1">
      <c r="A44" s="473" t="s">
        <v>45</v>
      </c>
      <c r="B44" s="474"/>
      <c r="C44" s="474"/>
      <c r="D44" s="474"/>
      <c r="E44" s="475">
        <f>AX17</f>
        <v>0.83333333333333337</v>
      </c>
      <c r="F44" s="476"/>
      <c r="G44" s="476"/>
      <c r="H44" s="145" t="s">
        <v>680</v>
      </c>
      <c r="I44" s="476" t="str">
        <f>AY17</f>
        <v>翌8:00</v>
      </c>
      <c r="J44" s="476"/>
      <c r="K44" s="477"/>
      <c r="L44" s="478" t="str">
        <f>AU17</f>
        <v>二野宮慧太</v>
      </c>
      <c r="M44" s="478"/>
      <c r="N44" s="478"/>
      <c r="O44" s="478"/>
      <c r="P44" s="478"/>
      <c r="Q44" s="478"/>
      <c r="R44" s="478"/>
      <c r="S44" s="479"/>
      <c r="T44" s="480"/>
      <c r="U44" s="480"/>
      <c r="V44" s="480"/>
      <c r="W44" s="481"/>
      <c r="X44" s="482"/>
      <c r="Y44" s="482"/>
      <c r="Z44" s="137"/>
      <c r="AA44" s="482"/>
      <c r="AB44" s="482"/>
      <c r="AC44" s="483"/>
      <c r="AD44" s="484">
        <f>AU19</f>
        <v>0</v>
      </c>
      <c r="AE44" s="480"/>
      <c r="AF44" s="480"/>
      <c r="AG44" s="480"/>
      <c r="AH44" s="480"/>
      <c r="AI44" s="485"/>
      <c r="AK44" s="446" t="s">
        <v>685</v>
      </c>
      <c r="AL44" s="446"/>
      <c r="AM44" s="446"/>
      <c r="AN44" s="446"/>
      <c r="AO44" s="446"/>
      <c r="AP44" s="446"/>
      <c r="AQ44" s="42"/>
      <c r="AR44" s="43"/>
      <c r="BC44" s="50"/>
      <c r="BD44" s="51"/>
    </row>
    <row r="45" spans="1:80" ht="18" customHeight="1" thickBot="1">
      <c r="A45" s="27"/>
      <c r="B45" s="27"/>
      <c r="C45" s="27"/>
      <c r="D45" s="27"/>
      <c r="E45" s="27"/>
      <c r="F45" s="27"/>
      <c r="G45" s="27"/>
      <c r="H45" s="27"/>
      <c r="I45" s="27"/>
      <c r="R45" s="307">
        <f>A7</f>
        <v>46193</v>
      </c>
      <c r="S45" s="308"/>
      <c r="T45" s="308"/>
      <c r="U45" s="308"/>
      <c r="V45" s="23" t="s">
        <v>169</v>
      </c>
      <c r="W45" s="309">
        <f>G7</f>
        <v>46193</v>
      </c>
      <c r="X45" s="308"/>
      <c r="Y45" s="23" t="s">
        <v>170</v>
      </c>
      <c r="Z45" s="310">
        <f>K7</f>
        <v>46193</v>
      </c>
      <c r="AA45" s="308"/>
      <c r="AB45" s="23" t="s">
        <v>3</v>
      </c>
      <c r="AC45" s="455">
        <f>O7</f>
        <v>46193</v>
      </c>
      <c r="AD45" s="308"/>
      <c r="AE45" s="308" t="s">
        <v>292</v>
      </c>
      <c r="AF45" s="308"/>
      <c r="AK45" s="425" t="s">
        <v>686</v>
      </c>
      <c r="AL45" s="425"/>
      <c r="AM45" s="425"/>
      <c r="AN45" s="425"/>
      <c r="AO45" s="425"/>
      <c r="AP45" s="425"/>
      <c r="AQ45" s="42"/>
      <c r="AR45" s="43"/>
      <c r="BC45" s="50"/>
      <c r="BD45" s="51"/>
    </row>
    <row r="46" spans="1:80" customFormat="1" ht="18" customHeight="1">
      <c r="A46" s="452" t="s">
        <v>598</v>
      </c>
      <c r="B46" s="453"/>
      <c r="C46" s="453"/>
      <c r="D46" s="453"/>
      <c r="E46" s="453"/>
      <c r="F46" s="453"/>
      <c r="G46" s="453"/>
      <c r="H46" s="453"/>
      <c r="I46" s="453"/>
      <c r="J46" s="453"/>
      <c r="K46" s="453"/>
      <c r="L46" s="453"/>
      <c r="M46" s="453"/>
      <c r="N46" s="453"/>
      <c r="O46" s="453"/>
      <c r="P46" s="453"/>
      <c r="Q46" s="453"/>
      <c r="R46" s="453"/>
      <c r="S46" s="453"/>
      <c r="T46" s="453"/>
      <c r="U46" s="453"/>
      <c r="V46" s="453"/>
      <c r="W46" s="453"/>
      <c r="X46" s="453"/>
      <c r="Y46" s="453"/>
      <c r="Z46" s="453"/>
      <c r="AA46" s="453"/>
      <c r="AB46" s="453"/>
      <c r="AC46" s="453"/>
      <c r="AD46" s="453"/>
      <c r="AE46" s="453"/>
      <c r="AF46" s="453"/>
      <c r="AG46" s="453"/>
      <c r="AH46" s="453"/>
      <c r="AI46" s="454"/>
      <c r="AK46" s="425" t="s">
        <v>687</v>
      </c>
      <c r="AL46" s="425"/>
      <c r="AM46" s="425"/>
      <c r="AN46" s="425"/>
      <c r="AO46" s="425"/>
      <c r="AP46" s="425"/>
      <c r="AQ46" s="42"/>
      <c r="AR46" s="43"/>
      <c r="AW46" s="23"/>
      <c r="AX46" s="23"/>
      <c r="AY46" s="23"/>
      <c r="AZ46" s="23"/>
      <c r="BA46" s="23"/>
      <c r="BB46" s="23"/>
      <c r="BC46" s="50"/>
      <c r="BD46" s="51"/>
      <c r="BE46" s="23"/>
      <c r="BF46" s="23"/>
      <c r="BG46" s="23"/>
      <c r="BH46" s="23"/>
      <c r="BI46" s="23"/>
      <c r="BJ46" s="23"/>
      <c r="BK46" s="23"/>
      <c r="BL46" s="23"/>
      <c r="BM46" s="23"/>
      <c r="BN46" s="23"/>
      <c r="BO46" s="23"/>
      <c r="BP46" s="23"/>
      <c r="BQ46" s="23"/>
      <c r="BR46" s="23"/>
      <c r="BS46" s="23"/>
      <c r="BT46" s="23"/>
      <c r="BU46" s="23"/>
      <c r="BV46" s="23"/>
      <c r="BW46" s="23"/>
      <c r="BX46" s="23"/>
      <c r="BY46" s="23"/>
      <c r="BZ46" s="23"/>
      <c r="CA46" s="23"/>
      <c r="CB46" s="23"/>
    </row>
    <row r="47" spans="1:80" ht="18" customHeight="1">
      <c r="A47" s="36" t="s">
        <v>189</v>
      </c>
      <c r="B47" s="404">
        <v>0.31666666666666665</v>
      </c>
      <c r="C47" s="404"/>
      <c r="D47" s="404"/>
      <c r="E47" s="404"/>
      <c r="F47" s="288" t="s">
        <v>689</v>
      </c>
      <c r="G47" s="288"/>
      <c r="H47" s="288"/>
      <c r="I47" s="288"/>
      <c r="J47" s="288"/>
      <c r="K47" s="288"/>
      <c r="L47" s="288"/>
      <c r="M47" s="288"/>
      <c r="N47" s="288"/>
      <c r="O47" s="288"/>
      <c r="P47" s="288"/>
      <c r="Q47" s="288"/>
      <c r="R47" s="288"/>
      <c r="S47" s="288"/>
      <c r="T47" s="288"/>
      <c r="U47" s="288"/>
      <c r="V47" s="288"/>
      <c r="W47" s="288"/>
      <c r="X47" s="288"/>
      <c r="Y47" s="288"/>
      <c r="Z47" s="288"/>
      <c r="AA47" s="288"/>
      <c r="AB47" s="288"/>
      <c r="AC47" s="288"/>
      <c r="AD47" s="288"/>
      <c r="AE47" s="288"/>
      <c r="AF47" s="288"/>
      <c r="AG47" s="288"/>
      <c r="AH47" s="288"/>
      <c r="AI47" s="289"/>
      <c r="AK47" s="425" t="s">
        <v>688</v>
      </c>
      <c r="AL47" s="425"/>
      <c r="AM47" s="425"/>
      <c r="AN47" s="425"/>
      <c r="AO47" s="425"/>
      <c r="AP47" s="425"/>
      <c r="AQ47" s="42"/>
      <c r="AR47" s="43"/>
      <c r="AS47" s="120" t="s">
        <v>189</v>
      </c>
      <c r="AT47" s="43" t="s">
        <v>728</v>
      </c>
      <c r="AU47" s="43"/>
      <c r="BC47" s="50"/>
      <c r="BD47" s="51"/>
    </row>
    <row r="48" spans="1:80" ht="18" customHeight="1">
      <c r="A48" s="36"/>
      <c r="B48" s="404"/>
      <c r="C48" s="404"/>
      <c r="D48" s="404"/>
      <c r="E48" s="404"/>
      <c r="F48" s="288"/>
      <c r="G48" s="288"/>
      <c r="H48" s="288"/>
      <c r="I48" s="288"/>
      <c r="J48" s="288"/>
      <c r="K48" s="288"/>
      <c r="L48" s="288"/>
      <c r="M48" s="288"/>
      <c r="N48" s="288"/>
      <c r="O48" s="288"/>
      <c r="P48" s="288"/>
      <c r="Q48" s="288"/>
      <c r="R48" s="288"/>
      <c r="S48" s="288"/>
      <c r="T48" s="288"/>
      <c r="U48" s="288"/>
      <c r="V48" s="288"/>
      <c r="W48" s="288"/>
      <c r="X48" s="288"/>
      <c r="Y48" s="288"/>
      <c r="Z48" s="288"/>
      <c r="AA48" s="288"/>
      <c r="AB48" s="288"/>
      <c r="AC48" s="288"/>
      <c r="AD48" s="288"/>
      <c r="AE48" s="288"/>
      <c r="AF48" s="288"/>
      <c r="AG48" s="288"/>
      <c r="AH48" s="288"/>
      <c r="AI48" s="289"/>
      <c r="AK48" s="425" t="s">
        <v>690</v>
      </c>
      <c r="AL48" s="425"/>
      <c r="AM48" s="425"/>
      <c r="AN48" s="425"/>
      <c r="AO48" s="425"/>
      <c r="AP48" s="425"/>
      <c r="AQ48" s="42"/>
      <c r="AR48" s="43"/>
      <c r="AS48" s="43"/>
      <c r="AT48" s="43"/>
      <c r="AU48" s="43"/>
      <c r="BC48" s="50"/>
      <c r="BD48" s="51"/>
    </row>
    <row r="49" spans="1:61" ht="18" customHeight="1">
      <c r="A49" s="36"/>
      <c r="B49" s="404"/>
      <c r="C49" s="404"/>
      <c r="D49" s="404"/>
      <c r="E49" s="404"/>
      <c r="F49" s="288"/>
      <c r="G49" s="288"/>
      <c r="H49" s="288"/>
      <c r="I49" s="288"/>
      <c r="J49" s="288"/>
      <c r="K49" s="288"/>
      <c r="L49" s="288"/>
      <c r="M49" s="288"/>
      <c r="N49" s="288"/>
      <c r="O49" s="288"/>
      <c r="P49" s="288"/>
      <c r="Q49" s="288"/>
      <c r="R49" s="288"/>
      <c r="S49" s="288"/>
      <c r="T49" s="288"/>
      <c r="U49" s="288"/>
      <c r="V49" s="288"/>
      <c r="W49" s="288"/>
      <c r="X49" s="288"/>
      <c r="Y49" s="288"/>
      <c r="Z49" s="288"/>
      <c r="AA49" s="288"/>
      <c r="AB49" s="288"/>
      <c r="AC49" s="288"/>
      <c r="AD49" s="288"/>
      <c r="AE49" s="288"/>
      <c r="AF49" s="288"/>
      <c r="AG49" s="288"/>
      <c r="AH49" s="288"/>
      <c r="AI49" s="289"/>
      <c r="AK49" s="425" t="s">
        <v>691</v>
      </c>
      <c r="AL49" s="425"/>
      <c r="AM49" s="425"/>
      <c r="AN49" s="425"/>
      <c r="AO49" s="425"/>
      <c r="AP49" s="425"/>
      <c r="AQ49" s="42"/>
      <c r="AR49" s="43"/>
      <c r="AS49" s="43"/>
      <c r="AT49" s="43"/>
      <c r="AU49" s="43"/>
      <c r="BC49" s="50"/>
      <c r="BD49" s="51"/>
    </row>
    <row r="50" spans="1:61" ht="18" customHeight="1">
      <c r="A50" s="36"/>
      <c r="B50" s="404"/>
      <c r="C50" s="404"/>
      <c r="D50" s="404"/>
      <c r="E50" s="404"/>
      <c r="F50" s="288"/>
      <c r="G50" s="288"/>
      <c r="H50" s="288"/>
      <c r="I50" s="288"/>
      <c r="J50" s="288"/>
      <c r="K50" s="288"/>
      <c r="L50" s="288"/>
      <c r="M50" s="288"/>
      <c r="N50" s="288"/>
      <c r="O50" s="288"/>
      <c r="P50" s="288"/>
      <c r="Q50" s="288"/>
      <c r="R50" s="288"/>
      <c r="S50" s="288"/>
      <c r="T50" s="288"/>
      <c r="U50" s="288"/>
      <c r="V50" s="288"/>
      <c r="W50" s="288"/>
      <c r="X50" s="288"/>
      <c r="Y50" s="288"/>
      <c r="Z50" s="288"/>
      <c r="AA50" s="288"/>
      <c r="AB50" s="288"/>
      <c r="AC50" s="288"/>
      <c r="AD50" s="288"/>
      <c r="AE50" s="288"/>
      <c r="AF50" s="288"/>
      <c r="AG50" s="288"/>
      <c r="AH50" s="288"/>
      <c r="AI50" s="289"/>
      <c r="AK50" s="425" t="s">
        <v>692</v>
      </c>
      <c r="AL50" s="425"/>
      <c r="AM50" s="425"/>
      <c r="AN50" s="425"/>
      <c r="AO50" s="425"/>
      <c r="AP50" s="425"/>
      <c r="AQ50" s="42"/>
      <c r="AR50" s="43"/>
      <c r="AS50" s="43"/>
      <c r="AT50" s="43"/>
      <c r="AU50" s="43"/>
      <c r="BC50" s="50"/>
      <c r="BD50" s="51"/>
    </row>
    <row r="51" spans="1:61" ht="18" customHeight="1">
      <c r="A51" s="36"/>
      <c r="B51" s="404"/>
      <c r="C51" s="404"/>
      <c r="D51" s="404"/>
      <c r="E51" s="404"/>
      <c r="F51" s="288"/>
      <c r="G51" s="288"/>
      <c r="H51" s="288"/>
      <c r="I51" s="288"/>
      <c r="J51" s="288"/>
      <c r="K51" s="288"/>
      <c r="L51" s="288"/>
      <c r="M51" s="288"/>
      <c r="N51" s="288"/>
      <c r="O51" s="288"/>
      <c r="P51" s="288"/>
      <c r="Q51" s="288"/>
      <c r="R51" s="288"/>
      <c r="S51" s="288"/>
      <c r="T51" s="288"/>
      <c r="U51" s="288"/>
      <c r="V51" s="288"/>
      <c r="W51" s="288"/>
      <c r="X51" s="288"/>
      <c r="Y51" s="288"/>
      <c r="Z51" s="288"/>
      <c r="AA51" s="288"/>
      <c r="AB51" s="288"/>
      <c r="AC51" s="288"/>
      <c r="AD51" s="288"/>
      <c r="AE51" s="288"/>
      <c r="AF51" s="288"/>
      <c r="AG51" s="288"/>
      <c r="AH51" s="288"/>
      <c r="AI51" s="289"/>
      <c r="AK51" s="425" t="s">
        <v>693</v>
      </c>
      <c r="AL51" s="425"/>
      <c r="AM51" s="425"/>
      <c r="AN51" s="425"/>
      <c r="AO51" s="425"/>
      <c r="AP51" s="425"/>
      <c r="AQ51" s="42"/>
      <c r="AR51" s="43"/>
      <c r="AS51" s="43"/>
      <c r="AT51" s="43"/>
      <c r="AU51" s="43"/>
      <c r="BC51" s="50"/>
      <c r="BD51" s="51"/>
    </row>
    <row r="52" spans="1:61" ht="18" customHeight="1">
      <c r="A52" s="36"/>
      <c r="B52" s="404"/>
      <c r="C52" s="404"/>
      <c r="D52" s="404"/>
      <c r="E52" s="404"/>
      <c r="F52" s="288"/>
      <c r="G52" s="288"/>
      <c r="H52" s="288"/>
      <c r="I52" s="288"/>
      <c r="J52" s="288"/>
      <c r="K52" s="288"/>
      <c r="L52" s="288"/>
      <c r="M52" s="288"/>
      <c r="N52" s="288"/>
      <c r="O52" s="288"/>
      <c r="P52" s="288"/>
      <c r="Q52" s="288"/>
      <c r="R52" s="288"/>
      <c r="S52" s="288"/>
      <c r="T52" s="288"/>
      <c r="U52" s="288"/>
      <c r="V52" s="288"/>
      <c r="W52" s="288"/>
      <c r="X52" s="288"/>
      <c r="Y52" s="288"/>
      <c r="Z52" s="288"/>
      <c r="AA52" s="288"/>
      <c r="AB52" s="288"/>
      <c r="AC52" s="288"/>
      <c r="AD52" s="288"/>
      <c r="AE52" s="288"/>
      <c r="AF52" s="288"/>
      <c r="AG52" s="288"/>
      <c r="AH52" s="288"/>
      <c r="AI52" s="289"/>
      <c r="AK52" s="425" t="s">
        <v>694</v>
      </c>
      <c r="AL52" s="425"/>
      <c r="AM52" s="425"/>
      <c r="AN52" s="425"/>
      <c r="AO52" s="425"/>
      <c r="AP52" s="425"/>
      <c r="AQ52" s="42"/>
      <c r="AR52" s="43"/>
      <c r="AS52" s="43"/>
      <c r="AV52" s="43"/>
      <c r="AW52" s="43"/>
      <c r="AX52" s="43"/>
      <c r="AY52" s="43"/>
      <c r="AZ52" s="43"/>
      <c r="BA52" s="43"/>
      <c r="BH52" s="52"/>
      <c r="BI52" s="51"/>
    </row>
    <row r="53" spans="1:61" ht="18" customHeight="1">
      <c r="A53" s="36"/>
      <c r="B53" s="404"/>
      <c r="C53" s="404"/>
      <c r="D53" s="404"/>
      <c r="E53" s="404"/>
      <c r="F53" s="288"/>
      <c r="G53" s="288"/>
      <c r="H53" s="288"/>
      <c r="I53" s="288"/>
      <c r="J53" s="288"/>
      <c r="K53" s="288"/>
      <c r="L53" s="288"/>
      <c r="M53" s="288"/>
      <c r="N53" s="288"/>
      <c r="O53" s="288"/>
      <c r="P53" s="288"/>
      <c r="Q53" s="288"/>
      <c r="R53" s="288"/>
      <c r="S53" s="288"/>
      <c r="T53" s="288"/>
      <c r="U53" s="288"/>
      <c r="V53" s="288"/>
      <c r="W53" s="288"/>
      <c r="X53" s="288"/>
      <c r="Y53" s="288"/>
      <c r="Z53" s="288"/>
      <c r="AA53" s="288"/>
      <c r="AB53" s="288"/>
      <c r="AC53" s="288"/>
      <c r="AD53" s="288"/>
      <c r="AE53" s="288"/>
      <c r="AF53" s="288"/>
      <c r="AG53" s="288"/>
      <c r="AH53" s="288"/>
      <c r="AI53" s="289"/>
      <c r="AK53" s="425" t="s">
        <v>695</v>
      </c>
      <c r="AL53" s="425"/>
      <c r="AM53" s="425"/>
      <c r="AN53" s="425"/>
      <c r="AO53" s="425"/>
      <c r="AP53" s="425"/>
      <c r="AQ53" s="42"/>
      <c r="AR53" s="43"/>
      <c r="AS53" s="43"/>
      <c r="AT53" s="43"/>
      <c r="AU53" s="43"/>
      <c r="AV53" s="43"/>
      <c r="AW53" s="43"/>
      <c r="AX53" s="43"/>
      <c r="AY53" s="43"/>
      <c r="AZ53" s="43"/>
      <c r="BH53" s="50"/>
      <c r="BI53" s="51"/>
    </row>
    <row r="54" spans="1:61" ht="18" customHeight="1">
      <c r="A54" s="36"/>
      <c r="B54" s="404"/>
      <c r="C54" s="404"/>
      <c r="D54" s="404"/>
      <c r="E54" s="404"/>
      <c r="F54" s="288"/>
      <c r="G54" s="288"/>
      <c r="H54" s="288"/>
      <c r="I54" s="288"/>
      <c r="J54" s="288"/>
      <c r="K54" s="288"/>
      <c r="L54" s="288"/>
      <c r="M54" s="288"/>
      <c r="N54" s="288"/>
      <c r="O54" s="288"/>
      <c r="P54" s="288"/>
      <c r="Q54" s="288"/>
      <c r="R54" s="288"/>
      <c r="S54" s="288"/>
      <c r="T54" s="288"/>
      <c r="U54" s="288"/>
      <c r="V54" s="288"/>
      <c r="W54" s="288"/>
      <c r="X54" s="288"/>
      <c r="Y54" s="288"/>
      <c r="Z54" s="288"/>
      <c r="AA54" s="288"/>
      <c r="AB54" s="288"/>
      <c r="AC54" s="288"/>
      <c r="AD54" s="288"/>
      <c r="AE54" s="288"/>
      <c r="AF54" s="288"/>
      <c r="AG54" s="288"/>
      <c r="AH54" s="288"/>
      <c r="AI54" s="289"/>
      <c r="AK54" s="425" t="s">
        <v>696</v>
      </c>
      <c r="AL54" s="425"/>
      <c r="AM54" s="425"/>
      <c r="AN54" s="425"/>
      <c r="AO54" s="425"/>
      <c r="AP54" s="425"/>
      <c r="AQ54" s="42"/>
      <c r="AR54" s="43"/>
      <c r="AS54" s="43"/>
      <c r="AT54" s="43"/>
      <c r="AU54" s="43"/>
      <c r="AV54" s="43"/>
      <c r="AW54" s="43"/>
      <c r="AX54" s="43"/>
      <c r="AY54" s="43"/>
      <c r="AZ54" s="43"/>
      <c r="BH54" s="50"/>
      <c r="BI54" s="51"/>
    </row>
    <row r="55" spans="1:61" ht="18" customHeight="1">
      <c r="A55" s="36"/>
      <c r="B55" s="404"/>
      <c r="C55" s="404"/>
      <c r="D55" s="404"/>
      <c r="E55" s="404"/>
      <c r="F55" s="288"/>
      <c r="G55" s="288"/>
      <c r="H55" s="288"/>
      <c r="I55" s="288"/>
      <c r="J55" s="288"/>
      <c r="K55" s="288"/>
      <c r="L55" s="288"/>
      <c r="M55" s="288"/>
      <c r="N55" s="288"/>
      <c r="O55" s="288"/>
      <c r="P55" s="288"/>
      <c r="Q55" s="288"/>
      <c r="R55" s="288"/>
      <c r="S55" s="288"/>
      <c r="T55" s="288"/>
      <c r="U55" s="288"/>
      <c r="V55" s="288"/>
      <c r="W55" s="288"/>
      <c r="X55" s="288"/>
      <c r="Y55" s="288"/>
      <c r="Z55" s="288"/>
      <c r="AA55" s="288"/>
      <c r="AB55" s="288"/>
      <c r="AC55" s="288"/>
      <c r="AD55" s="288"/>
      <c r="AE55" s="288"/>
      <c r="AF55" s="288"/>
      <c r="AG55" s="288"/>
      <c r="AH55" s="288"/>
      <c r="AI55" s="289"/>
      <c r="AK55" s="425" t="s">
        <v>697</v>
      </c>
      <c r="AL55" s="425"/>
      <c r="AM55" s="425"/>
      <c r="AN55" s="425"/>
      <c r="AO55" s="425"/>
      <c r="AP55" s="425"/>
      <c r="AQ55" s="42"/>
      <c r="AR55" s="43"/>
      <c r="AS55" s="43"/>
      <c r="AT55" s="43"/>
      <c r="AU55" s="43"/>
      <c r="AV55" s="43"/>
      <c r="AW55" s="43"/>
      <c r="AX55" s="43"/>
      <c r="AY55" s="43"/>
      <c r="AZ55" s="43"/>
      <c r="BH55" s="50"/>
      <c r="BI55" s="51"/>
    </row>
    <row r="56" spans="1:61" ht="18" customHeight="1">
      <c r="A56" s="36"/>
      <c r="B56" s="404"/>
      <c r="C56" s="404"/>
      <c r="D56" s="404"/>
      <c r="E56" s="404"/>
      <c r="F56" s="288"/>
      <c r="G56" s="288"/>
      <c r="H56" s="288"/>
      <c r="I56" s="288"/>
      <c r="J56" s="288"/>
      <c r="K56" s="288"/>
      <c r="L56" s="288"/>
      <c r="M56" s="288"/>
      <c r="N56" s="288"/>
      <c r="O56" s="288"/>
      <c r="P56" s="288"/>
      <c r="Q56" s="288"/>
      <c r="R56" s="288"/>
      <c r="S56" s="288"/>
      <c r="T56" s="288"/>
      <c r="U56" s="288"/>
      <c r="V56" s="288"/>
      <c r="W56" s="288"/>
      <c r="X56" s="288"/>
      <c r="Y56" s="288"/>
      <c r="Z56" s="288"/>
      <c r="AA56" s="288"/>
      <c r="AB56" s="288"/>
      <c r="AC56" s="288"/>
      <c r="AD56" s="288"/>
      <c r="AE56" s="288"/>
      <c r="AF56" s="288"/>
      <c r="AG56" s="288"/>
      <c r="AH56" s="288"/>
      <c r="AI56" s="289"/>
      <c r="AK56" s="425" t="s">
        <v>698</v>
      </c>
      <c r="AL56" s="425"/>
      <c r="AM56" s="425"/>
      <c r="AN56" s="425"/>
      <c r="AO56" s="425"/>
      <c r="AP56" s="425"/>
      <c r="AQ56" s="42"/>
      <c r="AR56" s="43"/>
      <c r="AS56" s="43"/>
      <c r="AT56" s="43"/>
      <c r="AU56" s="43"/>
      <c r="AV56" s="43"/>
      <c r="AW56" s="43"/>
      <c r="AX56" s="43"/>
      <c r="AY56" s="43"/>
      <c r="AZ56" s="43"/>
      <c r="BH56" s="52"/>
      <c r="BI56" s="51"/>
    </row>
    <row r="57" spans="1:61" ht="18" customHeight="1">
      <c r="A57" s="36"/>
      <c r="B57" s="404"/>
      <c r="C57" s="404"/>
      <c r="D57" s="404"/>
      <c r="E57" s="404"/>
      <c r="F57" s="288"/>
      <c r="G57" s="288"/>
      <c r="H57" s="288"/>
      <c r="I57" s="288"/>
      <c r="J57" s="288"/>
      <c r="K57" s="288"/>
      <c r="L57" s="288"/>
      <c r="M57" s="288"/>
      <c r="N57" s="288"/>
      <c r="O57" s="288"/>
      <c r="P57" s="288"/>
      <c r="Q57" s="288"/>
      <c r="R57" s="288"/>
      <c r="S57" s="288"/>
      <c r="T57" s="288"/>
      <c r="U57" s="288"/>
      <c r="V57" s="288"/>
      <c r="W57" s="288"/>
      <c r="X57" s="288"/>
      <c r="Y57" s="288"/>
      <c r="Z57" s="288"/>
      <c r="AA57" s="288"/>
      <c r="AB57" s="288"/>
      <c r="AC57" s="288"/>
      <c r="AD57" s="288"/>
      <c r="AE57" s="288"/>
      <c r="AF57" s="288"/>
      <c r="AG57" s="288"/>
      <c r="AH57" s="288"/>
      <c r="AI57" s="289"/>
      <c r="AK57" s="425" t="s">
        <v>699</v>
      </c>
      <c r="AL57" s="425"/>
      <c r="AM57" s="425"/>
      <c r="AN57" s="425"/>
      <c r="AO57" s="425"/>
      <c r="AP57" s="425"/>
      <c r="AQ57" s="42"/>
      <c r="AR57" s="43"/>
      <c r="AS57" s="43"/>
      <c r="AT57" s="43"/>
      <c r="AU57" s="43"/>
      <c r="AV57" s="43"/>
      <c r="AW57" s="43"/>
      <c r="AX57" s="43"/>
      <c r="AY57" s="43"/>
      <c r="AZ57" s="43"/>
      <c r="BH57" s="50"/>
      <c r="BI57" s="51"/>
    </row>
    <row r="58" spans="1:61" ht="18" customHeight="1">
      <c r="A58" s="36"/>
      <c r="B58" s="404"/>
      <c r="C58" s="404"/>
      <c r="D58" s="404"/>
      <c r="E58" s="404"/>
      <c r="F58" s="288"/>
      <c r="G58" s="288"/>
      <c r="H58" s="288"/>
      <c r="I58" s="288"/>
      <c r="J58" s="288"/>
      <c r="K58" s="288"/>
      <c r="L58" s="288"/>
      <c r="M58" s="288"/>
      <c r="N58" s="288"/>
      <c r="O58" s="288"/>
      <c r="P58" s="288"/>
      <c r="Q58" s="288"/>
      <c r="R58" s="288"/>
      <c r="S58" s="288"/>
      <c r="T58" s="288"/>
      <c r="U58" s="288"/>
      <c r="V58" s="288"/>
      <c r="W58" s="288"/>
      <c r="X58" s="288"/>
      <c r="Y58" s="288"/>
      <c r="Z58" s="288"/>
      <c r="AA58" s="288"/>
      <c r="AB58" s="288"/>
      <c r="AC58" s="288"/>
      <c r="AD58" s="288"/>
      <c r="AE58" s="288"/>
      <c r="AF58" s="288"/>
      <c r="AG58" s="288"/>
      <c r="AH58" s="288"/>
      <c r="AI58" s="289"/>
      <c r="AK58" s="425" t="s">
        <v>700</v>
      </c>
      <c r="AL58" s="425"/>
      <c r="AM58" s="425"/>
      <c r="AN58" s="425"/>
      <c r="AO58" s="425"/>
      <c r="AP58" s="425"/>
      <c r="AQ58" s="42"/>
      <c r="AR58" s="43"/>
      <c r="AS58" s="43"/>
      <c r="AT58" s="43"/>
      <c r="AU58" s="43"/>
      <c r="AV58" s="43"/>
      <c r="AW58" s="43"/>
      <c r="AX58" s="43"/>
      <c r="AY58" s="43"/>
      <c r="AZ58" s="43"/>
      <c r="BH58" s="50"/>
      <c r="BI58" s="51"/>
    </row>
    <row r="59" spans="1:61" ht="18" customHeight="1">
      <c r="A59" s="36"/>
      <c r="B59" s="404"/>
      <c r="C59" s="404"/>
      <c r="D59" s="404"/>
      <c r="E59" s="404"/>
      <c r="F59" s="288"/>
      <c r="G59" s="288"/>
      <c r="H59" s="288"/>
      <c r="I59" s="288"/>
      <c r="J59" s="288"/>
      <c r="K59" s="288"/>
      <c r="L59" s="288"/>
      <c r="M59" s="288"/>
      <c r="N59" s="288"/>
      <c r="O59" s="288"/>
      <c r="P59" s="288"/>
      <c r="Q59" s="288"/>
      <c r="R59" s="288"/>
      <c r="S59" s="288"/>
      <c r="T59" s="288"/>
      <c r="U59" s="288"/>
      <c r="V59" s="288"/>
      <c r="W59" s="288"/>
      <c r="X59" s="288"/>
      <c r="Y59" s="288"/>
      <c r="Z59" s="288"/>
      <c r="AA59" s="288"/>
      <c r="AB59" s="288"/>
      <c r="AC59" s="288"/>
      <c r="AD59" s="288"/>
      <c r="AE59" s="288"/>
      <c r="AF59" s="288"/>
      <c r="AG59" s="288"/>
      <c r="AH59" s="288"/>
      <c r="AI59" s="289"/>
      <c r="AK59" s="425" t="s">
        <v>701</v>
      </c>
      <c r="AL59" s="425"/>
      <c r="AM59" s="425"/>
      <c r="AN59" s="425"/>
      <c r="AO59" s="425"/>
      <c r="AP59" s="425"/>
      <c r="AQ59" s="42">
        <v>1</v>
      </c>
      <c r="AR59" s="43"/>
      <c r="AS59" s="43"/>
      <c r="AT59" s="43"/>
      <c r="AU59" s="43"/>
      <c r="AV59" s="43"/>
      <c r="AW59" s="43"/>
      <c r="AX59" s="43"/>
      <c r="AY59" s="43"/>
      <c r="AZ59" s="43"/>
      <c r="BH59" s="50"/>
      <c r="BI59" s="51"/>
    </row>
    <row r="60" spans="1:61" ht="18" customHeight="1">
      <c r="A60" s="36"/>
      <c r="B60" s="404"/>
      <c r="C60" s="404"/>
      <c r="D60" s="404"/>
      <c r="E60" s="404"/>
      <c r="F60" s="288"/>
      <c r="G60" s="288"/>
      <c r="H60" s="288"/>
      <c r="I60" s="288"/>
      <c r="J60" s="288"/>
      <c r="K60" s="288"/>
      <c r="L60" s="288"/>
      <c r="M60" s="288"/>
      <c r="N60" s="288"/>
      <c r="O60" s="288"/>
      <c r="P60" s="288"/>
      <c r="Q60" s="288"/>
      <c r="R60" s="288"/>
      <c r="S60" s="288"/>
      <c r="T60" s="288"/>
      <c r="U60" s="288"/>
      <c r="V60" s="288"/>
      <c r="W60" s="288"/>
      <c r="X60" s="288"/>
      <c r="Y60" s="288"/>
      <c r="Z60" s="288"/>
      <c r="AA60" s="288"/>
      <c r="AB60" s="288"/>
      <c r="AC60" s="288"/>
      <c r="AD60" s="288"/>
      <c r="AE60" s="288"/>
      <c r="AF60" s="288"/>
      <c r="AG60" s="288"/>
      <c r="AH60" s="288"/>
      <c r="AI60" s="289"/>
      <c r="AK60" s="425" t="s">
        <v>702</v>
      </c>
      <c r="AL60" s="425"/>
      <c r="AM60" s="425"/>
      <c r="AN60" s="425"/>
      <c r="AO60" s="425"/>
      <c r="AP60" s="425"/>
      <c r="AQ60" s="42"/>
      <c r="AR60" s="43"/>
      <c r="AS60" s="43"/>
      <c r="AT60" s="43"/>
      <c r="AU60" s="43"/>
      <c r="AV60" s="43"/>
      <c r="AW60" s="43"/>
      <c r="AX60" s="43"/>
      <c r="AY60" s="43"/>
      <c r="AZ60" s="43"/>
      <c r="BH60" s="52"/>
      <c r="BI60" s="51"/>
    </row>
    <row r="61" spans="1:61" ht="18" customHeight="1">
      <c r="A61" s="36"/>
      <c r="B61" s="404"/>
      <c r="C61" s="404"/>
      <c r="D61" s="404"/>
      <c r="E61" s="404"/>
      <c r="F61" s="288"/>
      <c r="G61" s="288"/>
      <c r="H61" s="288"/>
      <c r="I61" s="288"/>
      <c r="J61" s="288"/>
      <c r="K61" s="288"/>
      <c r="L61" s="288"/>
      <c r="M61" s="288"/>
      <c r="N61" s="288"/>
      <c r="O61" s="288"/>
      <c r="P61" s="288"/>
      <c r="Q61" s="288"/>
      <c r="R61" s="288"/>
      <c r="S61" s="288"/>
      <c r="T61" s="288"/>
      <c r="U61" s="288"/>
      <c r="V61" s="288"/>
      <c r="W61" s="288"/>
      <c r="X61" s="288"/>
      <c r="Y61" s="288"/>
      <c r="Z61" s="288"/>
      <c r="AA61" s="288"/>
      <c r="AB61" s="288"/>
      <c r="AC61" s="288"/>
      <c r="AD61" s="288"/>
      <c r="AE61" s="288"/>
      <c r="AF61" s="288"/>
      <c r="AG61" s="288"/>
      <c r="AH61" s="288"/>
      <c r="AI61" s="289"/>
      <c r="AK61" s="425" t="s">
        <v>703</v>
      </c>
      <c r="AL61" s="425"/>
      <c r="AM61" s="425"/>
      <c r="AN61" s="425"/>
      <c r="AO61" s="425"/>
      <c r="AP61" s="425"/>
      <c r="AQ61" s="42"/>
      <c r="AR61" s="43"/>
      <c r="AS61" s="43"/>
      <c r="AT61" s="43"/>
      <c r="AU61" s="43"/>
      <c r="AV61" s="43"/>
      <c r="AW61" s="43"/>
      <c r="AX61" s="43"/>
      <c r="AY61" s="43"/>
      <c r="AZ61" s="43"/>
      <c r="BH61" s="50"/>
      <c r="BI61" s="51"/>
    </row>
    <row r="62" spans="1:61" ht="18" customHeight="1">
      <c r="A62" s="36"/>
      <c r="B62" s="404"/>
      <c r="C62" s="404"/>
      <c r="D62" s="404"/>
      <c r="E62" s="404"/>
      <c r="F62" s="288"/>
      <c r="G62" s="288"/>
      <c r="H62" s="288"/>
      <c r="I62" s="288"/>
      <c r="J62" s="288"/>
      <c r="K62" s="288"/>
      <c r="L62" s="288"/>
      <c r="M62" s="288"/>
      <c r="N62" s="288"/>
      <c r="O62" s="288"/>
      <c r="P62" s="288"/>
      <c r="Q62" s="288"/>
      <c r="R62" s="288"/>
      <c r="S62" s="288"/>
      <c r="T62" s="288"/>
      <c r="U62" s="288"/>
      <c r="V62" s="288"/>
      <c r="W62" s="288"/>
      <c r="X62" s="288"/>
      <c r="Y62" s="288"/>
      <c r="Z62" s="288"/>
      <c r="AA62" s="288"/>
      <c r="AB62" s="288"/>
      <c r="AC62" s="288"/>
      <c r="AD62" s="288"/>
      <c r="AE62" s="288"/>
      <c r="AF62" s="288"/>
      <c r="AG62" s="288"/>
      <c r="AH62" s="288"/>
      <c r="AI62" s="289"/>
      <c r="AK62" s="425"/>
      <c r="AL62" s="425"/>
      <c r="AM62" s="425"/>
      <c r="AN62" s="425"/>
      <c r="AO62" s="425"/>
      <c r="AP62" s="425"/>
      <c r="AQ62" s="42"/>
      <c r="AR62" s="43"/>
      <c r="AS62" s="43"/>
      <c r="AT62" s="43"/>
      <c r="AU62" s="43"/>
      <c r="AV62" s="43"/>
      <c r="AW62" s="43"/>
      <c r="AX62" s="43"/>
      <c r="AY62" s="43"/>
      <c r="AZ62" s="43"/>
      <c r="BH62" s="50"/>
      <c r="BI62" s="51"/>
    </row>
    <row r="63" spans="1:61" ht="18" customHeight="1">
      <c r="A63" s="36"/>
      <c r="B63" s="404"/>
      <c r="C63" s="404"/>
      <c r="D63" s="404"/>
      <c r="E63" s="404"/>
      <c r="F63" s="288"/>
      <c r="G63" s="288"/>
      <c r="H63" s="288"/>
      <c r="I63" s="288"/>
      <c r="J63" s="288"/>
      <c r="K63" s="288"/>
      <c r="L63" s="288"/>
      <c r="M63" s="288"/>
      <c r="N63" s="288"/>
      <c r="O63" s="288"/>
      <c r="P63" s="288"/>
      <c r="Q63" s="288"/>
      <c r="R63" s="288"/>
      <c r="S63" s="288"/>
      <c r="T63" s="288"/>
      <c r="U63" s="288"/>
      <c r="V63" s="288"/>
      <c r="W63" s="288"/>
      <c r="X63" s="288"/>
      <c r="Y63" s="288"/>
      <c r="Z63" s="288"/>
      <c r="AA63" s="288"/>
      <c r="AB63" s="288"/>
      <c r="AC63" s="288"/>
      <c r="AD63" s="288"/>
      <c r="AE63" s="288"/>
      <c r="AF63" s="288"/>
      <c r="AG63" s="288"/>
      <c r="AH63" s="288"/>
      <c r="AI63" s="289"/>
      <c r="AK63" s="425"/>
      <c r="AL63" s="425"/>
      <c r="AM63" s="425"/>
      <c r="AN63" s="425"/>
      <c r="AO63" s="425"/>
      <c r="AP63" s="425"/>
      <c r="AQ63" s="42"/>
      <c r="AR63" s="43"/>
      <c r="AS63" s="43"/>
      <c r="AT63" s="43"/>
      <c r="AU63" s="43"/>
      <c r="AV63" s="43"/>
      <c r="AW63" s="43"/>
      <c r="AX63" s="43"/>
      <c r="AY63" s="43"/>
      <c r="AZ63" s="43"/>
      <c r="BH63" s="52"/>
      <c r="BI63" s="51"/>
    </row>
    <row r="64" spans="1:61" ht="18" customHeight="1">
      <c r="A64" s="36"/>
      <c r="B64" s="404"/>
      <c r="C64" s="404"/>
      <c r="D64" s="404"/>
      <c r="E64" s="404"/>
      <c r="F64" s="288"/>
      <c r="G64" s="288"/>
      <c r="H64" s="288"/>
      <c r="I64" s="288"/>
      <c r="J64" s="288"/>
      <c r="K64" s="288"/>
      <c r="L64" s="288"/>
      <c r="M64" s="288"/>
      <c r="N64" s="288"/>
      <c r="O64" s="288"/>
      <c r="P64" s="288"/>
      <c r="Q64" s="288"/>
      <c r="R64" s="288"/>
      <c r="S64" s="288"/>
      <c r="T64" s="288"/>
      <c r="U64" s="288"/>
      <c r="V64" s="288"/>
      <c r="W64" s="288"/>
      <c r="X64" s="288"/>
      <c r="Y64" s="288"/>
      <c r="Z64" s="288"/>
      <c r="AA64" s="288"/>
      <c r="AB64" s="288"/>
      <c r="AC64" s="288"/>
      <c r="AD64" s="288"/>
      <c r="AE64" s="288"/>
      <c r="AF64" s="288"/>
      <c r="AG64" s="288"/>
      <c r="AH64" s="288"/>
      <c r="AI64" s="289"/>
      <c r="AK64" s="425"/>
      <c r="AL64" s="425"/>
      <c r="AM64" s="425"/>
      <c r="AN64" s="425"/>
      <c r="AO64" s="425"/>
      <c r="AP64" s="425"/>
      <c r="AQ64" s="42"/>
      <c r="AR64" s="43"/>
      <c r="AS64" s="43"/>
      <c r="AT64" s="43"/>
      <c r="AU64" s="43"/>
      <c r="AV64" s="43"/>
      <c r="AW64" s="43"/>
      <c r="AX64" s="43"/>
      <c r="AY64" s="43"/>
      <c r="AZ64" s="43"/>
      <c r="BH64" s="52"/>
      <c r="BI64" s="51"/>
    </row>
    <row r="65" spans="1:61" ht="18" customHeight="1">
      <c r="A65" s="36"/>
      <c r="B65" s="404"/>
      <c r="C65" s="404"/>
      <c r="D65" s="404"/>
      <c r="E65" s="404"/>
      <c r="F65" s="288"/>
      <c r="G65" s="288"/>
      <c r="H65" s="288"/>
      <c r="I65" s="288"/>
      <c r="J65" s="288"/>
      <c r="K65" s="288"/>
      <c r="L65" s="288"/>
      <c r="M65" s="288"/>
      <c r="N65" s="288"/>
      <c r="O65" s="288"/>
      <c r="P65" s="288"/>
      <c r="Q65" s="288"/>
      <c r="R65" s="288"/>
      <c r="S65" s="288"/>
      <c r="T65" s="288"/>
      <c r="U65" s="288"/>
      <c r="V65" s="288"/>
      <c r="W65" s="288"/>
      <c r="X65" s="288"/>
      <c r="Y65" s="288"/>
      <c r="Z65" s="288"/>
      <c r="AA65" s="288"/>
      <c r="AB65" s="288"/>
      <c r="AC65" s="288"/>
      <c r="AD65" s="288"/>
      <c r="AE65" s="288"/>
      <c r="AF65" s="288"/>
      <c r="AG65" s="288"/>
      <c r="AH65" s="288"/>
      <c r="AI65" s="289"/>
      <c r="AK65" s="425"/>
      <c r="AL65" s="425"/>
      <c r="AM65" s="425"/>
      <c r="AN65" s="425"/>
      <c r="AO65" s="425"/>
      <c r="AP65" s="425"/>
      <c r="AQ65" s="42"/>
      <c r="AR65" s="43"/>
      <c r="AS65" s="43"/>
      <c r="AT65" s="43"/>
      <c r="AU65" s="43"/>
      <c r="AV65" s="43"/>
      <c r="AW65" s="43"/>
      <c r="AX65" s="43"/>
      <c r="AY65" s="43"/>
      <c r="AZ65" s="43"/>
      <c r="BH65" s="50"/>
      <c r="BI65" s="51"/>
    </row>
    <row r="66" spans="1:61" ht="18" customHeight="1">
      <c r="A66" s="36"/>
      <c r="B66" s="404"/>
      <c r="C66" s="404"/>
      <c r="D66" s="404"/>
      <c r="E66" s="404"/>
      <c r="F66" s="288"/>
      <c r="G66" s="288"/>
      <c r="H66" s="288"/>
      <c r="I66" s="288"/>
      <c r="J66" s="288"/>
      <c r="K66" s="288"/>
      <c r="L66" s="288"/>
      <c r="M66" s="288"/>
      <c r="N66" s="288"/>
      <c r="O66" s="288"/>
      <c r="P66" s="288"/>
      <c r="Q66" s="288"/>
      <c r="R66" s="288"/>
      <c r="S66" s="288"/>
      <c r="T66" s="288"/>
      <c r="U66" s="288"/>
      <c r="V66" s="288"/>
      <c r="W66" s="288"/>
      <c r="X66" s="288"/>
      <c r="Y66" s="288"/>
      <c r="Z66" s="288"/>
      <c r="AA66" s="288"/>
      <c r="AB66" s="288"/>
      <c r="AC66" s="288"/>
      <c r="AD66" s="288"/>
      <c r="AE66" s="288"/>
      <c r="AF66" s="288"/>
      <c r="AG66" s="288"/>
      <c r="AH66" s="288"/>
      <c r="AI66" s="289"/>
      <c r="AK66" s="425"/>
      <c r="AL66" s="425"/>
      <c r="AM66" s="425"/>
      <c r="AN66" s="425"/>
      <c r="AO66" s="425"/>
      <c r="AP66" s="425"/>
      <c r="AQ66" s="42"/>
      <c r="AR66" s="43"/>
      <c r="AS66" s="43"/>
      <c r="AT66" s="43"/>
      <c r="AU66" s="43"/>
      <c r="AV66" s="43"/>
      <c r="AW66" s="43"/>
      <c r="AX66" s="43"/>
      <c r="AY66" s="43"/>
      <c r="AZ66" s="43"/>
      <c r="BH66" s="50"/>
      <c r="BI66" s="51"/>
    </row>
    <row r="67" spans="1:61" ht="18" customHeight="1">
      <c r="A67" s="36"/>
      <c r="B67" s="404"/>
      <c r="C67" s="404"/>
      <c r="D67" s="404"/>
      <c r="E67" s="404"/>
      <c r="F67" s="288"/>
      <c r="G67" s="288"/>
      <c r="H67" s="288"/>
      <c r="I67" s="288"/>
      <c r="J67" s="288"/>
      <c r="K67" s="288"/>
      <c r="L67" s="288"/>
      <c r="M67" s="288"/>
      <c r="N67" s="288"/>
      <c r="O67" s="288"/>
      <c r="P67" s="288"/>
      <c r="Q67" s="288"/>
      <c r="R67" s="288"/>
      <c r="S67" s="288"/>
      <c r="T67" s="288"/>
      <c r="U67" s="288"/>
      <c r="V67" s="288"/>
      <c r="W67" s="288"/>
      <c r="X67" s="288"/>
      <c r="Y67" s="288"/>
      <c r="Z67" s="288"/>
      <c r="AA67" s="288"/>
      <c r="AB67" s="288"/>
      <c r="AC67" s="288"/>
      <c r="AD67" s="288"/>
      <c r="AE67" s="288"/>
      <c r="AF67" s="288"/>
      <c r="AG67" s="288"/>
      <c r="AH67" s="288"/>
      <c r="AI67" s="289"/>
      <c r="AK67" s="425"/>
      <c r="AL67" s="425"/>
      <c r="AM67" s="425"/>
      <c r="AN67" s="425"/>
      <c r="AO67" s="425"/>
      <c r="AP67" s="425"/>
      <c r="AQ67" s="67"/>
      <c r="AR67" s="43"/>
      <c r="AS67" s="43"/>
      <c r="AT67" s="43"/>
      <c r="AU67" s="43"/>
      <c r="AV67" s="43"/>
      <c r="AW67" s="43"/>
      <c r="AX67" s="43"/>
      <c r="AY67" s="43"/>
      <c r="AZ67" s="43"/>
      <c r="BH67" s="50"/>
      <c r="BI67" s="51"/>
    </row>
    <row r="68" spans="1:61" ht="18" customHeight="1">
      <c r="A68" s="36"/>
      <c r="B68" s="404"/>
      <c r="C68" s="404"/>
      <c r="D68" s="404"/>
      <c r="E68" s="404"/>
      <c r="F68" s="288"/>
      <c r="G68" s="288"/>
      <c r="H68" s="288"/>
      <c r="I68" s="288"/>
      <c r="J68" s="288"/>
      <c r="K68" s="288"/>
      <c r="L68" s="288"/>
      <c r="M68" s="288"/>
      <c r="N68" s="288"/>
      <c r="O68" s="288"/>
      <c r="P68" s="288"/>
      <c r="Q68" s="288"/>
      <c r="R68" s="288"/>
      <c r="S68" s="288"/>
      <c r="T68" s="288"/>
      <c r="U68" s="288"/>
      <c r="V68" s="288"/>
      <c r="W68" s="288"/>
      <c r="X68" s="288"/>
      <c r="Y68" s="288"/>
      <c r="Z68" s="288"/>
      <c r="AA68" s="288"/>
      <c r="AB68" s="288"/>
      <c r="AC68" s="288"/>
      <c r="AD68" s="288"/>
      <c r="AE68" s="288"/>
      <c r="AF68" s="288"/>
      <c r="AG68" s="288"/>
      <c r="AH68" s="288"/>
      <c r="AI68" s="289"/>
      <c r="AK68" s="425"/>
      <c r="AL68" s="425"/>
      <c r="AM68" s="425"/>
      <c r="AN68" s="425"/>
      <c r="AO68" s="425"/>
      <c r="AP68" s="425"/>
      <c r="AQ68" s="67"/>
      <c r="AR68" s="43"/>
      <c r="AS68" s="43"/>
      <c r="AT68" s="43"/>
      <c r="AU68" s="43"/>
      <c r="AV68" s="43"/>
      <c r="AW68" s="43"/>
      <c r="AX68" s="43"/>
      <c r="AY68" s="43"/>
      <c r="AZ68" s="43"/>
      <c r="BH68" s="50"/>
      <c r="BI68" s="51"/>
    </row>
    <row r="69" spans="1:61" ht="18" customHeight="1">
      <c r="A69" s="36"/>
      <c r="B69" s="404"/>
      <c r="C69" s="404"/>
      <c r="D69" s="404"/>
      <c r="E69" s="404"/>
      <c r="F69" s="288"/>
      <c r="G69" s="288"/>
      <c r="H69" s="288"/>
      <c r="I69" s="288"/>
      <c r="J69" s="288"/>
      <c r="K69" s="288"/>
      <c r="L69" s="288"/>
      <c r="M69" s="288"/>
      <c r="N69" s="288"/>
      <c r="O69" s="288"/>
      <c r="P69" s="288"/>
      <c r="Q69" s="288"/>
      <c r="R69" s="288"/>
      <c r="S69" s="288"/>
      <c r="T69" s="288"/>
      <c r="U69" s="288"/>
      <c r="V69" s="288"/>
      <c r="W69" s="288"/>
      <c r="X69" s="288"/>
      <c r="Y69" s="288"/>
      <c r="Z69" s="288"/>
      <c r="AA69" s="288"/>
      <c r="AB69" s="288"/>
      <c r="AC69" s="288"/>
      <c r="AD69" s="288"/>
      <c r="AE69" s="288"/>
      <c r="AF69" s="288"/>
      <c r="AG69" s="288"/>
      <c r="AH69" s="288"/>
      <c r="AI69" s="289"/>
      <c r="AK69" s="425"/>
      <c r="AL69" s="425"/>
      <c r="AM69" s="425"/>
      <c r="AN69" s="425"/>
      <c r="AO69" s="425"/>
      <c r="AP69" s="425"/>
      <c r="AQ69" s="42"/>
      <c r="AR69" s="43"/>
      <c r="AS69" s="43"/>
      <c r="AT69" s="43"/>
      <c r="AU69" s="43"/>
      <c r="AV69" s="43"/>
      <c r="AW69" s="43"/>
      <c r="AX69" s="43"/>
      <c r="AY69" s="43"/>
      <c r="AZ69" s="43"/>
      <c r="BH69" s="50"/>
      <c r="BI69" s="51"/>
    </row>
    <row r="70" spans="1:61" ht="18" customHeight="1">
      <c r="A70" s="36"/>
      <c r="B70" s="404"/>
      <c r="C70" s="404"/>
      <c r="D70" s="404"/>
      <c r="E70" s="404"/>
      <c r="F70" s="288"/>
      <c r="G70" s="288"/>
      <c r="H70" s="288"/>
      <c r="I70" s="288"/>
      <c r="J70" s="288"/>
      <c r="K70" s="288"/>
      <c r="L70" s="288"/>
      <c r="M70" s="288"/>
      <c r="N70" s="288"/>
      <c r="O70" s="288"/>
      <c r="P70" s="288"/>
      <c r="Q70" s="288"/>
      <c r="R70" s="288"/>
      <c r="S70" s="288"/>
      <c r="T70" s="288"/>
      <c r="U70" s="288"/>
      <c r="V70" s="288"/>
      <c r="W70" s="288"/>
      <c r="X70" s="288"/>
      <c r="Y70" s="288"/>
      <c r="Z70" s="288"/>
      <c r="AA70" s="288"/>
      <c r="AB70" s="288"/>
      <c r="AC70" s="288"/>
      <c r="AD70" s="288"/>
      <c r="AE70" s="288"/>
      <c r="AF70" s="288"/>
      <c r="AG70" s="288"/>
      <c r="AH70" s="288"/>
      <c r="AI70" s="289"/>
      <c r="AK70" s="425"/>
      <c r="AL70" s="425"/>
      <c r="AM70" s="425"/>
      <c r="AN70" s="425"/>
      <c r="AO70" s="425"/>
      <c r="AP70" s="425"/>
      <c r="AQ70" s="42"/>
      <c r="AR70" s="43"/>
      <c r="AS70" s="43"/>
      <c r="AT70" s="43"/>
      <c r="AU70" s="43"/>
      <c r="AV70" s="43"/>
      <c r="AW70" s="43"/>
      <c r="AX70" s="43"/>
      <c r="AY70" s="43"/>
      <c r="AZ70" s="43"/>
      <c r="BH70" s="50"/>
      <c r="BI70" s="51"/>
    </row>
    <row r="71" spans="1:61" ht="18" customHeight="1">
      <c r="A71" s="36"/>
      <c r="B71" s="404"/>
      <c r="C71" s="404"/>
      <c r="D71" s="404"/>
      <c r="E71" s="404"/>
      <c r="F71" s="288"/>
      <c r="G71" s="288"/>
      <c r="H71" s="288"/>
      <c r="I71" s="288"/>
      <c r="J71" s="288"/>
      <c r="K71" s="288"/>
      <c r="L71" s="288"/>
      <c r="M71" s="288"/>
      <c r="N71" s="288"/>
      <c r="O71" s="288"/>
      <c r="P71" s="288"/>
      <c r="Q71" s="288"/>
      <c r="R71" s="288"/>
      <c r="S71" s="288"/>
      <c r="T71" s="288"/>
      <c r="U71" s="288"/>
      <c r="V71" s="288"/>
      <c r="W71" s="288"/>
      <c r="X71" s="288"/>
      <c r="Y71" s="288"/>
      <c r="Z71" s="288"/>
      <c r="AA71" s="288"/>
      <c r="AB71" s="288"/>
      <c r="AC71" s="288"/>
      <c r="AD71" s="288"/>
      <c r="AE71" s="288"/>
      <c r="AF71" s="288"/>
      <c r="AG71" s="288"/>
      <c r="AH71" s="288"/>
      <c r="AI71" s="289"/>
      <c r="AK71" s="425"/>
      <c r="AL71" s="425"/>
      <c r="AM71" s="425"/>
      <c r="AN71" s="425"/>
      <c r="AO71" s="425"/>
      <c r="AP71" s="425"/>
      <c r="AQ71" s="42"/>
      <c r="AR71" s="43"/>
      <c r="AS71" s="43"/>
      <c r="AT71" s="43"/>
      <c r="AU71" s="43"/>
      <c r="AV71" s="43"/>
      <c r="AW71" s="43"/>
      <c r="AX71" s="43"/>
      <c r="AY71" s="43"/>
      <c r="AZ71" s="43"/>
      <c r="BH71" s="52"/>
      <c r="BI71" s="51"/>
    </row>
    <row r="72" spans="1:61" ht="18" customHeight="1">
      <c r="A72" s="36"/>
      <c r="B72" s="404"/>
      <c r="C72" s="404"/>
      <c r="D72" s="404"/>
      <c r="E72" s="404"/>
      <c r="F72" s="288"/>
      <c r="G72" s="288"/>
      <c r="H72" s="288"/>
      <c r="I72" s="288"/>
      <c r="J72" s="288"/>
      <c r="K72" s="288"/>
      <c r="L72" s="288"/>
      <c r="M72" s="288"/>
      <c r="N72" s="288"/>
      <c r="O72" s="288"/>
      <c r="P72" s="288"/>
      <c r="Q72" s="288"/>
      <c r="R72" s="288"/>
      <c r="S72" s="288"/>
      <c r="T72" s="288"/>
      <c r="U72" s="288"/>
      <c r="V72" s="288"/>
      <c r="W72" s="288"/>
      <c r="X72" s="288"/>
      <c r="Y72" s="288"/>
      <c r="Z72" s="288"/>
      <c r="AA72" s="288"/>
      <c r="AB72" s="288"/>
      <c r="AC72" s="288"/>
      <c r="AD72" s="288"/>
      <c r="AE72" s="288"/>
      <c r="AF72" s="288"/>
      <c r="AG72" s="288"/>
      <c r="AH72" s="288"/>
      <c r="AI72" s="289"/>
      <c r="AK72" s="425"/>
      <c r="AL72" s="425"/>
      <c r="AM72" s="425"/>
      <c r="AN72" s="425"/>
      <c r="AO72" s="425"/>
      <c r="AP72" s="425"/>
      <c r="AQ72" s="42"/>
      <c r="AR72" s="43"/>
      <c r="AS72" s="43"/>
      <c r="AT72" s="43"/>
      <c r="AU72" s="43"/>
      <c r="AV72" s="43"/>
      <c r="AW72" s="43"/>
      <c r="AX72" s="43"/>
      <c r="AY72" s="43"/>
      <c r="AZ72" s="43"/>
      <c r="BH72" s="53"/>
      <c r="BI72" s="51"/>
    </row>
    <row r="73" spans="1:61" ht="18" customHeight="1">
      <c r="A73" s="36"/>
      <c r="B73" s="404"/>
      <c r="C73" s="404"/>
      <c r="D73" s="404"/>
      <c r="E73" s="404"/>
      <c r="F73" s="288"/>
      <c r="G73" s="288"/>
      <c r="H73" s="288"/>
      <c r="I73" s="288"/>
      <c r="J73" s="288"/>
      <c r="K73" s="288"/>
      <c r="L73" s="288"/>
      <c r="M73" s="288"/>
      <c r="N73" s="288"/>
      <c r="O73" s="288"/>
      <c r="P73" s="288"/>
      <c r="Q73" s="288"/>
      <c r="R73" s="288"/>
      <c r="S73" s="288"/>
      <c r="T73" s="288"/>
      <c r="U73" s="288"/>
      <c r="V73" s="288"/>
      <c r="W73" s="288"/>
      <c r="X73" s="288"/>
      <c r="Y73" s="288"/>
      <c r="Z73" s="288"/>
      <c r="AA73" s="288"/>
      <c r="AB73" s="288"/>
      <c r="AC73" s="288"/>
      <c r="AD73" s="288"/>
      <c r="AE73" s="288"/>
      <c r="AF73" s="288"/>
      <c r="AG73" s="288"/>
      <c r="AH73" s="288"/>
      <c r="AI73" s="289"/>
      <c r="AK73" s="425"/>
      <c r="AL73" s="425"/>
      <c r="AM73" s="425"/>
      <c r="AN73" s="425"/>
      <c r="AO73" s="425"/>
      <c r="AP73" s="425"/>
      <c r="AQ73" s="42"/>
      <c r="AR73" s="43"/>
      <c r="AS73" s="43"/>
      <c r="AT73" s="43"/>
      <c r="AU73" s="43"/>
      <c r="AV73" s="43"/>
      <c r="AW73" s="43"/>
      <c r="AX73" s="43"/>
      <c r="AY73" s="43"/>
      <c r="AZ73" s="43"/>
      <c r="BH73" s="54"/>
      <c r="BI73" s="51"/>
    </row>
    <row r="74" spans="1:61" ht="18" customHeight="1">
      <c r="A74" s="36"/>
      <c r="B74" s="404"/>
      <c r="C74" s="404"/>
      <c r="D74" s="404"/>
      <c r="E74" s="404"/>
      <c r="F74" s="288"/>
      <c r="G74" s="288"/>
      <c r="H74" s="288"/>
      <c r="I74" s="288"/>
      <c r="J74" s="288"/>
      <c r="K74" s="288"/>
      <c r="L74" s="288"/>
      <c r="M74" s="288"/>
      <c r="N74" s="288"/>
      <c r="O74" s="288"/>
      <c r="P74" s="288"/>
      <c r="Q74" s="288"/>
      <c r="R74" s="288"/>
      <c r="S74" s="288"/>
      <c r="T74" s="288"/>
      <c r="U74" s="288"/>
      <c r="V74" s="288"/>
      <c r="W74" s="288"/>
      <c r="X74" s="288"/>
      <c r="Y74" s="288"/>
      <c r="Z74" s="288"/>
      <c r="AA74" s="288"/>
      <c r="AB74" s="288"/>
      <c r="AC74" s="288"/>
      <c r="AD74" s="288"/>
      <c r="AE74" s="288"/>
      <c r="AF74" s="288"/>
      <c r="AG74" s="288"/>
      <c r="AH74" s="288"/>
      <c r="AI74" s="289"/>
      <c r="AK74" s="425"/>
      <c r="AL74" s="425"/>
      <c r="AM74" s="425"/>
      <c r="AN74" s="425"/>
      <c r="AO74" s="425"/>
      <c r="AP74" s="425"/>
      <c r="AQ74" s="42"/>
      <c r="AR74" s="43"/>
      <c r="AS74" s="43"/>
      <c r="AT74" s="43"/>
      <c r="AU74" s="43"/>
      <c r="AV74" s="43"/>
      <c r="AW74" s="43"/>
      <c r="AX74" s="43"/>
      <c r="AY74" s="43"/>
      <c r="AZ74" s="43"/>
      <c r="BH74" s="54"/>
      <c r="BI74" s="51"/>
    </row>
    <row r="75" spans="1:61" ht="18" customHeight="1">
      <c r="A75" s="36"/>
      <c r="B75" s="404"/>
      <c r="C75" s="404"/>
      <c r="D75" s="404"/>
      <c r="E75" s="404"/>
      <c r="F75" s="288"/>
      <c r="G75" s="288"/>
      <c r="H75" s="288"/>
      <c r="I75" s="288"/>
      <c r="J75" s="288"/>
      <c r="K75" s="288"/>
      <c r="L75" s="288"/>
      <c r="M75" s="288"/>
      <c r="N75" s="288"/>
      <c r="O75" s="288"/>
      <c r="P75" s="288"/>
      <c r="Q75" s="288"/>
      <c r="R75" s="288"/>
      <c r="S75" s="288"/>
      <c r="T75" s="288"/>
      <c r="U75" s="288"/>
      <c r="V75" s="288"/>
      <c r="W75" s="288"/>
      <c r="X75" s="288"/>
      <c r="Y75" s="288"/>
      <c r="Z75" s="288"/>
      <c r="AA75" s="288"/>
      <c r="AB75" s="288"/>
      <c r="AC75" s="288"/>
      <c r="AD75" s="288"/>
      <c r="AE75" s="288"/>
      <c r="AF75" s="288"/>
      <c r="AG75" s="288"/>
      <c r="AH75" s="288"/>
      <c r="AI75" s="289"/>
      <c r="AK75" s="425"/>
      <c r="AL75" s="425"/>
      <c r="AM75" s="425"/>
      <c r="AN75" s="425"/>
      <c r="AO75" s="425"/>
      <c r="AP75" s="425"/>
      <c r="AQ75" s="42"/>
      <c r="AR75" s="43"/>
      <c r="AS75" s="43"/>
      <c r="AT75" s="43"/>
      <c r="AU75" s="43"/>
      <c r="AV75" s="43"/>
      <c r="AW75" s="43"/>
      <c r="AX75" s="43"/>
      <c r="AY75" s="43"/>
      <c r="AZ75" s="43"/>
      <c r="BH75" s="53"/>
      <c r="BI75" s="51"/>
    </row>
    <row r="76" spans="1:61" ht="18" customHeight="1">
      <c r="A76" s="36"/>
      <c r="B76" s="404"/>
      <c r="C76" s="404"/>
      <c r="D76" s="404"/>
      <c r="E76" s="404"/>
      <c r="F76" s="288"/>
      <c r="G76" s="288"/>
      <c r="H76" s="288"/>
      <c r="I76" s="288"/>
      <c r="J76" s="288"/>
      <c r="K76" s="288"/>
      <c r="L76" s="288"/>
      <c r="M76" s="288"/>
      <c r="N76" s="288"/>
      <c r="O76" s="288"/>
      <c r="P76" s="288"/>
      <c r="Q76" s="288"/>
      <c r="R76" s="288"/>
      <c r="S76" s="288"/>
      <c r="T76" s="288"/>
      <c r="U76" s="288"/>
      <c r="V76" s="288"/>
      <c r="W76" s="288"/>
      <c r="X76" s="288"/>
      <c r="Y76" s="288"/>
      <c r="Z76" s="288"/>
      <c r="AA76" s="288"/>
      <c r="AB76" s="288"/>
      <c r="AC76" s="288"/>
      <c r="AD76" s="288"/>
      <c r="AE76" s="288"/>
      <c r="AF76" s="288"/>
      <c r="AG76" s="288"/>
      <c r="AH76" s="288"/>
      <c r="AI76" s="289"/>
      <c r="AK76" s="425"/>
      <c r="AL76" s="425"/>
      <c r="AM76" s="425"/>
      <c r="AN76" s="425"/>
      <c r="AO76" s="425"/>
      <c r="AP76" s="425"/>
      <c r="AQ76" s="42"/>
      <c r="AR76" s="43"/>
      <c r="AS76" s="43"/>
      <c r="AT76" s="43"/>
      <c r="AU76" s="43"/>
      <c r="AV76" s="43"/>
      <c r="AW76" s="43"/>
      <c r="AX76" s="43"/>
      <c r="AY76" s="43"/>
      <c r="AZ76" s="43"/>
      <c r="BH76" s="53"/>
      <c r="BI76" s="51"/>
    </row>
    <row r="77" spans="1:61" ht="18" customHeight="1">
      <c r="A77" s="36"/>
      <c r="B77" s="404"/>
      <c r="C77" s="404"/>
      <c r="D77" s="404"/>
      <c r="E77" s="404"/>
      <c r="F77" s="288"/>
      <c r="G77" s="288"/>
      <c r="H77" s="288"/>
      <c r="I77" s="288"/>
      <c r="J77" s="288"/>
      <c r="K77" s="288"/>
      <c r="L77" s="288"/>
      <c r="M77" s="288"/>
      <c r="N77" s="288"/>
      <c r="O77" s="288"/>
      <c r="P77" s="288"/>
      <c r="Q77" s="288"/>
      <c r="R77" s="288"/>
      <c r="S77" s="288"/>
      <c r="T77" s="288"/>
      <c r="U77" s="288"/>
      <c r="V77" s="288"/>
      <c r="W77" s="288"/>
      <c r="X77" s="288"/>
      <c r="Y77" s="288"/>
      <c r="Z77" s="288"/>
      <c r="AA77" s="288"/>
      <c r="AB77" s="288"/>
      <c r="AC77" s="288"/>
      <c r="AD77" s="288"/>
      <c r="AE77" s="288"/>
      <c r="AF77" s="288"/>
      <c r="AG77" s="288"/>
      <c r="AH77" s="288"/>
      <c r="AI77" s="289"/>
      <c r="AK77" s="425"/>
      <c r="AL77" s="425"/>
      <c r="AM77" s="425"/>
      <c r="AN77" s="425"/>
      <c r="AO77" s="425"/>
      <c r="AP77" s="425"/>
      <c r="AQ77" s="42"/>
      <c r="AR77" s="43"/>
      <c r="AS77" s="43"/>
      <c r="AT77" s="43"/>
      <c r="AU77" s="43"/>
      <c r="AV77" s="43"/>
      <c r="AW77" s="43"/>
      <c r="AX77" s="43"/>
      <c r="AY77" s="43"/>
      <c r="AZ77" s="43"/>
      <c r="BH77" s="54"/>
      <c r="BI77" s="51"/>
    </row>
    <row r="78" spans="1:61" ht="18" customHeight="1">
      <c r="A78" s="36"/>
      <c r="B78" s="404"/>
      <c r="C78" s="404"/>
      <c r="D78" s="404"/>
      <c r="E78" s="404"/>
      <c r="F78" s="288"/>
      <c r="G78" s="288"/>
      <c r="H78" s="288"/>
      <c r="I78" s="288"/>
      <c r="J78" s="288"/>
      <c r="K78" s="288"/>
      <c r="L78" s="288"/>
      <c r="M78" s="288"/>
      <c r="N78" s="288"/>
      <c r="O78" s="288"/>
      <c r="P78" s="288"/>
      <c r="Q78" s="288"/>
      <c r="R78" s="288"/>
      <c r="S78" s="288"/>
      <c r="T78" s="288"/>
      <c r="U78" s="288"/>
      <c r="V78" s="288"/>
      <c r="W78" s="288"/>
      <c r="X78" s="288"/>
      <c r="Y78" s="288"/>
      <c r="Z78" s="288"/>
      <c r="AA78" s="288"/>
      <c r="AB78" s="288"/>
      <c r="AC78" s="288"/>
      <c r="AD78" s="288"/>
      <c r="AE78" s="288"/>
      <c r="AF78" s="288"/>
      <c r="AG78" s="288"/>
      <c r="AH78" s="288"/>
      <c r="AI78" s="289"/>
      <c r="AK78" s="425"/>
      <c r="AL78" s="425"/>
      <c r="AM78" s="425"/>
      <c r="AN78" s="425"/>
      <c r="AO78" s="425"/>
      <c r="AP78" s="425"/>
      <c r="AQ78" s="42"/>
      <c r="AR78" s="43"/>
      <c r="AS78" s="43"/>
      <c r="AT78" s="43"/>
      <c r="AU78" s="43"/>
      <c r="AV78" s="43"/>
      <c r="AW78" s="43"/>
      <c r="AX78" s="43"/>
      <c r="AY78" s="43"/>
      <c r="AZ78" s="43"/>
      <c r="BH78" s="54"/>
      <c r="BI78" s="51"/>
    </row>
    <row r="79" spans="1:61" ht="18" customHeight="1">
      <c r="A79" s="36"/>
      <c r="B79" s="404"/>
      <c r="C79" s="404"/>
      <c r="D79" s="404"/>
      <c r="E79" s="404"/>
      <c r="F79" s="288"/>
      <c r="G79" s="288"/>
      <c r="H79" s="288"/>
      <c r="I79" s="288"/>
      <c r="J79" s="288"/>
      <c r="K79" s="288"/>
      <c r="L79" s="288"/>
      <c r="M79" s="288"/>
      <c r="N79" s="288"/>
      <c r="O79" s="288"/>
      <c r="P79" s="288"/>
      <c r="Q79" s="288"/>
      <c r="R79" s="288"/>
      <c r="S79" s="288"/>
      <c r="T79" s="288"/>
      <c r="U79" s="288"/>
      <c r="V79" s="288"/>
      <c r="W79" s="288"/>
      <c r="X79" s="288"/>
      <c r="Y79" s="288"/>
      <c r="Z79" s="288"/>
      <c r="AA79" s="288"/>
      <c r="AB79" s="288"/>
      <c r="AC79" s="288"/>
      <c r="AD79" s="288"/>
      <c r="AE79" s="288"/>
      <c r="AF79" s="288"/>
      <c r="AG79" s="288"/>
      <c r="AH79" s="288"/>
      <c r="AI79" s="289"/>
      <c r="AK79" s="425"/>
      <c r="AL79" s="425"/>
      <c r="AM79" s="425"/>
      <c r="AN79" s="425"/>
      <c r="AO79" s="425"/>
      <c r="AP79" s="425"/>
      <c r="AQ79" s="42"/>
      <c r="AR79" s="43"/>
      <c r="AS79" s="43"/>
      <c r="AT79" s="43"/>
      <c r="AU79" s="43"/>
      <c r="AV79" s="43"/>
      <c r="AW79" s="43"/>
      <c r="AX79" s="43"/>
      <c r="AY79" s="43"/>
      <c r="AZ79" s="43"/>
      <c r="BH79" s="54"/>
      <c r="BI79" s="51"/>
    </row>
    <row r="80" spans="1:61" ht="18" customHeight="1">
      <c r="A80" s="37"/>
      <c r="B80" s="466"/>
      <c r="C80" s="466"/>
      <c r="D80" s="466"/>
      <c r="E80" s="466"/>
      <c r="F80" s="467"/>
      <c r="G80" s="467"/>
      <c r="H80" s="467"/>
      <c r="I80" s="467"/>
      <c r="J80" s="467"/>
      <c r="K80" s="467"/>
      <c r="L80" s="467"/>
      <c r="M80" s="467"/>
      <c r="N80" s="467"/>
      <c r="O80" s="467"/>
      <c r="P80" s="467"/>
      <c r="Q80" s="467"/>
      <c r="R80" s="467"/>
      <c r="S80" s="467"/>
      <c r="T80" s="467"/>
      <c r="U80" s="467"/>
      <c r="V80" s="467"/>
      <c r="W80" s="467"/>
      <c r="X80" s="467"/>
      <c r="Y80" s="467"/>
      <c r="Z80" s="467"/>
      <c r="AA80" s="467"/>
      <c r="AB80" s="467"/>
      <c r="AC80" s="467"/>
      <c r="AD80" s="467"/>
      <c r="AE80" s="467"/>
      <c r="AF80" s="467"/>
      <c r="AG80" s="467"/>
      <c r="AH80" s="467"/>
      <c r="AI80" s="468"/>
      <c r="AK80" s="425"/>
      <c r="AL80" s="425"/>
      <c r="AM80" s="425"/>
      <c r="AN80" s="425"/>
      <c r="AO80" s="425"/>
      <c r="AP80" s="425"/>
      <c r="AQ80" s="42"/>
      <c r="AR80" s="43"/>
      <c r="AS80" s="43"/>
      <c r="AT80" s="43"/>
      <c r="AU80" s="43"/>
      <c r="AV80" s="43"/>
      <c r="AW80" s="43"/>
      <c r="AX80" s="43"/>
      <c r="AY80" s="43"/>
      <c r="AZ80" s="43"/>
      <c r="BH80" s="54"/>
      <c r="BI80" s="51"/>
    </row>
    <row r="81" spans="1:61" ht="18" customHeight="1">
      <c r="A81" s="406" t="s">
        <v>704</v>
      </c>
      <c r="B81" s="407"/>
      <c r="C81" s="407"/>
      <c r="D81" s="407"/>
      <c r="E81" s="407"/>
      <c r="F81" s="407"/>
      <c r="G81" s="407"/>
      <c r="H81" s="407"/>
      <c r="I81" s="407"/>
      <c r="J81" s="407"/>
      <c r="K81" s="407"/>
      <c r="L81" s="407"/>
      <c r="M81" s="407"/>
      <c r="N81" s="407"/>
      <c r="O81" s="407"/>
      <c r="P81" s="407"/>
      <c r="Q81" s="407"/>
      <c r="R81" s="407"/>
      <c r="S81" s="407"/>
      <c r="T81" s="407"/>
      <c r="U81" s="407"/>
      <c r="V81" s="407"/>
      <c r="W81" s="407"/>
      <c r="X81" s="407"/>
      <c r="Y81" s="407"/>
      <c r="Z81" s="407"/>
      <c r="AA81" s="407"/>
      <c r="AB81" s="407"/>
      <c r="AC81" s="407"/>
      <c r="AD81" s="407"/>
      <c r="AE81" s="407"/>
      <c r="AF81" s="407"/>
      <c r="AG81" s="407"/>
      <c r="AH81" s="407"/>
      <c r="AI81" s="408"/>
      <c r="AK81" s="425"/>
      <c r="AL81" s="425"/>
      <c r="AM81" s="425"/>
      <c r="AN81" s="425"/>
      <c r="AO81" s="425"/>
      <c r="AP81" s="425"/>
      <c r="AQ81" s="42"/>
      <c r="AR81" s="43"/>
      <c r="AS81" s="43"/>
      <c r="AT81" s="43"/>
      <c r="AU81" s="43"/>
      <c r="AV81" s="43"/>
      <c r="AW81" s="43"/>
      <c r="AX81" s="43"/>
      <c r="AY81" s="43"/>
      <c r="AZ81" s="43"/>
      <c r="BH81" s="53"/>
      <c r="BI81" s="51"/>
    </row>
    <row r="82" spans="1:61" ht="18" customHeight="1">
      <c r="A82" s="38"/>
      <c r="B82" s="465">
        <v>45644</v>
      </c>
      <c r="C82" s="465"/>
      <c r="D82" s="465"/>
      <c r="E82" s="465"/>
      <c r="F82" s="288" t="s">
        <v>837</v>
      </c>
      <c r="G82" s="288"/>
      <c r="H82" s="288"/>
      <c r="I82" s="288"/>
      <c r="J82" s="288"/>
      <c r="K82" s="288"/>
      <c r="L82" s="288"/>
      <c r="M82" s="288"/>
      <c r="N82" s="288"/>
      <c r="O82" s="288"/>
      <c r="P82" s="288"/>
      <c r="Q82" s="288"/>
      <c r="R82" s="288"/>
      <c r="S82" s="288"/>
      <c r="T82" s="288"/>
      <c r="U82" s="288"/>
      <c r="V82" s="288"/>
      <c r="W82" s="288"/>
      <c r="X82" s="288"/>
      <c r="Y82" s="288"/>
      <c r="Z82" s="288"/>
      <c r="AA82" s="288"/>
      <c r="AB82" s="288"/>
      <c r="AC82" s="288"/>
      <c r="AD82" s="288"/>
      <c r="AE82" s="288"/>
      <c r="AF82" s="288"/>
      <c r="AG82" s="288"/>
      <c r="AH82" s="288"/>
      <c r="AI82" s="289"/>
      <c r="AK82" s="425"/>
      <c r="AL82" s="425"/>
      <c r="AM82" s="425"/>
      <c r="AN82" s="425"/>
      <c r="AO82" s="425"/>
      <c r="AP82" s="425"/>
      <c r="AQ82" s="42"/>
      <c r="AR82" s="43"/>
      <c r="AS82" s="43"/>
      <c r="AT82" s="43"/>
      <c r="AU82" s="43"/>
      <c r="AV82" s="43"/>
      <c r="AW82" s="43"/>
      <c r="AX82" s="43"/>
      <c r="AY82" s="43"/>
      <c r="AZ82" s="43"/>
      <c r="BH82" s="53"/>
      <c r="BI82" s="51"/>
    </row>
    <row r="83" spans="1:61" ht="18" customHeight="1">
      <c r="A83" s="38"/>
      <c r="B83" s="465">
        <v>46160</v>
      </c>
      <c r="C83" s="465"/>
      <c r="D83" s="465"/>
      <c r="E83" s="465"/>
      <c r="F83" s="288" t="s">
        <v>838</v>
      </c>
      <c r="G83" s="288"/>
      <c r="H83" s="288"/>
      <c r="I83" s="288"/>
      <c r="J83" s="288"/>
      <c r="K83" s="288"/>
      <c r="L83" s="288"/>
      <c r="M83" s="288"/>
      <c r="N83" s="288"/>
      <c r="O83" s="288"/>
      <c r="P83" s="288"/>
      <c r="Q83" s="288"/>
      <c r="R83" s="288"/>
      <c r="S83" s="288"/>
      <c r="T83" s="288"/>
      <c r="U83" s="288"/>
      <c r="V83" s="288"/>
      <c r="W83" s="288"/>
      <c r="X83" s="288"/>
      <c r="Y83" s="288"/>
      <c r="Z83" s="288"/>
      <c r="AA83" s="288"/>
      <c r="AB83" s="288"/>
      <c r="AC83" s="288"/>
      <c r="AD83" s="288"/>
      <c r="AE83" s="288"/>
      <c r="AF83" s="288"/>
      <c r="AG83" s="288"/>
      <c r="AH83" s="288"/>
      <c r="AI83" s="289"/>
      <c r="AK83" s="425"/>
      <c r="AL83" s="425"/>
      <c r="AM83" s="425"/>
      <c r="AN83" s="425"/>
      <c r="AO83" s="425"/>
      <c r="AP83" s="425"/>
      <c r="AQ83" s="42"/>
      <c r="AR83" s="43"/>
      <c r="AS83" s="43"/>
      <c r="AT83" s="43"/>
      <c r="AU83" s="43"/>
      <c r="AV83" s="43"/>
      <c r="AW83" s="43"/>
      <c r="AX83" s="43"/>
      <c r="AY83" s="43"/>
      <c r="AZ83" s="43"/>
      <c r="BH83" s="53"/>
      <c r="BI83" s="51"/>
    </row>
    <row r="84" spans="1:61" ht="18" customHeight="1">
      <c r="A84" s="38"/>
      <c r="B84" s="465"/>
      <c r="C84" s="465"/>
      <c r="D84" s="465"/>
      <c r="E84" s="465"/>
      <c r="F84" s="288"/>
      <c r="G84" s="288"/>
      <c r="H84" s="288"/>
      <c r="I84" s="288"/>
      <c r="J84" s="288"/>
      <c r="K84" s="288"/>
      <c r="L84" s="288"/>
      <c r="M84" s="288"/>
      <c r="N84" s="288"/>
      <c r="O84" s="288"/>
      <c r="P84" s="288"/>
      <c r="Q84" s="288"/>
      <c r="R84" s="288"/>
      <c r="S84" s="288"/>
      <c r="T84" s="288"/>
      <c r="U84" s="288"/>
      <c r="V84" s="288"/>
      <c r="W84" s="288"/>
      <c r="X84" s="288"/>
      <c r="Y84" s="288"/>
      <c r="Z84" s="288"/>
      <c r="AA84" s="288"/>
      <c r="AB84" s="288"/>
      <c r="AC84" s="288"/>
      <c r="AD84" s="288"/>
      <c r="AE84" s="288"/>
      <c r="AF84" s="288"/>
      <c r="AG84" s="288"/>
      <c r="AH84" s="288"/>
      <c r="AI84" s="289"/>
      <c r="AK84" s="425"/>
      <c r="AL84" s="425"/>
      <c r="AM84" s="425"/>
      <c r="AN84" s="425"/>
      <c r="AO84" s="425"/>
      <c r="AP84" s="425"/>
      <c r="AQ84" s="42"/>
      <c r="AR84" s="43"/>
      <c r="AS84" s="43"/>
      <c r="AT84" s="43"/>
      <c r="AU84" s="43"/>
      <c r="AV84" s="43"/>
      <c r="AW84" s="43"/>
      <c r="AX84" s="43"/>
      <c r="AY84" s="43"/>
      <c r="AZ84" s="43"/>
    </row>
    <row r="85" spans="1:61" ht="18" customHeight="1">
      <c r="A85" s="38"/>
      <c r="B85" s="465"/>
      <c r="C85" s="465"/>
      <c r="D85" s="465"/>
      <c r="E85" s="465"/>
      <c r="F85" s="288"/>
      <c r="G85" s="288"/>
      <c r="H85" s="288"/>
      <c r="I85" s="288"/>
      <c r="J85" s="288"/>
      <c r="K85" s="288"/>
      <c r="L85" s="288"/>
      <c r="M85" s="288"/>
      <c r="N85" s="288"/>
      <c r="O85" s="288"/>
      <c r="P85" s="288"/>
      <c r="Q85" s="288"/>
      <c r="R85" s="288"/>
      <c r="S85" s="288"/>
      <c r="T85" s="288"/>
      <c r="U85" s="288"/>
      <c r="V85" s="288"/>
      <c r="W85" s="288"/>
      <c r="X85" s="288"/>
      <c r="Y85" s="288"/>
      <c r="Z85" s="288"/>
      <c r="AA85" s="288"/>
      <c r="AB85" s="288"/>
      <c r="AC85" s="288"/>
      <c r="AD85" s="288"/>
      <c r="AE85" s="288"/>
      <c r="AF85" s="288"/>
      <c r="AG85" s="288"/>
      <c r="AH85" s="288"/>
      <c r="AI85" s="289"/>
      <c r="AK85" s="425"/>
      <c r="AL85" s="425"/>
      <c r="AM85" s="425"/>
      <c r="AN85" s="425"/>
      <c r="AO85" s="425"/>
      <c r="AP85" s="425"/>
      <c r="AQ85" s="42"/>
      <c r="AR85" s="43"/>
      <c r="AS85" s="43"/>
      <c r="AT85" s="43"/>
      <c r="AU85" s="43"/>
      <c r="AV85" s="43"/>
      <c r="AW85" s="43"/>
      <c r="AX85" s="43"/>
      <c r="AY85" s="43"/>
      <c r="AZ85" s="43"/>
    </row>
    <row r="86" spans="1:61" ht="18" customHeight="1" thickBot="1">
      <c r="A86" s="41"/>
      <c r="B86" s="540"/>
      <c r="C86" s="540"/>
      <c r="D86" s="540"/>
      <c r="E86" s="540"/>
      <c r="F86" s="541"/>
      <c r="G86" s="541"/>
      <c r="H86" s="541"/>
      <c r="I86" s="541"/>
      <c r="J86" s="541"/>
      <c r="K86" s="541"/>
      <c r="L86" s="541"/>
      <c r="M86" s="541"/>
      <c r="N86" s="541"/>
      <c r="O86" s="541"/>
      <c r="P86" s="541"/>
      <c r="Q86" s="541"/>
      <c r="R86" s="541"/>
      <c r="S86" s="541"/>
      <c r="T86" s="541"/>
      <c r="U86" s="541"/>
      <c r="V86" s="541"/>
      <c r="W86" s="541"/>
      <c r="X86" s="541"/>
      <c r="Y86" s="541"/>
      <c r="Z86" s="541"/>
      <c r="AA86" s="541"/>
      <c r="AB86" s="541"/>
      <c r="AC86" s="541"/>
      <c r="AD86" s="541"/>
      <c r="AE86" s="541"/>
      <c r="AF86" s="541"/>
      <c r="AG86" s="541"/>
      <c r="AH86" s="541"/>
      <c r="AI86" s="542"/>
      <c r="AK86" s="425"/>
      <c r="AL86" s="425"/>
      <c r="AM86" s="425"/>
      <c r="AN86" s="425"/>
      <c r="AO86" s="425"/>
      <c r="AP86" s="425"/>
      <c r="AQ86" s="42"/>
      <c r="AR86" s="43"/>
      <c r="AS86" s="43"/>
      <c r="AT86" s="43"/>
      <c r="AU86" s="43"/>
      <c r="AV86" s="43"/>
      <c r="AW86" s="43"/>
      <c r="AX86" s="43"/>
      <c r="AY86" s="43"/>
      <c r="AZ86" s="43"/>
    </row>
    <row r="87" spans="1:61" ht="14.1" customHeight="1">
      <c r="AK87" s="438"/>
      <c r="AL87" s="438"/>
      <c r="AM87" s="438"/>
      <c r="AN87" s="438"/>
      <c r="AO87" s="438"/>
      <c r="AP87" s="438"/>
      <c r="AQ87" s="119"/>
    </row>
    <row r="88" spans="1:61" ht="14.1" customHeight="1">
      <c r="AK88" s="437"/>
      <c r="AL88" s="437"/>
      <c r="AM88" s="437"/>
      <c r="AN88" s="437"/>
      <c r="AO88" s="437"/>
      <c r="AP88" s="437"/>
      <c r="AQ88" s="120"/>
    </row>
    <row r="89" spans="1:61" ht="14.1" customHeight="1">
      <c r="AK89" s="437"/>
      <c r="AL89" s="437"/>
      <c r="AM89" s="437"/>
      <c r="AN89" s="437"/>
      <c r="AO89" s="437"/>
      <c r="AP89" s="437"/>
      <c r="AQ89" s="120"/>
    </row>
    <row r="90" spans="1:61" ht="14.1" customHeight="1"/>
    <row r="91" spans="1:61" ht="14.1" customHeight="1"/>
    <row r="92" spans="1:61" ht="14.1" customHeight="1"/>
    <row r="93" spans="1:61" ht="14.1" customHeight="1"/>
    <row r="94" spans="1:61" ht="14.1" customHeight="1"/>
    <row r="95" spans="1:61" ht="14.1" customHeight="1"/>
    <row r="96" spans="1:61" ht="14.1" customHeight="1"/>
    <row r="97" ht="14.1" customHeight="1"/>
    <row r="98" ht="14.1" customHeight="1"/>
    <row r="99" ht="14.1" customHeight="1"/>
    <row r="100" ht="14.1" customHeight="1"/>
    <row r="101" ht="14.1" customHeight="1"/>
    <row r="102" ht="14.1" customHeight="1"/>
    <row r="103" ht="14.1" customHeight="1"/>
    <row r="104" ht="14.1" customHeight="1"/>
    <row r="105" ht="14.1" customHeight="1"/>
    <row r="106" ht="14.1" customHeight="1"/>
    <row r="107" ht="14.1" customHeight="1"/>
    <row r="108" ht="14.1" customHeight="1"/>
    <row r="109" ht="14.1" customHeight="1"/>
    <row r="110" ht="14.1" customHeight="1"/>
    <row r="111" ht="14.1" customHeight="1"/>
    <row r="112" ht="14.1" customHeight="1"/>
    <row r="113" ht="14.1" customHeight="1"/>
    <row r="114" ht="14.1" customHeight="1"/>
    <row r="115" ht="14.1" customHeight="1"/>
    <row r="116" ht="14.1" customHeight="1"/>
    <row r="117" ht="14.1" customHeight="1"/>
    <row r="118" ht="14.1" customHeight="1"/>
    <row r="119" ht="14.1" customHeight="1"/>
    <row r="120" ht="14.1" customHeight="1"/>
    <row r="121" ht="14.1" customHeight="1"/>
    <row r="122" ht="14.1" customHeight="1"/>
    <row r="123" ht="14.1" customHeight="1"/>
    <row r="124" ht="14.1" customHeight="1"/>
    <row r="125" ht="14.1" customHeight="1"/>
    <row r="126" ht="14.1" customHeight="1"/>
    <row r="127" ht="14.1" customHeight="1"/>
    <row r="128" ht="14.1" customHeight="1"/>
    <row r="129" ht="14.1" customHeight="1"/>
    <row r="130" ht="14.1" customHeight="1"/>
    <row r="131" ht="14.1" customHeight="1"/>
    <row r="132" ht="14.1" customHeight="1"/>
    <row r="133" ht="14.1" customHeight="1"/>
    <row r="134" ht="14.1" customHeight="1"/>
    <row r="135" ht="14.1" customHeight="1"/>
    <row r="136" ht="14.1" customHeight="1"/>
    <row r="137" ht="14.1" customHeight="1"/>
    <row r="138" ht="14.1" customHeight="1"/>
    <row r="139" ht="14.1" customHeight="1"/>
    <row r="140" ht="14.1" customHeight="1"/>
    <row r="141" ht="14.1" customHeight="1"/>
    <row r="142" ht="14.1" customHeight="1"/>
    <row r="143" ht="14.1" customHeight="1"/>
    <row r="144" ht="14.1" customHeight="1"/>
    <row r="145" ht="14.1" customHeight="1"/>
    <row r="146" ht="14.1" customHeight="1"/>
    <row r="147" ht="14.1" customHeight="1"/>
    <row r="148" ht="14.1" customHeight="1"/>
    <row r="149" ht="14.1" customHeight="1"/>
    <row r="150" ht="14.1" customHeight="1"/>
    <row r="151" ht="14.1" customHeight="1"/>
    <row r="152" ht="14.1" customHeight="1"/>
    <row r="153" ht="14.1" customHeight="1"/>
    <row r="154" ht="14.1" customHeight="1"/>
    <row r="155" ht="14.1" customHeight="1"/>
    <row r="156" ht="14.1" customHeight="1"/>
    <row r="157" ht="14.1" customHeight="1"/>
    <row r="158" ht="14.1" customHeight="1"/>
    <row r="159" ht="14.1" customHeight="1"/>
    <row r="160" ht="14.1" customHeight="1"/>
    <row r="161" ht="14.1" customHeight="1"/>
    <row r="162" ht="14.1" customHeight="1"/>
    <row r="163" ht="14.1" customHeight="1"/>
    <row r="164" ht="14.1" customHeight="1"/>
    <row r="165" ht="14.1" customHeight="1"/>
    <row r="166" ht="14.1" customHeight="1"/>
    <row r="167" ht="14.1" customHeight="1"/>
    <row r="168" ht="14.1" customHeight="1"/>
    <row r="169" ht="14.1" customHeight="1"/>
    <row r="170" ht="14.1" customHeight="1"/>
    <row r="171" ht="14.1" customHeight="1"/>
    <row r="172" ht="14.1" customHeight="1"/>
    <row r="173" ht="14.1" customHeight="1"/>
    <row r="174" ht="14.1" customHeight="1"/>
    <row r="175" ht="14.1" customHeight="1"/>
    <row r="176" ht="14.1" customHeight="1"/>
    <row r="177" ht="14.1" customHeight="1"/>
    <row r="178" ht="14.1" customHeight="1"/>
    <row r="179" ht="14.1" customHeight="1"/>
    <row r="180" ht="14.1" customHeight="1"/>
    <row r="181" ht="14.1" customHeight="1"/>
    <row r="182" ht="14.1" customHeight="1"/>
    <row r="183" ht="14.1" customHeight="1"/>
    <row r="184" ht="14.1" customHeight="1"/>
    <row r="185" ht="14.1" customHeight="1"/>
    <row r="186" ht="14.1" customHeight="1"/>
    <row r="187" ht="14.1" customHeight="1"/>
    <row r="188" ht="14.1" customHeight="1"/>
    <row r="189" ht="14.1" customHeight="1"/>
    <row r="190" ht="14.1" customHeight="1"/>
    <row r="191" ht="14.1" customHeight="1"/>
    <row r="192" ht="14.1" customHeight="1"/>
    <row r="193" ht="14.1" customHeight="1"/>
    <row r="194" ht="14.1" customHeight="1"/>
    <row r="195" ht="14.1" customHeight="1"/>
    <row r="196" ht="14.1" customHeight="1"/>
    <row r="197" ht="14.1" customHeight="1"/>
    <row r="198" ht="14.1" customHeight="1"/>
    <row r="199" ht="14.1" customHeight="1"/>
    <row r="200" ht="14.1" customHeight="1"/>
    <row r="201" ht="14.1" customHeight="1"/>
    <row r="202" ht="14.1" customHeight="1"/>
    <row r="203" ht="14.1" customHeight="1"/>
    <row r="204" ht="14.1" customHeight="1"/>
    <row r="205" ht="14.1" customHeight="1"/>
    <row r="206" ht="14.1" customHeight="1"/>
    <row r="207" ht="14.1" customHeight="1"/>
    <row r="208" ht="14.1" customHeight="1"/>
    <row r="209" ht="14.1" customHeight="1"/>
    <row r="210" ht="14.1" customHeight="1"/>
    <row r="211" ht="14.1" customHeight="1"/>
    <row r="212" ht="14.1" customHeight="1"/>
    <row r="213" ht="14.1" customHeight="1"/>
    <row r="214" ht="14.1" customHeight="1"/>
    <row r="215" ht="14.1" customHeight="1"/>
    <row r="216" ht="14.1" customHeight="1"/>
    <row r="217" ht="14.1" customHeight="1"/>
    <row r="218" ht="14.1" customHeight="1"/>
    <row r="219" ht="14.1" customHeight="1"/>
    <row r="220" ht="14.1" customHeight="1"/>
    <row r="221" ht="14.1" customHeight="1"/>
    <row r="222" ht="14.1" customHeight="1"/>
    <row r="223" ht="14.1" customHeight="1"/>
    <row r="224" ht="14.1" customHeight="1"/>
    <row r="225" ht="14.1" customHeight="1"/>
    <row r="226" ht="14.1" customHeight="1"/>
    <row r="227" ht="14.1" customHeight="1"/>
    <row r="228" ht="14.1" customHeight="1"/>
    <row r="229" ht="14.1" customHeight="1"/>
    <row r="230" ht="14.1" customHeight="1"/>
    <row r="231" ht="14.1" customHeight="1"/>
    <row r="232" ht="14.1" customHeight="1"/>
    <row r="233" ht="14.1" customHeight="1"/>
    <row r="234" ht="14.1" customHeight="1"/>
    <row r="235" ht="14.1" customHeight="1"/>
    <row r="236" ht="14.1" customHeight="1"/>
    <row r="237" ht="14.1" customHeight="1"/>
    <row r="238" ht="14.1" customHeight="1"/>
    <row r="239" ht="14.1" customHeight="1"/>
    <row r="240" ht="14.1" customHeight="1"/>
    <row r="241" ht="14.1" customHeight="1"/>
    <row r="242" ht="14.1" customHeight="1"/>
    <row r="243" ht="14.1" customHeight="1"/>
    <row r="244" ht="14.1" customHeight="1"/>
    <row r="245" ht="14.1" customHeight="1"/>
    <row r="246" ht="14.1" customHeight="1"/>
    <row r="247" ht="14.1" customHeight="1"/>
    <row r="248" ht="14.1" customHeight="1"/>
    <row r="249" ht="14.1" customHeight="1"/>
    <row r="250" ht="14.1" customHeight="1"/>
    <row r="251" ht="14.1" customHeight="1"/>
    <row r="252" ht="14.1" customHeight="1"/>
    <row r="253" ht="14.1" customHeight="1"/>
    <row r="254" ht="14.1" customHeight="1"/>
    <row r="255" ht="14.1" customHeight="1"/>
    <row r="256" ht="14.1" customHeight="1"/>
    <row r="257" ht="14.1" customHeight="1"/>
    <row r="258" ht="14.1" customHeight="1"/>
    <row r="259" ht="14.1" customHeight="1"/>
    <row r="260" ht="14.1" customHeight="1"/>
    <row r="261" ht="14.1" customHeight="1"/>
    <row r="262" ht="14.1" customHeight="1"/>
    <row r="263" ht="14.1" customHeight="1"/>
    <row r="264" ht="14.1" customHeight="1"/>
    <row r="265" ht="14.1" customHeight="1"/>
    <row r="266" ht="14.1" customHeight="1"/>
  </sheetData>
  <sheetProtection algorithmName="SHA-512" hashValue="0loLJCJhL4ad+e9W1BFBlntzNt2hf75qC+V2eugpQkoXMOcFlTwiL5DSpVRXAf1cyQ/kgBnOXO/4cSPzCUKn4A==" saltValue="4etb9yyOEqZ9UduJqdtb6g==" spinCount="100000" sheet="1" autoFilter="0"/>
  <mergeCells count="381">
    <mergeCell ref="A1:S3"/>
    <mergeCell ref="T1:Z3"/>
    <mergeCell ref="AD1:AI1"/>
    <mergeCell ref="AD2:AF4"/>
    <mergeCell ref="AG2:AI4"/>
    <mergeCell ref="A4:S5"/>
    <mergeCell ref="AK7:AP8"/>
    <mergeCell ref="AQ7:AQ8"/>
    <mergeCell ref="V8:X8"/>
    <mergeCell ref="A9:AI9"/>
    <mergeCell ref="AK9:AP9"/>
    <mergeCell ref="A10:H10"/>
    <mergeCell ref="I10:J10"/>
    <mergeCell ref="K10:L10"/>
    <mergeCell ref="M10:T10"/>
    <mergeCell ref="U10:V10"/>
    <mergeCell ref="O7:P8"/>
    <mergeCell ref="Q7:R8"/>
    <mergeCell ref="S7:T8"/>
    <mergeCell ref="V7:X7"/>
    <mergeCell ref="Y7:AA8"/>
    <mergeCell ref="AB7:AI8"/>
    <mergeCell ref="A7:E8"/>
    <mergeCell ref="F7:F8"/>
    <mergeCell ref="G7:I8"/>
    <mergeCell ref="J7:J8"/>
    <mergeCell ref="K7:M8"/>
    <mergeCell ref="N7:N8"/>
    <mergeCell ref="W10:X10"/>
    <mergeCell ref="Y10:AF10"/>
    <mergeCell ref="AG10:AH10"/>
    <mergeCell ref="AK10:AP10"/>
    <mergeCell ref="A11:H11"/>
    <mergeCell ref="I11:J11"/>
    <mergeCell ref="K11:L11"/>
    <mergeCell ref="M11:T11"/>
    <mergeCell ref="U11:V11"/>
    <mergeCell ref="W11:X11"/>
    <mergeCell ref="Y11:AF11"/>
    <mergeCell ref="AG11:AH11"/>
    <mergeCell ref="AK11:AP11"/>
    <mergeCell ref="A12:H12"/>
    <mergeCell ref="I12:J12"/>
    <mergeCell ref="K12:L12"/>
    <mergeCell ref="M12:T12"/>
    <mergeCell ref="U12:V12"/>
    <mergeCell ref="W12:X12"/>
    <mergeCell ref="Y12:AF12"/>
    <mergeCell ref="AG12:AH12"/>
    <mergeCell ref="AK12:AP12"/>
    <mergeCell ref="A13:H13"/>
    <mergeCell ref="I13:J13"/>
    <mergeCell ref="K13:L13"/>
    <mergeCell ref="M13:T13"/>
    <mergeCell ref="U13:V13"/>
    <mergeCell ref="W13:X13"/>
    <mergeCell ref="Y13:AF13"/>
    <mergeCell ref="AG13:AH13"/>
    <mergeCell ref="AK13:AP13"/>
    <mergeCell ref="A14:AI14"/>
    <mergeCell ref="AK14:AP14"/>
    <mergeCell ref="B15:I15"/>
    <mergeCell ref="J15:L15"/>
    <mergeCell ref="M15:N15"/>
    <mergeCell ref="O15:V15"/>
    <mergeCell ref="W15:Y15"/>
    <mergeCell ref="Z15:AA15"/>
    <mergeCell ref="AB15:AG15"/>
    <mergeCell ref="A18:E18"/>
    <mergeCell ref="F18:AI18"/>
    <mergeCell ref="AK18:AP18"/>
    <mergeCell ref="B19:E19"/>
    <mergeCell ref="F19:AI19"/>
    <mergeCell ref="AK19:AP19"/>
    <mergeCell ref="AH15:AI15"/>
    <mergeCell ref="AK15:AP15"/>
    <mergeCell ref="A16:AI16"/>
    <mergeCell ref="AK16:AP16"/>
    <mergeCell ref="A17:E17"/>
    <mergeCell ref="F17:AI17"/>
    <mergeCell ref="AK17:AP17"/>
    <mergeCell ref="B20:E20"/>
    <mergeCell ref="F20:AI20"/>
    <mergeCell ref="AK20:AP20"/>
    <mergeCell ref="AR20:AR23"/>
    <mergeCell ref="B21:E21"/>
    <mergeCell ref="F21:AI21"/>
    <mergeCell ref="AK21:AP21"/>
    <mergeCell ref="B22:E22"/>
    <mergeCell ref="F22:AI22"/>
    <mergeCell ref="AK22:AP22"/>
    <mergeCell ref="BA23:BB23"/>
    <mergeCell ref="B24:E24"/>
    <mergeCell ref="F24:AI24"/>
    <mergeCell ref="AK24:AP24"/>
    <mergeCell ref="AY24:AZ24"/>
    <mergeCell ref="BA24:BB24"/>
    <mergeCell ref="AS22:AT22"/>
    <mergeCell ref="AU22:AV22"/>
    <mergeCell ref="AY22:AZ22"/>
    <mergeCell ref="BA22:BB22"/>
    <mergeCell ref="B23:E23"/>
    <mergeCell ref="F23:AI23"/>
    <mergeCell ref="AK23:AP23"/>
    <mergeCell ref="AS23:AT23"/>
    <mergeCell ref="AU23:AV23"/>
    <mergeCell ref="AY23:AZ23"/>
    <mergeCell ref="B27:E27"/>
    <mergeCell ref="F27:AI27"/>
    <mergeCell ref="AK27:AP27"/>
    <mergeCell ref="AS27:AT27"/>
    <mergeCell ref="AU27:AW27"/>
    <mergeCell ref="AY27:BB27"/>
    <mergeCell ref="B25:E25"/>
    <mergeCell ref="F25:AI25"/>
    <mergeCell ref="AK25:AP25"/>
    <mergeCell ref="AY25:AZ25"/>
    <mergeCell ref="BA25:BB25"/>
    <mergeCell ref="B26:E26"/>
    <mergeCell ref="F26:AI26"/>
    <mergeCell ref="AK26:AP26"/>
    <mergeCell ref="AS26:AW26"/>
    <mergeCell ref="BA28:BB28"/>
    <mergeCell ref="B29:E29"/>
    <mergeCell ref="F29:AI29"/>
    <mergeCell ref="AK29:AP29"/>
    <mergeCell ref="AS29:AT29"/>
    <mergeCell ref="AU29:AW29"/>
    <mergeCell ref="AY29:AZ29"/>
    <mergeCell ref="BA29:BB29"/>
    <mergeCell ref="B28:E28"/>
    <mergeCell ref="F28:AI28"/>
    <mergeCell ref="AK28:AP28"/>
    <mergeCell ref="AS28:AT28"/>
    <mergeCell ref="AU28:AW28"/>
    <mergeCell ref="AY28:AZ28"/>
    <mergeCell ref="A32:AI32"/>
    <mergeCell ref="AK32:AP32"/>
    <mergeCell ref="AS32:AT32"/>
    <mergeCell ref="AU32:AW32"/>
    <mergeCell ref="AY32:AZ32"/>
    <mergeCell ref="BA32:BB32"/>
    <mergeCell ref="BA30:BB30"/>
    <mergeCell ref="B31:E31"/>
    <mergeCell ref="F31:AI31"/>
    <mergeCell ref="AK31:AP31"/>
    <mergeCell ref="AS31:AT31"/>
    <mergeCell ref="AU31:AW31"/>
    <mergeCell ref="AY31:AZ31"/>
    <mergeCell ref="BA31:BB31"/>
    <mergeCell ref="B30:E30"/>
    <mergeCell ref="F30:AI30"/>
    <mergeCell ref="AK30:AP30"/>
    <mergeCell ref="AS30:AT30"/>
    <mergeCell ref="AU30:AW30"/>
    <mergeCell ref="AY30:AZ30"/>
    <mergeCell ref="BA33:BB33"/>
    <mergeCell ref="B34:E34"/>
    <mergeCell ref="F34:AI34"/>
    <mergeCell ref="AK34:AP34"/>
    <mergeCell ref="AS34:AT34"/>
    <mergeCell ref="AU34:AW34"/>
    <mergeCell ref="AY34:AZ34"/>
    <mergeCell ref="BA34:BB34"/>
    <mergeCell ref="B33:E33"/>
    <mergeCell ref="F33:AI33"/>
    <mergeCell ref="AK33:AP33"/>
    <mergeCell ref="AS33:AT33"/>
    <mergeCell ref="AU33:AW33"/>
    <mergeCell ref="AY33:AZ33"/>
    <mergeCell ref="AY35:AZ35"/>
    <mergeCell ref="BA35:BB35"/>
    <mergeCell ref="A36:E36"/>
    <mergeCell ref="F36:K36"/>
    <mergeCell ref="L36:O36"/>
    <mergeCell ref="P36:R36"/>
    <mergeCell ref="T36:V36"/>
    <mergeCell ref="W36:AB36"/>
    <mergeCell ref="AC36:AI36"/>
    <mergeCell ref="B35:E35"/>
    <mergeCell ref="F35:V35"/>
    <mergeCell ref="W35:AB35"/>
    <mergeCell ref="AC35:AI35"/>
    <mergeCell ref="AK35:AP35"/>
    <mergeCell ref="AS35:AT35"/>
    <mergeCell ref="AK36:AP36"/>
    <mergeCell ref="AS36:AT36"/>
    <mergeCell ref="AU36:AW36"/>
    <mergeCell ref="AU35:AW35"/>
    <mergeCell ref="A39:AI39"/>
    <mergeCell ref="AK39:AP39"/>
    <mergeCell ref="AS39:AT39"/>
    <mergeCell ref="AV39:AW39"/>
    <mergeCell ref="A38:E38"/>
    <mergeCell ref="F38:K38"/>
    <mergeCell ref="L38:O38"/>
    <mergeCell ref="P38:V38"/>
    <mergeCell ref="W38:AB38"/>
    <mergeCell ref="AC38:AI38"/>
    <mergeCell ref="AD40:AI40"/>
    <mergeCell ref="A37:E37"/>
    <mergeCell ref="F37:AI37"/>
    <mergeCell ref="AK40:AP40"/>
    <mergeCell ref="AS40:AT40"/>
    <mergeCell ref="AV40:AW40"/>
    <mergeCell ref="A41:D41"/>
    <mergeCell ref="E41:G41"/>
    <mergeCell ref="I41:K41"/>
    <mergeCell ref="L41:R41"/>
    <mergeCell ref="S41:V41"/>
    <mergeCell ref="W41:Y41"/>
    <mergeCell ref="AA41:AC41"/>
    <mergeCell ref="AD41:AI41"/>
    <mergeCell ref="AK41:AP41"/>
    <mergeCell ref="A40:D40"/>
    <mergeCell ref="E40:K40"/>
    <mergeCell ref="L40:R40"/>
    <mergeCell ref="S40:V40"/>
    <mergeCell ref="W40:AC40"/>
    <mergeCell ref="AK37:AP37"/>
    <mergeCell ref="AS37:AT37"/>
    <mergeCell ref="AU37:AW37"/>
    <mergeCell ref="AK38:AP38"/>
    <mergeCell ref="A42:D42"/>
    <mergeCell ref="E42:G42"/>
    <mergeCell ref="I42:K42"/>
    <mergeCell ref="L42:R42"/>
    <mergeCell ref="S42:V42"/>
    <mergeCell ref="W42:Y42"/>
    <mergeCell ref="AA42:AC42"/>
    <mergeCell ref="AK42:AP42"/>
    <mergeCell ref="AS42:AW42"/>
    <mergeCell ref="A43:D43"/>
    <mergeCell ref="E43:G43"/>
    <mergeCell ref="I43:K43"/>
    <mergeCell ref="L43:R43"/>
    <mergeCell ref="S43:V43"/>
    <mergeCell ref="W43:Y43"/>
    <mergeCell ref="AA43:AC43"/>
    <mergeCell ref="A44:D44"/>
    <mergeCell ref="E44:G44"/>
    <mergeCell ref="I44:K44"/>
    <mergeCell ref="L44:R44"/>
    <mergeCell ref="S44:V44"/>
    <mergeCell ref="W44:Y44"/>
    <mergeCell ref="AA44:AC44"/>
    <mergeCell ref="AD44:AI44"/>
    <mergeCell ref="AD42:AI42"/>
    <mergeCell ref="AK44:AP44"/>
    <mergeCell ref="R45:U45"/>
    <mergeCell ref="W45:X45"/>
    <mergeCell ref="Z45:AA45"/>
    <mergeCell ref="AC45:AD45"/>
    <mergeCell ref="AE45:AF45"/>
    <mergeCell ref="AK45:AP45"/>
    <mergeCell ref="AD43:AI43"/>
    <mergeCell ref="AK43:AP43"/>
    <mergeCell ref="B49:E49"/>
    <mergeCell ref="F49:AI49"/>
    <mergeCell ref="AK49:AP49"/>
    <mergeCell ref="B50:E50"/>
    <mergeCell ref="F50:AI50"/>
    <mergeCell ref="AK50:AP50"/>
    <mergeCell ref="A46:AI46"/>
    <mergeCell ref="AK46:AP46"/>
    <mergeCell ref="B47:E47"/>
    <mergeCell ref="F47:AI47"/>
    <mergeCell ref="AK47:AP47"/>
    <mergeCell ref="B48:E48"/>
    <mergeCell ref="F48:AI48"/>
    <mergeCell ref="AK48:AP48"/>
    <mergeCell ref="B53:E53"/>
    <mergeCell ref="F53:AI53"/>
    <mergeCell ref="AK53:AP53"/>
    <mergeCell ref="B54:E54"/>
    <mergeCell ref="F54:AI54"/>
    <mergeCell ref="AK54:AP54"/>
    <mergeCell ref="B51:E51"/>
    <mergeCell ref="F51:AI51"/>
    <mergeCell ref="AK51:AP51"/>
    <mergeCell ref="B52:E52"/>
    <mergeCell ref="F52:AI52"/>
    <mergeCell ref="AK52:AP52"/>
    <mergeCell ref="B57:E57"/>
    <mergeCell ref="F57:AI57"/>
    <mergeCell ref="AK57:AP57"/>
    <mergeCell ref="B58:E58"/>
    <mergeCell ref="F58:AI58"/>
    <mergeCell ref="AK58:AP58"/>
    <mergeCell ref="B55:E55"/>
    <mergeCell ref="F55:AI55"/>
    <mergeCell ref="AK55:AP55"/>
    <mergeCell ref="B56:E56"/>
    <mergeCell ref="F56:AI56"/>
    <mergeCell ref="AK56:AP56"/>
    <mergeCell ref="B61:E61"/>
    <mergeCell ref="F61:AI61"/>
    <mergeCell ref="AK61:AP61"/>
    <mergeCell ref="B62:E62"/>
    <mergeCell ref="F62:AI62"/>
    <mergeCell ref="AK62:AP62"/>
    <mergeCell ref="B59:E59"/>
    <mergeCell ref="F59:AI59"/>
    <mergeCell ref="AK59:AP59"/>
    <mergeCell ref="B60:E60"/>
    <mergeCell ref="F60:AI60"/>
    <mergeCell ref="AK60:AP60"/>
    <mergeCell ref="B65:E65"/>
    <mergeCell ref="F65:AI65"/>
    <mergeCell ref="AK65:AP65"/>
    <mergeCell ref="B66:E66"/>
    <mergeCell ref="F66:AI66"/>
    <mergeCell ref="AK66:AP66"/>
    <mergeCell ref="B63:E63"/>
    <mergeCell ref="F63:AI63"/>
    <mergeCell ref="AK63:AP63"/>
    <mergeCell ref="B64:E64"/>
    <mergeCell ref="F64:AI64"/>
    <mergeCell ref="AK64:AP64"/>
    <mergeCell ref="B69:E69"/>
    <mergeCell ref="F69:AI69"/>
    <mergeCell ref="AK69:AP69"/>
    <mergeCell ref="B70:E70"/>
    <mergeCell ref="F70:AI70"/>
    <mergeCell ref="AK70:AP70"/>
    <mergeCell ref="B67:E67"/>
    <mergeCell ref="F67:AI67"/>
    <mergeCell ref="AK67:AP67"/>
    <mergeCell ref="B68:E68"/>
    <mergeCell ref="F68:AI68"/>
    <mergeCell ref="AK68:AP68"/>
    <mergeCell ref="B73:E73"/>
    <mergeCell ref="F73:AI73"/>
    <mergeCell ref="AK73:AP73"/>
    <mergeCell ref="B74:E74"/>
    <mergeCell ref="F74:AI74"/>
    <mergeCell ref="AK74:AP74"/>
    <mergeCell ref="B71:E71"/>
    <mergeCell ref="F71:AI71"/>
    <mergeCell ref="AK71:AP71"/>
    <mergeCell ref="B72:E72"/>
    <mergeCell ref="F72:AI72"/>
    <mergeCell ref="AK72:AP72"/>
    <mergeCell ref="B77:E77"/>
    <mergeCell ref="F77:AI77"/>
    <mergeCell ref="AK77:AP77"/>
    <mergeCell ref="B78:E78"/>
    <mergeCell ref="F78:AI78"/>
    <mergeCell ref="AK78:AP78"/>
    <mergeCell ref="B75:E75"/>
    <mergeCell ref="F75:AI75"/>
    <mergeCell ref="AK75:AP75"/>
    <mergeCell ref="B76:E76"/>
    <mergeCell ref="F76:AI76"/>
    <mergeCell ref="AK76:AP76"/>
    <mergeCell ref="A81:AI81"/>
    <mergeCell ref="AK81:AP81"/>
    <mergeCell ref="B82:E82"/>
    <mergeCell ref="F82:AI82"/>
    <mergeCell ref="AK82:AP82"/>
    <mergeCell ref="B83:E83"/>
    <mergeCell ref="F83:AI83"/>
    <mergeCell ref="AK83:AP83"/>
    <mergeCell ref="B79:E79"/>
    <mergeCell ref="F79:AI79"/>
    <mergeCell ref="AK79:AP79"/>
    <mergeCell ref="B80:E80"/>
    <mergeCell ref="F80:AI80"/>
    <mergeCell ref="AK80:AP80"/>
    <mergeCell ref="B86:E86"/>
    <mergeCell ref="F86:AI86"/>
    <mergeCell ref="AK86:AP86"/>
    <mergeCell ref="AK87:AP87"/>
    <mergeCell ref="AK88:AP88"/>
    <mergeCell ref="AK89:AP89"/>
    <mergeCell ref="B84:E84"/>
    <mergeCell ref="F84:AI84"/>
    <mergeCell ref="AK84:AP84"/>
    <mergeCell ref="B85:E85"/>
    <mergeCell ref="F85:AI85"/>
    <mergeCell ref="AK85:AP85"/>
  </mergeCells>
  <phoneticPr fontId="2"/>
  <conditionalFormatting sqref="AQ20:AQ28 AQ30:AQ31 AQ9 AQ11:AQ12 AQ14 AQ33:AQ34">
    <cfRule type="containsBlanks" dxfId="131" priority="12">
      <formula>LEN(TRIM(AQ9))=0</formula>
    </cfRule>
  </conditionalFormatting>
  <conditionalFormatting sqref="BC11:CF11">
    <cfRule type="containsText" dxfId="130" priority="8" operator="containsText" text="青">
      <formula>NOT(ISERROR(SEARCH("青",BC11)))</formula>
    </cfRule>
    <cfRule type="containsText" dxfId="129" priority="9" operator="containsText" text="緑">
      <formula>NOT(ISERROR(SEARCH("緑",BC11)))</formula>
    </cfRule>
    <cfRule type="containsText" dxfId="128" priority="10" operator="containsText" text="黄">
      <formula>NOT(ISERROR(SEARCH("黄",BC11)))</formula>
    </cfRule>
    <cfRule type="containsText" dxfId="127" priority="11" operator="containsText" text="赤">
      <formula>NOT(ISERROR(SEARCH("赤",BC11)))</formula>
    </cfRule>
  </conditionalFormatting>
  <conditionalFormatting sqref="V7:X8">
    <cfRule type="containsBlanks" dxfId="126" priority="7">
      <formula>LEN(TRIM(V7))=0</formula>
    </cfRule>
  </conditionalFormatting>
  <conditionalFormatting sqref="AB7:AI8">
    <cfRule type="containsBlanks" dxfId="125" priority="6">
      <formula>LEN(TRIM(AB7))=0</formula>
    </cfRule>
  </conditionalFormatting>
  <conditionalFormatting sqref="A7:E8 G7:I8 K7:M8 O7:P8">
    <cfRule type="containsBlanks" dxfId="124" priority="5">
      <formula>LEN(TRIM(A7))=0</formula>
    </cfRule>
  </conditionalFormatting>
  <conditionalFormatting sqref="W15:Y15 AH15:AI15 J15:L15">
    <cfRule type="containsBlanks" dxfId="123" priority="4">
      <formula>LEN(TRIM(J15))=0</formula>
    </cfRule>
  </conditionalFormatting>
  <conditionalFormatting sqref="L41:R44">
    <cfRule type="cellIs" dxfId="122" priority="1" operator="equal">
      <formula>0</formula>
    </cfRule>
  </conditionalFormatting>
  <conditionalFormatting sqref="P36:R36 T36:V36 L38:O38 AC38:AI38 AC36:AI36">
    <cfRule type="containsBlanks" dxfId="121" priority="3">
      <formula>LEN(TRIM(L36))=0</formula>
    </cfRule>
  </conditionalFormatting>
  <conditionalFormatting sqref="W41:Y44 AA41:AI44">
    <cfRule type="cellIs" dxfId="120" priority="2" operator="equal">
      <formula>0</formula>
    </cfRule>
  </conditionalFormatting>
  <printOptions horizontalCentered="1" verticalCentered="1"/>
  <pageMargins left="0.70866141732283472" right="0.59055118110236227" top="0.55118110236220474" bottom="0.55118110236220474" header="0.31496062992125984" footer="0.31496062992125984"/>
  <pageSetup paperSize="9" orientation="portrait" horizontalDpi="300" verticalDpi="300" r:id="rId1"/>
  <headerFooter scaleWithDoc="0" alignWithMargins="0">
    <oddFooter>&amp;C&amp;P&amp;Rヒトトヒト株式会社</oddFooter>
  </headerFooter>
  <rowBreaks count="1" manualBreakCount="1">
    <brk id="44" max="34" man="1"/>
  </rowBreaks>
  <drawing r:id="rId2"/>
  <extLst>
    <ext xmlns:x14="http://schemas.microsoft.com/office/spreadsheetml/2009/9/main" uri="{CCE6A557-97BC-4b89-ADB6-D9C93CAAB3DF}">
      <x14:dataValidations xmlns:xm="http://schemas.microsoft.com/office/excel/2006/main" count="6">
        <x14:dataValidation type="list" allowBlank="1" showInputMessage="1" showErrorMessage="1" xr:uid="{65739737-AEC8-4CF2-9619-7AB343A1A111}">
          <x14:formula1>
            <xm:f>初期値!$C$12:$C$27</xm:f>
          </x14:formula1>
          <xm:sqref>P36:R36 T36:V36</xm:sqref>
        </x14:dataValidation>
        <x14:dataValidation type="list" allowBlank="1" showInputMessage="1" showErrorMessage="1" xr:uid="{5AE77EAD-DD14-48C5-B512-84A9BDF61E29}">
          <x14:formula1>
            <xm:f>初期値!$G$12:$G$24</xm:f>
          </x14:formula1>
          <xm:sqref>V7:X8</xm:sqref>
        </x14:dataValidation>
        <x14:dataValidation type="list" allowBlank="1" showInputMessage="1" showErrorMessage="1" xr:uid="{2BE205D8-45F4-4859-885A-8ADB9B1D1C4B}">
          <x14:formula1>
            <xm:f>初期値!$E$12:$E$13</xm:f>
          </x14:formula1>
          <xm:sqref>L38:O38 AC38:AI38 AC36:AI36</xm:sqref>
        </x14:dataValidation>
        <x14:dataValidation type="list" allowBlank="1" showInputMessage="1" showErrorMessage="1" xr:uid="{9410798A-F2D9-46E3-90C0-B2FD702D9648}">
          <x14:formula1>
            <xm:f>初期値!$N$22:$N$23</xm:f>
          </x14:formula1>
          <xm:sqref>AW23</xm:sqref>
        </x14:dataValidation>
        <x14:dataValidation type="list" allowBlank="1" showInputMessage="1" showErrorMessage="1" xr:uid="{160ED1CC-763D-462F-9A60-C25A92B3CADE}">
          <x14:formula1>
            <xm:f>初期値!$P$12:$P$27</xm:f>
          </x14:formula1>
          <xm:sqref>BA24:BB24 BA22:BB22 BA28:BB28 BA30:BB30 BA32:BB32 BA34:BB34</xm:sqref>
        </x14:dataValidation>
        <x14:dataValidation type="list" allowBlank="1" showInputMessage="1" showErrorMessage="1" xr:uid="{9BC3B352-5906-49E4-B45F-9838FF1F0AA8}">
          <x14:formula1>
            <xm:f>初期値!$N$12:$N$19</xm:f>
          </x14:formula1>
          <xm:sqref>AU22:AV22</xm:sqref>
        </x14:dataValidation>
      </x14:dataValidations>
    </ext>
  </extLst>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2E5EB03-2053-4196-8CB5-53FCAD86B295}">
  <sheetPr codeName="Sheet28"/>
  <dimension ref="A1:CG266"/>
  <sheetViews>
    <sheetView topLeftCell="A3" zoomScaleNormal="100" zoomScaleSheetLayoutView="100" workbookViewId="0">
      <selection activeCell="AV40" sqref="AV40:AW40"/>
    </sheetView>
  </sheetViews>
  <sheetFormatPr defaultColWidth="8.875" defaultRowHeight="13.5"/>
  <cols>
    <col min="1" max="42" width="2.25" style="23" customWidth="1"/>
    <col min="43" max="43" width="6" style="23" bestFit="1" customWidth="1"/>
    <col min="44" max="44" width="4.5" style="23" bestFit="1" customWidth="1"/>
    <col min="45" max="45" width="6" style="23" bestFit="1" customWidth="1"/>
    <col min="46" max="46" width="4.5" style="23" bestFit="1" customWidth="1"/>
    <col min="47" max="47" width="9" style="23" bestFit="1" customWidth="1"/>
    <col min="48" max="48" width="8.5" style="23" bestFit="1" customWidth="1"/>
    <col min="49" max="49" width="7.5" style="23" bestFit="1" customWidth="1"/>
    <col min="50" max="50" width="6.5" style="23" bestFit="1" customWidth="1"/>
    <col min="51" max="51" width="7.5" style="23" bestFit="1" customWidth="1"/>
    <col min="52" max="52" width="2.125" style="23" customWidth="1"/>
    <col min="53" max="54" width="7.375" style="23" customWidth="1"/>
    <col min="55" max="63" width="3.625" style="23" bestFit="1" customWidth="1"/>
    <col min="64" max="84" width="4" style="23" bestFit="1" customWidth="1"/>
    <col min="85" max="16384" width="8.875" style="23"/>
  </cols>
  <sheetData>
    <row r="1" spans="1:85" ht="14.1" customHeight="1">
      <c r="A1" s="510" t="s">
        <v>551</v>
      </c>
      <c r="B1" s="510"/>
      <c r="C1" s="510"/>
      <c r="D1" s="510"/>
      <c r="E1" s="510"/>
      <c r="F1" s="510"/>
      <c r="G1" s="510"/>
      <c r="H1" s="510"/>
      <c r="I1" s="510"/>
      <c r="J1" s="510"/>
      <c r="K1" s="510"/>
      <c r="L1" s="510"/>
      <c r="M1" s="510"/>
      <c r="N1" s="510"/>
      <c r="O1" s="510"/>
      <c r="P1" s="510"/>
      <c r="Q1" s="510"/>
      <c r="R1" s="510"/>
      <c r="S1" s="510"/>
      <c r="T1" s="388"/>
      <c r="U1" s="388"/>
      <c r="V1" s="388"/>
      <c r="W1" s="388"/>
      <c r="X1" s="388"/>
      <c r="Y1" s="388"/>
      <c r="Z1" s="388"/>
      <c r="AA1" s="24"/>
      <c r="AB1" s="32"/>
      <c r="AD1" s="252" t="s">
        <v>167</v>
      </c>
      <c r="AE1" s="252"/>
      <c r="AF1" s="252"/>
      <c r="AG1" s="252"/>
      <c r="AH1" s="252"/>
      <c r="AI1" s="252"/>
      <c r="AM1" s="123">
        <v>21</v>
      </c>
      <c r="BB1"/>
    </row>
    <row r="2" spans="1:85" ht="14.1" customHeight="1">
      <c r="A2" s="510"/>
      <c r="B2" s="510"/>
      <c r="C2" s="510"/>
      <c r="D2" s="510"/>
      <c r="E2" s="510"/>
      <c r="F2" s="510"/>
      <c r="G2" s="510"/>
      <c r="H2" s="510"/>
      <c r="I2" s="510"/>
      <c r="J2" s="510"/>
      <c r="K2" s="510"/>
      <c r="L2" s="510"/>
      <c r="M2" s="510"/>
      <c r="N2" s="510"/>
      <c r="O2" s="510"/>
      <c r="P2" s="510"/>
      <c r="Q2" s="510"/>
      <c r="R2" s="510"/>
      <c r="S2" s="510"/>
      <c r="T2" s="388"/>
      <c r="U2" s="388"/>
      <c r="V2" s="388"/>
      <c r="W2" s="388"/>
      <c r="X2" s="388"/>
      <c r="Y2" s="388"/>
      <c r="Z2" s="388"/>
      <c r="AA2" s="25"/>
      <c r="AB2" s="31"/>
      <c r="AD2" s="253"/>
      <c r="AE2" s="253"/>
      <c r="AF2" s="253"/>
      <c r="AG2" s="253"/>
      <c r="AH2" s="253"/>
      <c r="AI2" s="253"/>
      <c r="BA2"/>
    </row>
    <row r="3" spans="1:85" ht="14.1" customHeight="1">
      <c r="A3" s="510"/>
      <c r="B3" s="510"/>
      <c r="C3" s="510"/>
      <c r="D3" s="510"/>
      <c r="E3" s="510"/>
      <c r="F3" s="510"/>
      <c r="G3" s="510"/>
      <c r="H3" s="510"/>
      <c r="I3" s="510"/>
      <c r="J3" s="510"/>
      <c r="K3" s="510"/>
      <c r="L3" s="510"/>
      <c r="M3" s="510"/>
      <c r="N3" s="510"/>
      <c r="O3" s="510"/>
      <c r="P3" s="510"/>
      <c r="Q3" s="510"/>
      <c r="R3" s="510"/>
      <c r="S3" s="510"/>
      <c r="T3" s="388"/>
      <c r="U3" s="388"/>
      <c r="V3" s="388"/>
      <c r="W3" s="388"/>
      <c r="X3" s="388"/>
      <c r="Y3" s="388"/>
      <c r="Z3" s="388"/>
      <c r="AA3" s="25"/>
      <c r="AB3" s="31"/>
      <c r="AD3" s="253"/>
      <c r="AE3" s="253"/>
      <c r="AF3" s="253"/>
      <c r="AG3" s="253"/>
      <c r="AH3" s="253"/>
      <c r="AI3" s="253"/>
      <c r="BA3"/>
    </row>
    <row r="4" spans="1:85" ht="14.1" customHeight="1">
      <c r="A4" s="395" t="s">
        <v>552</v>
      </c>
      <c r="B4" s="395"/>
      <c r="C4" s="395"/>
      <c r="D4" s="395"/>
      <c r="E4" s="395"/>
      <c r="F4" s="395"/>
      <c r="G4" s="395"/>
      <c r="H4" s="395"/>
      <c r="I4" s="395"/>
      <c r="J4" s="395"/>
      <c r="K4" s="395"/>
      <c r="L4" s="395"/>
      <c r="M4" s="395"/>
      <c r="N4" s="395"/>
      <c r="O4" s="395"/>
      <c r="P4" s="395"/>
      <c r="Q4" s="395"/>
      <c r="R4" s="395"/>
      <c r="S4" s="395"/>
      <c r="T4" s="155"/>
      <c r="U4" s="155"/>
      <c r="V4" s="155"/>
      <c r="W4" s="155"/>
      <c r="X4" s="155"/>
      <c r="Y4" s="155"/>
      <c r="Z4" s="155"/>
      <c r="AA4" s="26"/>
      <c r="AB4" s="31"/>
      <c r="AD4" s="253"/>
      <c r="AE4" s="253"/>
      <c r="AF4" s="253"/>
      <c r="AG4" s="253"/>
      <c r="AH4" s="253"/>
      <c r="AI4" s="253"/>
      <c r="BA4"/>
    </row>
    <row r="5" spans="1:85" ht="14.1" customHeight="1">
      <c r="A5" s="395"/>
      <c r="B5" s="395"/>
      <c r="C5" s="395"/>
      <c r="D5" s="395"/>
      <c r="E5" s="395"/>
      <c r="F5" s="395"/>
      <c r="G5" s="395"/>
      <c r="H5" s="395"/>
      <c r="I5" s="395"/>
      <c r="J5" s="395"/>
      <c r="K5" s="395"/>
      <c r="L5" s="395"/>
      <c r="M5" s="395"/>
      <c r="N5" s="395"/>
      <c r="O5" s="395"/>
      <c r="P5" s="395"/>
      <c r="Q5" s="395"/>
      <c r="R5" s="395"/>
      <c r="S5" s="395"/>
      <c r="T5" s="155"/>
      <c r="U5" s="155"/>
      <c r="V5" s="155"/>
      <c r="W5" s="155"/>
      <c r="X5" s="155"/>
      <c r="Y5" s="155"/>
      <c r="Z5" s="155"/>
      <c r="AA5" s="26"/>
      <c r="AB5" s="31"/>
      <c r="AC5" s="31"/>
      <c r="AD5" s="31"/>
      <c r="AE5" s="31"/>
      <c r="AF5" s="31"/>
      <c r="AG5" s="31"/>
      <c r="AH5" s="31"/>
      <c r="AI5" s="31"/>
      <c r="BA5"/>
    </row>
    <row r="6" spans="1:85" ht="14.1" customHeight="1" thickBot="1">
      <c r="A6" s="27"/>
      <c r="B6" s="27"/>
      <c r="C6" s="27"/>
      <c r="D6" s="27"/>
      <c r="E6" s="27"/>
      <c r="F6" s="27"/>
      <c r="G6" s="27"/>
      <c r="H6" s="27"/>
      <c r="I6" s="27"/>
      <c r="BA6"/>
    </row>
    <row r="7" spans="1:85" ht="12" customHeight="1">
      <c r="A7" s="255">
        <f>DATE(初期値!A2,初期値!A3,AM1)</f>
        <v>46194</v>
      </c>
      <c r="B7" s="256"/>
      <c r="C7" s="256"/>
      <c r="D7" s="256"/>
      <c r="E7" s="256"/>
      <c r="F7" s="259" t="s">
        <v>169</v>
      </c>
      <c r="G7" s="236">
        <f>$A$7</f>
        <v>46194</v>
      </c>
      <c r="H7" s="236"/>
      <c r="I7" s="236"/>
      <c r="J7" s="239" t="s">
        <v>170</v>
      </c>
      <c r="K7" s="261">
        <f>$A$7</f>
        <v>46194</v>
      </c>
      <c r="L7" s="261"/>
      <c r="M7" s="261"/>
      <c r="N7" s="239" t="s">
        <v>3</v>
      </c>
      <c r="O7" s="520">
        <f>$A$7</f>
        <v>46194</v>
      </c>
      <c r="P7" s="520"/>
      <c r="Q7" s="239" t="s">
        <v>292</v>
      </c>
      <c r="R7" s="240"/>
      <c r="S7" s="522" t="s">
        <v>553</v>
      </c>
      <c r="T7" s="244"/>
      <c r="U7" s="29" t="s">
        <v>554</v>
      </c>
      <c r="V7" s="518" t="s">
        <v>37</v>
      </c>
      <c r="W7" s="518"/>
      <c r="X7" s="518"/>
      <c r="Y7" s="511" t="s">
        <v>555</v>
      </c>
      <c r="Z7" s="512"/>
      <c r="AA7" s="513"/>
      <c r="AB7" s="244" t="str">
        <f>L43</f>
        <v>末廣信行</v>
      </c>
      <c r="AC7" s="244"/>
      <c r="AD7" s="244"/>
      <c r="AE7" s="244"/>
      <c r="AF7" s="244"/>
      <c r="AG7" s="244"/>
      <c r="AH7" s="244"/>
      <c r="AI7" s="245"/>
      <c r="AK7" s="425" t="s">
        <v>556</v>
      </c>
      <c r="AL7" s="425"/>
      <c r="AM7" s="425"/>
      <c r="AN7" s="425"/>
      <c r="AO7" s="425"/>
      <c r="AP7" s="425"/>
      <c r="AQ7" s="439" t="s">
        <v>557</v>
      </c>
      <c r="AR7" s="43"/>
      <c r="AS7" s="43"/>
      <c r="AT7" s="43"/>
      <c r="AU7" s="43"/>
      <c r="AV7" s="43"/>
      <c r="AW7" s="43"/>
      <c r="AX7" s="43"/>
      <c r="AY7" s="43"/>
      <c r="AZ7" s="43"/>
      <c r="BA7"/>
    </row>
    <row r="8" spans="1:85" ht="12" customHeight="1" thickBot="1">
      <c r="A8" s="257"/>
      <c r="B8" s="258"/>
      <c r="C8" s="258"/>
      <c r="D8" s="258"/>
      <c r="E8" s="258"/>
      <c r="F8" s="260"/>
      <c r="G8" s="237"/>
      <c r="H8" s="237"/>
      <c r="I8" s="237"/>
      <c r="J8" s="242"/>
      <c r="K8" s="262"/>
      <c r="L8" s="262"/>
      <c r="M8" s="262"/>
      <c r="N8" s="242"/>
      <c r="O8" s="521"/>
      <c r="P8" s="521"/>
      <c r="Q8" s="242"/>
      <c r="R8" s="243"/>
      <c r="S8" s="523"/>
      <c r="T8" s="246"/>
      <c r="U8" s="33" t="s">
        <v>558</v>
      </c>
      <c r="V8" s="519" t="s">
        <v>63</v>
      </c>
      <c r="W8" s="519"/>
      <c r="X8" s="519"/>
      <c r="Y8" s="514"/>
      <c r="Z8" s="515"/>
      <c r="AA8" s="516"/>
      <c r="AB8" s="246"/>
      <c r="AC8" s="246"/>
      <c r="AD8" s="246"/>
      <c r="AE8" s="246"/>
      <c r="AF8" s="246"/>
      <c r="AG8" s="246"/>
      <c r="AH8" s="246"/>
      <c r="AI8" s="247"/>
      <c r="AK8" s="425"/>
      <c r="AL8" s="425"/>
      <c r="AM8" s="425"/>
      <c r="AN8" s="425"/>
      <c r="AO8" s="425"/>
      <c r="AP8" s="425"/>
      <c r="AQ8" s="439"/>
      <c r="AR8" s="43"/>
      <c r="AS8" s="43"/>
      <c r="AT8" s="43"/>
      <c r="AU8" s="43"/>
      <c r="AV8" s="43"/>
      <c r="AW8" s="43"/>
      <c r="AX8" s="43"/>
      <c r="AY8" s="43"/>
      <c r="AZ8" s="43"/>
      <c r="BA8"/>
    </row>
    <row r="9" spans="1:85" ht="18" customHeight="1">
      <c r="A9" s="507" t="s">
        <v>559</v>
      </c>
      <c r="B9" s="508"/>
      <c r="C9" s="508"/>
      <c r="D9" s="508"/>
      <c r="E9" s="508"/>
      <c r="F9" s="508"/>
      <c r="G9" s="508"/>
      <c r="H9" s="508"/>
      <c r="I9" s="508"/>
      <c r="J9" s="508"/>
      <c r="K9" s="508"/>
      <c r="L9" s="508"/>
      <c r="M9" s="508"/>
      <c r="N9" s="508"/>
      <c r="O9" s="508"/>
      <c r="P9" s="508"/>
      <c r="Q9" s="508"/>
      <c r="R9" s="508"/>
      <c r="S9" s="508"/>
      <c r="T9" s="508"/>
      <c r="U9" s="508"/>
      <c r="V9" s="508"/>
      <c r="W9" s="508"/>
      <c r="X9" s="508"/>
      <c r="Y9" s="508"/>
      <c r="Z9" s="508"/>
      <c r="AA9" s="508"/>
      <c r="AB9" s="508"/>
      <c r="AC9" s="508"/>
      <c r="AD9" s="508"/>
      <c r="AE9" s="508"/>
      <c r="AF9" s="508"/>
      <c r="AG9" s="508"/>
      <c r="AH9" s="508"/>
      <c r="AI9" s="509"/>
      <c r="AK9" s="440" t="s">
        <v>560</v>
      </c>
      <c r="AL9" s="440"/>
      <c r="AM9" s="440"/>
      <c r="AN9" s="440"/>
      <c r="AO9" s="440"/>
      <c r="AP9" s="440"/>
      <c r="AQ9" s="42">
        <v>7</v>
      </c>
      <c r="AR9" s="43"/>
      <c r="AS9" s="44" t="s">
        <v>561</v>
      </c>
      <c r="AT9" s="44" t="s">
        <v>562</v>
      </c>
      <c r="AU9" s="44" t="s">
        <v>563</v>
      </c>
      <c r="AV9" s="44" t="s">
        <v>564</v>
      </c>
      <c r="AW9" s="45" t="s">
        <v>565</v>
      </c>
      <c r="AX9" s="45" t="s">
        <v>566</v>
      </c>
      <c r="AY9" s="44" t="s">
        <v>567</v>
      </c>
      <c r="AZ9" s="43"/>
      <c r="BB9" s="49" t="s">
        <v>568</v>
      </c>
      <c r="BC9" s="43"/>
      <c r="BD9" s="43"/>
      <c r="BE9" s="43"/>
      <c r="BF9" s="43"/>
      <c r="BG9" s="43"/>
      <c r="BH9" s="43"/>
      <c r="BI9" s="43"/>
      <c r="BJ9" s="43"/>
      <c r="BK9" s="43"/>
      <c r="BL9" s="43"/>
      <c r="BM9" s="43"/>
      <c r="BN9" s="43"/>
      <c r="BO9" s="43"/>
      <c r="BP9" s="43"/>
      <c r="BQ9" s="43"/>
      <c r="BR9" s="43"/>
      <c r="BS9" s="43"/>
      <c r="BT9" s="43"/>
      <c r="BU9" s="43"/>
      <c r="BV9" s="43"/>
      <c r="BW9" s="43"/>
      <c r="BX9" s="43"/>
      <c r="BY9" s="43"/>
      <c r="BZ9" s="43"/>
      <c r="CA9" s="43"/>
      <c r="CB9" s="43"/>
      <c r="CC9" s="43"/>
      <c r="CD9" s="43"/>
      <c r="CE9" s="43"/>
      <c r="CF9" s="43"/>
      <c r="CG9" s="43"/>
    </row>
    <row r="10" spans="1:85" ht="18" customHeight="1">
      <c r="A10" s="265" t="s">
        <v>569</v>
      </c>
      <c r="B10" s="266"/>
      <c r="C10" s="266"/>
      <c r="D10" s="266"/>
      <c r="E10" s="266"/>
      <c r="F10" s="266"/>
      <c r="G10" s="266"/>
      <c r="H10" s="266"/>
      <c r="I10" s="264">
        <f>AQ14</f>
        <v>2</v>
      </c>
      <c r="J10" s="264"/>
      <c r="K10" s="267" t="s">
        <v>176</v>
      </c>
      <c r="L10" s="268"/>
      <c r="M10" s="269" t="s">
        <v>570</v>
      </c>
      <c r="N10" s="266"/>
      <c r="O10" s="266"/>
      <c r="P10" s="266"/>
      <c r="Q10" s="266"/>
      <c r="R10" s="266"/>
      <c r="S10" s="266"/>
      <c r="T10" s="266"/>
      <c r="U10" s="264">
        <f>AQ37</f>
        <v>0</v>
      </c>
      <c r="V10" s="264"/>
      <c r="W10" s="267" t="s">
        <v>176</v>
      </c>
      <c r="X10" s="268"/>
      <c r="Y10" s="269" t="s">
        <v>571</v>
      </c>
      <c r="Z10" s="266"/>
      <c r="AA10" s="266"/>
      <c r="AB10" s="266"/>
      <c r="AC10" s="266"/>
      <c r="AD10" s="266"/>
      <c r="AE10" s="266"/>
      <c r="AF10" s="266"/>
      <c r="AG10" s="264">
        <f>AQ26+AQ25</f>
        <v>0</v>
      </c>
      <c r="AH10" s="264"/>
      <c r="AI10" s="28" t="s">
        <v>176</v>
      </c>
      <c r="AK10" s="440" t="s">
        <v>572</v>
      </c>
      <c r="AL10" s="440"/>
      <c r="AM10" s="440"/>
      <c r="AN10" s="440"/>
      <c r="AO10" s="440"/>
      <c r="AP10" s="440"/>
      <c r="AQ10" s="42"/>
      <c r="AR10" s="43"/>
      <c r="AS10" s="46">
        <v>1</v>
      </c>
      <c r="AT10" s="46"/>
      <c r="AU10" s="46" t="s">
        <v>20</v>
      </c>
      <c r="AV10" s="47" t="s">
        <v>573</v>
      </c>
      <c r="AW10" s="47" t="s">
        <v>574</v>
      </c>
      <c r="AX10" s="47">
        <v>0.33333333333333331</v>
      </c>
      <c r="AY10" s="47">
        <v>0.83333333333333337</v>
      </c>
      <c r="AZ10" s="43"/>
      <c r="BB10" s="49" t="s">
        <v>95</v>
      </c>
      <c r="BC10" s="120">
        <v>1</v>
      </c>
      <c r="BD10" s="120">
        <v>2</v>
      </c>
      <c r="BE10" s="120">
        <v>3</v>
      </c>
      <c r="BF10" s="120">
        <v>4</v>
      </c>
      <c r="BG10" s="120">
        <v>5</v>
      </c>
      <c r="BH10" s="120">
        <v>6</v>
      </c>
      <c r="BI10" s="120">
        <v>7</v>
      </c>
      <c r="BJ10" s="120">
        <v>8</v>
      </c>
      <c r="BK10" s="120">
        <v>9</v>
      </c>
      <c r="BL10" s="120">
        <v>10</v>
      </c>
      <c r="BM10" s="120">
        <v>11</v>
      </c>
      <c r="BN10" s="120">
        <v>12</v>
      </c>
      <c r="BO10" s="120">
        <v>13</v>
      </c>
      <c r="BP10" s="120">
        <v>14</v>
      </c>
      <c r="BQ10" s="120">
        <v>15</v>
      </c>
      <c r="BR10" s="120">
        <v>16</v>
      </c>
      <c r="BS10" s="120">
        <v>17</v>
      </c>
      <c r="BT10" s="120">
        <v>18</v>
      </c>
      <c r="BU10" s="120">
        <v>19</v>
      </c>
      <c r="BV10" s="120">
        <v>20</v>
      </c>
      <c r="BW10" s="120">
        <v>21</v>
      </c>
      <c r="BX10" s="120">
        <v>22</v>
      </c>
      <c r="BY10" s="120">
        <v>23</v>
      </c>
      <c r="BZ10" s="120">
        <v>24</v>
      </c>
      <c r="CA10" s="120">
        <v>25</v>
      </c>
      <c r="CB10" s="120">
        <v>26</v>
      </c>
      <c r="CC10" s="120">
        <v>27</v>
      </c>
      <c r="CD10" s="120">
        <v>28</v>
      </c>
      <c r="CE10" s="120">
        <v>29</v>
      </c>
      <c r="CF10" s="120">
        <v>30</v>
      </c>
      <c r="CG10" s="43"/>
    </row>
    <row r="11" spans="1:85" ht="18" customHeight="1">
      <c r="A11" s="265" t="s">
        <v>575</v>
      </c>
      <c r="B11" s="266"/>
      <c r="C11" s="266"/>
      <c r="D11" s="266"/>
      <c r="E11" s="266"/>
      <c r="F11" s="266"/>
      <c r="G11" s="266"/>
      <c r="H11" s="266"/>
      <c r="I11" s="264">
        <f>AQ27</f>
        <v>0</v>
      </c>
      <c r="J11" s="264"/>
      <c r="K11" s="267" t="s">
        <v>176</v>
      </c>
      <c r="L11" s="268"/>
      <c r="M11" s="269" t="s">
        <v>576</v>
      </c>
      <c r="N11" s="266"/>
      <c r="O11" s="266"/>
      <c r="P11" s="266"/>
      <c r="Q11" s="266"/>
      <c r="R11" s="266"/>
      <c r="S11" s="266"/>
      <c r="T11" s="266"/>
      <c r="U11" s="264">
        <f>AQ36</f>
        <v>0</v>
      </c>
      <c r="V11" s="264"/>
      <c r="W11" s="267" t="s">
        <v>176</v>
      </c>
      <c r="X11" s="268"/>
      <c r="Y11" s="269" t="s">
        <v>577</v>
      </c>
      <c r="Z11" s="266"/>
      <c r="AA11" s="266"/>
      <c r="AB11" s="266"/>
      <c r="AC11" s="266"/>
      <c r="AD11" s="266"/>
      <c r="AE11" s="266"/>
      <c r="AF11" s="266"/>
      <c r="AG11" s="264">
        <f>AQ34</f>
        <v>0</v>
      </c>
      <c r="AH11" s="264"/>
      <c r="AI11" s="28" t="s">
        <v>176</v>
      </c>
      <c r="AK11" s="441" t="s">
        <v>578</v>
      </c>
      <c r="AL11" s="442"/>
      <c r="AM11" s="442"/>
      <c r="AN11" s="442"/>
      <c r="AO11" s="442"/>
      <c r="AP11" s="443"/>
      <c r="AQ11" s="42">
        <v>27</v>
      </c>
      <c r="AR11" s="43"/>
      <c r="AS11" s="46">
        <v>2</v>
      </c>
      <c r="AT11" s="46"/>
      <c r="AU11" s="46"/>
      <c r="AV11" s="47" t="s">
        <v>579</v>
      </c>
      <c r="AW11" s="47" t="s">
        <v>580</v>
      </c>
      <c r="AX11" s="47">
        <v>0.33333333333333331</v>
      </c>
      <c r="AY11" s="47">
        <v>0.58333333333333337</v>
      </c>
      <c r="AZ11" s="43"/>
      <c r="BB11" s="121" t="s">
        <v>581</v>
      </c>
      <c r="BC11" s="138" t="s">
        <v>582</v>
      </c>
      <c r="BD11" s="138" t="s">
        <v>583</v>
      </c>
      <c r="BE11" s="138" t="s">
        <v>584</v>
      </c>
      <c r="BF11" s="138" t="s">
        <v>585</v>
      </c>
      <c r="BG11" s="139" t="s">
        <v>584</v>
      </c>
      <c r="BH11" s="138" t="s">
        <v>582</v>
      </c>
      <c r="BI11" s="138" t="s">
        <v>585</v>
      </c>
      <c r="BJ11" s="138" t="s">
        <v>583</v>
      </c>
      <c r="BK11" s="138" t="s">
        <v>584</v>
      </c>
      <c r="BL11" s="138" t="s">
        <v>583</v>
      </c>
      <c r="BM11" s="138" t="s">
        <v>585</v>
      </c>
      <c r="BN11" s="138" t="s">
        <v>582</v>
      </c>
      <c r="BO11" s="138" t="s">
        <v>584</v>
      </c>
      <c r="BP11" s="138" t="s">
        <v>585</v>
      </c>
      <c r="BQ11" s="138" t="s">
        <v>583</v>
      </c>
      <c r="BR11" s="138" t="s">
        <v>585</v>
      </c>
      <c r="BS11" s="138" t="s">
        <v>584</v>
      </c>
      <c r="BT11" s="138" t="s">
        <v>582</v>
      </c>
      <c r="BU11" s="138" t="s">
        <v>583</v>
      </c>
      <c r="BV11" s="138" t="s">
        <v>585</v>
      </c>
      <c r="BW11" s="138" t="s">
        <v>582</v>
      </c>
      <c r="BX11" s="138" t="s">
        <v>584</v>
      </c>
      <c r="BY11" s="138" t="s">
        <v>585</v>
      </c>
      <c r="BZ11" s="138" t="s">
        <v>583</v>
      </c>
      <c r="CA11" s="138" t="s">
        <v>582</v>
      </c>
      <c r="CB11" s="138" t="s">
        <v>585</v>
      </c>
      <c r="CC11" s="138" t="s">
        <v>584</v>
      </c>
      <c r="CD11" s="138" t="s">
        <v>582</v>
      </c>
      <c r="CE11" s="138" t="s">
        <v>585</v>
      </c>
      <c r="CF11" s="138" t="s">
        <v>583</v>
      </c>
      <c r="CG11" s="43"/>
    </row>
    <row r="12" spans="1:85" ht="18" customHeight="1">
      <c r="A12" s="265" t="s">
        <v>586</v>
      </c>
      <c r="B12" s="266"/>
      <c r="C12" s="266"/>
      <c r="D12" s="266"/>
      <c r="E12" s="266"/>
      <c r="F12" s="266"/>
      <c r="G12" s="266"/>
      <c r="H12" s="266"/>
      <c r="I12" s="264">
        <f>AQ33</f>
        <v>0</v>
      </c>
      <c r="J12" s="264"/>
      <c r="K12" s="267" t="s">
        <v>176</v>
      </c>
      <c r="L12" s="268"/>
      <c r="M12" s="269" t="s">
        <v>587</v>
      </c>
      <c r="N12" s="266"/>
      <c r="O12" s="266"/>
      <c r="P12" s="266"/>
      <c r="Q12" s="266"/>
      <c r="R12" s="266"/>
      <c r="S12" s="266"/>
      <c r="T12" s="266"/>
      <c r="U12" s="264">
        <f>AQ24</f>
        <v>0</v>
      </c>
      <c r="V12" s="264"/>
      <c r="W12" s="267" t="s">
        <v>176</v>
      </c>
      <c r="X12" s="268"/>
      <c r="Y12" s="269" t="s">
        <v>588</v>
      </c>
      <c r="Z12" s="266"/>
      <c r="AA12" s="266"/>
      <c r="AB12" s="266"/>
      <c r="AC12" s="266"/>
      <c r="AD12" s="266"/>
      <c r="AE12" s="266"/>
      <c r="AF12" s="266"/>
      <c r="AG12" s="264">
        <f>AQ20+AQ21+AQ22+AQ23</f>
        <v>0</v>
      </c>
      <c r="AH12" s="264"/>
      <c r="AI12" s="28" t="s">
        <v>176</v>
      </c>
      <c r="AK12" s="441" t="s">
        <v>589</v>
      </c>
      <c r="AL12" s="442"/>
      <c r="AM12" s="442"/>
      <c r="AN12" s="442"/>
      <c r="AO12" s="442"/>
      <c r="AP12" s="443"/>
      <c r="AQ12" s="42">
        <v>13</v>
      </c>
      <c r="AR12" s="43"/>
      <c r="AS12" s="46">
        <v>3</v>
      </c>
      <c r="AT12" s="46"/>
      <c r="AU12" s="46"/>
      <c r="AV12" s="47" t="s">
        <v>590</v>
      </c>
      <c r="AW12" s="47" t="s">
        <v>574</v>
      </c>
      <c r="AX12" s="47">
        <v>0.58333333333333337</v>
      </c>
      <c r="AY12" s="47">
        <v>0.83333333333333337</v>
      </c>
      <c r="AZ12" s="43"/>
      <c r="BB12" s="49"/>
      <c r="BC12" s="43"/>
      <c r="BD12" s="43"/>
      <c r="BE12" s="43"/>
      <c r="BF12" s="43"/>
      <c r="BG12" s="43"/>
      <c r="BH12" s="43"/>
      <c r="BI12" s="43"/>
      <c r="BJ12" s="43"/>
      <c r="BK12" s="43"/>
      <c r="BL12" s="43"/>
      <c r="BM12" s="43"/>
      <c r="BN12" s="43"/>
      <c r="BO12" s="43"/>
      <c r="BP12" s="43"/>
      <c r="BQ12" s="43"/>
      <c r="BR12" s="43"/>
      <c r="BS12" s="43"/>
      <c r="BT12" s="43"/>
      <c r="BU12" s="43"/>
      <c r="BV12" s="43"/>
      <c r="BW12" s="43"/>
      <c r="BX12" s="43"/>
      <c r="BY12" s="43"/>
      <c r="BZ12" s="43"/>
      <c r="CA12" s="43"/>
      <c r="CB12" s="43"/>
      <c r="CC12" s="43"/>
      <c r="CD12" s="43"/>
      <c r="CE12" s="43"/>
      <c r="CF12" s="43"/>
      <c r="CG12" s="43"/>
    </row>
    <row r="13" spans="1:85" ht="18" customHeight="1" thickBot="1">
      <c r="A13" s="517" t="s">
        <v>591</v>
      </c>
      <c r="B13" s="277"/>
      <c r="C13" s="277"/>
      <c r="D13" s="277"/>
      <c r="E13" s="277"/>
      <c r="F13" s="277"/>
      <c r="G13" s="277"/>
      <c r="H13" s="277"/>
      <c r="I13" s="272">
        <f>AQ30+AQ31</f>
        <v>0</v>
      </c>
      <c r="J13" s="272"/>
      <c r="K13" s="273" t="s">
        <v>176</v>
      </c>
      <c r="L13" s="274"/>
      <c r="M13" s="276" t="s">
        <v>592</v>
      </c>
      <c r="N13" s="277"/>
      <c r="O13" s="277"/>
      <c r="P13" s="277"/>
      <c r="Q13" s="277"/>
      <c r="R13" s="277"/>
      <c r="S13" s="277"/>
      <c r="T13" s="277"/>
      <c r="U13" s="272">
        <f>AQ28</f>
        <v>0</v>
      </c>
      <c r="V13" s="272"/>
      <c r="W13" s="273" t="s">
        <v>176</v>
      </c>
      <c r="X13" s="274"/>
      <c r="Y13" s="276" t="s">
        <v>593</v>
      </c>
      <c r="Z13" s="277"/>
      <c r="AA13" s="277"/>
      <c r="AB13" s="277"/>
      <c r="AC13" s="277"/>
      <c r="AD13" s="277"/>
      <c r="AE13" s="277"/>
      <c r="AF13" s="277"/>
      <c r="AG13" s="272">
        <f>AQ13</f>
        <v>0</v>
      </c>
      <c r="AH13" s="272"/>
      <c r="AI13" s="34" t="s">
        <v>176</v>
      </c>
      <c r="AK13" s="425" t="s">
        <v>594</v>
      </c>
      <c r="AL13" s="425"/>
      <c r="AM13" s="425"/>
      <c r="AN13" s="425"/>
      <c r="AO13" s="425"/>
      <c r="AP13" s="425"/>
      <c r="AQ13" s="42"/>
      <c r="AR13" s="43"/>
      <c r="AS13" s="46">
        <v>4</v>
      </c>
      <c r="AT13" s="46"/>
      <c r="AU13" s="46" t="s">
        <v>28</v>
      </c>
      <c r="AV13" s="47" t="s">
        <v>595</v>
      </c>
      <c r="AW13" s="47" t="s">
        <v>596</v>
      </c>
      <c r="AX13" s="47">
        <v>0.33333333333333331</v>
      </c>
      <c r="AY13" s="47">
        <v>0.83333333333333337</v>
      </c>
      <c r="AZ13" s="43"/>
      <c r="BB13" s="121" t="s">
        <v>597</v>
      </c>
      <c r="BC13" s="140" t="s">
        <v>20</v>
      </c>
      <c r="BD13" s="140" t="s">
        <v>119</v>
      </c>
      <c r="BE13" s="140" t="s">
        <v>20</v>
      </c>
      <c r="BF13" s="140" t="s">
        <v>20</v>
      </c>
      <c r="BG13" s="140" t="s">
        <v>20</v>
      </c>
      <c r="BH13" s="140" t="s">
        <v>20</v>
      </c>
      <c r="BI13" s="140" t="s">
        <v>80</v>
      </c>
      <c r="BJ13" s="140" t="s">
        <v>20</v>
      </c>
      <c r="BK13" s="140" t="s">
        <v>20</v>
      </c>
      <c r="BL13" s="140" t="s">
        <v>20</v>
      </c>
      <c r="BM13" s="140" t="s">
        <v>20</v>
      </c>
      <c r="BN13" s="140" t="s">
        <v>20</v>
      </c>
      <c r="BO13" s="140" t="s">
        <v>119</v>
      </c>
      <c r="BP13" s="140" t="s">
        <v>119</v>
      </c>
      <c r="BQ13" s="140" t="s">
        <v>20</v>
      </c>
      <c r="BR13" s="140" t="s">
        <v>119</v>
      </c>
      <c r="BS13" s="140" t="s">
        <v>20</v>
      </c>
      <c r="BT13" s="140" t="s">
        <v>20</v>
      </c>
      <c r="BU13" s="140" t="s">
        <v>20</v>
      </c>
      <c r="BV13" s="140" t="s">
        <v>119</v>
      </c>
      <c r="BW13" s="140" t="s">
        <v>119</v>
      </c>
      <c r="BX13" s="140" t="s">
        <v>20</v>
      </c>
      <c r="BY13" s="140" t="s">
        <v>119</v>
      </c>
      <c r="BZ13" s="140" t="s">
        <v>20</v>
      </c>
      <c r="CA13" s="140" t="s">
        <v>119</v>
      </c>
      <c r="CB13" s="140" t="s">
        <v>20</v>
      </c>
      <c r="CC13" s="140" t="s">
        <v>20</v>
      </c>
      <c r="CD13" s="140" t="s">
        <v>119</v>
      </c>
      <c r="CE13" s="140" t="s">
        <v>20</v>
      </c>
      <c r="CF13" s="140" t="s">
        <v>119</v>
      </c>
      <c r="CG13" s="43"/>
    </row>
    <row r="14" spans="1:85" ht="18" customHeight="1" thickBot="1">
      <c r="A14" s="452" t="s">
        <v>598</v>
      </c>
      <c r="B14" s="453"/>
      <c r="C14" s="453"/>
      <c r="D14" s="453"/>
      <c r="E14" s="453"/>
      <c r="F14" s="453"/>
      <c r="G14" s="453"/>
      <c r="H14" s="453"/>
      <c r="I14" s="453"/>
      <c r="J14" s="453"/>
      <c r="K14" s="453"/>
      <c r="L14" s="453"/>
      <c r="M14" s="453"/>
      <c r="N14" s="453"/>
      <c r="O14" s="453"/>
      <c r="P14" s="453"/>
      <c r="Q14" s="453"/>
      <c r="R14" s="453"/>
      <c r="S14" s="453"/>
      <c r="T14" s="453"/>
      <c r="U14" s="453"/>
      <c r="V14" s="453"/>
      <c r="W14" s="453"/>
      <c r="X14" s="453"/>
      <c r="Y14" s="453"/>
      <c r="Z14" s="453"/>
      <c r="AA14" s="453"/>
      <c r="AB14" s="453"/>
      <c r="AC14" s="453"/>
      <c r="AD14" s="453"/>
      <c r="AE14" s="453"/>
      <c r="AF14" s="453"/>
      <c r="AG14" s="453"/>
      <c r="AH14" s="453"/>
      <c r="AI14" s="454"/>
      <c r="AK14" s="440" t="s">
        <v>599</v>
      </c>
      <c r="AL14" s="440"/>
      <c r="AM14" s="440"/>
      <c r="AN14" s="440"/>
      <c r="AO14" s="440"/>
      <c r="AP14" s="440"/>
      <c r="AQ14" s="42">
        <v>2</v>
      </c>
      <c r="AR14" s="43"/>
      <c r="AS14" s="46">
        <v>5</v>
      </c>
      <c r="AT14" s="46"/>
      <c r="AU14" s="46" t="s">
        <v>119</v>
      </c>
      <c r="AV14" s="47" t="s">
        <v>600</v>
      </c>
      <c r="AW14" s="47" t="s">
        <v>596</v>
      </c>
      <c r="AX14" s="47">
        <v>0.33333333333333331</v>
      </c>
      <c r="AY14" s="47">
        <v>0.83333333333333337</v>
      </c>
      <c r="AZ14" s="43"/>
      <c r="BB14" s="121" t="s">
        <v>601</v>
      </c>
      <c r="BC14" s="162" t="s">
        <v>28</v>
      </c>
      <c r="BD14" s="162" t="s">
        <v>602</v>
      </c>
      <c r="BE14" s="162" t="s">
        <v>602</v>
      </c>
      <c r="BF14" s="162" t="s">
        <v>28</v>
      </c>
      <c r="BG14" s="162" t="s">
        <v>602</v>
      </c>
      <c r="BH14" s="162" t="s">
        <v>602</v>
      </c>
      <c r="BI14" s="162" t="s">
        <v>28</v>
      </c>
      <c r="BJ14" s="162" t="s">
        <v>28</v>
      </c>
      <c r="BK14" s="162" t="s">
        <v>602</v>
      </c>
      <c r="BL14" s="162" t="s">
        <v>28</v>
      </c>
      <c r="BM14" s="162" t="s">
        <v>602</v>
      </c>
      <c r="BN14" s="162" t="s">
        <v>28</v>
      </c>
      <c r="BO14" s="162" t="s">
        <v>28</v>
      </c>
      <c r="BP14" s="162" t="s">
        <v>76</v>
      </c>
      <c r="BQ14" s="162" t="s">
        <v>28</v>
      </c>
      <c r="BR14" s="162" t="s">
        <v>602</v>
      </c>
      <c r="BS14" s="162" t="s">
        <v>28</v>
      </c>
      <c r="BT14" s="162" t="s">
        <v>602</v>
      </c>
      <c r="BU14" s="162" t="s">
        <v>28</v>
      </c>
      <c r="BV14" s="162" t="s">
        <v>602</v>
      </c>
      <c r="BW14" s="162" t="s">
        <v>28</v>
      </c>
      <c r="BX14" s="162" t="s">
        <v>28</v>
      </c>
      <c r="BY14" s="162" t="s">
        <v>602</v>
      </c>
      <c r="BZ14" s="162" t="s">
        <v>28</v>
      </c>
      <c r="CA14" s="162" t="s">
        <v>602</v>
      </c>
      <c r="CB14" s="162" t="s">
        <v>28</v>
      </c>
      <c r="CC14" s="162" t="s">
        <v>28</v>
      </c>
      <c r="CD14" s="162" t="s">
        <v>76</v>
      </c>
      <c r="CE14" s="162" t="s">
        <v>28</v>
      </c>
      <c r="CF14" s="162" t="s">
        <v>602</v>
      </c>
      <c r="CG14" s="43"/>
    </row>
    <row r="15" spans="1:85" ht="18" customHeight="1" thickBot="1">
      <c r="A15" s="30" t="s">
        <v>189</v>
      </c>
      <c r="B15" s="264" t="s">
        <v>603</v>
      </c>
      <c r="C15" s="264"/>
      <c r="D15" s="264"/>
      <c r="E15" s="264"/>
      <c r="F15" s="264"/>
      <c r="G15" s="264"/>
      <c r="H15" s="264"/>
      <c r="I15" s="264"/>
      <c r="J15" s="278">
        <f>AQ9+AQ10</f>
        <v>7</v>
      </c>
      <c r="K15" s="278"/>
      <c r="L15" s="278"/>
      <c r="M15" s="264" t="s">
        <v>176</v>
      </c>
      <c r="N15" s="264"/>
      <c r="O15" s="264" t="s">
        <v>604</v>
      </c>
      <c r="P15" s="264"/>
      <c r="Q15" s="264"/>
      <c r="R15" s="264"/>
      <c r="S15" s="264"/>
      <c r="T15" s="264"/>
      <c r="U15" s="264"/>
      <c r="V15" s="264"/>
      <c r="W15" s="278">
        <f>AQ11+AQ12</f>
        <v>40</v>
      </c>
      <c r="X15" s="278"/>
      <c r="Y15" s="278"/>
      <c r="Z15" s="264" t="s">
        <v>176</v>
      </c>
      <c r="AA15" s="264"/>
      <c r="AB15" s="503" t="s">
        <v>605</v>
      </c>
      <c r="AC15" s="503"/>
      <c r="AD15" s="503"/>
      <c r="AE15" s="503"/>
      <c r="AF15" s="503"/>
      <c r="AG15" s="503"/>
      <c r="AH15" s="281" t="s">
        <v>582</v>
      </c>
      <c r="AI15" s="282"/>
      <c r="AK15" s="425" t="s">
        <v>606</v>
      </c>
      <c r="AL15" s="425"/>
      <c r="AM15" s="425"/>
      <c r="AN15" s="425"/>
      <c r="AO15" s="425"/>
      <c r="AP15" s="425"/>
      <c r="AQ15" s="42"/>
      <c r="AR15" s="43"/>
      <c r="AS15" s="46">
        <v>6</v>
      </c>
      <c r="AT15" s="46"/>
      <c r="AU15" s="46"/>
      <c r="AV15" s="47" t="s">
        <v>607</v>
      </c>
      <c r="AW15" s="47" t="s">
        <v>596</v>
      </c>
      <c r="AX15" s="47">
        <v>0.33333333333333331</v>
      </c>
      <c r="AY15" s="47">
        <v>0.83333333333333337</v>
      </c>
      <c r="AZ15" s="43"/>
      <c r="BB15" s="121" t="s">
        <v>31</v>
      </c>
      <c r="BC15" s="163" t="s">
        <v>119</v>
      </c>
      <c r="BD15" s="164"/>
      <c r="BE15" s="165" t="s">
        <v>28</v>
      </c>
      <c r="BF15" s="165" t="s">
        <v>119</v>
      </c>
      <c r="BG15" s="164"/>
      <c r="BH15" s="164"/>
      <c r="BI15" s="164"/>
      <c r="BJ15" s="164"/>
      <c r="BK15" s="165" t="s">
        <v>119</v>
      </c>
      <c r="BL15" s="165" t="s">
        <v>602</v>
      </c>
      <c r="BM15" s="165" t="s">
        <v>119</v>
      </c>
      <c r="BN15" s="165" t="s">
        <v>602</v>
      </c>
      <c r="BO15" s="164"/>
      <c r="BP15" s="164"/>
      <c r="BQ15" s="165" t="s">
        <v>608</v>
      </c>
      <c r="BR15" s="165" t="s">
        <v>20</v>
      </c>
      <c r="BS15" s="165" t="s">
        <v>602</v>
      </c>
      <c r="BT15" s="165" t="s">
        <v>119</v>
      </c>
      <c r="BU15" s="165" t="s">
        <v>602</v>
      </c>
      <c r="BV15" s="164"/>
      <c r="BW15" s="164"/>
      <c r="BX15" s="165" t="s">
        <v>119</v>
      </c>
      <c r="BY15" s="165" t="s">
        <v>20</v>
      </c>
      <c r="BZ15" s="165" t="s">
        <v>602</v>
      </c>
      <c r="CA15" s="165" t="s">
        <v>20</v>
      </c>
      <c r="CB15" s="165" t="s">
        <v>602</v>
      </c>
      <c r="CC15" s="165" t="s">
        <v>602</v>
      </c>
      <c r="CD15" s="164"/>
      <c r="CE15" s="165" t="s">
        <v>119</v>
      </c>
      <c r="CF15" s="165" t="s">
        <v>20</v>
      </c>
      <c r="CG15" s="43"/>
    </row>
    <row r="16" spans="1:85" ht="18" customHeight="1">
      <c r="A16" s="504" t="s">
        <v>609</v>
      </c>
      <c r="B16" s="505"/>
      <c r="C16" s="505"/>
      <c r="D16" s="505"/>
      <c r="E16" s="505"/>
      <c r="F16" s="505"/>
      <c r="G16" s="505"/>
      <c r="H16" s="505"/>
      <c r="I16" s="505"/>
      <c r="J16" s="505"/>
      <c r="K16" s="505"/>
      <c r="L16" s="505"/>
      <c r="M16" s="505"/>
      <c r="N16" s="505"/>
      <c r="O16" s="505"/>
      <c r="P16" s="505"/>
      <c r="Q16" s="505"/>
      <c r="R16" s="505"/>
      <c r="S16" s="505"/>
      <c r="T16" s="505"/>
      <c r="U16" s="505"/>
      <c r="V16" s="505"/>
      <c r="W16" s="505"/>
      <c r="X16" s="505"/>
      <c r="Y16" s="505"/>
      <c r="Z16" s="505"/>
      <c r="AA16" s="505"/>
      <c r="AB16" s="505"/>
      <c r="AC16" s="505"/>
      <c r="AD16" s="505"/>
      <c r="AE16" s="505"/>
      <c r="AF16" s="505"/>
      <c r="AG16" s="505"/>
      <c r="AH16" s="505"/>
      <c r="AI16" s="506"/>
      <c r="AK16" s="425" t="s">
        <v>610</v>
      </c>
      <c r="AL16" s="425"/>
      <c r="AM16" s="425"/>
      <c r="AN16" s="425"/>
      <c r="AO16" s="425"/>
      <c r="AP16" s="425"/>
      <c r="AQ16" s="42"/>
      <c r="AR16" s="43"/>
      <c r="AS16" s="46">
        <v>7</v>
      </c>
      <c r="AT16" s="46"/>
      <c r="AU16" s="46" t="s">
        <v>49</v>
      </c>
      <c r="AV16" s="47" t="s">
        <v>611</v>
      </c>
      <c r="AW16" s="47" t="s">
        <v>612</v>
      </c>
      <c r="AX16" s="47">
        <v>0.83333333333333337</v>
      </c>
      <c r="AY16" s="47" t="s">
        <v>613</v>
      </c>
      <c r="AZ16" s="43"/>
      <c r="BB16" s="121" t="s">
        <v>614</v>
      </c>
      <c r="BC16" s="142" t="s">
        <v>20</v>
      </c>
      <c r="BD16" s="140" t="s">
        <v>67</v>
      </c>
      <c r="BE16" s="142" t="s">
        <v>42</v>
      </c>
      <c r="BF16" s="142" t="s">
        <v>20</v>
      </c>
      <c r="BG16" s="142" t="s">
        <v>42</v>
      </c>
      <c r="BH16" s="142" t="s">
        <v>61</v>
      </c>
      <c r="BI16" s="142" t="s">
        <v>67</v>
      </c>
      <c r="BJ16" s="142" t="s">
        <v>67</v>
      </c>
      <c r="BK16" s="142" t="s">
        <v>42</v>
      </c>
      <c r="BL16" s="142" t="s">
        <v>42</v>
      </c>
      <c r="BM16" s="142" t="s">
        <v>67</v>
      </c>
      <c r="BN16" s="142" t="s">
        <v>67</v>
      </c>
      <c r="BO16" s="142" t="s">
        <v>42</v>
      </c>
      <c r="BP16" s="142" t="s">
        <v>67</v>
      </c>
      <c r="BQ16" s="142" t="s">
        <v>20</v>
      </c>
      <c r="BR16" s="142" t="s">
        <v>71</v>
      </c>
      <c r="BS16" s="142" t="s">
        <v>67</v>
      </c>
      <c r="BT16" s="142" t="s">
        <v>67</v>
      </c>
      <c r="BU16" s="142" t="s">
        <v>61</v>
      </c>
      <c r="BV16" s="142" t="s">
        <v>42</v>
      </c>
      <c r="BW16" s="142" t="s">
        <v>49</v>
      </c>
      <c r="BX16" s="142" t="s">
        <v>20</v>
      </c>
      <c r="BY16" s="142" t="s">
        <v>71</v>
      </c>
      <c r="BZ16" s="142" t="s">
        <v>42</v>
      </c>
      <c r="CA16" s="142" t="s">
        <v>20</v>
      </c>
      <c r="CB16" s="142" t="s">
        <v>61</v>
      </c>
      <c r="CC16" s="142" t="s">
        <v>42</v>
      </c>
      <c r="CD16" s="142" t="s">
        <v>49</v>
      </c>
      <c r="CE16" s="142" t="s">
        <v>20</v>
      </c>
      <c r="CF16" s="143" t="s">
        <v>71</v>
      </c>
      <c r="CG16" s="43"/>
    </row>
    <row r="17" spans="1:85" ht="18" customHeight="1">
      <c r="A17" s="396" t="s">
        <v>615</v>
      </c>
      <c r="B17" s="397"/>
      <c r="C17" s="397"/>
      <c r="D17" s="397"/>
      <c r="E17" s="397"/>
      <c r="F17" s="398" t="s">
        <v>616</v>
      </c>
      <c r="G17" s="398"/>
      <c r="H17" s="398"/>
      <c r="I17" s="398"/>
      <c r="J17" s="398"/>
      <c r="K17" s="398"/>
      <c r="L17" s="398"/>
      <c r="M17" s="398"/>
      <c r="N17" s="398"/>
      <c r="O17" s="398"/>
      <c r="P17" s="398"/>
      <c r="Q17" s="398"/>
      <c r="R17" s="398"/>
      <c r="S17" s="398"/>
      <c r="T17" s="398"/>
      <c r="U17" s="398"/>
      <c r="V17" s="398"/>
      <c r="W17" s="398"/>
      <c r="X17" s="398"/>
      <c r="Y17" s="398"/>
      <c r="Z17" s="398"/>
      <c r="AA17" s="398"/>
      <c r="AB17" s="398"/>
      <c r="AC17" s="398"/>
      <c r="AD17" s="398"/>
      <c r="AE17" s="398"/>
      <c r="AF17" s="398"/>
      <c r="AG17" s="398"/>
      <c r="AH17" s="398"/>
      <c r="AI17" s="399"/>
      <c r="AK17" s="425" t="s">
        <v>617</v>
      </c>
      <c r="AL17" s="425"/>
      <c r="AM17" s="425"/>
      <c r="AN17" s="425"/>
      <c r="AO17" s="425"/>
      <c r="AP17" s="425"/>
      <c r="AQ17" s="42"/>
      <c r="AR17" s="43"/>
      <c r="AS17" s="46">
        <v>8</v>
      </c>
      <c r="AT17" s="46"/>
      <c r="AU17" s="46" t="s">
        <v>71</v>
      </c>
      <c r="AV17" s="47" t="s">
        <v>618</v>
      </c>
      <c r="AW17" s="47" t="s">
        <v>612</v>
      </c>
      <c r="AX17" s="47">
        <v>0.83333333333333337</v>
      </c>
      <c r="AY17" s="47" t="s">
        <v>613</v>
      </c>
      <c r="AZ17" s="43"/>
      <c r="BB17" s="121" t="s">
        <v>619</v>
      </c>
      <c r="BC17" s="141" t="s">
        <v>67</v>
      </c>
      <c r="BD17" s="140" t="s">
        <v>42</v>
      </c>
      <c r="BE17" s="141" t="s">
        <v>71</v>
      </c>
      <c r="BF17" s="140" t="s">
        <v>67</v>
      </c>
      <c r="BG17" s="140" t="s">
        <v>61</v>
      </c>
      <c r="BH17" s="140" t="s">
        <v>42</v>
      </c>
      <c r="BI17" s="140" t="s">
        <v>49</v>
      </c>
      <c r="BJ17" s="140" t="s">
        <v>61</v>
      </c>
      <c r="BK17" s="140" t="s">
        <v>71</v>
      </c>
      <c r="BL17" s="140" t="s">
        <v>67</v>
      </c>
      <c r="BM17" s="140" t="s">
        <v>49</v>
      </c>
      <c r="BN17" s="140" t="s">
        <v>49</v>
      </c>
      <c r="BO17" s="140" t="s">
        <v>61</v>
      </c>
      <c r="BP17" s="140" t="s">
        <v>49</v>
      </c>
      <c r="BQ17" s="140" t="s">
        <v>67</v>
      </c>
      <c r="BR17" s="140" t="s">
        <v>42</v>
      </c>
      <c r="BS17" s="140" t="s">
        <v>42</v>
      </c>
      <c r="BT17" s="140" t="s">
        <v>49</v>
      </c>
      <c r="BU17" s="140" t="s">
        <v>42</v>
      </c>
      <c r="BV17" s="140" t="s">
        <v>61</v>
      </c>
      <c r="BW17" s="140" t="s">
        <v>71</v>
      </c>
      <c r="BX17" s="140" t="s">
        <v>67</v>
      </c>
      <c r="BY17" s="140" t="s">
        <v>42</v>
      </c>
      <c r="BZ17" s="140" t="s">
        <v>67</v>
      </c>
      <c r="CA17" s="140" t="s">
        <v>67</v>
      </c>
      <c r="CB17" s="140" t="s">
        <v>49</v>
      </c>
      <c r="CC17" s="140" t="s">
        <v>61</v>
      </c>
      <c r="CD17" s="140" t="s">
        <v>71</v>
      </c>
      <c r="CE17" s="140" t="s">
        <v>67</v>
      </c>
      <c r="CF17" s="140" t="s">
        <v>42</v>
      </c>
      <c r="CG17" s="43"/>
    </row>
    <row r="18" spans="1:85" ht="18" customHeight="1">
      <c r="A18" s="501" t="s">
        <v>620</v>
      </c>
      <c r="B18" s="502"/>
      <c r="C18" s="502"/>
      <c r="D18" s="502"/>
      <c r="E18" s="502"/>
      <c r="F18" s="400" t="s">
        <v>616</v>
      </c>
      <c r="G18" s="400"/>
      <c r="H18" s="400"/>
      <c r="I18" s="400"/>
      <c r="J18" s="400"/>
      <c r="K18" s="400"/>
      <c r="L18" s="400"/>
      <c r="M18" s="400"/>
      <c r="N18" s="400"/>
      <c r="O18" s="400"/>
      <c r="P18" s="400"/>
      <c r="Q18" s="400"/>
      <c r="R18" s="400"/>
      <c r="S18" s="400"/>
      <c r="T18" s="400"/>
      <c r="U18" s="400"/>
      <c r="V18" s="400"/>
      <c r="W18" s="400"/>
      <c r="X18" s="400"/>
      <c r="Y18" s="400"/>
      <c r="Z18" s="400"/>
      <c r="AA18" s="400"/>
      <c r="AB18" s="400"/>
      <c r="AC18" s="400"/>
      <c r="AD18" s="400"/>
      <c r="AE18" s="400"/>
      <c r="AF18" s="400"/>
      <c r="AG18" s="400"/>
      <c r="AH18" s="400"/>
      <c r="AI18" s="401"/>
      <c r="AK18" s="425" t="s">
        <v>621</v>
      </c>
      <c r="AL18" s="425"/>
      <c r="AM18" s="425"/>
      <c r="AN18" s="425"/>
      <c r="AO18" s="425"/>
      <c r="AP18" s="425"/>
      <c r="AQ18" s="42"/>
      <c r="AR18" s="43"/>
      <c r="AS18" s="46">
        <v>9</v>
      </c>
      <c r="AT18" s="46"/>
      <c r="AU18" s="46"/>
      <c r="AV18" s="47" t="s">
        <v>622</v>
      </c>
      <c r="AW18" s="47" t="s">
        <v>612</v>
      </c>
      <c r="AX18" s="47">
        <v>0.83333333333333337</v>
      </c>
      <c r="AY18" s="47" t="s">
        <v>613</v>
      </c>
      <c r="AZ18" s="43"/>
    </row>
    <row r="19" spans="1:85" ht="18" customHeight="1" thickBot="1">
      <c r="A19" s="35" t="s">
        <v>189</v>
      </c>
      <c r="B19" s="405">
        <v>0.45277777777777778</v>
      </c>
      <c r="C19" s="405"/>
      <c r="D19" s="405"/>
      <c r="E19" s="405"/>
      <c r="F19" s="402" t="s">
        <v>934</v>
      </c>
      <c r="G19" s="402"/>
      <c r="H19" s="402"/>
      <c r="I19" s="402"/>
      <c r="J19" s="402"/>
      <c r="K19" s="402"/>
      <c r="L19" s="402"/>
      <c r="M19" s="402"/>
      <c r="N19" s="402"/>
      <c r="O19" s="402"/>
      <c r="P19" s="402"/>
      <c r="Q19" s="402"/>
      <c r="R19" s="402"/>
      <c r="S19" s="402"/>
      <c r="T19" s="402"/>
      <c r="U19" s="402"/>
      <c r="V19" s="402"/>
      <c r="W19" s="402"/>
      <c r="X19" s="402"/>
      <c r="Y19" s="402"/>
      <c r="Z19" s="402"/>
      <c r="AA19" s="402"/>
      <c r="AB19" s="402"/>
      <c r="AC19" s="402"/>
      <c r="AD19" s="402"/>
      <c r="AE19" s="402"/>
      <c r="AF19" s="402"/>
      <c r="AG19" s="402"/>
      <c r="AH19" s="402"/>
      <c r="AI19" s="403"/>
      <c r="AK19" s="524" t="s">
        <v>623</v>
      </c>
      <c r="AL19" s="524"/>
      <c r="AM19" s="524"/>
      <c r="AN19" s="524"/>
      <c r="AO19" s="524"/>
      <c r="AP19" s="524"/>
      <c r="AQ19" s="58"/>
      <c r="AR19" s="43"/>
      <c r="AS19" s="46">
        <v>10</v>
      </c>
      <c r="AT19" s="46"/>
      <c r="AU19" s="46"/>
      <c r="AV19" s="47" t="s">
        <v>111</v>
      </c>
      <c r="AW19" s="47" t="s">
        <v>612</v>
      </c>
      <c r="AX19" s="47">
        <v>0.83333333333333337</v>
      </c>
      <c r="AY19" s="47" t="s">
        <v>613</v>
      </c>
      <c r="AZ19" s="43"/>
    </row>
    <row r="20" spans="1:85" ht="18" customHeight="1">
      <c r="A20" s="36" t="s">
        <v>189</v>
      </c>
      <c r="B20" s="404">
        <v>0.57291666666666663</v>
      </c>
      <c r="C20" s="404"/>
      <c r="D20" s="404"/>
      <c r="E20" s="404"/>
      <c r="F20" s="288" t="s">
        <v>714</v>
      </c>
      <c r="G20" s="288"/>
      <c r="H20" s="288"/>
      <c r="I20" s="288"/>
      <c r="J20" s="288"/>
      <c r="K20" s="288"/>
      <c r="L20" s="288"/>
      <c r="M20" s="288"/>
      <c r="N20" s="288"/>
      <c r="O20" s="288"/>
      <c r="P20" s="288"/>
      <c r="Q20" s="288"/>
      <c r="R20" s="288"/>
      <c r="S20" s="288"/>
      <c r="T20" s="288"/>
      <c r="U20" s="288"/>
      <c r="V20" s="288"/>
      <c r="W20" s="288"/>
      <c r="X20" s="288"/>
      <c r="Y20" s="288"/>
      <c r="Z20" s="288"/>
      <c r="AA20" s="288"/>
      <c r="AB20" s="288"/>
      <c r="AC20" s="288"/>
      <c r="AD20" s="288"/>
      <c r="AE20" s="288"/>
      <c r="AF20" s="288"/>
      <c r="AG20" s="288"/>
      <c r="AH20" s="288"/>
      <c r="AI20" s="289"/>
      <c r="AK20" s="447" t="s">
        <v>624</v>
      </c>
      <c r="AL20" s="448"/>
      <c r="AM20" s="448"/>
      <c r="AN20" s="448"/>
      <c r="AO20" s="448"/>
      <c r="AP20" s="448"/>
      <c r="AQ20" s="62"/>
      <c r="AR20" s="426" t="s">
        <v>625</v>
      </c>
      <c r="AS20" s="146">
        <v>11</v>
      </c>
      <c r="AT20" s="46"/>
      <c r="AU20" s="46"/>
      <c r="AV20" s="47" t="s">
        <v>111</v>
      </c>
      <c r="AW20" s="47" t="s">
        <v>612</v>
      </c>
      <c r="AX20" s="47">
        <v>0.83333333333333337</v>
      </c>
      <c r="AY20" s="47" t="s">
        <v>613</v>
      </c>
      <c r="AZ20" s="43"/>
    </row>
    <row r="21" spans="1:85" ht="18" customHeight="1" thickBot="1">
      <c r="A21" s="36" t="s">
        <v>935</v>
      </c>
      <c r="B21" s="404">
        <v>0.89097222222222228</v>
      </c>
      <c r="C21" s="404"/>
      <c r="D21" s="404"/>
      <c r="E21" s="404"/>
      <c r="F21" s="288" t="s">
        <v>936</v>
      </c>
      <c r="G21" s="288"/>
      <c r="H21" s="288"/>
      <c r="I21" s="288"/>
      <c r="J21" s="288"/>
      <c r="K21" s="288"/>
      <c r="L21" s="288"/>
      <c r="M21" s="288"/>
      <c r="N21" s="288"/>
      <c r="O21" s="288"/>
      <c r="P21" s="288"/>
      <c r="Q21" s="288"/>
      <c r="R21" s="288"/>
      <c r="S21" s="288"/>
      <c r="T21" s="288"/>
      <c r="U21" s="288"/>
      <c r="V21" s="288"/>
      <c r="W21" s="288"/>
      <c r="X21" s="288"/>
      <c r="Y21" s="288"/>
      <c r="Z21" s="288"/>
      <c r="AA21" s="288"/>
      <c r="AB21" s="288"/>
      <c r="AC21" s="288"/>
      <c r="AD21" s="288"/>
      <c r="AE21" s="288"/>
      <c r="AF21" s="288"/>
      <c r="AG21" s="288"/>
      <c r="AH21" s="288"/>
      <c r="AI21" s="289"/>
      <c r="AK21" s="429" t="s">
        <v>626</v>
      </c>
      <c r="AL21" s="430"/>
      <c r="AM21" s="430"/>
      <c r="AN21" s="430"/>
      <c r="AO21" s="430"/>
      <c r="AP21" s="430"/>
      <c r="AQ21" s="63"/>
      <c r="AR21" s="427"/>
      <c r="AW21" s="43"/>
      <c r="AX21" s="43"/>
      <c r="AY21" s="43"/>
      <c r="AZ21" s="43"/>
    </row>
    <row r="22" spans="1:85" ht="18" customHeight="1">
      <c r="A22" s="36" t="s">
        <v>935</v>
      </c>
      <c r="B22" s="404">
        <v>6.25E-2</v>
      </c>
      <c r="C22" s="404"/>
      <c r="D22" s="404"/>
      <c r="E22" s="404"/>
      <c r="F22" s="288" t="s">
        <v>937</v>
      </c>
      <c r="G22" s="288"/>
      <c r="H22" s="288"/>
      <c r="I22" s="288"/>
      <c r="J22" s="288"/>
      <c r="K22" s="288"/>
      <c r="L22" s="288"/>
      <c r="M22" s="288"/>
      <c r="N22" s="288"/>
      <c r="O22" s="288"/>
      <c r="P22" s="288"/>
      <c r="Q22" s="288"/>
      <c r="R22" s="288"/>
      <c r="S22" s="288"/>
      <c r="T22" s="288"/>
      <c r="U22" s="288"/>
      <c r="V22" s="288"/>
      <c r="W22" s="288"/>
      <c r="X22" s="288"/>
      <c r="Y22" s="288"/>
      <c r="Z22" s="288"/>
      <c r="AA22" s="288"/>
      <c r="AB22" s="288"/>
      <c r="AC22" s="288"/>
      <c r="AD22" s="288"/>
      <c r="AE22" s="288"/>
      <c r="AF22" s="288"/>
      <c r="AG22" s="288"/>
      <c r="AH22" s="288"/>
      <c r="AI22" s="289"/>
      <c r="AK22" s="429" t="s">
        <v>627</v>
      </c>
      <c r="AL22" s="430"/>
      <c r="AM22" s="430"/>
      <c r="AN22" s="430"/>
      <c r="AO22" s="430"/>
      <c r="AP22" s="430"/>
      <c r="AQ22" s="63"/>
      <c r="AR22" s="427"/>
      <c r="AS22" s="433" t="s">
        <v>628</v>
      </c>
      <c r="AT22" s="434"/>
      <c r="AU22" s="435"/>
      <c r="AV22" s="435"/>
      <c r="AW22" s="60" t="s">
        <v>74</v>
      </c>
      <c r="AY22" s="413" t="s">
        <v>629</v>
      </c>
      <c r="AZ22" s="413"/>
      <c r="BA22" s="412"/>
      <c r="BB22" s="412"/>
    </row>
    <row r="23" spans="1:85" ht="18" customHeight="1" thickBot="1">
      <c r="A23" s="36"/>
      <c r="B23" s="404"/>
      <c r="C23" s="404"/>
      <c r="D23" s="404"/>
      <c r="E23" s="404"/>
      <c r="F23" s="288" t="s">
        <v>938</v>
      </c>
      <c r="G23" s="288"/>
      <c r="H23" s="288"/>
      <c r="I23" s="288"/>
      <c r="J23" s="288"/>
      <c r="K23" s="288"/>
      <c r="L23" s="288"/>
      <c r="M23" s="288"/>
      <c r="N23" s="288"/>
      <c r="O23" s="288"/>
      <c r="P23" s="288"/>
      <c r="Q23" s="288"/>
      <c r="R23" s="288"/>
      <c r="S23" s="288"/>
      <c r="T23" s="288"/>
      <c r="U23" s="288"/>
      <c r="V23" s="288"/>
      <c r="W23" s="288"/>
      <c r="X23" s="288"/>
      <c r="Y23" s="288"/>
      <c r="Z23" s="288"/>
      <c r="AA23" s="288"/>
      <c r="AB23" s="288"/>
      <c r="AC23" s="288"/>
      <c r="AD23" s="288"/>
      <c r="AE23" s="288"/>
      <c r="AF23" s="288"/>
      <c r="AG23" s="288"/>
      <c r="AH23" s="288"/>
      <c r="AI23" s="289"/>
      <c r="AK23" s="431" t="s">
        <v>630</v>
      </c>
      <c r="AL23" s="432"/>
      <c r="AM23" s="432"/>
      <c r="AN23" s="432"/>
      <c r="AO23" s="432"/>
      <c r="AP23" s="432"/>
      <c r="AQ23" s="64"/>
      <c r="AR23" s="428"/>
      <c r="AS23" s="536" t="s">
        <v>631</v>
      </c>
      <c r="AT23" s="246"/>
      <c r="AU23" s="537"/>
      <c r="AV23" s="537"/>
      <c r="AW23" s="56" t="s">
        <v>632</v>
      </c>
      <c r="AY23" s="413" t="s">
        <v>633</v>
      </c>
      <c r="AZ23" s="413"/>
      <c r="BA23" s="412"/>
      <c r="BB23" s="412"/>
    </row>
    <row r="24" spans="1:85" ht="18" customHeight="1" thickBot="1">
      <c r="A24" s="36"/>
      <c r="B24" s="404"/>
      <c r="C24" s="404"/>
      <c r="D24" s="404"/>
      <c r="E24" s="404"/>
      <c r="F24" s="288" t="s">
        <v>939</v>
      </c>
      <c r="G24" s="288"/>
      <c r="H24" s="288"/>
      <c r="I24" s="288"/>
      <c r="J24" s="288"/>
      <c r="K24" s="288"/>
      <c r="L24" s="288"/>
      <c r="M24" s="288"/>
      <c r="N24" s="288"/>
      <c r="O24" s="288"/>
      <c r="P24" s="288"/>
      <c r="Q24" s="288"/>
      <c r="R24" s="288"/>
      <c r="S24" s="288"/>
      <c r="T24" s="288"/>
      <c r="U24" s="288"/>
      <c r="V24" s="288"/>
      <c r="W24" s="288"/>
      <c r="X24" s="288"/>
      <c r="Y24" s="288"/>
      <c r="Z24" s="288"/>
      <c r="AA24" s="288"/>
      <c r="AB24" s="288"/>
      <c r="AC24" s="288"/>
      <c r="AD24" s="288"/>
      <c r="AE24" s="288"/>
      <c r="AF24" s="288"/>
      <c r="AG24" s="288"/>
      <c r="AH24" s="288"/>
      <c r="AI24" s="289"/>
      <c r="AK24" s="527" t="s">
        <v>634</v>
      </c>
      <c r="AL24" s="528"/>
      <c r="AM24" s="528"/>
      <c r="AN24" s="528"/>
      <c r="AO24" s="528"/>
      <c r="AP24" s="528"/>
      <c r="AQ24" s="65"/>
      <c r="AR24" s="43"/>
      <c r="AY24" s="413" t="s">
        <v>635</v>
      </c>
      <c r="AZ24" s="413"/>
      <c r="BA24" s="412"/>
      <c r="BB24" s="412"/>
    </row>
    <row r="25" spans="1:85" ht="18" customHeight="1">
      <c r="A25" s="36"/>
      <c r="B25" s="404"/>
      <c r="C25" s="404"/>
      <c r="D25" s="404"/>
      <c r="E25" s="404"/>
      <c r="F25" s="288" t="s">
        <v>940</v>
      </c>
      <c r="G25" s="288"/>
      <c r="H25" s="288"/>
      <c r="I25" s="288"/>
      <c r="J25" s="288"/>
      <c r="K25" s="288"/>
      <c r="L25" s="288"/>
      <c r="M25" s="288"/>
      <c r="N25" s="288"/>
      <c r="O25" s="288"/>
      <c r="P25" s="288"/>
      <c r="Q25" s="288"/>
      <c r="R25" s="288"/>
      <c r="S25" s="288"/>
      <c r="T25" s="288"/>
      <c r="U25" s="288"/>
      <c r="V25" s="288"/>
      <c r="W25" s="288"/>
      <c r="X25" s="288"/>
      <c r="Y25" s="288"/>
      <c r="Z25" s="288"/>
      <c r="AA25" s="288"/>
      <c r="AB25" s="288"/>
      <c r="AC25" s="288"/>
      <c r="AD25" s="288"/>
      <c r="AE25" s="288"/>
      <c r="AF25" s="288"/>
      <c r="AG25" s="288"/>
      <c r="AH25" s="288"/>
      <c r="AI25" s="289"/>
      <c r="AK25" s="529" t="s">
        <v>636</v>
      </c>
      <c r="AL25" s="529"/>
      <c r="AM25" s="529"/>
      <c r="AN25" s="529"/>
      <c r="AO25" s="529"/>
      <c r="AP25" s="529"/>
      <c r="AQ25" s="66"/>
      <c r="AR25" s="43"/>
      <c r="AY25" s="413" t="s">
        <v>637</v>
      </c>
      <c r="AZ25" s="413"/>
      <c r="BA25" s="412"/>
      <c r="BB25" s="412"/>
    </row>
    <row r="26" spans="1:85" ht="18" customHeight="1">
      <c r="A26" s="36"/>
      <c r="B26" s="404"/>
      <c r="C26" s="404"/>
      <c r="D26" s="404"/>
      <c r="E26" s="404"/>
      <c r="F26" s="288" t="s">
        <v>941</v>
      </c>
      <c r="G26" s="288"/>
      <c r="H26" s="288"/>
      <c r="I26" s="288"/>
      <c r="J26" s="288"/>
      <c r="K26" s="288"/>
      <c r="L26" s="288"/>
      <c r="M26" s="288"/>
      <c r="N26" s="288"/>
      <c r="O26" s="288"/>
      <c r="P26" s="288"/>
      <c r="Q26" s="288"/>
      <c r="R26" s="288"/>
      <c r="S26" s="288"/>
      <c r="T26" s="288"/>
      <c r="U26" s="288"/>
      <c r="V26" s="288"/>
      <c r="W26" s="288"/>
      <c r="X26" s="288"/>
      <c r="Y26" s="288"/>
      <c r="Z26" s="288"/>
      <c r="AA26" s="288"/>
      <c r="AB26" s="288"/>
      <c r="AC26" s="288"/>
      <c r="AD26" s="288"/>
      <c r="AE26" s="288"/>
      <c r="AF26" s="288"/>
      <c r="AG26" s="288"/>
      <c r="AH26" s="288"/>
      <c r="AI26" s="289"/>
      <c r="AK26" s="436" t="s">
        <v>638</v>
      </c>
      <c r="AL26" s="436"/>
      <c r="AM26" s="436"/>
      <c r="AN26" s="436"/>
      <c r="AO26" s="436"/>
      <c r="AP26" s="436"/>
      <c r="AQ26" s="67"/>
      <c r="AR26" s="43"/>
      <c r="AS26" s="548" t="s">
        <v>639</v>
      </c>
      <c r="AT26" s="549"/>
      <c r="AU26" s="549"/>
      <c r="AV26" s="549"/>
      <c r="AW26" s="550"/>
      <c r="AY26" s="147"/>
      <c r="AZ26" s="147"/>
      <c r="BA26" s="147"/>
      <c r="BB26" s="147"/>
    </row>
    <row r="27" spans="1:85" ht="18" customHeight="1">
      <c r="A27" s="36"/>
      <c r="B27" s="404"/>
      <c r="C27" s="404"/>
      <c r="D27" s="404"/>
      <c r="E27" s="404"/>
      <c r="F27" s="288" t="s">
        <v>942</v>
      </c>
      <c r="G27" s="288"/>
      <c r="H27" s="288"/>
      <c r="I27" s="288"/>
      <c r="J27" s="288"/>
      <c r="K27" s="288"/>
      <c r="L27" s="288"/>
      <c r="M27" s="288"/>
      <c r="N27" s="288"/>
      <c r="O27" s="288"/>
      <c r="P27" s="288"/>
      <c r="Q27" s="288"/>
      <c r="R27" s="288"/>
      <c r="S27" s="288"/>
      <c r="T27" s="288"/>
      <c r="U27" s="288"/>
      <c r="V27" s="288"/>
      <c r="W27" s="288"/>
      <c r="X27" s="288"/>
      <c r="Y27" s="288"/>
      <c r="Z27" s="288"/>
      <c r="AA27" s="288"/>
      <c r="AB27" s="288"/>
      <c r="AC27" s="288"/>
      <c r="AD27" s="288"/>
      <c r="AE27" s="288"/>
      <c r="AF27" s="288"/>
      <c r="AG27" s="288"/>
      <c r="AH27" s="288"/>
      <c r="AI27" s="289"/>
      <c r="AK27" s="436" t="s">
        <v>640</v>
      </c>
      <c r="AL27" s="436"/>
      <c r="AM27" s="436"/>
      <c r="AN27" s="436"/>
      <c r="AO27" s="436"/>
      <c r="AP27" s="436"/>
      <c r="AQ27" s="67"/>
      <c r="AR27" s="43"/>
      <c r="AS27" s="458" t="s">
        <v>641</v>
      </c>
      <c r="AT27" s="460"/>
      <c r="AU27" s="458" t="s">
        <v>642</v>
      </c>
      <c r="AV27" s="459"/>
      <c r="AW27" s="460"/>
      <c r="AY27" s="411" t="s">
        <v>643</v>
      </c>
      <c r="AZ27" s="411"/>
      <c r="BA27" s="411"/>
      <c r="BB27" s="411"/>
    </row>
    <row r="28" spans="1:85" ht="18" customHeight="1" thickBot="1">
      <c r="A28" s="36"/>
      <c r="B28" s="404"/>
      <c r="C28" s="404"/>
      <c r="D28" s="404"/>
      <c r="E28" s="404"/>
      <c r="F28" s="288" t="s">
        <v>943</v>
      </c>
      <c r="G28" s="288"/>
      <c r="H28" s="288"/>
      <c r="I28" s="288"/>
      <c r="J28" s="288"/>
      <c r="K28" s="288"/>
      <c r="L28" s="288"/>
      <c r="M28" s="288"/>
      <c r="N28" s="288"/>
      <c r="O28" s="288"/>
      <c r="P28" s="288"/>
      <c r="Q28" s="288"/>
      <c r="R28" s="288"/>
      <c r="S28" s="288"/>
      <c r="T28" s="288"/>
      <c r="U28" s="288"/>
      <c r="V28" s="288"/>
      <c r="W28" s="288"/>
      <c r="X28" s="288"/>
      <c r="Y28" s="288"/>
      <c r="Z28" s="288"/>
      <c r="AA28" s="288"/>
      <c r="AB28" s="288"/>
      <c r="AC28" s="288"/>
      <c r="AD28" s="288"/>
      <c r="AE28" s="288"/>
      <c r="AF28" s="288"/>
      <c r="AG28" s="288"/>
      <c r="AH28" s="288"/>
      <c r="AI28" s="289"/>
      <c r="AK28" s="436" t="s">
        <v>644</v>
      </c>
      <c r="AL28" s="436"/>
      <c r="AM28" s="436"/>
      <c r="AN28" s="436"/>
      <c r="AO28" s="436"/>
      <c r="AP28" s="436"/>
      <c r="AQ28" s="67"/>
      <c r="AR28" s="43"/>
      <c r="AS28" s="538" t="s">
        <v>645</v>
      </c>
      <c r="AT28" s="539"/>
      <c r="AU28" s="533" t="s">
        <v>646</v>
      </c>
      <c r="AV28" s="534"/>
      <c r="AW28" s="535"/>
      <c r="AY28" s="413" t="s">
        <v>647</v>
      </c>
      <c r="AZ28" s="413"/>
      <c r="BA28" s="412"/>
      <c r="BB28" s="412"/>
    </row>
    <row r="29" spans="1:85" ht="18" customHeight="1" thickBot="1">
      <c r="A29" s="36"/>
      <c r="B29" s="404"/>
      <c r="C29" s="404"/>
      <c r="D29" s="404"/>
      <c r="E29" s="404"/>
      <c r="F29" s="288" t="s">
        <v>944</v>
      </c>
      <c r="G29" s="288"/>
      <c r="H29" s="288"/>
      <c r="I29" s="288"/>
      <c r="J29" s="288"/>
      <c r="K29" s="288"/>
      <c r="L29" s="288"/>
      <c r="M29" s="288"/>
      <c r="N29" s="288"/>
      <c r="O29" s="288"/>
      <c r="P29" s="288"/>
      <c r="Q29" s="288"/>
      <c r="R29" s="288"/>
      <c r="S29" s="288"/>
      <c r="T29" s="288"/>
      <c r="U29" s="288"/>
      <c r="V29" s="288"/>
      <c r="W29" s="288"/>
      <c r="X29" s="288"/>
      <c r="Y29" s="288"/>
      <c r="Z29" s="288"/>
      <c r="AA29" s="288"/>
      <c r="AB29" s="288"/>
      <c r="AC29" s="288"/>
      <c r="AD29" s="288"/>
      <c r="AE29" s="288"/>
      <c r="AF29" s="288"/>
      <c r="AG29" s="288"/>
      <c r="AH29" s="288"/>
      <c r="AI29" s="289"/>
      <c r="AK29" s="524"/>
      <c r="AL29" s="524"/>
      <c r="AM29" s="524"/>
      <c r="AN29" s="524"/>
      <c r="AO29" s="524"/>
      <c r="AP29" s="524"/>
      <c r="AQ29" s="58"/>
      <c r="AR29" s="43"/>
      <c r="AS29" s="551">
        <v>1.28125</v>
      </c>
      <c r="AT29" s="552"/>
      <c r="AU29" s="434" t="s">
        <v>752</v>
      </c>
      <c r="AV29" s="434"/>
      <c r="AW29" s="553"/>
      <c r="AY29" s="413" t="s">
        <v>633</v>
      </c>
      <c r="AZ29" s="413"/>
      <c r="BA29" s="412"/>
      <c r="BB29" s="412"/>
    </row>
    <row r="30" spans="1:85" ht="18" customHeight="1">
      <c r="A30" s="36"/>
      <c r="B30" s="404"/>
      <c r="C30" s="404"/>
      <c r="D30" s="404"/>
      <c r="E30" s="404"/>
      <c r="F30" s="288" t="s">
        <v>945</v>
      </c>
      <c r="G30" s="288"/>
      <c r="H30" s="288"/>
      <c r="I30" s="288"/>
      <c r="J30" s="288"/>
      <c r="K30" s="288"/>
      <c r="L30" s="288"/>
      <c r="M30" s="288"/>
      <c r="N30" s="288"/>
      <c r="O30" s="288"/>
      <c r="P30" s="288"/>
      <c r="Q30" s="288"/>
      <c r="R30" s="288"/>
      <c r="S30" s="288"/>
      <c r="T30" s="288"/>
      <c r="U30" s="288"/>
      <c r="V30" s="288"/>
      <c r="W30" s="288"/>
      <c r="X30" s="288"/>
      <c r="Y30" s="288"/>
      <c r="Z30" s="288"/>
      <c r="AA30" s="288"/>
      <c r="AB30" s="288"/>
      <c r="AC30" s="288"/>
      <c r="AD30" s="288"/>
      <c r="AE30" s="288"/>
      <c r="AF30" s="288"/>
      <c r="AG30" s="288"/>
      <c r="AH30" s="288"/>
      <c r="AI30" s="289"/>
      <c r="AK30" s="449" t="s">
        <v>648</v>
      </c>
      <c r="AL30" s="450"/>
      <c r="AM30" s="450"/>
      <c r="AN30" s="450"/>
      <c r="AO30" s="450"/>
      <c r="AP30" s="450"/>
      <c r="AQ30" s="62"/>
      <c r="AR30" s="43"/>
      <c r="AS30" s="554">
        <v>1.2819444444444446</v>
      </c>
      <c r="AT30" s="532"/>
      <c r="AU30" s="439" t="s">
        <v>754</v>
      </c>
      <c r="AV30" s="439"/>
      <c r="AW30" s="555"/>
      <c r="AY30" s="413" t="s">
        <v>649</v>
      </c>
      <c r="AZ30" s="413"/>
      <c r="BA30" s="412"/>
      <c r="BB30" s="412"/>
    </row>
    <row r="31" spans="1:85" ht="18" customHeight="1" thickBot="1">
      <c r="A31" s="37"/>
      <c r="B31" s="466"/>
      <c r="C31" s="466"/>
      <c r="D31" s="466"/>
      <c r="E31" s="466"/>
      <c r="F31" s="467" t="s">
        <v>946</v>
      </c>
      <c r="G31" s="467"/>
      <c r="H31" s="467"/>
      <c r="I31" s="467"/>
      <c r="J31" s="467"/>
      <c r="K31" s="467"/>
      <c r="L31" s="467"/>
      <c r="M31" s="467"/>
      <c r="N31" s="467"/>
      <c r="O31" s="467"/>
      <c r="P31" s="467"/>
      <c r="Q31" s="467"/>
      <c r="R31" s="467"/>
      <c r="S31" s="467"/>
      <c r="T31" s="467"/>
      <c r="U31" s="467"/>
      <c r="V31" s="467"/>
      <c r="W31" s="467"/>
      <c r="X31" s="467"/>
      <c r="Y31" s="467"/>
      <c r="Z31" s="467"/>
      <c r="AA31" s="467"/>
      <c r="AB31" s="467"/>
      <c r="AC31" s="467"/>
      <c r="AD31" s="467"/>
      <c r="AE31" s="467"/>
      <c r="AF31" s="467"/>
      <c r="AG31" s="467"/>
      <c r="AH31" s="467"/>
      <c r="AI31" s="468"/>
      <c r="AK31" s="451" t="s">
        <v>650</v>
      </c>
      <c r="AL31" s="416"/>
      <c r="AM31" s="416"/>
      <c r="AN31" s="416"/>
      <c r="AO31" s="416"/>
      <c r="AP31" s="416"/>
      <c r="AQ31" s="64"/>
      <c r="AR31" s="48"/>
      <c r="AS31" s="556"/>
      <c r="AT31" s="557"/>
      <c r="AU31" s="424"/>
      <c r="AV31" s="424"/>
      <c r="AW31" s="491"/>
      <c r="AY31" s="413" t="s">
        <v>637</v>
      </c>
      <c r="AZ31" s="413"/>
      <c r="BA31" s="412"/>
      <c r="BB31" s="412"/>
    </row>
    <row r="32" spans="1:85" ht="18" customHeight="1" thickBot="1">
      <c r="A32" s="406" t="s">
        <v>651</v>
      </c>
      <c r="B32" s="407"/>
      <c r="C32" s="407"/>
      <c r="D32" s="407"/>
      <c r="E32" s="407"/>
      <c r="F32" s="407"/>
      <c r="G32" s="407"/>
      <c r="H32" s="407"/>
      <c r="I32" s="407"/>
      <c r="J32" s="407"/>
      <c r="K32" s="407"/>
      <c r="L32" s="407"/>
      <c r="M32" s="407"/>
      <c r="N32" s="407"/>
      <c r="O32" s="407"/>
      <c r="P32" s="407"/>
      <c r="Q32" s="407"/>
      <c r="R32" s="407"/>
      <c r="S32" s="407"/>
      <c r="T32" s="407"/>
      <c r="U32" s="407"/>
      <c r="V32" s="407"/>
      <c r="W32" s="407"/>
      <c r="X32" s="407"/>
      <c r="Y32" s="407"/>
      <c r="Z32" s="407"/>
      <c r="AA32" s="407"/>
      <c r="AB32" s="407"/>
      <c r="AC32" s="407"/>
      <c r="AD32" s="407"/>
      <c r="AE32" s="407"/>
      <c r="AF32" s="407"/>
      <c r="AG32" s="407"/>
      <c r="AH32" s="407"/>
      <c r="AI32" s="408"/>
      <c r="AK32" s="531"/>
      <c r="AL32" s="531"/>
      <c r="AM32" s="531"/>
      <c r="AN32" s="531"/>
      <c r="AO32" s="531"/>
      <c r="AP32" s="531"/>
      <c r="AQ32" s="61"/>
      <c r="AR32" s="48"/>
      <c r="AS32" s="558"/>
      <c r="AT32" s="558"/>
      <c r="AU32" s="559"/>
      <c r="AV32" s="559"/>
      <c r="AW32" s="559"/>
      <c r="AY32" s="413" t="s">
        <v>652</v>
      </c>
      <c r="AZ32" s="413"/>
      <c r="BA32" s="412"/>
      <c r="BB32" s="412"/>
    </row>
    <row r="33" spans="1:80" ht="18" customHeight="1">
      <c r="A33" s="39"/>
      <c r="B33" s="546" t="s">
        <v>653</v>
      </c>
      <c r="C33" s="546"/>
      <c r="D33" s="546"/>
      <c r="E33" s="546"/>
      <c r="F33" s="417" t="str" cm="1">
        <f t="array" ref="F33">_xlfn.TEXTJOIN("/",TRUE,IF(AS29:AS31&lt;&gt;"",TEXT(AS29:AS31,"h:mm")&amp;" "&amp;AU29:AU31,""))</f>
        <v>6:45 45階ルーフトップテラス１/6:46 45階ルーフトップテラス２</v>
      </c>
      <c r="G33" s="418"/>
      <c r="H33" s="418"/>
      <c r="I33" s="418"/>
      <c r="J33" s="418"/>
      <c r="K33" s="418"/>
      <c r="L33" s="418"/>
      <c r="M33" s="418"/>
      <c r="N33" s="418"/>
      <c r="O33" s="418"/>
      <c r="P33" s="418"/>
      <c r="Q33" s="418"/>
      <c r="R33" s="418"/>
      <c r="S33" s="418"/>
      <c r="T33" s="418"/>
      <c r="U33" s="418"/>
      <c r="V33" s="418"/>
      <c r="W33" s="418"/>
      <c r="X33" s="418"/>
      <c r="Y33" s="418"/>
      <c r="Z33" s="418"/>
      <c r="AA33" s="418"/>
      <c r="AB33" s="418"/>
      <c r="AC33" s="418"/>
      <c r="AD33" s="418"/>
      <c r="AE33" s="418"/>
      <c r="AF33" s="418"/>
      <c r="AG33" s="418"/>
      <c r="AH33" s="418"/>
      <c r="AI33" s="419"/>
      <c r="AK33" s="449" t="s">
        <v>654</v>
      </c>
      <c r="AL33" s="450"/>
      <c r="AM33" s="450"/>
      <c r="AN33" s="450"/>
      <c r="AO33" s="450"/>
      <c r="AP33" s="450"/>
      <c r="AQ33" s="60"/>
      <c r="AR33" s="48"/>
      <c r="AS33" s="532"/>
      <c r="AT33" s="532"/>
      <c r="AU33" s="439"/>
      <c r="AV33" s="439"/>
      <c r="AW33" s="439"/>
      <c r="AY33" s="413" t="s">
        <v>655</v>
      </c>
      <c r="AZ33" s="413"/>
      <c r="BA33" s="412"/>
      <c r="BB33" s="412"/>
    </row>
    <row r="34" spans="1:80" ht="18" customHeight="1" thickBot="1">
      <c r="A34" s="39"/>
      <c r="B34" s="546" t="s">
        <v>656</v>
      </c>
      <c r="C34" s="546"/>
      <c r="D34" s="546"/>
      <c r="E34" s="546"/>
      <c r="F34" s="420" t="s">
        <v>79</v>
      </c>
      <c r="G34" s="420"/>
      <c r="H34" s="420"/>
      <c r="I34" s="420"/>
      <c r="J34" s="420"/>
      <c r="K34" s="420"/>
      <c r="L34" s="420"/>
      <c r="M34" s="420"/>
      <c r="N34" s="420"/>
      <c r="O34" s="420"/>
      <c r="P34" s="420"/>
      <c r="Q34" s="420"/>
      <c r="R34" s="420"/>
      <c r="S34" s="420"/>
      <c r="T34" s="420"/>
      <c r="U34" s="420"/>
      <c r="V34" s="420"/>
      <c r="W34" s="420"/>
      <c r="X34" s="420"/>
      <c r="Y34" s="420"/>
      <c r="Z34" s="420"/>
      <c r="AA34" s="420"/>
      <c r="AB34" s="420"/>
      <c r="AC34" s="421"/>
      <c r="AD34" s="421"/>
      <c r="AE34" s="421"/>
      <c r="AF34" s="421"/>
      <c r="AG34" s="421"/>
      <c r="AH34" s="421"/>
      <c r="AI34" s="422"/>
      <c r="AK34" s="451" t="s">
        <v>657</v>
      </c>
      <c r="AL34" s="416"/>
      <c r="AM34" s="416"/>
      <c r="AN34" s="416"/>
      <c r="AO34" s="416"/>
      <c r="AP34" s="416"/>
      <c r="AQ34" s="56"/>
      <c r="AR34" s="48"/>
      <c r="AS34" s="532"/>
      <c r="AT34" s="532"/>
      <c r="AU34" s="439"/>
      <c r="AV34" s="439"/>
      <c r="AW34" s="439"/>
      <c r="AY34" s="413" t="s">
        <v>658</v>
      </c>
      <c r="AZ34" s="413"/>
      <c r="BA34" s="412"/>
      <c r="BB34" s="412"/>
    </row>
    <row r="35" spans="1:80" ht="18" customHeight="1" thickBot="1">
      <c r="A35" s="57"/>
      <c r="B35" s="547" t="s">
        <v>659</v>
      </c>
      <c r="C35" s="547"/>
      <c r="D35" s="547"/>
      <c r="E35" s="547"/>
      <c r="F35" s="389" t="s">
        <v>660</v>
      </c>
      <c r="G35" s="389"/>
      <c r="H35" s="389"/>
      <c r="I35" s="389"/>
      <c r="J35" s="389"/>
      <c r="K35" s="389"/>
      <c r="L35" s="389"/>
      <c r="M35" s="389"/>
      <c r="N35" s="389"/>
      <c r="O35" s="389"/>
      <c r="P35" s="389"/>
      <c r="Q35" s="389"/>
      <c r="R35" s="389"/>
      <c r="S35" s="389"/>
      <c r="T35" s="389"/>
      <c r="U35" s="389"/>
      <c r="V35" s="389"/>
      <c r="W35" s="390" t="s">
        <v>661</v>
      </c>
      <c r="X35" s="391"/>
      <c r="Y35" s="391"/>
      <c r="Z35" s="391"/>
      <c r="AA35" s="391"/>
      <c r="AB35" s="391"/>
      <c r="AC35" s="392" t="s">
        <v>662</v>
      </c>
      <c r="AD35" s="393"/>
      <c r="AE35" s="393"/>
      <c r="AF35" s="393"/>
      <c r="AG35" s="393"/>
      <c r="AH35" s="393"/>
      <c r="AI35" s="394"/>
      <c r="AK35" s="531"/>
      <c r="AL35" s="531"/>
      <c r="AM35" s="531"/>
      <c r="AN35" s="531"/>
      <c r="AO35" s="531"/>
      <c r="AP35" s="531"/>
      <c r="AQ35" s="61"/>
      <c r="AR35" s="48"/>
      <c r="AS35" s="532"/>
      <c r="AT35" s="532"/>
      <c r="AU35" s="439"/>
      <c r="AV35" s="439"/>
      <c r="AW35" s="439"/>
      <c r="AY35" s="413" t="s">
        <v>663</v>
      </c>
      <c r="AZ35" s="413"/>
      <c r="BA35" s="412"/>
      <c r="BB35" s="412"/>
    </row>
    <row r="36" spans="1:80" ht="18" customHeight="1" thickBot="1">
      <c r="A36" s="492" t="s">
        <v>664</v>
      </c>
      <c r="B36" s="493"/>
      <c r="C36" s="493"/>
      <c r="D36" s="493"/>
      <c r="E36" s="493"/>
      <c r="F36" s="498">
        <v>4.1666666666666664E-2</v>
      </c>
      <c r="G36" s="439"/>
      <c r="H36" s="439"/>
      <c r="I36" s="439"/>
      <c r="J36" s="439"/>
      <c r="K36" s="439"/>
      <c r="L36" s="499" t="s">
        <v>665</v>
      </c>
      <c r="M36" s="489"/>
      <c r="N36" s="489"/>
      <c r="O36" s="500"/>
      <c r="P36" s="410" t="s">
        <v>50</v>
      </c>
      <c r="Q36" s="410"/>
      <c r="R36" s="410"/>
      <c r="S36" s="55" t="s">
        <v>666</v>
      </c>
      <c r="T36" s="410" t="s">
        <v>68</v>
      </c>
      <c r="U36" s="410"/>
      <c r="V36" s="530"/>
      <c r="W36" s="489" t="s">
        <v>667</v>
      </c>
      <c r="X36" s="489"/>
      <c r="Y36" s="489"/>
      <c r="Z36" s="489"/>
      <c r="AA36" s="489"/>
      <c r="AB36" s="489"/>
      <c r="AC36" s="490" t="s">
        <v>722</v>
      </c>
      <c r="AD36" s="487"/>
      <c r="AE36" s="487"/>
      <c r="AF36" s="487"/>
      <c r="AG36" s="487"/>
      <c r="AH36" s="487"/>
      <c r="AI36" s="488"/>
      <c r="AK36" s="525" t="s">
        <v>668</v>
      </c>
      <c r="AL36" s="526"/>
      <c r="AM36" s="526"/>
      <c r="AN36" s="526"/>
      <c r="AO36" s="526"/>
      <c r="AP36" s="526"/>
      <c r="AQ36" s="117"/>
      <c r="AR36" s="48"/>
      <c r="AS36" s="532"/>
      <c r="AT36" s="532"/>
      <c r="AU36" s="439"/>
      <c r="AV36" s="439"/>
      <c r="AW36" s="439"/>
      <c r="BH36" s="50"/>
      <c r="BI36" s="51"/>
    </row>
    <row r="37" spans="1:80" ht="18" customHeight="1" thickBot="1">
      <c r="A37" s="494" t="s">
        <v>669</v>
      </c>
      <c r="B37" s="495"/>
      <c r="C37" s="495"/>
      <c r="D37" s="495"/>
      <c r="E37" s="495"/>
      <c r="F37" s="487"/>
      <c r="G37" s="487"/>
      <c r="H37" s="487"/>
      <c r="I37" s="487"/>
      <c r="J37" s="487"/>
      <c r="K37" s="487"/>
      <c r="L37" s="487"/>
      <c r="M37" s="487"/>
      <c r="N37" s="487"/>
      <c r="O37" s="487"/>
      <c r="P37" s="487"/>
      <c r="Q37" s="487"/>
      <c r="R37" s="487"/>
      <c r="S37" s="487"/>
      <c r="T37" s="487"/>
      <c r="U37" s="487"/>
      <c r="V37" s="487"/>
      <c r="W37" s="487"/>
      <c r="X37" s="487"/>
      <c r="Y37" s="487"/>
      <c r="Z37" s="487"/>
      <c r="AA37" s="487"/>
      <c r="AB37" s="487"/>
      <c r="AC37" s="487"/>
      <c r="AD37" s="487"/>
      <c r="AE37" s="487"/>
      <c r="AF37" s="487"/>
      <c r="AG37" s="487"/>
      <c r="AH37" s="487"/>
      <c r="AI37" s="488"/>
      <c r="AK37" s="544" t="s">
        <v>240</v>
      </c>
      <c r="AL37" s="545"/>
      <c r="AM37" s="545"/>
      <c r="AN37" s="545"/>
      <c r="AO37" s="545"/>
      <c r="AP37" s="545"/>
      <c r="AQ37" s="122"/>
      <c r="AR37" s="48"/>
      <c r="AS37" s="532"/>
      <c r="AT37" s="532"/>
      <c r="AU37" s="439"/>
      <c r="AV37" s="439"/>
      <c r="AW37" s="439"/>
      <c r="BH37" s="50"/>
      <c r="BI37" s="51"/>
    </row>
    <row r="38" spans="1:80" ht="18" customHeight="1" thickBot="1">
      <c r="A38" s="496" t="s">
        <v>670</v>
      </c>
      <c r="B38" s="497"/>
      <c r="C38" s="497"/>
      <c r="D38" s="497"/>
      <c r="E38" s="497"/>
      <c r="F38" s="416" t="s">
        <v>667</v>
      </c>
      <c r="G38" s="416"/>
      <c r="H38" s="416"/>
      <c r="I38" s="416"/>
      <c r="J38" s="416"/>
      <c r="K38" s="416"/>
      <c r="L38" s="424" t="s">
        <v>722</v>
      </c>
      <c r="M38" s="424"/>
      <c r="N38" s="424"/>
      <c r="O38" s="424"/>
      <c r="P38" s="416" t="s">
        <v>671</v>
      </c>
      <c r="Q38" s="416"/>
      <c r="R38" s="416"/>
      <c r="S38" s="416"/>
      <c r="T38" s="416"/>
      <c r="U38" s="416"/>
      <c r="V38" s="416"/>
      <c r="W38" s="416" t="s">
        <v>667</v>
      </c>
      <c r="X38" s="416"/>
      <c r="Y38" s="416"/>
      <c r="Z38" s="416"/>
      <c r="AA38" s="416"/>
      <c r="AB38" s="416"/>
      <c r="AC38" s="424" t="s">
        <v>722</v>
      </c>
      <c r="AD38" s="424"/>
      <c r="AE38" s="424"/>
      <c r="AF38" s="424"/>
      <c r="AG38" s="424"/>
      <c r="AH38" s="424"/>
      <c r="AI38" s="491"/>
      <c r="AK38" s="543"/>
      <c r="AL38" s="543"/>
      <c r="AM38" s="543"/>
      <c r="AN38" s="543"/>
      <c r="AO38" s="543"/>
      <c r="AP38" s="543"/>
      <c r="AQ38" s="59"/>
      <c r="AR38" s="48"/>
      <c r="BC38" s="50"/>
      <c r="BD38" s="51"/>
    </row>
    <row r="39" spans="1:80" ht="18" customHeight="1">
      <c r="A39" s="452" t="s">
        <v>672</v>
      </c>
      <c r="B39" s="453"/>
      <c r="C39" s="453"/>
      <c r="D39" s="453"/>
      <c r="E39" s="453"/>
      <c r="F39" s="453"/>
      <c r="G39" s="453"/>
      <c r="H39" s="453"/>
      <c r="I39" s="453"/>
      <c r="J39" s="453"/>
      <c r="K39" s="453"/>
      <c r="L39" s="453"/>
      <c r="M39" s="453"/>
      <c r="N39" s="453"/>
      <c r="O39" s="453"/>
      <c r="P39" s="453"/>
      <c r="Q39" s="453"/>
      <c r="R39" s="453"/>
      <c r="S39" s="453"/>
      <c r="T39" s="453"/>
      <c r="U39" s="453"/>
      <c r="V39" s="453"/>
      <c r="W39" s="453"/>
      <c r="X39" s="453"/>
      <c r="Y39" s="453"/>
      <c r="Z39" s="453"/>
      <c r="AA39" s="453"/>
      <c r="AB39" s="453"/>
      <c r="AC39" s="453"/>
      <c r="AD39" s="453"/>
      <c r="AE39" s="453"/>
      <c r="AF39" s="453"/>
      <c r="AG39" s="453"/>
      <c r="AH39" s="453"/>
      <c r="AI39" s="454"/>
      <c r="AK39" s="444" t="s">
        <v>673</v>
      </c>
      <c r="AL39" s="444"/>
      <c r="AM39" s="444"/>
      <c r="AN39" s="444"/>
      <c r="AO39" s="444"/>
      <c r="AP39" s="444"/>
      <c r="AQ39" s="42"/>
      <c r="AR39" s="48"/>
      <c r="AS39" s="423" t="s">
        <v>526</v>
      </c>
      <c r="AT39" s="423"/>
      <c r="AU39" s="148">
        <v>20</v>
      </c>
      <c r="AV39" s="423" t="s">
        <v>528</v>
      </c>
      <c r="AW39" s="423"/>
      <c r="BC39" s="50"/>
      <c r="BD39" s="51"/>
    </row>
    <row r="40" spans="1:80" ht="18" customHeight="1">
      <c r="A40" s="464" t="s">
        <v>674</v>
      </c>
      <c r="B40" s="459"/>
      <c r="C40" s="459"/>
      <c r="D40" s="459"/>
      <c r="E40" s="470" t="s">
        <v>675</v>
      </c>
      <c r="F40" s="471"/>
      <c r="G40" s="471"/>
      <c r="H40" s="471"/>
      <c r="I40" s="471"/>
      <c r="J40" s="471"/>
      <c r="K40" s="472"/>
      <c r="L40" s="458" t="s">
        <v>676</v>
      </c>
      <c r="M40" s="459"/>
      <c r="N40" s="459"/>
      <c r="O40" s="459"/>
      <c r="P40" s="459"/>
      <c r="Q40" s="459"/>
      <c r="R40" s="460"/>
      <c r="S40" s="458" t="s">
        <v>677</v>
      </c>
      <c r="T40" s="459"/>
      <c r="U40" s="459"/>
      <c r="V40" s="459"/>
      <c r="W40" s="470" t="s">
        <v>675</v>
      </c>
      <c r="X40" s="471"/>
      <c r="Y40" s="471"/>
      <c r="Z40" s="471"/>
      <c r="AA40" s="471"/>
      <c r="AB40" s="471"/>
      <c r="AC40" s="472"/>
      <c r="AD40" s="458" t="s">
        <v>678</v>
      </c>
      <c r="AE40" s="459"/>
      <c r="AF40" s="459"/>
      <c r="AG40" s="459"/>
      <c r="AH40" s="459"/>
      <c r="AI40" s="463"/>
      <c r="AK40" s="444" t="s">
        <v>679</v>
      </c>
      <c r="AL40" s="444"/>
      <c r="AM40" s="444"/>
      <c r="AN40" s="444"/>
      <c r="AO40" s="444"/>
      <c r="AP40" s="444"/>
      <c r="AQ40" s="42"/>
      <c r="AR40" s="48"/>
      <c r="AS40" s="423" t="s">
        <v>527</v>
      </c>
      <c r="AT40" s="423"/>
      <c r="AU40" s="148">
        <v>43</v>
      </c>
      <c r="AV40" s="560">
        <v>0.57140000000000002</v>
      </c>
      <c r="AW40" s="560"/>
      <c r="BC40" s="50"/>
      <c r="BD40" s="51"/>
    </row>
    <row r="41" spans="1:80" ht="18" customHeight="1">
      <c r="A41" s="464" t="s">
        <v>16</v>
      </c>
      <c r="B41" s="459"/>
      <c r="C41" s="459"/>
      <c r="D41" s="459"/>
      <c r="E41" s="469">
        <f>AX10</f>
        <v>0.33333333333333331</v>
      </c>
      <c r="F41" s="456"/>
      <c r="G41" s="456"/>
      <c r="H41" s="144" t="s">
        <v>680</v>
      </c>
      <c r="I41" s="456">
        <f>AY10</f>
        <v>0.83333333333333337</v>
      </c>
      <c r="J41" s="456"/>
      <c r="K41" s="457"/>
      <c r="L41" s="458" t="str">
        <f>AU10</f>
        <v>三角龍彦</v>
      </c>
      <c r="M41" s="459"/>
      <c r="N41" s="459"/>
      <c r="O41" s="459"/>
      <c r="P41" s="459"/>
      <c r="Q41" s="459"/>
      <c r="R41" s="460"/>
      <c r="S41" s="409" t="s">
        <v>600</v>
      </c>
      <c r="T41" s="410"/>
      <c r="U41" s="410"/>
      <c r="V41" s="410"/>
      <c r="W41" s="414">
        <v>0.39583333333333331</v>
      </c>
      <c r="X41" s="415"/>
      <c r="Y41" s="415"/>
      <c r="Z41" s="40" t="s">
        <v>680</v>
      </c>
      <c r="AA41" s="415">
        <v>0.77083333333333337</v>
      </c>
      <c r="AB41" s="415"/>
      <c r="AC41" s="461"/>
      <c r="AD41" s="409" t="str">
        <f>AU14</f>
        <v>藤井隆幸</v>
      </c>
      <c r="AE41" s="410"/>
      <c r="AF41" s="410"/>
      <c r="AG41" s="410"/>
      <c r="AH41" s="410"/>
      <c r="AI41" s="462"/>
      <c r="AK41" s="444" t="s">
        <v>681</v>
      </c>
      <c r="AL41" s="444"/>
      <c r="AM41" s="444"/>
      <c r="AN41" s="444"/>
      <c r="AO41" s="444"/>
      <c r="AP41" s="444"/>
      <c r="AQ41" s="42"/>
      <c r="AR41" s="48"/>
      <c r="BC41" s="50"/>
      <c r="BD41" s="51"/>
    </row>
    <row r="42" spans="1:80" ht="18" customHeight="1">
      <c r="A42" s="464" t="s">
        <v>24</v>
      </c>
      <c r="B42" s="459"/>
      <c r="C42" s="459"/>
      <c r="D42" s="459"/>
      <c r="E42" s="469">
        <f>AX13</f>
        <v>0.33333333333333331</v>
      </c>
      <c r="F42" s="456"/>
      <c r="G42" s="456"/>
      <c r="H42" s="144" t="s">
        <v>680</v>
      </c>
      <c r="I42" s="456">
        <f>AY12</f>
        <v>0.83333333333333337</v>
      </c>
      <c r="J42" s="456"/>
      <c r="K42" s="457"/>
      <c r="L42" s="458" t="str">
        <f>AU13</f>
        <v>松葉眞</v>
      </c>
      <c r="M42" s="459"/>
      <c r="N42" s="459"/>
      <c r="O42" s="459"/>
      <c r="P42" s="459"/>
      <c r="Q42" s="459"/>
      <c r="R42" s="460"/>
      <c r="S42" s="409"/>
      <c r="T42" s="410"/>
      <c r="U42" s="410"/>
      <c r="V42" s="410"/>
      <c r="W42" s="414"/>
      <c r="X42" s="415"/>
      <c r="Y42" s="415"/>
      <c r="Z42" s="136"/>
      <c r="AA42" s="415"/>
      <c r="AB42" s="415"/>
      <c r="AC42" s="461"/>
      <c r="AD42" s="409">
        <f>AU15</f>
        <v>0</v>
      </c>
      <c r="AE42" s="410"/>
      <c r="AF42" s="410"/>
      <c r="AG42" s="410"/>
      <c r="AH42" s="410"/>
      <c r="AI42" s="462"/>
      <c r="AK42" s="445" t="s">
        <v>682</v>
      </c>
      <c r="AL42" s="445"/>
      <c r="AM42" s="445"/>
      <c r="AN42" s="445"/>
      <c r="AO42" s="445"/>
      <c r="AP42" s="445"/>
      <c r="AQ42" s="42"/>
      <c r="AR42" s="48"/>
      <c r="AS42" s="561" t="s">
        <v>683</v>
      </c>
      <c r="AT42" s="561"/>
      <c r="AU42" s="561"/>
      <c r="AV42" s="561"/>
      <c r="AW42" s="561"/>
      <c r="BC42" s="50"/>
      <c r="BD42" s="51"/>
    </row>
    <row r="43" spans="1:80" ht="18" customHeight="1">
      <c r="A43" s="464" t="s">
        <v>38</v>
      </c>
      <c r="B43" s="459"/>
      <c r="C43" s="459"/>
      <c r="D43" s="459"/>
      <c r="E43" s="469">
        <f>AX16</f>
        <v>0.83333333333333337</v>
      </c>
      <c r="F43" s="456"/>
      <c r="G43" s="456"/>
      <c r="H43" s="144" t="s">
        <v>680</v>
      </c>
      <c r="I43" s="456" t="str">
        <f>AY16</f>
        <v>翌8:00</v>
      </c>
      <c r="J43" s="456"/>
      <c r="K43" s="457"/>
      <c r="L43" s="458" t="str">
        <f>AU16</f>
        <v>末廣信行</v>
      </c>
      <c r="M43" s="459"/>
      <c r="N43" s="459"/>
      <c r="O43" s="459"/>
      <c r="P43" s="459"/>
      <c r="Q43" s="459"/>
      <c r="R43" s="460"/>
      <c r="S43" s="409"/>
      <c r="T43" s="410"/>
      <c r="U43" s="410"/>
      <c r="V43" s="410"/>
      <c r="W43" s="414"/>
      <c r="X43" s="415"/>
      <c r="Y43" s="415"/>
      <c r="Z43" s="136"/>
      <c r="AA43" s="415"/>
      <c r="AB43" s="415"/>
      <c r="AC43" s="461"/>
      <c r="AD43" s="486">
        <f>AU18</f>
        <v>0</v>
      </c>
      <c r="AE43" s="410"/>
      <c r="AF43" s="410"/>
      <c r="AG43" s="410"/>
      <c r="AH43" s="410"/>
      <c r="AI43" s="462"/>
      <c r="AK43" s="444" t="s">
        <v>684</v>
      </c>
      <c r="AL43" s="444"/>
      <c r="AM43" s="444"/>
      <c r="AN43" s="444"/>
      <c r="AO43" s="444"/>
      <c r="AP43" s="444"/>
      <c r="AQ43" s="42"/>
      <c r="AR43" s="43"/>
      <c r="AW43"/>
      <c r="AX43"/>
      <c r="AY43"/>
      <c r="AZ43"/>
      <c r="BA43"/>
      <c r="BB43"/>
      <c r="BC43" s="50"/>
      <c r="BD43" s="51"/>
      <c r="BE43"/>
      <c r="BF43"/>
      <c r="BG43"/>
      <c r="BH43"/>
      <c r="BI43"/>
      <c r="BJ43"/>
      <c r="BK43"/>
      <c r="BL43"/>
      <c r="BM43"/>
      <c r="BN43"/>
      <c r="BO43"/>
      <c r="BP43"/>
      <c r="BQ43"/>
      <c r="BR43"/>
      <c r="BS43"/>
      <c r="BT43"/>
      <c r="BU43"/>
      <c r="BV43"/>
      <c r="BW43"/>
      <c r="BX43"/>
      <c r="BY43"/>
      <c r="BZ43"/>
      <c r="CA43"/>
      <c r="CB43"/>
    </row>
    <row r="44" spans="1:80" ht="18" customHeight="1" thickBot="1">
      <c r="A44" s="473" t="s">
        <v>45</v>
      </c>
      <c r="B44" s="474"/>
      <c r="C44" s="474"/>
      <c r="D44" s="474"/>
      <c r="E44" s="475">
        <f>AX17</f>
        <v>0.83333333333333337</v>
      </c>
      <c r="F44" s="476"/>
      <c r="G44" s="476"/>
      <c r="H44" s="145" t="s">
        <v>680</v>
      </c>
      <c r="I44" s="476" t="str">
        <f>AY17</f>
        <v>翌8:00</v>
      </c>
      <c r="J44" s="476"/>
      <c r="K44" s="477"/>
      <c r="L44" s="478" t="str">
        <f>AU17</f>
        <v>石井忠志</v>
      </c>
      <c r="M44" s="478"/>
      <c r="N44" s="478"/>
      <c r="O44" s="478"/>
      <c r="P44" s="478"/>
      <c r="Q44" s="478"/>
      <c r="R44" s="478"/>
      <c r="S44" s="479"/>
      <c r="T44" s="480"/>
      <c r="U44" s="480"/>
      <c r="V44" s="480"/>
      <c r="W44" s="481"/>
      <c r="X44" s="482"/>
      <c r="Y44" s="482"/>
      <c r="Z44" s="137"/>
      <c r="AA44" s="482"/>
      <c r="AB44" s="482"/>
      <c r="AC44" s="483"/>
      <c r="AD44" s="484">
        <f>AU19</f>
        <v>0</v>
      </c>
      <c r="AE44" s="480"/>
      <c r="AF44" s="480"/>
      <c r="AG44" s="480"/>
      <c r="AH44" s="480"/>
      <c r="AI44" s="485"/>
      <c r="AK44" s="446" t="s">
        <v>685</v>
      </c>
      <c r="AL44" s="446"/>
      <c r="AM44" s="446"/>
      <c r="AN44" s="446"/>
      <c r="AO44" s="446"/>
      <c r="AP44" s="446"/>
      <c r="AQ44" s="42"/>
      <c r="AR44" s="43"/>
      <c r="BC44" s="50"/>
      <c r="BD44" s="51"/>
    </row>
    <row r="45" spans="1:80" ht="18" customHeight="1" thickBot="1">
      <c r="A45" s="27"/>
      <c r="B45" s="27"/>
      <c r="C45" s="27"/>
      <c r="D45" s="27"/>
      <c r="E45" s="27"/>
      <c r="F45" s="27"/>
      <c r="G45" s="27"/>
      <c r="H45" s="27"/>
      <c r="I45" s="27"/>
      <c r="R45" s="307">
        <f>A7</f>
        <v>46194</v>
      </c>
      <c r="S45" s="308"/>
      <c r="T45" s="308"/>
      <c r="U45" s="308"/>
      <c r="V45" s="23" t="s">
        <v>169</v>
      </c>
      <c r="W45" s="309">
        <f>G7</f>
        <v>46194</v>
      </c>
      <c r="X45" s="308"/>
      <c r="Y45" s="23" t="s">
        <v>170</v>
      </c>
      <c r="Z45" s="310">
        <f>K7</f>
        <v>46194</v>
      </c>
      <c r="AA45" s="308"/>
      <c r="AB45" s="23" t="s">
        <v>3</v>
      </c>
      <c r="AC45" s="455">
        <f>O7</f>
        <v>46194</v>
      </c>
      <c r="AD45" s="308"/>
      <c r="AE45" s="308" t="s">
        <v>292</v>
      </c>
      <c r="AF45" s="308"/>
      <c r="AK45" s="425" t="s">
        <v>686</v>
      </c>
      <c r="AL45" s="425"/>
      <c r="AM45" s="425"/>
      <c r="AN45" s="425"/>
      <c r="AO45" s="425"/>
      <c r="AP45" s="425"/>
      <c r="AQ45" s="42"/>
      <c r="AR45" s="43"/>
      <c r="BC45" s="50"/>
      <c r="BD45" s="51"/>
    </row>
    <row r="46" spans="1:80" customFormat="1" ht="18" customHeight="1">
      <c r="A46" s="452" t="s">
        <v>598</v>
      </c>
      <c r="B46" s="453"/>
      <c r="C46" s="453"/>
      <c r="D46" s="453"/>
      <c r="E46" s="453"/>
      <c r="F46" s="453"/>
      <c r="G46" s="453"/>
      <c r="H46" s="453"/>
      <c r="I46" s="453"/>
      <c r="J46" s="453"/>
      <c r="K46" s="453"/>
      <c r="L46" s="453"/>
      <c r="M46" s="453"/>
      <c r="N46" s="453"/>
      <c r="O46" s="453"/>
      <c r="P46" s="453"/>
      <c r="Q46" s="453"/>
      <c r="R46" s="453"/>
      <c r="S46" s="453"/>
      <c r="T46" s="453"/>
      <c r="U46" s="453"/>
      <c r="V46" s="453"/>
      <c r="W46" s="453"/>
      <c r="X46" s="453"/>
      <c r="Y46" s="453"/>
      <c r="Z46" s="453"/>
      <c r="AA46" s="453"/>
      <c r="AB46" s="453"/>
      <c r="AC46" s="453"/>
      <c r="AD46" s="453"/>
      <c r="AE46" s="453"/>
      <c r="AF46" s="453"/>
      <c r="AG46" s="453"/>
      <c r="AH46" s="453"/>
      <c r="AI46" s="454"/>
      <c r="AK46" s="425" t="s">
        <v>687</v>
      </c>
      <c r="AL46" s="425"/>
      <c r="AM46" s="425"/>
      <c r="AN46" s="425"/>
      <c r="AO46" s="425"/>
      <c r="AP46" s="425"/>
      <c r="AQ46" s="42"/>
      <c r="AR46" s="43"/>
      <c r="AW46" s="23"/>
      <c r="AX46" s="23"/>
      <c r="AY46" s="23"/>
      <c r="AZ46" s="23"/>
      <c r="BA46" s="23"/>
      <c r="BB46" s="23"/>
      <c r="BC46" s="50"/>
      <c r="BD46" s="51"/>
      <c r="BE46" s="23"/>
      <c r="BF46" s="23"/>
      <c r="BG46" s="23"/>
      <c r="BH46" s="23"/>
      <c r="BI46" s="23"/>
      <c r="BJ46" s="23"/>
      <c r="BK46" s="23"/>
      <c r="BL46" s="23"/>
      <c r="BM46" s="23"/>
      <c r="BN46" s="23"/>
      <c r="BO46" s="23"/>
      <c r="BP46" s="23"/>
      <c r="BQ46" s="23"/>
      <c r="BR46" s="23"/>
      <c r="BS46" s="23"/>
      <c r="BT46" s="23"/>
      <c r="BU46" s="23"/>
      <c r="BV46" s="23"/>
      <c r="BW46" s="23"/>
      <c r="BX46" s="23"/>
      <c r="BY46" s="23"/>
      <c r="BZ46" s="23"/>
      <c r="CA46" s="23"/>
      <c r="CB46" s="23"/>
    </row>
    <row r="47" spans="1:80" ht="18" customHeight="1">
      <c r="A47" s="36"/>
      <c r="B47" s="404"/>
      <c r="C47" s="404"/>
      <c r="D47" s="404"/>
      <c r="E47" s="404"/>
      <c r="F47" s="288" t="s">
        <v>947</v>
      </c>
      <c r="G47" s="288"/>
      <c r="H47" s="288"/>
      <c r="I47" s="288"/>
      <c r="J47" s="288"/>
      <c r="K47" s="288"/>
      <c r="L47" s="288"/>
      <c r="M47" s="288"/>
      <c r="N47" s="288"/>
      <c r="O47" s="288"/>
      <c r="P47" s="288"/>
      <c r="Q47" s="288"/>
      <c r="R47" s="288"/>
      <c r="S47" s="288"/>
      <c r="T47" s="288"/>
      <c r="U47" s="288"/>
      <c r="V47" s="288"/>
      <c r="W47" s="288"/>
      <c r="X47" s="288"/>
      <c r="Y47" s="288"/>
      <c r="Z47" s="288"/>
      <c r="AA47" s="288"/>
      <c r="AB47" s="288"/>
      <c r="AC47" s="288"/>
      <c r="AD47" s="288"/>
      <c r="AE47" s="288"/>
      <c r="AF47" s="288"/>
      <c r="AG47" s="288"/>
      <c r="AH47" s="288"/>
      <c r="AI47" s="289"/>
      <c r="AK47" s="425" t="s">
        <v>688</v>
      </c>
      <c r="AL47" s="425"/>
      <c r="AM47" s="425"/>
      <c r="AN47" s="425"/>
      <c r="AO47" s="425"/>
      <c r="AP47" s="425"/>
      <c r="AQ47" s="42"/>
      <c r="AR47" s="43"/>
      <c r="AS47" s="120" t="s">
        <v>189</v>
      </c>
      <c r="AT47" s="43" t="s">
        <v>728</v>
      </c>
      <c r="AU47" s="43"/>
      <c r="BC47" s="50"/>
      <c r="BD47" s="51"/>
    </row>
    <row r="48" spans="1:80" ht="18" customHeight="1">
      <c r="A48" s="36"/>
      <c r="B48" s="404"/>
      <c r="C48" s="404"/>
      <c r="D48" s="404"/>
      <c r="E48" s="404"/>
      <c r="F48" s="288" t="s">
        <v>948</v>
      </c>
      <c r="G48" s="288"/>
      <c r="H48" s="288"/>
      <c r="I48" s="288"/>
      <c r="J48" s="288"/>
      <c r="K48" s="288"/>
      <c r="L48" s="288"/>
      <c r="M48" s="288"/>
      <c r="N48" s="288"/>
      <c r="O48" s="288"/>
      <c r="P48" s="288"/>
      <c r="Q48" s="288"/>
      <c r="R48" s="288"/>
      <c r="S48" s="288"/>
      <c r="T48" s="288"/>
      <c r="U48" s="288"/>
      <c r="V48" s="288"/>
      <c r="W48" s="288"/>
      <c r="X48" s="288"/>
      <c r="Y48" s="288"/>
      <c r="Z48" s="288"/>
      <c r="AA48" s="288"/>
      <c r="AB48" s="288"/>
      <c r="AC48" s="288"/>
      <c r="AD48" s="288"/>
      <c r="AE48" s="288"/>
      <c r="AF48" s="288"/>
      <c r="AG48" s="288"/>
      <c r="AH48" s="288"/>
      <c r="AI48" s="289"/>
      <c r="AK48" s="425" t="s">
        <v>690</v>
      </c>
      <c r="AL48" s="425"/>
      <c r="AM48" s="425"/>
      <c r="AN48" s="425"/>
      <c r="AO48" s="425"/>
      <c r="AP48" s="425"/>
      <c r="AQ48" s="42"/>
      <c r="AR48" s="43"/>
      <c r="AS48" s="43"/>
      <c r="AT48" s="43"/>
      <c r="AU48" s="43"/>
      <c r="BC48" s="50"/>
      <c r="BD48" s="51"/>
    </row>
    <row r="49" spans="1:61" ht="18" customHeight="1">
      <c r="A49" s="36"/>
      <c r="B49" s="404"/>
      <c r="C49" s="404"/>
      <c r="D49" s="404"/>
      <c r="E49" s="404"/>
      <c r="F49" s="288" t="s">
        <v>949</v>
      </c>
      <c r="G49" s="288"/>
      <c r="H49" s="288"/>
      <c r="I49" s="288"/>
      <c r="J49" s="288"/>
      <c r="K49" s="288"/>
      <c r="L49" s="288"/>
      <c r="M49" s="288"/>
      <c r="N49" s="288"/>
      <c r="O49" s="288"/>
      <c r="P49" s="288"/>
      <c r="Q49" s="288"/>
      <c r="R49" s="288"/>
      <c r="S49" s="288"/>
      <c r="T49" s="288"/>
      <c r="U49" s="288"/>
      <c r="V49" s="288"/>
      <c r="W49" s="288"/>
      <c r="X49" s="288"/>
      <c r="Y49" s="288"/>
      <c r="Z49" s="288"/>
      <c r="AA49" s="288"/>
      <c r="AB49" s="288"/>
      <c r="AC49" s="288"/>
      <c r="AD49" s="288"/>
      <c r="AE49" s="288"/>
      <c r="AF49" s="288"/>
      <c r="AG49" s="288"/>
      <c r="AH49" s="288"/>
      <c r="AI49" s="289"/>
      <c r="AK49" s="425" t="s">
        <v>691</v>
      </c>
      <c r="AL49" s="425"/>
      <c r="AM49" s="425"/>
      <c r="AN49" s="425"/>
      <c r="AO49" s="425"/>
      <c r="AP49" s="425"/>
      <c r="AQ49" s="42"/>
      <c r="AR49" s="43"/>
      <c r="AS49" s="43"/>
      <c r="AT49" s="43"/>
      <c r="AU49" s="43"/>
      <c r="BC49" s="50"/>
      <c r="BD49" s="51"/>
    </row>
    <row r="50" spans="1:61" ht="18" customHeight="1">
      <c r="A50" s="36" t="s">
        <v>935</v>
      </c>
      <c r="B50" s="404">
        <v>0.29444444444444445</v>
      </c>
      <c r="C50" s="404"/>
      <c r="D50" s="404"/>
      <c r="E50" s="404"/>
      <c r="F50" s="288" t="s">
        <v>689</v>
      </c>
      <c r="G50" s="288"/>
      <c r="H50" s="288"/>
      <c r="I50" s="288"/>
      <c r="J50" s="288"/>
      <c r="K50" s="288"/>
      <c r="L50" s="288"/>
      <c r="M50" s="288"/>
      <c r="N50" s="288"/>
      <c r="O50" s="288"/>
      <c r="P50" s="288"/>
      <c r="Q50" s="288"/>
      <c r="R50" s="288"/>
      <c r="S50" s="288"/>
      <c r="T50" s="288"/>
      <c r="U50" s="288"/>
      <c r="V50" s="288"/>
      <c r="W50" s="288"/>
      <c r="X50" s="288"/>
      <c r="Y50" s="288"/>
      <c r="Z50" s="288"/>
      <c r="AA50" s="288"/>
      <c r="AB50" s="288"/>
      <c r="AC50" s="288"/>
      <c r="AD50" s="288"/>
      <c r="AE50" s="288"/>
      <c r="AF50" s="288"/>
      <c r="AG50" s="288"/>
      <c r="AH50" s="288"/>
      <c r="AI50" s="289"/>
      <c r="AK50" s="425" t="s">
        <v>692</v>
      </c>
      <c r="AL50" s="425"/>
      <c r="AM50" s="425"/>
      <c r="AN50" s="425"/>
      <c r="AO50" s="425"/>
      <c r="AP50" s="425"/>
      <c r="AQ50" s="42"/>
      <c r="AR50" s="43"/>
      <c r="AS50" s="43"/>
      <c r="AT50" s="43"/>
      <c r="AU50" s="43"/>
      <c r="BC50" s="50"/>
      <c r="BD50" s="51"/>
    </row>
    <row r="51" spans="1:61" ht="18" customHeight="1">
      <c r="A51" s="36"/>
      <c r="B51" s="404"/>
      <c r="C51" s="404"/>
      <c r="D51" s="404"/>
      <c r="E51" s="404"/>
      <c r="F51" s="288"/>
      <c r="G51" s="288"/>
      <c r="H51" s="288"/>
      <c r="I51" s="288"/>
      <c r="J51" s="288"/>
      <c r="K51" s="288"/>
      <c r="L51" s="288"/>
      <c r="M51" s="288"/>
      <c r="N51" s="288"/>
      <c r="O51" s="288"/>
      <c r="P51" s="288"/>
      <c r="Q51" s="288"/>
      <c r="R51" s="288"/>
      <c r="S51" s="288"/>
      <c r="T51" s="288"/>
      <c r="U51" s="288"/>
      <c r="V51" s="288"/>
      <c r="W51" s="288"/>
      <c r="X51" s="288"/>
      <c r="Y51" s="288"/>
      <c r="Z51" s="288"/>
      <c r="AA51" s="288"/>
      <c r="AB51" s="288"/>
      <c r="AC51" s="288"/>
      <c r="AD51" s="288"/>
      <c r="AE51" s="288"/>
      <c r="AF51" s="288"/>
      <c r="AG51" s="288"/>
      <c r="AH51" s="288"/>
      <c r="AI51" s="289"/>
      <c r="AK51" s="425" t="s">
        <v>693</v>
      </c>
      <c r="AL51" s="425"/>
      <c r="AM51" s="425"/>
      <c r="AN51" s="425"/>
      <c r="AO51" s="425"/>
      <c r="AP51" s="425"/>
      <c r="AQ51" s="42"/>
      <c r="AR51" s="43"/>
      <c r="AS51" s="43"/>
      <c r="AT51" s="43"/>
      <c r="AU51" s="43"/>
      <c r="BC51" s="50"/>
      <c r="BD51" s="51"/>
    </row>
    <row r="52" spans="1:61" ht="18" customHeight="1">
      <c r="A52" s="36"/>
      <c r="B52" s="404"/>
      <c r="C52" s="404"/>
      <c r="D52" s="404"/>
      <c r="E52" s="404"/>
      <c r="F52" s="288"/>
      <c r="G52" s="288"/>
      <c r="H52" s="288"/>
      <c r="I52" s="288"/>
      <c r="J52" s="288"/>
      <c r="K52" s="288"/>
      <c r="L52" s="288"/>
      <c r="M52" s="288"/>
      <c r="N52" s="288"/>
      <c r="O52" s="288"/>
      <c r="P52" s="288"/>
      <c r="Q52" s="288"/>
      <c r="R52" s="288"/>
      <c r="S52" s="288"/>
      <c r="T52" s="288"/>
      <c r="U52" s="288"/>
      <c r="V52" s="288"/>
      <c r="W52" s="288"/>
      <c r="X52" s="288"/>
      <c r="Y52" s="288"/>
      <c r="Z52" s="288"/>
      <c r="AA52" s="288"/>
      <c r="AB52" s="288"/>
      <c r="AC52" s="288"/>
      <c r="AD52" s="288"/>
      <c r="AE52" s="288"/>
      <c r="AF52" s="288"/>
      <c r="AG52" s="288"/>
      <c r="AH52" s="288"/>
      <c r="AI52" s="289"/>
      <c r="AK52" s="425" t="s">
        <v>694</v>
      </c>
      <c r="AL52" s="425"/>
      <c r="AM52" s="425"/>
      <c r="AN52" s="425"/>
      <c r="AO52" s="425"/>
      <c r="AP52" s="425"/>
      <c r="AQ52" s="42"/>
      <c r="AR52" s="43"/>
      <c r="AS52" s="43"/>
      <c r="AV52" s="43"/>
      <c r="AW52" s="43"/>
      <c r="AX52" s="43"/>
      <c r="AY52" s="43"/>
      <c r="AZ52" s="43"/>
      <c r="BA52" s="43"/>
      <c r="BH52" s="52"/>
      <c r="BI52" s="51"/>
    </row>
    <row r="53" spans="1:61" ht="18" customHeight="1">
      <c r="A53" s="36"/>
      <c r="B53" s="404"/>
      <c r="C53" s="404"/>
      <c r="D53" s="404"/>
      <c r="E53" s="404"/>
      <c r="F53" s="288"/>
      <c r="G53" s="288"/>
      <c r="H53" s="288"/>
      <c r="I53" s="288"/>
      <c r="J53" s="288"/>
      <c r="K53" s="288"/>
      <c r="L53" s="288"/>
      <c r="M53" s="288"/>
      <c r="N53" s="288"/>
      <c r="O53" s="288"/>
      <c r="P53" s="288"/>
      <c r="Q53" s="288"/>
      <c r="R53" s="288"/>
      <c r="S53" s="288"/>
      <c r="T53" s="288"/>
      <c r="U53" s="288"/>
      <c r="V53" s="288"/>
      <c r="W53" s="288"/>
      <c r="X53" s="288"/>
      <c r="Y53" s="288"/>
      <c r="Z53" s="288"/>
      <c r="AA53" s="288"/>
      <c r="AB53" s="288"/>
      <c r="AC53" s="288"/>
      <c r="AD53" s="288"/>
      <c r="AE53" s="288"/>
      <c r="AF53" s="288"/>
      <c r="AG53" s="288"/>
      <c r="AH53" s="288"/>
      <c r="AI53" s="289"/>
      <c r="AK53" s="425" t="s">
        <v>695</v>
      </c>
      <c r="AL53" s="425"/>
      <c r="AM53" s="425"/>
      <c r="AN53" s="425"/>
      <c r="AO53" s="425"/>
      <c r="AP53" s="425"/>
      <c r="AQ53" s="42"/>
      <c r="AR53" s="43"/>
      <c r="AS53" s="43"/>
      <c r="AT53" s="43"/>
      <c r="AU53" s="43"/>
      <c r="AV53" s="43"/>
      <c r="AW53" s="43"/>
      <c r="AX53" s="43"/>
      <c r="AY53" s="43"/>
      <c r="AZ53" s="43"/>
      <c r="BH53" s="50"/>
      <c r="BI53" s="51"/>
    </row>
    <row r="54" spans="1:61" ht="18" customHeight="1">
      <c r="A54" s="36"/>
      <c r="B54" s="404"/>
      <c r="C54" s="404"/>
      <c r="D54" s="404"/>
      <c r="E54" s="404"/>
      <c r="F54" s="288"/>
      <c r="G54" s="288"/>
      <c r="H54" s="288"/>
      <c r="I54" s="288"/>
      <c r="J54" s="288"/>
      <c r="K54" s="288"/>
      <c r="L54" s="288"/>
      <c r="M54" s="288"/>
      <c r="N54" s="288"/>
      <c r="O54" s="288"/>
      <c r="P54" s="288"/>
      <c r="Q54" s="288"/>
      <c r="R54" s="288"/>
      <c r="S54" s="288"/>
      <c r="T54" s="288"/>
      <c r="U54" s="288"/>
      <c r="V54" s="288"/>
      <c r="W54" s="288"/>
      <c r="X54" s="288"/>
      <c r="Y54" s="288"/>
      <c r="Z54" s="288"/>
      <c r="AA54" s="288"/>
      <c r="AB54" s="288"/>
      <c r="AC54" s="288"/>
      <c r="AD54" s="288"/>
      <c r="AE54" s="288"/>
      <c r="AF54" s="288"/>
      <c r="AG54" s="288"/>
      <c r="AH54" s="288"/>
      <c r="AI54" s="289"/>
      <c r="AK54" s="425" t="s">
        <v>696</v>
      </c>
      <c r="AL54" s="425"/>
      <c r="AM54" s="425"/>
      <c r="AN54" s="425"/>
      <c r="AO54" s="425"/>
      <c r="AP54" s="425"/>
      <c r="AQ54" s="42"/>
      <c r="AR54" s="43"/>
      <c r="AS54" s="43"/>
      <c r="AT54" s="43"/>
      <c r="AU54" s="43"/>
      <c r="AV54" s="43"/>
      <c r="AW54" s="43"/>
      <c r="AX54" s="43"/>
      <c r="AY54" s="43"/>
      <c r="AZ54" s="43"/>
      <c r="BH54" s="50"/>
      <c r="BI54" s="51"/>
    </row>
    <row r="55" spans="1:61" ht="18" customHeight="1">
      <c r="A55" s="36"/>
      <c r="B55" s="404"/>
      <c r="C55" s="404"/>
      <c r="D55" s="404"/>
      <c r="E55" s="404"/>
      <c r="F55" s="288"/>
      <c r="G55" s="288"/>
      <c r="H55" s="288"/>
      <c r="I55" s="288"/>
      <c r="J55" s="288"/>
      <c r="K55" s="288"/>
      <c r="L55" s="288"/>
      <c r="M55" s="288"/>
      <c r="N55" s="288"/>
      <c r="O55" s="288"/>
      <c r="P55" s="288"/>
      <c r="Q55" s="288"/>
      <c r="R55" s="288"/>
      <c r="S55" s="288"/>
      <c r="T55" s="288"/>
      <c r="U55" s="288"/>
      <c r="V55" s="288"/>
      <c r="W55" s="288"/>
      <c r="X55" s="288"/>
      <c r="Y55" s="288"/>
      <c r="Z55" s="288"/>
      <c r="AA55" s="288"/>
      <c r="AB55" s="288"/>
      <c r="AC55" s="288"/>
      <c r="AD55" s="288"/>
      <c r="AE55" s="288"/>
      <c r="AF55" s="288"/>
      <c r="AG55" s="288"/>
      <c r="AH55" s="288"/>
      <c r="AI55" s="289"/>
      <c r="AK55" s="425" t="s">
        <v>697</v>
      </c>
      <c r="AL55" s="425"/>
      <c r="AM55" s="425"/>
      <c r="AN55" s="425"/>
      <c r="AO55" s="425"/>
      <c r="AP55" s="425"/>
      <c r="AQ55" s="42"/>
      <c r="AR55" s="43"/>
      <c r="AS55" s="43"/>
      <c r="AT55" s="43"/>
      <c r="AU55" s="43"/>
      <c r="AV55" s="43"/>
      <c r="AW55" s="43"/>
      <c r="AX55" s="43"/>
      <c r="AY55" s="43"/>
      <c r="AZ55" s="43"/>
      <c r="BH55" s="50"/>
      <c r="BI55" s="51"/>
    </row>
    <row r="56" spans="1:61" ht="18" customHeight="1">
      <c r="A56" s="36"/>
      <c r="B56" s="404"/>
      <c r="C56" s="404"/>
      <c r="D56" s="404"/>
      <c r="E56" s="404"/>
      <c r="F56" s="288"/>
      <c r="G56" s="288"/>
      <c r="H56" s="288"/>
      <c r="I56" s="288"/>
      <c r="J56" s="288"/>
      <c r="K56" s="288"/>
      <c r="L56" s="288"/>
      <c r="M56" s="288"/>
      <c r="N56" s="288"/>
      <c r="O56" s="288"/>
      <c r="P56" s="288"/>
      <c r="Q56" s="288"/>
      <c r="R56" s="288"/>
      <c r="S56" s="288"/>
      <c r="T56" s="288"/>
      <c r="U56" s="288"/>
      <c r="V56" s="288"/>
      <c r="W56" s="288"/>
      <c r="X56" s="288"/>
      <c r="Y56" s="288"/>
      <c r="Z56" s="288"/>
      <c r="AA56" s="288"/>
      <c r="AB56" s="288"/>
      <c r="AC56" s="288"/>
      <c r="AD56" s="288"/>
      <c r="AE56" s="288"/>
      <c r="AF56" s="288"/>
      <c r="AG56" s="288"/>
      <c r="AH56" s="288"/>
      <c r="AI56" s="289"/>
      <c r="AK56" s="425" t="s">
        <v>698</v>
      </c>
      <c r="AL56" s="425"/>
      <c r="AM56" s="425"/>
      <c r="AN56" s="425"/>
      <c r="AO56" s="425"/>
      <c r="AP56" s="425"/>
      <c r="AQ56" s="42"/>
      <c r="AR56" s="43"/>
      <c r="AS56" s="43"/>
      <c r="AT56" s="43"/>
      <c r="AU56" s="43"/>
      <c r="AV56" s="43"/>
      <c r="AW56" s="43"/>
      <c r="AX56" s="43"/>
      <c r="AY56" s="43"/>
      <c r="AZ56" s="43"/>
      <c r="BH56" s="52"/>
      <c r="BI56" s="51"/>
    </row>
    <row r="57" spans="1:61" ht="18" customHeight="1">
      <c r="A57" s="36"/>
      <c r="B57" s="404"/>
      <c r="C57" s="404"/>
      <c r="D57" s="404"/>
      <c r="E57" s="404"/>
      <c r="F57" s="288"/>
      <c r="G57" s="288"/>
      <c r="H57" s="288"/>
      <c r="I57" s="288"/>
      <c r="J57" s="288"/>
      <c r="K57" s="288"/>
      <c r="L57" s="288"/>
      <c r="M57" s="288"/>
      <c r="N57" s="288"/>
      <c r="O57" s="288"/>
      <c r="P57" s="288"/>
      <c r="Q57" s="288"/>
      <c r="R57" s="288"/>
      <c r="S57" s="288"/>
      <c r="T57" s="288"/>
      <c r="U57" s="288"/>
      <c r="V57" s="288"/>
      <c r="W57" s="288"/>
      <c r="X57" s="288"/>
      <c r="Y57" s="288"/>
      <c r="Z57" s="288"/>
      <c r="AA57" s="288"/>
      <c r="AB57" s="288"/>
      <c r="AC57" s="288"/>
      <c r="AD57" s="288"/>
      <c r="AE57" s="288"/>
      <c r="AF57" s="288"/>
      <c r="AG57" s="288"/>
      <c r="AH57" s="288"/>
      <c r="AI57" s="289"/>
      <c r="AK57" s="425" t="s">
        <v>699</v>
      </c>
      <c r="AL57" s="425"/>
      <c r="AM57" s="425"/>
      <c r="AN57" s="425"/>
      <c r="AO57" s="425"/>
      <c r="AP57" s="425"/>
      <c r="AQ57" s="42"/>
      <c r="AR57" s="43"/>
      <c r="AS57" s="43"/>
      <c r="AT57" s="43"/>
      <c r="AU57" s="43"/>
      <c r="AV57" s="43"/>
      <c r="AW57" s="43"/>
      <c r="AX57" s="43"/>
      <c r="AY57" s="43"/>
      <c r="AZ57" s="43"/>
      <c r="BH57" s="50"/>
      <c r="BI57" s="51"/>
    </row>
    <row r="58" spans="1:61" ht="18" customHeight="1">
      <c r="A58" s="36"/>
      <c r="B58" s="404"/>
      <c r="C58" s="404"/>
      <c r="D58" s="404"/>
      <c r="E58" s="404"/>
      <c r="F58" s="288"/>
      <c r="G58" s="288"/>
      <c r="H58" s="288"/>
      <c r="I58" s="288"/>
      <c r="J58" s="288"/>
      <c r="K58" s="288"/>
      <c r="L58" s="288"/>
      <c r="M58" s="288"/>
      <c r="N58" s="288"/>
      <c r="O58" s="288"/>
      <c r="P58" s="288"/>
      <c r="Q58" s="288"/>
      <c r="R58" s="288"/>
      <c r="S58" s="288"/>
      <c r="T58" s="288"/>
      <c r="U58" s="288"/>
      <c r="V58" s="288"/>
      <c r="W58" s="288"/>
      <c r="X58" s="288"/>
      <c r="Y58" s="288"/>
      <c r="Z58" s="288"/>
      <c r="AA58" s="288"/>
      <c r="AB58" s="288"/>
      <c r="AC58" s="288"/>
      <c r="AD58" s="288"/>
      <c r="AE58" s="288"/>
      <c r="AF58" s="288"/>
      <c r="AG58" s="288"/>
      <c r="AH58" s="288"/>
      <c r="AI58" s="289"/>
      <c r="AK58" s="425" t="s">
        <v>700</v>
      </c>
      <c r="AL58" s="425"/>
      <c r="AM58" s="425"/>
      <c r="AN58" s="425"/>
      <c r="AO58" s="425"/>
      <c r="AP58" s="425"/>
      <c r="AQ58" s="42"/>
      <c r="AR58" s="43"/>
      <c r="AS58" s="43"/>
      <c r="AT58" s="43"/>
      <c r="AU58" s="43"/>
      <c r="AV58" s="43"/>
      <c r="AW58" s="43"/>
      <c r="AX58" s="43"/>
      <c r="AY58" s="43"/>
      <c r="AZ58" s="43"/>
      <c r="BH58" s="50"/>
      <c r="BI58" s="51"/>
    </row>
    <row r="59" spans="1:61" ht="18" customHeight="1">
      <c r="A59" s="36"/>
      <c r="B59" s="404"/>
      <c r="C59" s="404"/>
      <c r="D59" s="404"/>
      <c r="E59" s="404"/>
      <c r="F59" s="288"/>
      <c r="G59" s="288"/>
      <c r="H59" s="288"/>
      <c r="I59" s="288"/>
      <c r="J59" s="288"/>
      <c r="K59" s="288"/>
      <c r="L59" s="288"/>
      <c r="M59" s="288"/>
      <c r="N59" s="288"/>
      <c r="O59" s="288"/>
      <c r="P59" s="288"/>
      <c r="Q59" s="288"/>
      <c r="R59" s="288"/>
      <c r="S59" s="288"/>
      <c r="T59" s="288"/>
      <c r="U59" s="288"/>
      <c r="V59" s="288"/>
      <c r="W59" s="288"/>
      <c r="X59" s="288"/>
      <c r="Y59" s="288"/>
      <c r="Z59" s="288"/>
      <c r="AA59" s="288"/>
      <c r="AB59" s="288"/>
      <c r="AC59" s="288"/>
      <c r="AD59" s="288"/>
      <c r="AE59" s="288"/>
      <c r="AF59" s="288"/>
      <c r="AG59" s="288"/>
      <c r="AH59" s="288"/>
      <c r="AI59" s="289"/>
      <c r="AK59" s="425" t="s">
        <v>701</v>
      </c>
      <c r="AL59" s="425"/>
      <c r="AM59" s="425"/>
      <c r="AN59" s="425"/>
      <c r="AO59" s="425"/>
      <c r="AP59" s="425"/>
      <c r="AQ59" s="42"/>
      <c r="AR59" s="43"/>
      <c r="AS59" s="43"/>
      <c r="AT59" s="43"/>
      <c r="AU59" s="43"/>
      <c r="AV59" s="43"/>
      <c r="AW59" s="43"/>
      <c r="AX59" s="43"/>
      <c r="AY59" s="43"/>
      <c r="AZ59" s="43"/>
      <c r="BH59" s="50"/>
      <c r="BI59" s="51"/>
    </row>
    <row r="60" spans="1:61" ht="18" customHeight="1">
      <c r="A60" s="36"/>
      <c r="B60" s="404"/>
      <c r="C60" s="404"/>
      <c r="D60" s="404"/>
      <c r="E60" s="404"/>
      <c r="F60" s="288"/>
      <c r="G60" s="288"/>
      <c r="H60" s="288"/>
      <c r="I60" s="288"/>
      <c r="J60" s="288"/>
      <c r="K60" s="288"/>
      <c r="L60" s="288"/>
      <c r="M60" s="288"/>
      <c r="N60" s="288"/>
      <c r="O60" s="288"/>
      <c r="P60" s="288"/>
      <c r="Q60" s="288"/>
      <c r="R60" s="288"/>
      <c r="S60" s="288"/>
      <c r="T60" s="288"/>
      <c r="U60" s="288"/>
      <c r="V60" s="288"/>
      <c r="W60" s="288"/>
      <c r="X60" s="288"/>
      <c r="Y60" s="288"/>
      <c r="Z60" s="288"/>
      <c r="AA60" s="288"/>
      <c r="AB60" s="288"/>
      <c r="AC60" s="288"/>
      <c r="AD60" s="288"/>
      <c r="AE60" s="288"/>
      <c r="AF60" s="288"/>
      <c r="AG60" s="288"/>
      <c r="AH60" s="288"/>
      <c r="AI60" s="289"/>
      <c r="AK60" s="425" t="s">
        <v>702</v>
      </c>
      <c r="AL60" s="425"/>
      <c r="AM60" s="425"/>
      <c r="AN60" s="425"/>
      <c r="AO60" s="425"/>
      <c r="AP60" s="425"/>
      <c r="AQ60" s="42"/>
      <c r="AR60" s="43"/>
      <c r="AS60" s="43"/>
      <c r="AT60" s="43"/>
      <c r="AU60" s="43"/>
      <c r="AV60" s="43"/>
      <c r="AW60" s="43"/>
      <c r="AX60" s="43"/>
      <c r="AY60" s="43"/>
      <c r="AZ60" s="43"/>
      <c r="BH60" s="52"/>
      <c r="BI60" s="51"/>
    </row>
    <row r="61" spans="1:61" ht="18" customHeight="1">
      <c r="A61" s="36"/>
      <c r="B61" s="404"/>
      <c r="C61" s="404"/>
      <c r="D61" s="404"/>
      <c r="E61" s="404"/>
      <c r="F61" s="288"/>
      <c r="G61" s="288"/>
      <c r="H61" s="288"/>
      <c r="I61" s="288"/>
      <c r="J61" s="288"/>
      <c r="K61" s="288"/>
      <c r="L61" s="288"/>
      <c r="M61" s="288"/>
      <c r="N61" s="288"/>
      <c r="O61" s="288"/>
      <c r="P61" s="288"/>
      <c r="Q61" s="288"/>
      <c r="R61" s="288"/>
      <c r="S61" s="288"/>
      <c r="T61" s="288"/>
      <c r="U61" s="288"/>
      <c r="V61" s="288"/>
      <c r="W61" s="288"/>
      <c r="X61" s="288"/>
      <c r="Y61" s="288"/>
      <c r="Z61" s="288"/>
      <c r="AA61" s="288"/>
      <c r="AB61" s="288"/>
      <c r="AC61" s="288"/>
      <c r="AD61" s="288"/>
      <c r="AE61" s="288"/>
      <c r="AF61" s="288"/>
      <c r="AG61" s="288"/>
      <c r="AH61" s="288"/>
      <c r="AI61" s="289"/>
      <c r="AK61" s="425" t="s">
        <v>703</v>
      </c>
      <c r="AL61" s="425"/>
      <c r="AM61" s="425"/>
      <c r="AN61" s="425"/>
      <c r="AO61" s="425"/>
      <c r="AP61" s="425"/>
      <c r="AQ61" s="42"/>
      <c r="AR61" s="43"/>
      <c r="AS61" s="43"/>
      <c r="AT61" s="43"/>
      <c r="AU61" s="43"/>
      <c r="AV61" s="43"/>
      <c r="AW61" s="43"/>
      <c r="AX61" s="43"/>
      <c r="AY61" s="43"/>
      <c r="AZ61" s="43"/>
      <c r="BH61" s="50"/>
      <c r="BI61" s="51"/>
    </row>
    <row r="62" spans="1:61" ht="18" customHeight="1">
      <c r="A62" s="36"/>
      <c r="B62" s="404"/>
      <c r="C62" s="404"/>
      <c r="D62" s="404"/>
      <c r="E62" s="404"/>
      <c r="F62" s="288"/>
      <c r="G62" s="288"/>
      <c r="H62" s="288"/>
      <c r="I62" s="288"/>
      <c r="J62" s="288"/>
      <c r="K62" s="288"/>
      <c r="L62" s="288"/>
      <c r="M62" s="288"/>
      <c r="N62" s="288"/>
      <c r="O62" s="288"/>
      <c r="P62" s="288"/>
      <c r="Q62" s="288"/>
      <c r="R62" s="288"/>
      <c r="S62" s="288"/>
      <c r="T62" s="288"/>
      <c r="U62" s="288"/>
      <c r="V62" s="288"/>
      <c r="W62" s="288"/>
      <c r="X62" s="288"/>
      <c r="Y62" s="288"/>
      <c r="Z62" s="288"/>
      <c r="AA62" s="288"/>
      <c r="AB62" s="288"/>
      <c r="AC62" s="288"/>
      <c r="AD62" s="288"/>
      <c r="AE62" s="288"/>
      <c r="AF62" s="288"/>
      <c r="AG62" s="288"/>
      <c r="AH62" s="288"/>
      <c r="AI62" s="289"/>
      <c r="AK62" s="425"/>
      <c r="AL62" s="425"/>
      <c r="AM62" s="425"/>
      <c r="AN62" s="425"/>
      <c r="AO62" s="425"/>
      <c r="AP62" s="425"/>
      <c r="AQ62" s="42"/>
      <c r="AR62" s="43"/>
      <c r="AS62" s="43"/>
      <c r="AT62" s="43"/>
      <c r="AU62" s="43"/>
      <c r="AV62" s="43"/>
      <c r="AW62" s="43"/>
      <c r="AX62" s="43"/>
      <c r="AY62" s="43"/>
      <c r="AZ62" s="43"/>
      <c r="BH62" s="50"/>
      <c r="BI62" s="51"/>
    </row>
    <row r="63" spans="1:61" ht="18" customHeight="1">
      <c r="A63" s="36"/>
      <c r="B63" s="404"/>
      <c r="C63" s="404"/>
      <c r="D63" s="404"/>
      <c r="E63" s="404"/>
      <c r="F63" s="288"/>
      <c r="G63" s="288"/>
      <c r="H63" s="288"/>
      <c r="I63" s="288"/>
      <c r="J63" s="288"/>
      <c r="K63" s="288"/>
      <c r="L63" s="288"/>
      <c r="M63" s="288"/>
      <c r="N63" s="288"/>
      <c r="O63" s="288"/>
      <c r="P63" s="288"/>
      <c r="Q63" s="288"/>
      <c r="R63" s="288"/>
      <c r="S63" s="288"/>
      <c r="T63" s="288"/>
      <c r="U63" s="288"/>
      <c r="V63" s="288"/>
      <c r="W63" s="288"/>
      <c r="X63" s="288"/>
      <c r="Y63" s="288"/>
      <c r="Z63" s="288"/>
      <c r="AA63" s="288"/>
      <c r="AB63" s="288"/>
      <c r="AC63" s="288"/>
      <c r="AD63" s="288"/>
      <c r="AE63" s="288"/>
      <c r="AF63" s="288"/>
      <c r="AG63" s="288"/>
      <c r="AH63" s="288"/>
      <c r="AI63" s="289"/>
      <c r="AK63" s="425"/>
      <c r="AL63" s="425"/>
      <c r="AM63" s="425"/>
      <c r="AN63" s="425"/>
      <c r="AO63" s="425"/>
      <c r="AP63" s="425"/>
      <c r="AQ63" s="42"/>
      <c r="AR63" s="43"/>
      <c r="AS63" s="43"/>
      <c r="AT63" s="43"/>
      <c r="AU63" s="43"/>
      <c r="AV63" s="43"/>
      <c r="AW63" s="43"/>
      <c r="AX63" s="43"/>
      <c r="AY63" s="43"/>
      <c r="AZ63" s="43"/>
      <c r="BH63" s="52"/>
      <c r="BI63" s="51"/>
    </row>
    <row r="64" spans="1:61" ht="18" customHeight="1">
      <c r="A64" s="36"/>
      <c r="B64" s="404"/>
      <c r="C64" s="404"/>
      <c r="D64" s="404"/>
      <c r="E64" s="404"/>
      <c r="F64" s="288"/>
      <c r="G64" s="288"/>
      <c r="H64" s="288"/>
      <c r="I64" s="288"/>
      <c r="J64" s="288"/>
      <c r="K64" s="288"/>
      <c r="L64" s="288"/>
      <c r="M64" s="288"/>
      <c r="N64" s="288"/>
      <c r="O64" s="288"/>
      <c r="P64" s="288"/>
      <c r="Q64" s="288"/>
      <c r="R64" s="288"/>
      <c r="S64" s="288"/>
      <c r="T64" s="288"/>
      <c r="U64" s="288"/>
      <c r="V64" s="288"/>
      <c r="W64" s="288"/>
      <c r="X64" s="288"/>
      <c r="Y64" s="288"/>
      <c r="Z64" s="288"/>
      <c r="AA64" s="288"/>
      <c r="AB64" s="288"/>
      <c r="AC64" s="288"/>
      <c r="AD64" s="288"/>
      <c r="AE64" s="288"/>
      <c r="AF64" s="288"/>
      <c r="AG64" s="288"/>
      <c r="AH64" s="288"/>
      <c r="AI64" s="289"/>
      <c r="AK64" s="425"/>
      <c r="AL64" s="425"/>
      <c r="AM64" s="425"/>
      <c r="AN64" s="425"/>
      <c r="AO64" s="425"/>
      <c r="AP64" s="425"/>
      <c r="AQ64" s="42"/>
      <c r="AR64" s="43"/>
      <c r="AS64" s="43"/>
      <c r="AT64" s="43"/>
      <c r="AU64" s="43"/>
      <c r="AV64" s="43"/>
      <c r="AW64" s="43"/>
      <c r="AX64" s="43"/>
      <c r="AY64" s="43"/>
      <c r="AZ64" s="43"/>
      <c r="BH64" s="52"/>
      <c r="BI64" s="51"/>
    </row>
    <row r="65" spans="1:61" ht="18" customHeight="1">
      <c r="A65" s="36"/>
      <c r="B65" s="404"/>
      <c r="C65" s="404"/>
      <c r="D65" s="404"/>
      <c r="E65" s="404"/>
      <c r="F65" s="288"/>
      <c r="G65" s="288"/>
      <c r="H65" s="288"/>
      <c r="I65" s="288"/>
      <c r="J65" s="288"/>
      <c r="K65" s="288"/>
      <c r="L65" s="288"/>
      <c r="M65" s="288"/>
      <c r="N65" s="288"/>
      <c r="O65" s="288"/>
      <c r="P65" s="288"/>
      <c r="Q65" s="288"/>
      <c r="R65" s="288"/>
      <c r="S65" s="288"/>
      <c r="T65" s="288"/>
      <c r="U65" s="288"/>
      <c r="V65" s="288"/>
      <c r="W65" s="288"/>
      <c r="X65" s="288"/>
      <c r="Y65" s="288"/>
      <c r="Z65" s="288"/>
      <c r="AA65" s="288"/>
      <c r="AB65" s="288"/>
      <c r="AC65" s="288"/>
      <c r="AD65" s="288"/>
      <c r="AE65" s="288"/>
      <c r="AF65" s="288"/>
      <c r="AG65" s="288"/>
      <c r="AH65" s="288"/>
      <c r="AI65" s="289"/>
      <c r="AK65" s="425"/>
      <c r="AL65" s="425"/>
      <c r="AM65" s="425"/>
      <c r="AN65" s="425"/>
      <c r="AO65" s="425"/>
      <c r="AP65" s="425"/>
      <c r="AQ65" s="42"/>
      <c r="AR65" s="43"/>
      <c r="AS65" s="43"/>
      <c r="AT65" s="43"/>
      <c r="AU65" s="43"/>
      <c r="AV65" s="43"/>
      <c r="AW65" s="43"/>
      <c r="AX65" s="43"/>
      <c r="AY65" s="43"/>
      <c r="AZ65" s="43"/>
      <c r="BH65" s="50"/>
      <c r="BI65" s="51"/>
    </row>
    <row r="66" spans="1:61" ht="18" customHeight="1">
      <c r="A66" s="36"/>
      <c r="B66" s="404"/>
      <c r="C66" s="404"/>
      <c r="D66" s="404"/>
      <c r="E66" s="404"/>
      <c r="F66" s="288"/>
      <c r="G66" s="288"/>
      <c r="H66" s="288"/>
      <c r="I66" s="288"/>
      <c r="J66" s="288"/>
      <c r="K66" s="288"/>
      <c r="L66" s="288"/>
      <c r="M66" s="288"/>
      <c r="N66" s="288"/>
      <c r="O66" s="288"/>
      <c r="P66" s="288"/>
      <c r="Q66" s="288"/>
      <c r="R66" s="288"/>
      <c r="S66" s="288"/>
      <c r="T66" s="288"/>
      <c r="U66" s="288"/>
      <c r="V66" s="288"/>
      <c r="W66" s="288"/>
      <c r="X66" s="288"/>
      <c r="Y66" s="288"/>
      <c r="Z66" s="288"/>
      <c r="AA66" s="288"/>
      <c r="AB66" s="288"/>
      <c r="AC66" s="288"/>
      <c r="AD66" s="288"/>
      <c r="AE66" s="288"/>
      <c r="AF66" s="288"/>
      <c r="AG66" s="288"/>
      <c r="AH66" s="288"/>
      <c r="AI66" s="289"/>
      <c r="AK66" s="425"/>
      <c r="AL66" s="425"/>
      <c r="AM66" s="425"/>
      <c r="AN66" s="425"/>
      <c r="AO66" s="425"/>
      <c r="AP66" s="425"/>
      <c r="AQ66" s="42"/>
      <c r="AR66" s="43"/>
      <c r="AS66" s="43"/>
      <c r="AT66" s="43"/>
      <c r="AU66" s="43"/>
      <c r="AV66" s="43"/>
      <c r="AW66" s="43"/>
      <c r="AX66" s="43"/>
      <c r="AY66" s="43"/>
      <c r="AZ66" s="43"/>
      <c r="BH66" s="50"/>
      <c r="BI66" s="51"/>
    </row>
    <row r="67" spans="1:61" ht="18" customHeight="1">
      <c r="A67" s="36"/>
      <c r="B67" s="404"/>
      <c r="C67" s="404"/>
      <c r="D67" s="404"/>
      <c r="E67" s="404"/>
      <c r="F67" s="288"/>
      <c r="G67" s="288"/>
      <c r="H67" s="288"/>
      <c r="I67" s="288"/>
      <c r="J67" s="288"/>
      <c r="K67" s="288"/>
      <c r="L67" s="288"/>
      <c r="M67" s="288"/>
      <c r="N67" s="288"/>
      <c r="O67" s="288"/>
      <c r="P67" s="288"/>
      <c r="Q67" s="288"/>
      <c r="R67" s="288"/>
      <c r="S67" s="288"/>
      <c r="T67" s="288"/>
      <c r="U67" s="288"/>
      <c r="V67" s="288"/>
      <c r="W67" s="288"/>
      <c r="X67" s="288"/>
      <c r="Y67" s="288"/>
      <c r="Z67" s="288"/>
      <c r="AA67" s="288"/>
      <c r="AB67" s="288"/>
      <c r="AC67" s="288"/>
      <c r="AD67" s="288"/>
      <c r="AE67" s="288"/>
      <c r="AF67" s="288"/>
      <c r="AG67" s="288"/>
      <c r="AH67" s="288"/>
      <c r="AI67" s="289"/>
      <c r="AK67" s="425"/>
      <c r="AL67" s="425"/>
      <c r="AM67" s="425"/>
      <c r="AN67" s="425"/>
      <c r="AO67" s="425"/>
      <c r="AP67" s="425"/>
      <c r="AQ67" s="67"/>
      <c r="AR67" s="43"/>
      <c r="AS67" s="43"/>
      <c r="AT67" s="43"/>
      <c r="AU67" s="43"/>
      <c r="AV67" s="43"/>
      <c r="AW67" s="43"/>
      <c r="AX67" s="43"/>
      <c r="AY67" s="43"/>
      <c r="AZ67" s="43"/>
      <c r="BH67" s="50"/>
      <c r="BI67" s="51"/>
    </row>
    <row r="68" spans="1:61" ht="18" customHeight="1">
      <c r="A68" s="36"/>
      <c r="B68" s="404"/>
      <c r="C68" s="404"/>
      <c r="D68" s="404"/>
      <c r="E68" s="404"/>
      <c r="F68" s="288"/>
      <c r="G68" s="288"/>
      <c r="H68" s="288"/>
      <c r="I68" s="288"/>
      <c r="J68" s="288"/>
      <c r="K68" s="288"/>
      <c r="L68" s="288"/>
      <c r="M68" s="288"/>
      <c r="N68" s="288"/>
      <c r="O68" s="288"/>
      <c r="P68" s="288"/>
      <c r="Q68" s="288"/>
      <c r="R68" s="288"/>
      <c r="S68" s="288"/>
      <c r="T68" s="288"/>
      <c r="U68" s="288"/>
      <c r="V68" s="288"/>
      <c r="W68" s="288"/>
      <c r="X68" s="288"/>
      <c r="Y68" s="288"/>
      <c r="Z68" s="288"/>
      <c r="AA68" s="288"/>
      <c r="AB68" s="288"/>
      <c r="AC68" s="288"/>
      <c r="AD68" s="288"/>
      <c r="AE68" s="288"/>
      <c r="AF68" s="288"/>
      <c r="AG68" s="288"/>
      <c r="AH68" s="288"/>
      <c r="AI68" s="289"/>
      <c r="AK68" s="425"/>
      <c r="AL68" s="425"/>
      <c r="AM68" s="425"/>
      <c r="AN68" s="425"/>
      <c r="AO68" s="425"/>
      <c r="AP68" s="425"/>
      <c r="AQ68" s="67"/>
      <c r="AR68" s="43"/>
      <c r="AS68" s="43"/>
      <c r="AT68" s="43"/>
      <c r="AU68" s="43"/>
      <c r="AV68" s="43"/>
      <c r="AW68" s="43"/>
      <c r="AX68" s="43"/>
      <c r="AY68" s="43"/>
      <c r="AZ68" s="43"/>
      <c r="BH68" s="50"/>
      <c r="BI68" s="51"/>
    </row>
    <row r="69" spans="1:61" ht="18" customHeight="1">
      <c r="A69" s="36"/>
      <c r="B69" s="404"/>
      <c r="C69" s="404"/>
      <c r="D69" s="404"/>
      <c r="E69" s="404"/>
      <c r="F69" s="288"/>
      <c r="G69" s="288"/>
      <c r="H69" s="288"/>
      <c r="I69" s="288"/>
      <c r="J69" s="288"/>
      <c r="K69" s="288"/>
      <c r="L69" s="288"/>
      <c r="M69" s="288"/>
      <c r="N69" s="288"/>
      <c r="O69" s="288"/>
      <c r="P69" s="288"/>
      <c r="Q69" s="288"/>
      <c r="R69" s="288"/>
      <c r="S69" s="288"/>
      <c r="T69" s="288"/>
      <c r="U69" s="288"/>
      <c r="V69" s="288"/>
      <c r="W69" s="288"/>
      <c r="X69" s="288"/>
      <c r="Y69" s="288"/>
      <c r="Z69" s="288"/>
      <c r="AA69" s="288"/>
      <c r="AB69" s="288"/>
      <c r="AC69" s="288"/>
      <c r="AD69" s="288"/>
      <c r="AE69" s="288"/>
      <c r="AF69" s="288"/>
      <c r="AG69" s="288"/>
      <c r="AH69" s="288"/>
      <c r="AI69" s="289"/>
      <c r="AK69" s="425"/>
      <c r="AL69" s="425"/>
      <c r="AM69" s="425"/>
      <c r="AN69" s="425"/>
      <c r="AO69" s="425"/>
      <c r="AP69" s="425"/>
      <c r="AQ69" s="42"/>
      <c r="AR69" s="43"/>
      <c r="AS69" s="43"/>
      <c r="AT69" s="43"/>
      <c r="AU69" s="43"/>
      <c r="AV69" s="43"/>
      <c r="AW69" s="43"/>
      <c r="AX69" s="43"/>
      <c r="AY69" s="43"/>
      <c r="AZ69" s="43"/>
      <c r="BH69" s="50"/>
      <c r="BI69" s="51"/>
    </row>
    <row r="70" spans="1:61" ht="18" customHeight="1">
      <c r="A70" s="36"/>
      <c r="B70" s="404"/>
      <c r="C70" s="404"/>
      <c r="D70" s="404"/>
      <c r="E70" s="404"/>
      <c r="F70" s="288"/>
      <c r="G70" s="288"/>
      <c r="H70" s="288"/>
      <c r="I70" s="288"/>
      <c r="J70" s="288"/>
      <c r="K70" s="288"/>
      <c r="L70" s="288"/>
      <c r="M70" s="288"/>
      <c r="N70" s="288"/>
      <c r="O70" s="288"/>
      <c r="P70" s="288"/>
      <c r="Q70" s="288"/>
      <c r="R70" s="288"/>
      <c r="S70" s="288"/>
      <c r="T70" s="288"/>
      <c r="U70" s="288"/>
      <c r="V70" s="288"/>
      <c r="W70" s="288"/>
      <c r="X70" s="288"/>
      <c r="Y70" s="288"/>
      <c r="Z70" s="288"/>
      <c r="AA70" s="288"/>
      <c r="AB70" s="288"/>
      <c r="AC70" s="288"/>
      <c r="AD70" s="288"/>
      <c r="AE70" s="288"/>
      <c r="AF70" s="288"/>
      <c r="AG70" s="288"/>
      <c r="AH70" s="288"/>
      <c r="AI70" s="289"/>
      <c r="AK70" s="425"/>
      <c r="AL70" s="425"/>
      <c r="AM70" s="425"/>
      <c r="AN70" s="425"/>
      <c r="AO70" s="425"/>
      <c r="AP70" s="425"/>
      <c r="AQ70" s="42"/>
      <c r="AR70" s="43"/>
      <c r="AS70" s="43"/>
      <c r="AT70" s="43"/>
      <c r="AU70" s="43"/>
      <c r="AV70" s="43"/>
      <c r="AW70" s="43"/>
      <c r="AX70" s="43"/>
      <c r="AY70" s="43"/>
      <c r="AZ70" s="43"/>
      <c r="BH70" s="50"/>
      <c r="BI70" s="51"/>
    </row>
    <row r="71" spans="1:61" ht="18" customHeight="1">
      <c r="A71" s="36"/>
      <c r="B71" s="404"/>
      <c r="C71" s="404"/>
      <c r="D71" s="404"/>
      <c r="E71" s="404"/>
      <c r="F71" s="288"/>
      <c r="G71" s="288"/>
      <c r="H71" s="288"/>
      <c r="I71" s="288"/>
      <c r="J71" s="288"/>
      <c r="K71" s="288"/>
      <c r="L71" s="288"/>
      <c r="M71" s="288"/>
      <c r="N71" s="288"/>
      <c r="O71" s="288"/>
      <c r="P71" s="288"/>
      <c r="Q71" s="288"/>
      <c r="R71" s="288"/>
      <c r="S71" s="288"/>
      <c r="T71" s="288"/>
      <c r="U71" s="288"/>
      <c r="V71" s="288"/>
      <c r="W71" s="288"/>
      <c r="X71" s="288"/>
      <c r="Y71" s="288"/>
      <c r="Z71" s="288"/>
      <c r="AA71" s="288"/>
      <c r="AB71" s="288"/>
      <c r="AC71" s="288"/>
      <c r="AD71" s="288"/>
      <c r="AE71" s="288"/>
      <c r="AF71" s="288"/>
      <c r="AG71" s="288"/>
      <c r="AH71" s="288"/>
      <c r="AI71" s="289"/>
      <c r="AK71" s="425"/>
      <c r="AL71" s="425"/>
      <c r="AM71" s="425"/>
      <c r="AN71" s="425"/>
      <c r="AO71" s="425"/>
      <c r="AP71" s="425"/>
      <c r="AQ71" s="42"/>
      <c r="AR71" s="43"/>
      <c r="AS71" s="43"/>
      <c r="AT71" s="43"/>
      <c r="AU71" s="43"/>
      <c r="AV71" s="43"/>
      <c r="AW71" s="43"/>
      <c r="AX71" s="43"/>
      <c r="AY71" s="43"/>
      <c r="AZ71" s="43"/>
      <c r="BH71" s="52"/>
      <c r="BI71" s="51"/>
    </row>
    <row r="72" spans="1:61" ht="18" customHeight="1">
      <c r="A72" s="36"/>
      <c r="B72" s="404"/>
      <c r="C72" s="404"/>
      <c r="D72" s="404"/>
      <c r="E72" s="404"/>
      <c r="F72" s="288"/>
      <c r="G72" s="288"/>
      <c r="H72" s="288"/>
      <c r="I72" s="288"/>
      <c r="J72" s="288"/>
      <c r="K72" s="288"/>
      <c r="L72" s="288"/>
      <c r="M72" s="288"/>
      <c r="N72" s="288"/>
      <c r="O72" s="288"/>
      <c r="P72" s="288"/>
      <c r="Q72" s="288"/>
      <c r="R72" s="288"/>
      <c r="S72" s="288"/>
      <c r="T72" s="288"/>
      <c r="U72" s="288"/>
      <c r="V72" s="288"/>
      <c r="W72" s="288"/>
      <c r="X72" s="288"/>
      <c r="Y72" s="288"/>
      <c r="Z72" s="288"/>
      <c r="AA72" s="288"/>
      <c r="AB72" s="288"/>
      <c r="AC72" s="288"/>
      <c r="AD72" s="288"/>
      <c r="AE72" s="288"/>
      <c r="AF72" s="288"/>
      <c r="AG72" s="288"/>
      <c r="AH72" s="288"/>
      <c r="AI72" s="289"/>
      <c r="AK72" s="425"/>
      <c r="AL72" s="425"/>
      <c r="AM72" s="425"/>
      <c r="AN72" s="425"/>
      <c r="AO72" s="425"/>
      <c r="AP72" s="425"/>
      <c r="AQ72" s="42"/>
      <c r="AR72" s="43"/>
      <c r="AS72" s="43"/>
      <c r="AT72" s="43"/>
      <c r="AU72" s="43"/>
      <c r="AV72" s="43"/>
      <c r="AW72" s="43"/>
      <c r="AX72" s="43"/>
      <c r="AY72" s="43"/>
      <c r="AZ72" s="43"/>
      <c r="BH72" s="53"/>
      <c r="BI72" s="51"/>
    </row>
    <row r="73" spans="1:61" ht="18" customHeight="1">
      <c r="A73" s="36"/>
      <c r="B73" s="404"/>
      <c r="C73" s="404"/>
      <c r="D73" s="404"/>
      <c r="E73" s="404"/>
      <c r="F73" s="288"/>
      <c r="G73" s="288"/>
      <c r="H73" s="288"/>
      <c r="I73" s="288"/>
      <c r="J73" s="288"/>
      <c r="K73" s="288"/>
      <c r="L73" s="288"/>
      <c r="M73" s="288"/>
      <c r="N73" s="288"/>
      <c r="O73" s="288"/>
      <c r="P73" s="288"/>
      <c r="Q73" s="288"/>
      <c r="R73" s="288"/>
      <c r="S73" s="288"/>
      <c r="T73" s="288"/>
      <c r="U73" s="288"/>
      <c r="V73" s="288"/>
      <c r="W73" s="288"/>
      <c r="X73" s="288"/>
      <c r="Y73" s="288"/>
      <c r="Z73" s="288"/>
      <c r="AA73" s="288"/>
      <c r="AB73" s="288"/>
      <c r="AC73" s="288"/>
      <c r="AD73" s="288"/>
      <c r="AE73" s="288"/>
      <c r="AF73" s="288"/>
      <c r="AG73" s="288"/>
      <c r="AH73" s="288"/>
      <c r="AI73" s="289"/>
      <c r="AK73" s="425"/>
      <c r="AL73" s="425"/>
      <c r="AM73" s="425"/>
      <c r="AN73" s="425"/>
      <c r="AO73" s="425"/>
      <c r="AP73" s="425"/>
      <c r="AQ73" s="42"/>
      <c r="AR73" s="43"/>
      <c r="AS73" s="43"/>
      <c r="AT73" s="43"/>
      <c r="AU73" s="43"/>
      <c r="AV73" s="43"/>
      <c r="AW73" s="43"/>
      <c r="AX73" s="43"/>
      <c r="AY73" s="43"/>
      <c r="AZ73" s="43"/>
      <c r="BH73" s="54"/>
      <c r="BI73" s="51"/>
    </row>
    <row r="74" spans="1:61" ht="18" customHeight="1">
      <c r="A74" s="36"/>
      <c r="B74" s="404"/>
      <c r="C74" s="404"/>
      <c r="D74" s="404"/>
      <c r="E74" s="404"/>
      <c r="F74" s="288"/>
      <c r="G74" s="288"/>
      <c r="H74" s="288"/>
      <c r="I74" s="288"/>
      <c r="J74" s="288"/>
      <c r="K74" s="288"/>
      <c r="L74" s="288"/>
      <c r="M74" s="288"/>
      <c r="N74" s="288"/>
      <c r="O74" s="288"/>
      <c r="P74" s="288"/>
      <c r="Q74" s="288"/>
      <c r="R74" s="288"/>
      <c r="S74" s="288"/>
      <c r="T74" s="288"/>
      <c r="U74" s="288"/>
      <c r="V74" s="288"/>
      <c r="W74" s="288"/>
      <c r="X74" s="288"/>
      <c r="Y74" s="288"/>
      <c r="Z74" s="288"/>
      <c r="AA74" s="288"/>
      <c r="AB74" s="288"/>
      <c r="AC74" s="288"/>
      <c r="AD74" s="288"/>
      <c r="AE74" s="288"/>
      <c r="AF74" s="288"/>
      <c r="AG74" s="288"/>
      <c r="AH74" s="288"/>
      <c r="AI74" s="289"/>
      <c r="AK74" s="425"/>
      <c r="AL74" s="425"/>
      <c r="AM74" s="425"/>
      <c r="AN74" s="425"/>
      <c r="AO74" s="425"/>
      <c r="AP74" s="425"/>
      <c r="AQ74" s="42"/>
      <c r="AR74" s="43"/>
      <c r="AS74" s="43"/>
      <c r="AT74" s="43"/>
      <c r="AU74" s="43"/>
      <c r="AV74" s="43"/>
      <c r="AW74" s="43"/>
      <c r="AX74" s="43"/>
      <c r="AY74" s="43"/>
      <c r="AZ74" s="43"/>
      <c r="BH74" s="54"/>
      <c r="BI74" s="51"/>
    </row>
    <row r="75" spans="1:61" ht="18" customHeight="1">
      <c r="A75" s="36"/>
      <c r="B75" s="404"/>
      <c r="C75" s="404"/>
      <c r="D75" s="404"/>
      <c r="E75" s="404"/>
      <c r="F75" s="288"/>
      <c r="G75" s="288"/>
      <c r="H75" s="288"/>
      <c r="I75" s="288"/>
      <c r="J75" s="288"/>
      <c r="K75" s="288"/>
      <c r="L75" s="288"/>
      <c r="M75" s="288"/>
      <c r="N75" s="288"/>
      <c r="O75" s="288"/>
      <c r="P75" s="288"/>
      <c r="Q75" s="288"/>
      <c r="R75" s="288"/>
      <c r="S75" s="288"/>
      <c r="T75" s="288"/>
      <c r="U75" s="288"/>
      <c r="V75" s="288"/>
      <c r="W75" s="288"/>
      <c r="X75" s="288"/>
      <c r="Y75" s="288"/>
      <c r="Z75" s="288"/>
      <c r="AA75" s="288"/>
      <c r="AB75" s="288"/>
      <c r="AC75" s="288"/>
      <c r="AD75" s="288"/>
      <c r="AE75" s="288"/>
      <c r="AF75" s="288"/>
      <c r="AG75" s="288"/>
      <c r="AH75" s="288"/>
      <c r="AI75" s="289"/>
      <c r="AK75" s="425"/>
      <c r="AL75" s="425"/>
      <c r="AM75" s="425"/>
      <c r="AN75" s="425"/>
      <c r="AO75" s="425"/>
      <c r="AP75" s="425"/>
      <c r="AQ75" s="42"/>
      <c r="AR75" s="43"/>
      <c r="AS75" s="43"/>
      <c r="AT75" s="43"/>
      <c r="AU75" s="43"/>
      <c r="AV75" s="43"/>
      <c r="AW75" s="43"/>
      <c r="AX75" s="43"/>
      <c r="AY75" s="43"/>
      <c r="AZ75" s="43"/>
      <c r="BH75" s="53"/>
      <c r="BI75" s="51"/>
    </row>
    <row r="76" spans="1:61" ht="18" customHeight="1">
      <c r="A76" s="36"/>
      <c r="B76" s="404"/>
      <c r="C76" s="404"/>
      <c r="D76" s="404"/>
      <c r="E76" s="404"/>
      <c r="F76" s="288"/>
      <c r="G76" s="288"/>
      <c r="H76" s="288"/>
      <c r="I76" s="288"/>
      <c r="J76" s="288"/>
      <c r="K76" s="288"/>
      <c r="L76" s="288"/>
      <c r="M76" s="288"/>
      <c r="N76" s="288"/>
      <c r="O76" s="288"/>
      <c r="P76" s="288"/>
      <c r="Q76" s="288"/>
      <c r="R76" s="288"/>
      <c r="S76" s="288"/>
      <c r="T76" s="288"/>
      <c r="U76" s="288"/>
      <c r="V76" s="288"/>
      <c r="W76" s="288"/>
      <c r="X76" s="288"/>
      <c r="Y76" s="288"/>
      <c r="Z76" s="288"/>
      <c r="AA76" s="288"/>
      <c r="AB76" s="288"/>
      <c r="AC76" s="288"/>
      <c r="AD76" s="288"/>
      <c r="AE76" s="288"/>
      <c r="AF76" s="288"/>
      <c r="AG76" s="288"/>
      <c r="AH76" s="288"/>
      <c r="AI76" s="289"/>
      <c r="AK76" s="425"/>
      <c r="AL76" s="425"/>
      <c r="AM76" s="425"/>
      <c r="AN76" s="425"/>
      <c r="AO76" s="425"/>
      <c r="AP76" s="425"/>
      <c r="AQ76" s="42"/>
      <c r="AR76" s="43"/>
      <c r="AS76" s="43"/>
      <c r="AT76" s="43"/>
      <c r="AU76" s="43"/>
      <c r="AV76" s="43"/>
      <c r="AW76" s="43"/>
      <c r="AX76" s="43"/>
      <c r="AY76" s="43"/>
      <c r="AZ76" s="43"/>
      <c r="BH76" s="53"/>
      <c r="BI76" s="51"/>
    </row>
    <row r="77" spans="1:61" ht="18" customHeight="1">
      <c r="A77" s="36"/>
      <c r="B77" s="404"/>
      <c r="C77" s="404"/>
      <c r="D77" s="404"/>
      <c r="E77" s="404"/>
      <c r="F77" s="288"/>
      <c r="G77" s="288"/>
      <c r="H77" s="288"/>
      <c r="I77" s="288"/>
      <c r="J77" s="288"/>
      <c r="K77" s="288"/>
      <c r="L77" s="288"/>
      <c r="M77" s="288"/>
      <c r="N77" s="288"/>
      <c r="O77" s="288"/>
      <c r="P77" s="288"/>
      <c r="Q77" s="288"/>
      <c r="R77" s="288"/>
      <c r="S77" s="288"/>
      <c r="T77" s="288"/>
      <c r="U77" s="288"/>
      <c r="V77" s="288"/>
      <c r="W77" s="288"/>
      <c r="X77" s="288"/>
      <c r="Y77" s="288"/>
      <c r="Z77" s="288"/>
      <c r="AA77" s="288"/>
      <c r="AB77" s="288"/>
      <c r="AC77" s="288"/>
      <c r="AD77" s="288"/>
      <c r="AE77" s="288"/>
      <c r="AF77" s="288"/>
      <c r="AG77" s="288"/>
      <c r="AH77" s="288"/>
      <c r="AI77" s="289"/>
      <c r="AK77" s="425"/>
      <c r="AL77" s="425"/>
      <c r="AM77" s="425"/>
      <c r="AN77" s="425"/>
      <c r="AO77" s="425"/>
      <c r="AP77" s="425"/>
      <c r="AQ77" s="42"/>
      <c r="AR77" s="43"/>
      <c r="AS77" s="43"/>
      <c r="AT77" s="43"/>
      <c r="AU77" s="43"/>
      <c r="AV77" s="43"/>
      <c r="AW77" s="43"/>
      <c r="AX77" s="43"/>
      <c r="AY77" s="43"/>
      <c r="AZ77" s="43"/>
      <c r="BH77" s="54"/>
      <c r="BI77" s="51"/>
    </row>
    <row r="78" spans="1:61" ht="18" customHeight="1">
      <c r="A78" s="36"/>
      <c r="B78" s="404"/>
      <c r="C78" s="404"/>
      <c r="D78" s="404"/>
      <c r="E78" s="404"/>
      <c r="F78" s="288"/>
      <c r="G78" s="288"/>
      <c r="H78" s="288"/>
      <c r="I78" s="288"/>
      <c r="J78" s="288"/>
      <c r="K78" s="288"/>
      <c r="L78" s="288"/>
      <c r="M78" s="288"/>
      <c r="N78" s="288"/>
      <c r="O78" s="288"/>
      <c r="P78" s="288"/>
      <c r="Q78" s="288"/>
      <c r="R78" s="288"/>
      <c r="S78" s="288"/>
      <c r="T78" s="288"/>
      <c r="U78" s="288"/>
      <c r="V78" s="288"/>
      <c r="W78" s="288"/>
      <c r="X78" s="288"/>
      <c r="Y78" s="288"/>
      <c r="Z78" s="288"/>
      <c r="AA78" s="288"/>
      <c r="AB78" s="288"/>
      <c r="AC78" s="288"/>
      <c r="AD78" s="288"/>
      <c r="AE78" s="288"/>
      <c r="AF78" s="288"/>
      <c r="AG78" s="288"/>
      <c r="AH78" s="288"/>
      <c r="AI78" s="289"/>
      <c r="AK78" s="425"/>
      <c r="AL78" s="425"/>
      <c r="AM78" s="425"/>
      <c r="AN78" s="425"/>
      <c r="AO78" s="425"/>
      <c r="AP78" s="425"/>
      <c r="AQ78" s="42"/>
      <c r="AR78" s="43"/>
      <c r="AS78" s="43"/>
      <c r="AT78" s="43"/>
      <c r="AU78" s="43"/>
      <c r="AV78" s="43"/>
      <c r="AW78" s="43"/>
      <c r="AX78" s="43"/>
      <c r="AY78" s="43"/>
      <c r="AZ78" s="43"/>
      <c r="BH78" s="54"/>
      <c r="BI78" s="51"/>
    </row>
    <row r="79" spans="1:61" ht="18" customHeight="1">
      <c r="A79" s="36"/>
      <c r="B79" s="404"/>
      <c r="C79" s="404"/>
      <c r="D79" s="404"/>
      <c r="E79" s="404"/>
      <c r="F79" s="288"/>
      <c r="G79" s="288"/>
      <c r="H79" s="288"/>
      <c r="I79" s="288"/>
      <c r="J79" s="288"/>
      <c r="K79" s="288"/>
      <c r="L79" s="288"/>
      <c r="M79" s="288"/>
      <c r="N79" s="288"/>
      <c r="O79" s="288"/>
      <c r="P79" s="288"/>
      <c r="Q79" s="288"/>
      <c r="R79" s="288"/>
      <c r="S79" s="288"/>
      <c r="T79" s="288"/>
      <c r="U79" s="288"/>
      <c r="V79" s="288"/>
      <c r="W79" s="288"/>
      <c r="X79" s="288"/>
      <c r="Y79" s="288"/>
      <c r="Z79" s="288"/>
      <c r="AA79" s="288"/>
      <c r="AB79" s="288"/>
      <c r="AC79" s="288"/>
      <c r="AD79" s="288"/>
      <c r="AE79" s="288"/>
      <c r="AF79" s="288"/>
      <c r="AG79" s="288"/>
      <c r="AH79" s="288"/>
      <c r="AI79" s="289"/>
      <c r="AK79" s="425"/>
      <c r="AL79" s="425"/>
      <c r="AM79" s="425"/>
      <c r="AN79" s="425"/>
      <c r="AO79" s="425"/>
      <c r="AP79" s="425"/>
      <c r="AQ79" s="42"/>
      <c r="AR79" s="43"/>
      <c r="AS79" s="43"/>
      <c r="AT79" s="43"/>
      <c r="AU79" s="43"/>
      <c r="AV79" s="43"/>
      <c r="AW79" s="43"/>
      <c r="AX79" s="43"/>
      <c r="AY79" s="43"/>
      <c r="AZ79" s="43"/>
      <c r="BH79" s="54"/>
      <c r="BI79" s="51"/>
    </row>
    <row r="80" spans="1:61" ht="18" customHeight="1">
      <c r="A80" s="37"/>
      <c r="B80" s="466"/>
      <c r="C80" s="466"/>
      <c r="D80" s="466"/>
      <c r="E80" s="466"/>
      <c r="F80" s="467"/>
      <c r="G80" s="467"/>
      <c r="H80" s="467"/>
      <c r="I80" s="467"/>
      <c r="J80" s="467"/>
      <c r="K80" s="467"/>
      <c r="L80" s="467"/>
      <c r="M80" s="467"/>
      <c r="N80" s="467"/>
      <c r="O80" s="467"/>
      <c r="P80" s="467"/>
      <c r="Q80" s="467"/>
      <c r="R80" s="467"/>
      <c r="S80" s="467"/>
      <c r="T80" s="467"/>
      <c r="U80" s="467"/>
      <c r="V80" s="467"/>
      <c r="W80" s="467"/>
      <c r="X80" s="467"/>
      <c r="Y80" s="467"/>
      <c r="Z80" s="467"/>
      <c r="AA80" s="467"/>
      <c r="AB80" s="467"/>
      <c r="AC80" s="467"/>
      <c r="AD80" s="467"/>
      <c r="AE80" s="467"/>
      <c r="AF80" s="467"/>
      <c r="AG80" s="467"/>
      <c r="AH80" s="467"/>
      <c r="AI80" s="468"/>
      <c r="AK80" s="425"/>
      <c r="AL80" s="425"/>
      <c r="AM80" s="425"/>
      <c r="AN80" s="425"/>
      <c r="AO80" s="425"/>
      <c r="AP80" s="425"/>
      <c r="AQ80" s="42"/>
      <c r="AR80" s="43"/>
      <c r="AS80" s="43"/>
      <c r="AT80" s="43"/>
      <c r="AU80" s="43"/>
      <c r="AV80" s="43"/>
      <c r="AW80" s="43"/>
      <c r="AX80" s="43"/>
      <c r="AY80" s="43"/>
      <c r="AZ80" s="43"/>
      <c r="BH80" s="54"/>
      <c r="BI80" s="51"/>
    </row>
    <row r="81" spans="1:61" ht="18" customHeight="1">
      <c r="A81" s="406" t="s">
        <v>704</v>
      </c>
      <c r="B81" s="407"/>
      <c r="C81" s="407"/>
      <c r="D81" s="407"/>
      <c r="E81" s="407"/>
      <c r="F81" s="407"/>
      <c r="G81" s="407"/>
      <c r="H81" s="407"/>
      <c r="I81" s="407"/>
      <c r="J81" s="407"/>
      <c r="K81" s="407"/>
      <c r="L81" s="407"/>
      <c r="M81" s="407"/>
      <c r="N81" s="407"/>
      <c r="O81" s="407"/>
      <c r="P81" s="407"/>
      <c r="Q81" s="407"/>
      <c r="R81" s="407"/>
      <c r="S81" s="407"/>
      <c r="T81" s="407"/>
      <c r="U81" s="407"/>
      <c r="V81" s="407"/>
      <c r="W81" s="407"/>
      <c r="X81" s="407"/>
      <c r="Y81" s="407"/>
      <c r="Z81" s="407"/>
      <c r="AA81" s="407"/>
      <c r="AB81" s="407"/>
      <c r="AC81" s="407"/>
      <c r="AD81" s="407"/>
      <c r="AE81" s="407"/>
      <c r="AF81" s="407"/>
      <c r="AG81" s="407"/>
      <c r="AH81" s="407"/>
      <c r="AI81" s="408"/>
      <c r="AK81" s="425"/>
      <c r="AL81" s="425"/>
      <c r="AM81" s="425"/>
      <c r="AN81" s="425"/>
      <c r="AO81" s="425"/>
      <c r="AP81" s="425"/>
      <c r="AQ81" s="42"/>
      <c r="AR81" s="43"/>
      <c r="AS81" s="43"/>
      <c r="AT81" s="43"/>
      <c r="AU81" s="43"/>
      <c r="AV81" s="43"/>
      <c r="AW81" s="43"/>
      <c r="AX81" s="43"/>
      <c r="AY81" s="43"/>
      <c r="AZ81" s="43"/>
      <c r="BH81" s="53"/>
      <c r="BI81" s="51"/>
    </row>
    <row r="82" spans="1:61" ht="18" customHeight="1">
      <c r="A82" s="38"/>
      <c r="B82" s="465">
        <v>45644</v>
      </c>
      <c r="C82" s="465"/>
      <c r="D82" s="465"/>
      <c r="E82" s="465"/>
      <c r="F82" s="288" t="s">
        <v>837</v>
      </c>
      <c r="G82" s="288"/>
      <c r="H82" s="288"/>
      <c r="I82" s="288"/>
      <c r="J82" s="288"/>
      <c r="K82" s="288"/>
      <c r="L82" s="288"/>
      <c r="M82" s="288"/>
      <c r="N82" s="288"/>
      <c r="O82" s="288"/>
      <c r="P82" s="288"/>
      <c r="Q82" s="288"/>
      <c r="R82" s="288"/>
      <c r="S82" s="288"/>
      <c r="T82" s="288"/>
      <c r="U82" s="288"/>
      <c r="V82" s="288"/>
      <c r="W82" s="288"/>
      <c r="X82" s="288"/>
      <c r="Y82" s="288"/>
      <c r="Z82" s="288"/>
      <c r="AA82" s="288"/>
      <c r="AB82" s="288"/>
      <c r="AC82" s="288"/>
      <c r="AD82" s="288"/>
      <c r="AE82" s="288"/>
      <c r="AF82" s="288"/>
      <c r="AG82" s="288"/>
      <c r="AH82" s="288"/>
      <c r="AI82" s="289"/>
      <c r="AK82" s="425"/>
      <c r="AL82" s="425"/>
      <c r="AM82" s="425"/>
      <c r="AN82" s="425"/>
      <c r="AO82" s="425"/>
      <c r="AP82" s="425"/>
      <c r="AQ82" s="42"/>
      <c r="AR82" s="43"/>
      <c r="AS82" s="43"/>
      <c r="AT82" s="43"/>
      <c r="AU82" s="43"/>
      <c r="AV82" s="43"/>
      <c r="AW82" s="43"/>
      <c r="AX82" s="43"/>
      <c r="AY82" s="43"/>
      <c r="AZ82" s="43"/>
      <c r="BH82" s="53"/>
      <c r="BI82" s="51"/>
    </row>
    <row r="83" spans="1:61" ht="18" customHeight="1">
      <c r="A83" s="38"/>
      <c r="B83" s="465">
        <v>46160</v>
      </c>
      <c r="C83" s="465"/>
      <c r="D83" s="465"/>
      <c r="E83" s="465"/>
      <c r="F83" s="288" t="s">
        <v>838</v>
      </c>
      <c r="G83" s="288"/>
      <c r="H83" s="288"/>
      <c r="I83" s="288"/>
      <c r="J83" s="288"/>
      <c r="K83" s="288"/>
      <c r="L83" s="288"/>
      <c r="M83" s="288"/>
      <c r="N83" s="288"/>
      <c r="O83" s="288"/>
      <c r="P83" s="288"/>
      <c r="Q83" s="288"/>
      <c r="R83" s="288"/>
      <c r="S83" s="288"/>
      <c r="T83" s="288"/>
      <c r="U83" s="288"/>
      <c r="V83" s="288"/>
      <c r="W83" s="288"/>
      <c r="X83" s="288"/>
      <c r="Y83" s="288"/>
      <c r="Z83" s="288"/>
      <c r="AA83" s="288"/>
      <c r="AB83" s="288"/>
      <c r="AC83" s="288"/>
      <c r="AD83" s="288"/>
      <c r="AE83" s="288"/>
      <c r="AF83" s="288"/>
      <c r="AG83" s="288"/>
      <c r="AH83" s="288"/>
      <c r="AI83" s="289"/>
      <c r="AK83" s="425"/>
      <c r="AL83" s="425"/>
      <c r="AM83" s="425"/>
      <c r="AN83" s="425"/>
      <c r="AO83" s="425"/>
      <c r="AP83" s="425"/>
      <c r="AQ83" s="42"/>
      <c r="AR83" s="43"/>
      <c r="AS83" s="43"/>
      <c r="AT83" s="43"/>
      <c r="AU83" s="43"/>
      <c r="AV83" s="43"/>
      <c r="AW83" s="43"/>
      <c r="AX83" s="43"/>
      <c r="AY83" s="43"/>
      <c r="AZ83" s="43"/>
      <c r="BH83" s="53"/>
      <c r="BI83" s="51"/>
    </row>
    <row r="84" spans="1:61" ht="18" customHeight="1">
      <c r="A84" s="38"/>
      <c r="B84" s="465"/>
      <c r="C84" s="465"/>
      <c r="D84" s="465"/>
      <c r="E84" s="465"/>
      <c r="F84" s="288"/>
      <c r="G84" s="288"/>
      <c r="H84" s="288"/>
      <c r="I84" s="288"/>
      <c r="J84" s="288"/>
      <c r="K84" s="288"/>
      <c r="L84" s="288"/>
      <c r="M84" s="288"/>
      <c r="N84" s="288"/>
      <c r="O84" s="288"/>
      <c r="P84" s="288"/>
      <c r="Q84" s="288"/>
      <c r="R84" s="288"/>
      <c r="S84" s="288"/>
      <c r="T84" s="288"/>
      <c r="U84" s="288"/>
      <c r="V84" s="288"/>
      <c r="W84" s="288"/>
      <c r="X84" s="288"/>
      <c r="Y84" s="288"/>
      <c r="Z84" s="288"/>
      <c r="AA84" s="288"/>
      <c r="AB84" s="288"/>
      <c r="AC84" s="288"/>
      <c r="AD84" s="288"/>
      <c r="AE84" s="288"/>
      <c r="AF84" s="288"/>
      <c r="AG84" s="288"/>
      <c r="AH84" s="288"/>
      <c r="AI84" s="289"/>
      <c r="AK84" s="425"/>
      <c r="AL84" s="425"/>
      <c r="AM84" s="425"/>
      <c r="AN84" s="425"/>
      <c r="AO84" s="425"/>
      <c r="AP84" s="425"/>
      <c r="AQ84" s="42"/>
      <c r="AR84" s="43"/>
      <c r="AS84" s="43"/>
      <c r="AT84" s="43"/>
      <c r="AU84" s="43"/>
      <c r="AV84" s="43"/>
      <c r="AW84" s="43"/>
      <c r="AX84" s="43"/>
      <c r="AY84" s="43"/>
      <c r="AZ84" s="43"/>
    </row>
    <row r="85" spans="1:61" ht="18" customHeight="1">
      <c r="A85" s="38"/>
      <c r="B85" s="465"/>
      <c r="C85" s="465"/>
      <c r="D85" s="465"/>
      <c r="E85" s="465"/>
      <c r="F85" s="288"/>
      <c r="G85" s="288"/>
      <c r="H85" s="288"/>
      <c r="I85" s="288"/>
      <c r="J85" s="288"/>
      <c r="K85" s="288"/>
      <c r="L85" s="288"/>
      <c r="M85" s="288"/>
      <c r="N85" s="288"/>
      <c r="O85" s="288"/>
      <c r="P85" s="288"/>
      <c r="Q85" s="288"/>
      <c r="R85" s="288"/>
      <c r="S85" s="288"/>
      <c r="T85" s="288"/>
      <c r="U85" s="288"/>
      <c r="V85" s="288"/>
      <c r="W85" s="288"/>
      <c r="X85" s="288"/>
      <c r="Y85" s="288"/>
      <c r="Z85" s="288"/>
      <c r="AA85" s="288"/>
      <c r="AB85" s="288"/>
      <c r="AC85" s="288"/>
      <c r="AD85" s="288"/>
      <c r="AE85" s="288"/>
      <c r="AF85" s="288"/>
      <c r="AG85" s="288"/>
      <c r="AH85" s="288"/>
      <c r="AI85" s="289"/>
      <c r="AK85" s="425"/>
      <c r="AL85" s="425"/>
      <c r="AM85" s="425"/>
      <c r="AN85" s="425"/>
      <c r="AO85" s="425"/>
      <c r="AP85" s="425"/>
      <c r="AQ85" s="42"/>
      <c r="AR85" s="43"/>
      <c r="AS85" s="43"/>
      <c r="AT85" s="43"/>
      <c r="AU85" s="43"/>
      <c r="AV85" s="43"/>
      <c r="AW85" s="43"/>
      <c r="AX85" s="43"/>
      <c r="AY85" s="43"/>
      <c r="AZ85" s="43"/>
    </row>
    <row r="86" spans="1:61" ht="18" customHeight="1" thickBot="1">
      <c r="A86" s="41"/>
      <c r="B86" s="540"/>
      <c r="C86" s="540"/>
      <c r="D86" s="540"/>
      <c r="E86" s="540"/>
      <c r="F86" s="541"/>
      <c r="G86" s="541"/>
      <c r="H86" s="541"/>
      <c r="I86" s="541"/>
      <c r="J86" s="541"/>
      <c r="K86" s="541"/>
      <c r="L86" s="541"/>
      <c r="M86" s="541"/>
      <c r="N86" s="541"/>
      <c r="O86" s="541"/>
      <c r="P86" s="541"/>
      <c r="Q86" s="541"/>
      <c r="R86" s="541"/>
      <c r="S86" s="541"/>
      <c r="T86" s="541"/>
      <c r="U86" s="541"/>
      <c r="V86" s="541"/>
      <c r="W86" s="541"/>
      <c r="X86" s="541"/>
      <c r="Y86" s="541"/>
      <c r="Z86" s="541"/>
      <c r="AA86" s="541"/>
      <c r="AB86" s="541"/>
      <c r="AC86" s="541"/>
      <c r="AD86" s="541"/>
      <c r="AE86" s="541"/>
      <c r="AF86" s="541"/>
      <c r="AG86" s="541"/>
      <c r="AH86" s="541"/>
      <c r="AI86" s="542"/>
      <c r="AK86" s="425"/>
      <c r="AL86" s="425"/>
      <c r="AM86" s="425"/>
      <c r="AN86" s="425"/>
      <c r="AO86" s="425"/>
      <c r="AP86" s="425"/>
      <c r="AQ86" s="42"/>
      <c r="AR86" s="43"/>
      <c r="AS86" s="43"/>
      <c r="AT86" s="43"/>
      <c r="AU86" s="43"/>
      <c r="AV86" s="43"/>
      <c r="AW86" s="43"/>
      <c r="AX86" s="43"/>
      <c r="AY86" s="43"/>
      <c r="AZ86" s="43"/>
    </row>
    <row r="87" spans="1:61" ht="14.1" customHeight="1">
      <c r="AK87" s="438"/>
      <c r="AL87" s="438"/>
      <c r="AM87" s="438"/>
      <c r="AN87" s="438"/>
      <c r="AO87" s="438"/>
      <c r="AP87" s="438"/>
      <c r="AQ87" s="119"/>
    </row>
    <row r="88" spans="1:61" ht="14.1" customHeight="1">
      <c r="AK88" s="437"/>
      <c r="AL88" s="437"/>
      <c r="AM88" s="437"/>
      <c r="AN88" s="437"/>
      <c r="AO88" s="437"/>
      <c r="AP88" s="437"/>
      <c r="AQ88" s="120"/>
    </row>
    <row r="89" spans="1:61" ht="14.1" customHeight="1">
      <c r="AK89" s="437"/>
      <c r="AL89" s="437"/>
      <c r="AM89" s="437"/>
      <c r="AN89" s="437"/>
      <c r="AO89" s="437"/>
      <c r="AP89" s="437"/>
      <c r="AQ89" s="120"/>
    </row>
    <row r="90" spans="1:61" ht="14.1" customHeight="1"/>
    <row r="91" spans="1:61" ht="14.1" customHeight="1"/>
    <row r="92" spans="1:61" ht="14.1" customHeight="1"/>
    <row r="93" spans="1:61" ht="14.1" customHeight="1"/>
    <row r="94" spans="1:61" ht="14.1" customHeight="1"/>
    <row r="95" spans="1:61" ht="14.1" customHeight="1"/>
    <row r="96" spans="1:61" ht="14.1" customHeight="1"/>
    <row r="97" ht="14.1" customHeight="1"/>
    <row r="98" ht="14.1" customHeight="1"/>
    <row r="99" ht="14.1" customHeight="1"/>
    <row r="100" ht="14.1" customHeight="1"/>
    <row r="101" ht="14.1" customHeight="1"/>
    <row r="102" ht="14.1" customHeight="1"/>
    <row r="103" ht="14.1" customHeight="1"/>
    <row r="104" ht="14.1" customHeight="1"/>
    <row r="105" ht="14.1" customHeight="1"/>
    <row r="106" ht="14.1" customHeight="1"/>
    <row r="107" ht="14.1" customHeight="1"/>
    <row r="108" ht="14.1" customHeight="1"/>
    <row r="109" ht="14.1" customHeight="1"/>
    <row r="110" ht="14.1" customHeight="1"/>
    <row r="111" ht="14.1" customHeight="1"/>
    <row r="112" ht="14.1" customHeight="1"/>
    <row r="113" ht="14.1" customHeight="1"/>
    <row r="114" ht="14.1" customHeight="1"/>
    <row r="115" ht="14.1" customHeight="1"/>
    <row r="116" ht="14.1" customHeight="1"/>
    <row r="117" ht="14.1" customHeight="1"/>
    <row r="118" ht="14.1" customHeight="1"/>
    <row r="119" ht="14.1" customHeight="1"/>
    <row r="120" ht="14.1" customHeight="1"/>
    <row r="121" ht="14.1" customHeight="1"/>
    <row r="122" ht="14.1" customHeight="1"/>
    <row r="123" ht="14.1" customHeight="1"/>
    <row r="124" ht="14.1" customHeight="1"/>
    <row r="125" ht="14.1" customHeight="1"/>
    <row r="126" ht="14.1" customHeight="1"/>
    <row r="127" ht="14.1" customHeight="1"/>
    <row r="128" ht="14.1" customHeight="1"/>
    <row r="129" ht="14.1" customHeight="1"/>
    <row r="130" ht="14.1" customHeight="1"/>
    <row r="131" ht="14.1" customHeight="1"/>
    <row r="132" ht="14.1" customHeight="1"/>
    <row r="133" ht="14.1" customHeight="1"/>
    <row r="134" ht="14.1" customHeight="1"/>
    <row r="135" ht="14.1" customHeight="1"/>
    <row r="136" ht="14.1" customHeight="1"/>
    <row r="137" ht="14.1" customHeight="1"/>
    <row r="138" ht="14.1" customHeight="1"/>
    <row r="139" ht="14.1" customHeight="1"/>
    <row r="140" ht="14.1" customHeight="1"/>
    <row r="141" ht="14.1" customHeight="1"/>
    <row r="142" ht="14.1" customHeight="1"/>
    <row r="143" ht="14.1" customHeight="1"/>
    <row r="144" ht="14.1" customHeight="1"/>
    <row r="145" ht="14.1" customHeight="1"/>
    <row r="146" ht="14.1" customHeight="1"/>
    <row r="147" ht="14.1" customHeight="1"/>
    <row r="148" ht="14.1" customHeight="1"/>
    <row r="149" ht="14.1" customHeight="1"/>
    <row r="150" ht="14.1" customHeight="1"/>
    <row r="151" ht="14.1" customHeight="1"/>
    <row r="152" ht="14.1" customHeight="1"/>
    <row r="153" ht="14.1" customHeight="1"/>
    <row r="154" ht="14.1" customHeight="1"/>
    <row r="155" ht="14.1" customHeight="1"/>
    <row r="156" ht="14.1" customHeight="1"/>
    <row r="157" ht="14.1" customHeight="1"/>
    <row r="158" ht="14.1" customHeight="1"/>
    <row r="159" ht="14.1" customHeight="1"/>
    <row r="160" ht="14.1" customHeight="1"/>
    <row r="161" ht="14.1" customHeight="1"/>
    <row r="162" ht="14.1" customHeight="1"/>
    <row r="163" ht="14.1" customHeight="1"/>
    <row r="164" ht="14.1" customHeight="1"/>
    <row r="165" ht="14.1" customHeight="1"/>
    <row r="166" ht="14.1" customHeight="1"/>
    <row r="167" ht="14.1" customHeight="1"/>
    <row r="168" ht="14.1" customHeight="1"/>
    <row r="169" ht="14.1" customHeight="1"/>
    <row r="170" ht="14.1" customHeight="1"/>
    <row r="171" ht="14.1" customHeight="1"/>
    <row r="172" ht="14.1" customHeight="1"/>
    <row r="173" ht="14.1" customHeight="1"/>
    <row r="174" ht="14.1" customHeight="1"/>
    <row r="175" ht="14.1" customHeight="1"/>
    <row r="176" ht="14.1" customHeight="1"/>
    <row r="177" ht="14.1" customHeight="1"/>
    <row r="178" ht="14.1" customHeight="1"/>
    <row r="179" ht="14.1" customHeight="1"/>
    <row r="180" ht="14.1" customHeight="1"/>
    <row r="181" ht="14.1" customHeight="1"/>
    <row r="182" ht="14.1" customHeight="1"/>
    <row r="183" ht="14.1" customHeight="1"/>
    <row r="184" ht="14.1" customHeight="1"/>
    <row r="185" ht="14.1" customHeight="1"/>
    <row r="186" ht="14.1" customHeight="1"/>
    <row r="187" ht="14.1" customHeight="1"/>
    <row r="188" ht="14.1" customHeight="1"/>
    <row r="189" ht="14.1" customHeight="1"/>
    <row r="190" ht="14.1" customHeight="1"/>
    <row r="191" ht="14.1" customHeight="1"/>
    <row r="192" ht="14.1" customHeight="1"/>
    <row r="193" ht="14.1" customHeight="1"/>
    <row r="194" ht="14.1" customHeight="1"/>
    <row r="195" ht="14.1" customHeight="1"/>
    <row r="196" ht="14.1" customHeight="1"/>
    <row r="197" ht="14.1" customHeight="1"/>
    <row r="198" ht="14.1" customHeight="1"/>
    <row r="199" ht="14.1" customHeight="1"/>
    <row r="200" ht="14.1" customHeight="1"/>
    <row r="201" ht="14.1" customHeight="1"/>
    <row r="202" ht="14.1" customHeight="1"/>
    <row r="203" ht="14.1" customHeight="1"/>
    <row r="204" ht="14.1" customHeight="1"/>
    <row r="205" ht="14.1" customHeight="1"/>
    <row r="206" ht="14.1" customHeight="1"/>
    <row r="207" ht="14.1" customHeight="1"/>
    <row r="208" ht="14.1" customHeight="1"/>
    <row r="209" ht="14.1" customHeight="1"/>
    <row r="210" ht="14.1" customHeight="1"/>
    <row r="211" ht="14.1" customHeight="1"/>
    <row r="212" ht="14.1" customHeight="1"/>
    <row r="213" ht="14.1" customHeight="1"/>
    <row r="214" ht="14.1" customHeight="1"/>
    <row r="215" ht="14.1" customHeight="1"/>
    <row r="216" ht="14.1" customHeight="1"/>
    <row r="217" ht="14.1" customHeight="1"/>
    <row r="218" ht="14.1" customHeight="1"/>
    <row r="219" ht="14.1" customHeight="1"/>
    <row r="220" ht="14.1" customHeight="1"/>
    <row r="221" ht="14.1" customHeight="1"/>
    <row r="222" ht="14.1" customHeight="1"/>
    <row r="223" ht="14.1" customHeight="1"/>
    <row r="224" ht="14.1" customHeight="1"/>
    <row r="225" ht="14.1" customHeight="1"/>
    <row r="226" ht="14.1" customHeight="1"/>
    <row r="227" ht="14.1" customHeight="1"/>
    <row r="228" ht="14.1" customHeight="1"/>
    <row r="229" ht="14.1" customHeight="1"/>
    <row r="230" ht="14.1" customHeight="1"/>
    <row r="231" ht="14.1" customHeight="1"/>
    <row r="232" ht="14.1" customHeight="1"/>
    <row r="233" ht="14.1" customHeight="1"/>
    <row r="234" ht="14.1" customHeight="1"/>
    <row r="235" ht="14.1" customHeight="1"/>
    <row r="236" ht="14.1" customHeight="1"/>
    <row r="237" ht="14.1" customHeight="1"/>
    <row r="238" ht="14.1" customHeight="1"/>
    <row r="239" ht="14.1" customHeight="1"/>
    <row r="240" ht="14.1" customHeight="1"/>
    <row r="241" ht="14.1" customHeight="1"/>
    <row r="242" ht="14.1" customHeight="1"/>
    <row r="243" ht="14.1" customHeight="1"/>
    <row r="244" ht="14.1" customHeight="1"/>
    <row r="245" ht="14.1" customHeight="1"/>
    <row r="246" ht="14.1" customHeight="1"/>
    <row r="247" ht="14.1" customHeight="1"/>
    <row r="248" ht="14.1" customHeight="1"/>
    <row r="249" ht="14.1" customHeight="1"/>
    <row r="250" ht="14.1" customHeight="1"/>
    <row r="251" ht="14.1" customHeight="1"/>
    <row r="252" ht="14.1" customHeight="1"/>
    <row r="253" ht="14.1" customHeight="1"/>
    <row r="254" ht="14.1" customHeight="1"/>
    <row r="255" ht="14.1" customHeight="1"/>
    <row r="256" ht="14.1" customHeight="1"/>
    <row r="257" ht="14.1" customHeight="1"/>
    <row r="258" ht="14.1" customHeight="1"/>
    <row r="259" ht="14.1" customHeight="1"/>
    <row r="260" ht="14.1" customHeight="1"/>
    <row r="261" ht="14.1" customHeight="1"/>
    <row r="262" ht="14.1" customHeight="1"/>
    <row r="263" ht="14.1" customHeight="1"/>
    <row r="264" ht="14.1" customHeight="1"/>
    <row r="265" ht="14.1" customHeight="1"/>
    <row r="266" ht="14.1" customHeight="1"/>
  </sheetData>
  <sheetProtection algorithmName="SHA-512" hashValue="0loLJCJhL4ad+e9W1BFBlntzNt2hf75qC+V2eugpQkoXMOcFlTwiL5DSpVRXAf1cyQ/kgBnOXO/4cSPzCUKn4A==" saltValue="4etb9yyOEqZ9UduJqdtb6g==" spinCount="100000" sheet="1" autoFilter="0"/>
  <mergeCells count="381">
    <mergeCell ref="A1:S3"/>
    <mergeCell ref="T1:Z3"/>
    <mergeCell ref="AD1:AI1"/>
    <mergeCell ref="AD2:AF4"/>
    <mergeCell ref="AG2:AI4"/>
    <mergeCell ref="A4:S5"/>
    <mergeCell ref="AK7:AP8"/>
    <mergeCell ref="AQ7:AQ8"/>
    <mergeCell ref="V8:X8"/>
    <mergeCell ref="A9:AI9"/>
    <mergeCell ref="AK9:AP9"/>
    <mergeCell ref="A10:H10"/>
    <mergeCell ref="I10:J10"/>
    <mergeCell ref="K10:L10"/>
    <mergeCell ref="M10:T10"/>
    <mergeCell ref="U10:V10"/>
    <mergeCell ref="O7:P8"/>
    <mergeCell ref="Q7:R8"/>
    <mergeCell ref="S7:T8"/>
    <mergeCell ref="V7:X7"/>
    <mergeCell ref="Y7:AA8"/>
    <mergeCell ref="AB7:AI8"/>
    <mergeCell ref="A7:E8"/>
    <mergeCell ref="F7:F8"/>
    <mergeCell ref="G7:I8"/>
    <mergeCell ref="J7:J8"/>
    <mergeCell ref="K7:M8"/>
    <mergeCell ref="N7:N8"/>
    <mergeCell ref="W10:X10"/>
    <mergeCell ref="Y10:AF10"/>
    <mergeCell ref="AG10:AH10"/>
    <mergeCell ref="AK10:AP10"/>
    <mergeCell ref="A11:H11"/>
    <mergeCell ref="I11:J11"/>
    <mergeCell ref="K11:L11"/>
    <mergeCell ref="M11:T11"/>
    <mergeCell ref="U11:V11"/>
    <mergeCell ref="W11:X11"/>
    <mergeCell ref="Y11:AF11"/>
    <mergeCell ref="AG11:AH11"/>
    <mergeCell ref="AK11:AP11"/>
    <mergeCell ref="A12:H12"/>
    <mergeCell ref="I12:J12"/>
    <mergeCell ref="K12:L12"/>
    <mergeCell ref="M12:T12"/>
    <mergeCell ref="U12:V12"/>
    <mergeCell ref="W12:X12"/>
    <mergeCell ref="Y12:AF12"/>
    <mergeCell ref="AG12:AH12"/>
    <mergeCell ref="AK12:AP12"/>
    <mergeCell ref="A13:H13"/>
    <mergeCell ref="I13:J13"/>
    <mergeCell ref="K13:L13"/>
    <mergeCell ref="M13:T13"/>
    <mergeCell ref="U13:V13"/>
    <mergeCell ref="W13:X13"/>
    <mergeCell ref="Y13:AF13"/>
    <mergeCell ref="AG13:AH13"/>
    <mergeCell ref="AK13:AP13"/>
    <mergeCell ref="A14:AI14"/>
    <mergeCell ref="AK14:AP14"/>
    <mergeCell ref="B15:I15"/>
    <mergeCell ref="J15:L15"/>
    <mergeCell ref="M15:N15"/>
    <mergeCell ref="O15:V15"/>
    <mergeCell ref="W15:Y15"/>
    <mergeCell ref="Z15:AA15"/>
    <mergeCell ref="AB15:AG15"/>
    <mergeCell ref="A18:E18"/>
    <mergeCell ref="F18:AI18"/>
    <mergeCell ref="AK18:AP18"/>
    <mergeCell ref="B19:E19"/>
    <mergeCell ref="F19:AI19"/>
    <mergeCell ref="AK19:AP19"/>
    <mergeCell ref="AH15:AI15"/>
    <mergeCell ref="AK15:AP15"/>
    <mergeCell ref="A16:AI16"/>
    <mergeCell ref="AK16:AP16"/>
    <mergeCell ref="A17:E17"/>
    <mergeCell ref="F17:AI17"/>
    <mergeCell ref="AK17:AP17"/>
    <mergeCell ref="B20:E20"/>
    <mergeCell ref="F20:AI20"/>
    <mergeCell ref="AK20:AP20"/>
    <mergeCell ref="AR20:AR23"/>
    <mergeCell ref="B21:E21"/>
    <mergeCell ref="F21:AI21"/>
    <mergeCell ref="AK21:AP21"/>
    <mergeCell ref="B22:E22"/>
    <mergeCell ref="F22:AI22"/>
    <mergeCell ref="AK22:AP22"/>
    <mergeCell ref="BA23:BB23"/>
    <mergeCell ref="B24:E24"/>
    <mergeCell ref="F24:AI24"/>
    <mergeCell ref="AK24:AP24"/>
    <mergeCell ref="AY24:AZ24"/>
    <mergeCell ref="BA24:BB24"/>
    <mergeCell ref="AS22:AT22"/>
    <mergeCell ref="AU22:AV22"/>
    <mergeCell ref="AY22:AZ22"/>
    <mergeCell ref="BA22:BB22"/>
    <mergeCell ref="B23:E23"/>
    <mergeCell ref="F23:AI23"/>
    <mergeCell ref="AK23:AP23"/>
    <mergeCell ref="AS23:AT23"/>
    <mergeCell ref="AU23:AV23"/>
    <mergeCell ref="AY23:AZ23"/>
    <mergeCell ref="B27:E27"/>
    <mergeCell ref="F27:AI27"/>
    <mergeCell ref="AK27:AP27"/>
    <mergeCell ref="AS27:AT27"/>
    <mergeCell ref="AU27:AW27"/>
    <mergeCell ref="AY27:BB27"/>
    <mergeCell ref="B25:E25"/>
    <mergeCell ref="F25:AI25"/>
    <mergeCell ref="AK25:AP25"/>
    <mergeCell ref="AY25:AZ25"/>
    <mergeCell ref="BA25:BB25"/>
    <mergeCell ref="B26:E26"/>
    <mergeCell ref="F26:AI26"/>
    <mergeCell ref="AK26:AP26"/>
    <mergeCell ref="AS26:AW26"/>
    <mergeCell ref="BA28:BB28"/>
    <mergeCell ref="B29:E29"/>
    <mergeCell ref="F29:AI29"/>
    <mergeCell ref="AK29:AP29"/>
    <mergeCell ref="AS29:AT29"/>
    <mergeCell ref="AU29:AW29"/>
    <mergeCell ref="AY29:AZ29"/>
    <mergeCell ref="BA29:BB29"/>
    <mergeCell ref="B28:E28"/>
    <mergeCell ref="F28:AI28"/>
    <mergeCell ref="AK28:AP28"/>
    <mergeCell ref="AS28:AT28"/>
    <mergeCell ref="AU28:AW28"/>
    <mergeCell ref="AY28:AZ28"/>
    <mergeCell ref="A32:AI32"/>
    <mergeCell ref="AK32:AP32"/>
    <mergeCell ref="AS32:AT32"/>
    <mergeCell ref="AU32:AW32"/>
    <mergeCell ref="AY32:AZ32"/>
    <mergeCell ref="BA32:BB32"/>
    <mergeCell ref="BA30:BB30"/>
    <mergeCell ref="B31:E31"/>
    <mergeCell ref="F31:AI31"/>
    <mergeCell ref="AK31:AP31"/>
    <mergeCell ref="AS31:AT31"/>
    <mergeCell ref="AU31:AW31"/>
    <mergeCell ref="AY31:AZ31"/>
    <mergeCell ref="BA31:BB31"/>
    <mergeCell ref="B30:E30"/>
    <mergeCell ref="F30:AI30"/>
    <mergeCell ref="AK30:AP30"/>
    <mergeCell ref="AS30:AT30"/>
    <mergeCell ref="AU30:AW30"/>
    <mergeCell ref="AY30:AZ30"/>
    <mergeCell ref="BA33:BB33"/>
    <mergeCell ref="B34:E34"/>
    <mergeCell ref="F34:AI34"/>
    <mergeCell ref="AK34:AP34"/>
    <mergeCell ref="AS34:AT34"/>
    <mergeCell ref="AU34:AW34"/>
    <mergeCell ref="AY34:AZ34"/>
    <mergeCell ref="BA34:BB34"/>
    <mergeCell ref="B33:E33"/>
    <mergeCell ref="F33:AI33"/>
    <mergeCell ref="AK33:AP33"/>
    <mergeCell ref="AS33:AT33"/>
    <mergeCell ref="AU33:AW33"/>
    <mergeCell ref="AY33:AZ33"/>
    <mergeCell ref="AY35:AZ35"/>
    <mergeCell ref="BA35:BB35"/>
    <mergeCell ref="A36:E36"/>
    <mergeCell ref="F36:K36"/>
    <mergeCell ref="L36:O36"/>
    <mergeCell ref="P36:R36"/>
    <mergeCell ref="T36:V36"/>
    <mergeCell ref="W36:AB36"/>
    <mergeCell ref="AC36:AI36"/>
    <mergeCell ref="B35:E35"/>
    <mergeCell ref="F35:V35"/>
    <mergeCell ref="W35:AB35"/>
    <mergeCell ref="AC35:AI35"/>
    <mergeCell ref="AK35:AP35"/>
    <mergeCell ref="AS35:AT35"/>
    <mergeCell ref="AK36:AP36"/>
    <mergeCell ref="AS36:AT36"/>
    <mergeCell ref="AU36:AW36"/>
    <mergeCell ref="AU35:AW35"/>
    <mergeCell ref="A39:AI39"/>
    <mergeCell ref="AK39:AP39"/>
    <mergeCell ref="AS39:AT39"/>
    <mergeCell ref="AV39:AW39"/>
    <mergeCell ref="A38:E38"/>
    <mergeCell ref="F38:K38"/>
    <mergeCell ref="L38:O38"/>
    <mergeCell ref="P38:V38"/>
    <mergeCell ref="W38:AB38"/>
    <mergeCell ref="AC38:AI38"/>
    <mergeCell ref="AD40:AI40"/>
    <mergeCell ref="A37:E37"/>
    <mergeCell ref="F37:AI37"/>
    <mergeCell ref="AK40:AP40"/>
    <mergeCell ref="AS40:AT40"/>
    <mergeCell ref="AV40:AW40"/>
    <mergeCell ref="A41:D41"/>
    <mergeCell ref="E41:G41"/>
    <mergeCell ref="I41:K41"/>
    <mergeCell ref="L41:R41"/>
    <mergeCell ref="S41:V41"/>
    <mergeCell ref="W41:Y41"/>
    <mergeCell ref="AA41:AC41"/>
    <mergeCell ref="AD41:AI41"/>
    <mergeCell ref="AK41:AP41"/>
    <mergeCell ref="A40:D40"/>
    <mergeCell ref="E40:K40"/>
    <mergeCell ref="L40:R40"/>
    <mergeCell ref="S40:V40"/>
    <mergeCell ref="W40:AC40"/>
    <mergeCell ref="AK37:AP37"/>
    <mergeCell ref="AS37:AT37"/>
    <mergeCell ref="AU37:AW37"/>
    <mergeCell ref="AK38:AP38"/>
    <mergeCell ref="A42:D42"/>
    <mergeCell ref="E42:G42"/>
    <mergeCell ref="I42:K42"/>
    <mergeCell ref="L42:R42"/>
    <mergeCell ref="S42:V42"/>
    <mergeCell ref="W42:Y42"/>
    <mergeCell ref="AA42:AC42"/>
    <mergeCell ref="AK42:AP42"/>
    <mergeCell ref="AS42:AW42"/>
    <mergeCell ref="A43:D43"/>
    <mergeCell ref="E43:G43"/>
    <mergeCell ref="I43:K43"/>
    <mergeCell ref="L43:R43"/>
    <mergeCell ref="S43:V43"/>
    <mergeCell ref="W43:Y43"/>
    <mergeCell ref="AA43:AC43"/>
    <mergeCell ref="A44:D44"/>
    <mergeCell ref="E44:G44"/>
    <mergeCell ref="I44:K44"/>
    <mergeCell ref="L44:R44"/>
    <mergeCell ref="S44:V44"/>
    <mergeCell ref="W44:Y44"/>
    <mergeCell ref="AA44:AC44"/>
    <mergeCell ref="AD44:AI44"/>
    <mergeCell ref="AD42:AI42"/>
    <mergeCell ref="AK44:AP44"/>
    <mergeCell ref="R45:U45"/>
    <mergeCell ref="W45:X45"/>
    <mergeCell ref="Z45:AA45"/>
    <mergeCell ref="AC45:AD45"/>
    <mergeCell ref="AE45:AF45"/>
    <mergeCell ref="AK45:AP45"/>
    <mergeCell ref="AD43:AI43"/>
    <mergeCell ref="AK43:AP43"/>
    <mergeCell ref="B49:E49"/>
    <mergeCell ref="F49:AI49"/>
    <mergeCell ref="AK49:AP49"/>
    <mergeCell ref="B50:E50"/>
    <mergeCell ref="F50:AI50"/>
    <mergeCell ref="AK50:AP50"/>
    <mergeCell ref="A46:AI46"/>
    <mergeCell ref="AK46:AP46"/>
    <mergeCell ref="B47:E47"/>
    <mergeCell ref="F47:AI47"/>
    <mergeCell ref="AK47:AP47"/>
    <mergeCell ref="B48:E48"/>
    <mergeCell ref="F48:AI48"/>
    <mergeCell ref="AK48:AP48"/>
    <mergeCell ref="B53:E53"/>
    <mergeCell ref="F53:AI53"/>
    <mergeCell ref="AK53:AP53"/>
    <mergeCell ref="B54:E54"/>
    <mergeCell ref="F54:AI54"/>
    <mergeCell ref="AK54:AP54"/>
    <mergeCell ref="B51:E51"/>
    <mergeCell ref="F51:AI51"/>
    <mergeCell ref="AK51:AP51"/>
    <mergeCell ref="B52:E52"/>
    <mergeCell ref="F52:AI52"/>
    <mergeCell ref="AK52:AP52"/>
    <mergeCell ref="B57:E57"/>
    <mergeCell ref="F57:AI57"/>
    <mergeCell ref="AK57:AP57"/>
    <mergeCell ref="B58:E58"/>
    <mergeCell ref="F58:AI58"/>
    <mergeCell ref="AK58:AP58"/>
    <mergeCell ref="B55:E55"/>
    <mergeCell ref="F55:AI55"/>
    <mergeCell ref="AK55:AP55"/>
    <mergeCell ref="B56:E56"/>
    <mergeCell ref="F56:AI56"/>
    <mergeCell ref="AK56:AP56"/>
    <mergeCell ref="B61:E61"/>
    <mergeCell ref="F61:AI61"/>
    <mergeCell ref="AK61:AP61"/>
    <mergeCell ref="B62:E62"/>
    <mergeCell ref="F62:AI62"/>
    <mergeCell ref="AK62:AP62"/>
    <mergeCell ref="B59:E59"/>
    <mergeCell ref="F59:AI59"/>
    <mergeCell ref="AK59:AP59"/>
    <mergeCell ref="B60:E60"/>
    <mergeCell ref="F60:AI60"/>
    <mergeCell ref="AK60:AP60"/>
    <mergeCell ref="B65:E65"/>
    <mergeCell ref="F65:AI65"/>
    <mergeCell ref="AK65:AP65"/>
    <mergeCell ref="B66:E66"/>
    <mergeCell ref="F66:AI66"/>
    <mergeCell ref="AK66:AP66"/>
    <mergeCell ref="B63:E63"/>
    <mergeCell ref="F63:AI63"/>
    <mergeCell ref="AK63:AP63"/>
    <mergeCell ref="B64:E64"/>
    <mergeCell ref="F64:AI64"/>
    <mergeCell ref="AK64:AP64"/>
    <mergeCell ref="B69:E69"/>
    <mergeCell ref="F69:AI69"/>
    <mergeCell ref="AK69:AP69"/>
    <mergeCell ref="B70:E70"/>
    <mergeCell ref="F70:AI70"/>
    <mergeCell ref="AK70:AP70"/>
    <mergeCell ref="B67:E67"/>
    <mergeCell ref="F67:AI67"/>
    <mergeCell ref="AK67:AP67"/>
    <mergeCell ref="B68:E68"/>
    <mergeCell ref="F68:AI68"/>
    <mergeCell ref="AK68:AP68"/>
    <mergeCell ref="B73:E73"/>
    <mergeCell ref="F73:AI73"/>
    <mergeCell ref="AK73:AP73"/>
    <mergeCell ref="B74:E74"/>
    <mergeCell ref="F74:AI74"/>
    <mergeCell ref="AK74:AP74"/>
    <mergeCell ref="B71:E71"/>
    <mergeCell ref="F71:AI71"/>
    <mergeCell ref="AK71:AP71"/>
    <mergeCell ref="B72:E72"/>
    <mergeCell ref="F72:AI72"/>
    <mergeCell ref="AK72:AP72"/>
    <mergeCell ref="B77:E77"/>
    <mergeCell ref="F77:AI77"/>
    <mergeCell ref="AK77:AP77"/>
    <mergeCell ref="B78:E78"/>
    <mergeCell ref="F78:AI78"/>
    <mergeCell ref="AK78:AP78"/>
    <mergeCell ref="B75:E75"/>
    <mergeCell ref="F75:AI75"/>
    <mergeCell ref="AK75:AP75"/>
    <mergeCell ref="B76:E76"/>
    <mergeCell ref="F76:AI76"/>
    <mergeCell ref="AK76:AP76"/>
    <mergeCell ref="A81:AI81"/>
    <mergeCell ref="AK81:AP81"/>
    <mergeCell ref="B82:E82"/>
    <mergeCell ref="F82:AI82"/>
    <mergeCell ref="AK82:AP82"/>
    <mergeCell ref="B83:E83"/>
    <mergeCell ref="F83:AI83"/>
    <mergeCell ref="AK83:AP83"/>
    <mergeCell ref="B79:E79"/>
    <mergeCell ref="F79:AI79"/>
    <mergeCell ref="AK79:AP79"/>
    <mergeCell ref="B80:E80"/>
    <mergeCell ref="F80:AI80"/>
    <mergeCell ref="AK80:AP80"/>
    <mergeCell ref="B86:E86"/>
    <mergeCell ref="F86:AI86"/>
    <mergeCell ref="AK86:AP86"/>
    <mergeCell ref="AK87:AP87"/>
    <mergeCell ref="AK88:AP88"/>
    <mergeCell ref="AK89:AP89"/>
    <mergeCell ref="B84:E84"/>
    <mergeCell ref="F84:AI84"/>
    <mergeCell ref="AK84:AP84"/>
    <mergeCell ref="B85:E85"/>
    <mergeCell ref="F85:AI85"/>
    <mergeCell ref="AK85:AP85"/>
  </mergeCells>
  <phoneticPr fontId="2"/>
  <conditionalFormatting sqref="AQ20:AQ28 AQ30:AQ31 AQ9 AQ11:AQ12 AQ14 AQ33:AQ34">
    <cfRule type="containsBlanks" dxfId="119" priority="12">
      <formula>LEN(TRIM(AQ9))=0</formula>
    </cfRule>
  </conditionalFormatting>
  <conditionalFormatting sqref="BC11:CF11">
    <cfRule type="containsText" dxfId="118" priority="8" operator="containsText" text="青">
      <formula>NOT(ISERROR(SEARCH("青",BC11)))</formula>
    </cfRule>
    <cfRule type="containsText" dxfId="117" priority="9" operator="containsText" text="緑">
      <formula>NOT(ISERROR(SEARCH("緑",BC11)))</formula>
    </cfRule>
    <cfRule type="containsText" dxfId="116" priority="10" operator="containsText" text="黄">
      <formula>NOT(ISERROR(SEARCH("黄",BC11)))</formula>
    </cfRule>
    <cfRule type="containsText" dxfId="115" priority="11" operator="containsText" text="赤">
      <formula>NOT(ISERROR(SEARCH("赤",BC11)))</formula>
    </cfRule>
  </conditionalFormatting>
  <conditionalFormatting sqref="V7:X8">
    <cfRule type="containsBlanks" dxfId="114" priority="7">
      <formula>LEN(TRIM(V7))=0</formula>
    </cfRule>
  </conditionalFormatting>
  <conditionalFormatting sqref="AB7:AI8">
    <cfRule type="containsBlanks" dxfId="113" priority="6">
      <formula>LEN(TRIM(AB7))=0</formula>
    </cfRule>
  </conditionalFormatting>
  <conditionalFormatting sqref="A7:E8 G7:I8 K7:M8 O7:P8">
    <cfRule type="containsBlanks" dxfId="112" priority="5">
      <formula>LEN(TRIM(A7))=0</formula>
    </cfRule>
  </conditionalFormatting>
  <conditionalFormatting sqref="W15:Y15 AH15:AI15 J15:L15">
    <cfRule type="containsBlanks" dxfId="111" priority="4">
      <formula>LEN(TRIM(J15))=0</formula>
    </cfRule>
  </conditionalFormatting>
  <conditionalFormatting sqref="L41:R44">
    <cfRule type="cellIs" dxfId="110" priority="1" operator="equal">
      <formula>0</formula>
    </cfRule>
  </conditionalFormatting>
  <conditionalFormatting sqref="P36:R36 T36:V36 L38:O38 AC38:AI38 AC36:AI36">
    <cfRule type="containsBlanks" dxfId="109" priority="3">
      <formula>LEN(TRIM(L36))=0</formula>
    </cfRule>
  </conditionalFormatting>
  <conditionalFormatting sqref="W41:Y44 AA41:AI44">
    <cfRule type="cellIs" dxfId="108" priority="2" operator="equal">
      <formula>0</formula>
    </cfRule>
  </conditionalFormatting>
  <printOptions horizontalCentered="1" verticalCentered="1"/>
  <pageMargins left="0.70866141732283472" right="0.59055118110236227" top="0.55118110236220474" bottom="0.55118110236220474" header="0.31496062992125984" footer="0.31496062992125984"/>
  <pageSetup paperSize="9" orientation="portrait" horizontalDpi="300" verticalDpi="300" r:id="rId1"/>
  <headerFooter scaleWithDoc="0" alignWithMargins="0">
    <oddFooter>&amp;C&amp;P&amp;Rヒトトヒト株式会社</oddFooter>
  </headerFooter>
  <rowBreaks count="1" manualBreakCount="1">
    <brk id="44" max="34" man="1"/>
  </rowBreaks>
  <drawing r:id="rId2"/>
  <extLst>
    <ext xmlns:x14="http://schemas.microsoft.com/office/spreadsheetml/2009/9/main" uri="{CCE6A557-97BC-4b89-ADB6-D9C93CAAB3DF}">
      <x14:dataValidations xmlns:xm="http://schemas.microsoft.com/office/excel/2006/main" count="6">
        <x14:dataValidation type="list" allowBlank="1" showInputMessage="1" showErrorMessage="1" xr:uid="{E14328A9-6D40-4AF0-AD76-C1F80AEDB3DF}">
          <x14:formula1>
            <xm:f>初期値!$C$12:$C$27</xm:f>
          </x14:formula1>
          <xm:sqref>P36:R36 T36:V36</xm:sqref>
        </x14:dataValidation>
        <x14:dataValidation type="list" allowBlank="1" showInputMessage="1" showErrorMessage="1" xr:uid="{A5F4077C-4AF9-488C-8332-D4774117CB9A}">
          <x14:formula1>
            <xm:f>初期値!$G$12:$G$24</xm:f>
          </x14:formula1>
          <xm:sqref>V7:X8</xm:sqref>
        </x14:dataValidation>
        <x14:dataValidation type="list" allowBlank="1" showInputMessage="1" showErrorMessage="1" xr:uid="{746B09DE-F071-4FC4-99A9-F16E9BC92D80}">
          <x14:formula1>
            <xm:f>初期値!$E$12:$E$13</xm:f>
          </x14:formula1>
          <xm:sqref>L38:O38 AC38:AI38 AC36:AI36</xm:sqref>
        </x14:dataValidation>
        <x14:dataValidation type="list" allowBlank="1" showInputMessage="1" showErrorMessage="1" xr:uid="{135197D7-6486-484C-B196-2874F25D4B85}">
          <x14:formula1>
            <xm:f>初期値!$N$22:$N$23</xm:f>
          </x14:formula1>
          <xm:sqref>AW23</xm:sqref>
        </x14:dataValidation>
        <x14:dataValidation type="list" allowBlank="1" showInputMessage="1" showErrorMessage="1" xr:uid="{D3B3F736-FD2E-4FEC-9ABD-93565C2E5061}">
          <x14:formula1>
            <xm:f>初期値!$P$12:$P$27</xm:f>
          </x14:formula1>
          <xm:sqref>BA24:BB24 BA22:BB22 BA28:BB28 BA30:BB30 BA32:BB32 BA34:BB34</xm:sqref>
        </x14:dataValidation>
        <x14:dataValidation type="list" allowBlank="1" showInputMessage="1" showErrorMessage="1" xr:uid="{4C42C08B-8786-4144-BD6B-5EE545CA2134}">
          <x14:formula1>
            <xm:f>初期値!$N$12:$N$19</xm:f>
          </x14:formula1>
          <xm:sqref>AU22:AV22</xm:sqref>
        </x14:dataValidation>
      </x14:dataValidations>
    </ext>
  </extLst>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246DEE8-B90D-444E-A498-026C957C7E3A}">
  <sheetPr codeName="Sheet29"/>
  <dimension ref="A1:CG266"/>
  <sheetViews>
    <sheetView zoomScaleNormal="100" zoomScaleSheetLayoutView="100" workbookViewId="0">
      <selection activeCell="AV16" sqref="AV16"/>
    </sheetView>
  </sheetViews>
  <sheetFormatPr defaultColWidth="8.875" defaultRowHeight="13.5"/>
  <cols>
    <col min="1" max="42" width="2.25" style="23" customWidth="1"/>
    <col min="43" max="43" width="6" style="23" bestFit="1" customWidth="1"/>
    <col min="44" max="44" width="4.5" style="23" bestFit="1" customWidth="1"/>
    <col min="45" max="45" width="6" style="23" bestFit="1" customWidth="1"/>
    <col min="46" max="46" width="4.5" style="23" bestFit="1" customWidth="1"/>
    <col min="47" max="47" width="9" style="23" bestFit="1" customWidth="1"/>
    <col min="48" max="48" width="8.5" style="23" bestFit="1" customWidth="1"/>
    <col min="49" max="49" width="7.5" style="23" bestFit="1" customWidth="1"/>
    <col min="50" max="50" width="6.5" style="23" bestFit="1" customWidth="1"/>
    <col min="51" max="51" width="7.5" style="23" bestFit="1" customWidth="1"/>
    <col min="52" max="52" width="2.125" style="23" customWidth="1"/>
    <col min="53" max="54" width="7.375" style="23" customWidth="1"/>
    <col min="55" max="63" width="3.625" style="23" bestFit="1" customWidth="1"/>
    <col min="64" max="84" width="4" style="23" bestFit="1" customWidth="1"/>
    <col min="85" max="16384" width="8.875" style="23"/>
  </cols>
  <sheetData>
    <row r="1" spans="1:85" ht="14.1" customHeight="1">
      <c r="A1" s="510" t="s">
        <v>551</v>
      </c>
      <c r="B1" s="510"/>
      <c r="C1" s="510"/>
      <c r="D1" s="510"/>
      <c r="E1" s="510"/>
      <c r="F1" s="510"/>
      <c r="G1" s="510"/>
      <c r="H1" s="510"/>
      <c r="I1" s="510"/>
      <c r="J1" s="510"/>
      <c r="K1" s="510"/>
      <c r="L1" s="510"/>
      <c r="M1" s="510"/>
      <c r="N1" s="510"/>
      <c r="O1" s="510"/>
      <c r="P1" s="510"/>
      <c r="Q1" s="510"/>
      <c r="R1" s="510"/>
      <c r="S1" s="510"/>
      <c r="T1" s="388"/>
      <c r="U1" s="388"/>
      <c r="V1" s="388"/>
      <c r="W1" s="388"/>
      <c r="X1" s="388"/>
      <c r="Y1" s="388"/>
      <c r="Z1" s="388"/>
      <c r="AA1" s="24"/>
      <c r="AB1" s="32"/>
      <c r="AD1" s="252" t="s">
        <v>167</v>
      </c>
      <c r="AE1" s="252"/>
      <c r="AF1" s="252"/>
      <c r="AG1" s="252"/>
      <c r="AH1" s="252"/>
      <c r="AI1" s="252"/>
      <c r="AM1" s="123">
        <v>22</v>
      </c>
      <c r="BB1"/>
    </row>
    <row r="2" spans="1:85" ht="14.1" customHeight="1">
      <c r="A2" s="510"/>
      <c r="B2" s="510"/>
      <c r="C2" s="510"/>
      <c r="D2" s="510"/>
      <c r="E2" s="510"/>
      <c r="F2" s="510"/>
      <c r="G2" s="510"/>
      <c r="H2" s="510"/>
      <c r="I2" s="510"/>
      <c r="J2" s="510"/>
      <c r="K2" s="510"/>
      <c r="L2" s="510"/>
      <c r="M2" s="510"/>
      <c r="N2" s="510"/>
      <c r="O2" s="510"/>
      <c r="P2" s="510"/>
      <c r="Q2" s="510"/>
      <c r="R2" s="510"/>
      <c r="S2" s="510"/>
      <c r="T2" s="388"/>
      <c r="U2" s="388"/>
      <c r="V2" s="388"/>
      <c r="W2" s="388"/>
      <c r="X2" s="388"/>
      <c r="Y2" s="388"/>
      <c r="Z2" s="388"/>
      <c r="AA2" s="25"/>
      <c r="AB2" s="31"/>
      <c r="AD2" s="253"/>
      <c r="AE2" s="253"/>
      <c r="AF2" s="253"/>
      <c r="AG2" s="253"/>
      <c r="AH2" s="253"/>
      <c r="AI2" s="253"/>
      <c r="BA2"/>
    </row>
    <row r="3" spans="1:85" ht="14.1" customHeight="1">
      <c r="A3" s="510"/>
      <c r="B3" s="510"/>
      <c r="C3" s="510"/>
      <c r="D3" s="510"/>
      <c r="E3" s="510"/>
      <c r="F3" s="510"/>
      <c r="G3" s="510"/>
      <c r="H3" s="510"/>
      <c r="I3" s="510"/>
      <c r="J3" s="510"/>
      <c r="K3" s="510"/>
      <c r="L3" s="510"/>
      <c r="M3" s="510"/>
      <c r="N3" s="510"/>
      <c r="O3" s="510"/>
      <c r="P3" s="510"/>
      <c r="Q3" s="510"/>
      <c r="R3" s="510"/>
      <c r="S3" s="510"/>
      <c r="T3" s="388"/>
      <c r="U3" s="388"/>
      <c r="V3" s="388"/>
      <c r="W3" s="388"/>
      <c r="X3" s="388"/>
      <c r="Y3" s="388"/>
      <c r="Z3" s="388"/>
      <c r="AA3" s="25"/>
      <c r="AB3" s="31"/>
      <c r="AD3" s="253"/>
      <c r="AE3" s="253"/>
      <c r="AF3" s="253"/>
      <c r="AG3" s="253"/>
      <c r="AH3" s="253"/>
      <c r="AI3" s="253"/>
      <c r="BA3"/>
    </row>
    <row r="4" spans="1:85" ht="14.1" customHeight="1">
      <c r="A4" s="395" t="s">
        <v>552</v>
      </c>
      <c r="B4" s="395"/>
      <c r="C4" s="395"/>
      <c r="D4" s="395"/>
      <c r="E4" s="395"/>
      <c r="F4" s="395"/>
      <c r="G4" s="395"/>
      <c r="H4" s="395"/>
      <c r="I4" s="395"/>
      <c r="J4" s="395"/>
      <c r="K4" s="395"/>
      <c r="L4" s="395"/>
      <c r="M4" s="395"/>
      <c r="N4" s="395"/>
      <c r="O4" s="395"/>
      <c r="P4" s="395"/>
      <c r="Q4" s="395"/>
      <c r="R4" s="395"/>
      <c r="S4" s="395"/>
      <c r="T4" s="155"/>
      <c r="U4" s="155"/>
      <c r="V4" s="155"/>
      <c r="W4" s="155"/>
      <c r="X4" s="155"/>
      <c r="Y4" s="155"/>
      <c r="Z4" s="155"/>
      <c r="AA4" s="26"/>
      <c r="AB4" s="31"/>
      <c r="AD4" s="253"/>
      <c r="AE4" s="253"/>
      <c r="AF4" s="253"/>
      <c r="AG4" s="253"/>
      <c r="AH4" s="253"/>
      <c r="AI4" s="253"/>
      <c r="BA4"/>
    </row>
    <row r="5" spans="1:85" ht="14.1" customHeight="1">
      <c r="A5" s="395"/>
      <c r="B5" s="395"/>
      <c r="C5" s="395"/>
      <c r="D5" s="395"/>
      <c r="E5" s="395"/>
      <c r="F5" s="395"/>
      <c r="G5" s="395"/>
      <c r="H5" s="395"/>
      <c r="I5" s="395"/>
      <c r="J5" s="395"/>
      <c r="K5" s="395"/>
      <c r="L5" s="395"/>
      <c r="M5" s="395"/>
      <c r="N5" s="395"/>
      <c r="O5" s="395"/>
      <c r="P5" s="395"/>
      <c r="Q5" s="395"/>
      <c r="R5" s="395"/>
      <c r="S5" s="395"/>
      <c r="T5" s="155"/>
      <c r="U5" s="155"/>
      <c r="V5" s="155"/>
      <c r="W5" s="155"/>
      <c r="X5" s="155"/>
      <c r="Y5" s="155"/>
      <c r="Z5" s="155"/>
      <c r="AA5" s="26"/>
      <c r="AB5" s="31"/>
      <c r="AC5" s="31"/>
      <c r="AD5" s="31"/>
      <c r="AE5" s="31"/>
      <c r="AF5" s="31"/>
      <c r="AG5" s="31"/>
      <c r="AH5" s="31"/>
      <c r="AI5" s="31"/>
      <c r="BA5"/>
    </row>
    <row r="6" spans="1:85" ht="14.1" customHeight="1" thickBot="1">
      <c r="A6" s="27"/>
      <c r="B6" s="27"/>
      <c r="C6" s="27"/>
      <c r="D6" s="27"/>
      <c r="E6" s="27"/>
      <c r="F6" s="27"/>
      <c r="G6" s="27"/>
      <c r="H6" s="27"/>
      <c r="I6" s="27"/>
      <c r="BA6"/>
    </row>
    <row r="7" spans="1:85" ht="12" customHeight="1">
      <c r="A7" s="255">
        <f>DATE(初期値!A2,初期値!A3,AM1)</f>
        <v>46195</v>
      </c>
      <c r="B7" s="256"/>
      <c r="C7" s="256"/>
      <c r="D7" s="256"/>
      <c r="E7" s="256"/>
      <c r="F7" s="259" t="s">
        <v>169</v>
      </c>
      <c r="G7" s="236">
        <f>$A$7</f>
        <v>46195</v>
      </c>
      <c r="H7" s="236"/>
      <c r="I7" s="236"/>
      <c r="J7" s="239" t="s">
        <v>170</v>
      </c>
      <c r="K7" s="261">
        <f>$A$7</f>
        <v>46195</v>
      </c>
      <c r="L7" s="261"/>
      <c r="M7" s="261"/>
      <c r="N7" s="239" t="s">
        <v>3</v>
      </c>
      <c r="O7" s="520">
        <f>$A$7</f>
        <v>46195</v>
      </c>
      <c r="P7" s="520"/>
      <c r="Q7" s="239" t="s">
        <v>292</v>
      </c>
      <c r="R7" s="240"/>
      <c r="S7" s="522" t="s">
        <v>553</v>
      </c>
      <c r="T7" s="244"/>
      <c r="U7" s="29" t="s">
        <v>554</v>
      </c>
      <c r="V7" s="518" t="s">
        <v>23</v>
      </c>
      <c r="W7" s="518"/>
      <c r="X7" s="518"/>
      <c r="Y7" s="511" t="s">
        <v>555</v>
      </c>
      <c r="Z7" s="512"/>
      <c r="AA7" s="513"/>
      <c r="AB7" s="244" t="str">
        <f>L43</f>
        <v>三角龍彦</v>
      </c>
      <c r="AC7" s="244"/>
      <c r="AD7" s="244"/>
      <c r="AE7" s="244"/>
      <c r="AF7" s="244"/>
      <c r="AG7" s="244"/>
      <c r="AH7" s="244"/>
      <c r="AI7" s="245"/>
      <c r="AK7" s="425" t="s">
        <v>556</v>
      </c>
      <c r="AL7" s="425"/>
      <c r="AM7" s="425"/>
      <c r="AN7" s="425"/>
      <c r="AO7" s="425"/>
      <c r="AP7" s="425"/>
      <c r="AQ7" s="439" t="s">
        <v>557</v>
      </c>
      <c r="AR7" s="43"/>
      <c r="AS7" s="43"/>
      <c r="AT7" s="43"/>
      <c r="AU7" s="43"/>
      <c r="AV7" s="43"/>
      <c r="AW7" s="43"/>
      <c r="AX7" s="43"/>
      <c r="AY7" s="43"/>
      <c r="AZ7" s="43"/>
      <c r="BA7"/>
    </row>
    <row r="8" spans="1:85" ht="12" customHeight="1" thickBot="1">
      <c r="A8" s="257"/>
      <c r="B8" s="258"/>
      <c r="C8" s="258"/>
      <c r="D8" s="258"/>
      <c r="E8" s="258"/>
      <c r="F8" s="260"/>
      <c r="G8" s="237"/>
      <c r="H8" s="237"/>
      <c r="I8" s="237"/>
      <c r="J8" s="242"/>
      <c r="K8" s="262"/>
      <c r="L8" s="262"/>
      <c r="M8" s="262"/>
      <c r="N8" s="242"/>
      <c r="O8" s="521"/>
      <c r="P8" s="521"/>
      <c r="Q8" s="242"/>
      <c r="R8" s="243"/>
      <c r="S8" s="523"/>
      <c r="T8" s="246"/>
      <c r="U8" s="33" t="s">
        <v>558</v>
      </c>
      <c r="V8" s="519" t="s">
        <v>37</v>
      </c>
      <c r="W8" s="519"/>
      <c r="X8" s="519"/>
      <c r="Y8" s="514"/>
      <c r="Z8" s="515"/>
      <c r="AA8" s="516"/>
      <c r="AB8" s="246"/>
      <c r="AC8" s="246"/>
      <c r="AD8" s="246"/>
      <c r="AE8" s="246"/>
      <c r="AF8" s="246"/>
      <c r="AG8" s="246"/>
      <c r="AH8" s="246"/>
      <c r="AI8" s="247"/>
      <c r="AK8" s="425"/>
      <c r="AL8" s="425"/>
      <c r="AM8" s="425"/>
      <c r="AN8" s="425"/>
      <c r="AO8" s="425"/>
      <c r="AP8" s="425"/>
      <c r="AQ8" s="439"/>
      <c r="AR8" s="43"/>
      <c r="AS8" s="43"/>
      <c r="AT8" s="43"/>
      <c r="AU8" s="43"/>
      <c r="AV8" s="43"/>
      <c r="AW8" s="43"/>
      <c r="AX8" s="43"/>
      <c r="AY8" s="43"/>
      <c r="AZ8" s="43"/>
      <c r="BA8"/>
    </row>
    <row r="9" spans="1:85" ht="18" customHeight="1">
      <c r="A9" s="507" t="s">
        <v>559</v>
      </c>
      <c r="B9" s="508"/>
      <c r="C9" s="508"/>
      <c r="D9" s="508"/>
      <c r="E9" s="508"/>
      <c r="F9" s="508"/>
      <c r="G9" s="508"/>
      <c r="H9" s="508"/>
      <c r="I9" s="508"/>
      <c r="J9" s="508"/>
      <c r="K9" s="508"/>
      <c r="L9" s="508"/>
      <c r="M9" s="508"/>
      <c r="N9" s="508"/>
      <c r="O9" s="508"/>
      <c r="P9" s="508"/>
      <c r="Q9" s="508"/>
      <c r="R9" s="508"/>
      <c r="S9" s="508"/>
      <c r="T9" s="508"/>
      <c r="U9" s="508"/>
      <c r="V9" s="508"/>
      <c r="W9" s="508"/>
      <c r="X9" s="508"/>
      <c r="Y9" s="508"/>
      <c r="Z9" s="508"/>
      <c r="AA9" s="508"/>
      <c r="AB9" s="508"/>
      <c r="AC9" s="508"/>
      <c r="AD9" s="508"/>
      <c r="AE9" s="508"/>
      <c r="AF9" s="508"/>
      <c r="AG9" s="508"/>
      <c r="AH9" s="508"/>
      <c r="AI9" s="509"/>
      <c r="AK9" s="440" t="s">
        <v>560</v>
      </c>
      <c r="AL9" s="440"/>
      <c r="AM9" s="440"/>
      <c r="AN9" s="440"/>
      <c r="AO9" s="440"/>
      <c r="AP9" s="440"/>
      <c r="AQ9" s="42">
        <v>63</v>
      </c>
      <c r="AR9" s="43"/>
      <c r="AS9" s="44" t="s">
        <v>561</v>
      </c>
      <c r="AT9" s="44" t="s">
        <v>562</v>
      </c>
      <c r="AU9" s="44" t="s">
        <v>563</v>
      </c>
      <c r="AV9" s="44" t="s">
        <v>564</v>
      </c>
      <c r="AW9" s="45" t="s">
        <v>565</v>
      </c>
      <c r="AX9" s="45" t="s">
        <v>566</v>
      </c>
      <c r="AY9" s="44" t="s">
        <v>567</v>
      </c>
      <c r="AZ9" s="43"/>
      <c r="BB9" s="49" t="s">
        <v>568</v>
      </c>
      <c r="BC9" s="43"/>
      <c r="BD9" s="43"/>
      <c r="BE9" s="43"/>
      <c r="BF9" s="43"/>
      <c r="BG9" s="43"/>
      <c r="BH9" s="43"/>
      <c r="BI9" s="43"/>
      <c r="BJ9" s="43"/>
      <c r="BK9" s="43"/>
      <c r="BL9" s="43"/>
      <c r="BM9" s="43"/>
      <c r="BN9" s="43"/>
      <c r="BO9" s="43"/>
      <c r="BP9" s="43"/>
      <c r="BQ9" s="43"/>
      <c r="BR9" s="43"/>
      <c r="BS9" s="43"/>
      <c r="BT9" s="43"/>
      <c r="BU9" s="43"/>
      <c r="BV9" s="43"/>
      <c r="BW9" s="43"/>
      <c r="BX9" s="43"/>
      <c r="BY9" s="43"/>
      <c r="BZ9" s="43"/>
      <c r="CA9" s="43"/>
      <c r="CB9" s="43"/>
      <c r="CC9" s="43"/>
      <c r="CD9" s="43"/>
      <c r="CE9" s="43"/>
      <c r="CF9" s="43"/>
      <c r="CG9" s="43"/>
    </row>
    <row r="10" spans="1:85" ht="18" customHeight="1">
      <c r="A10" s="265" t="s">
        <v>569</v>
      </c>
      <c r="B10" s="266"/>
      <c r="C10" s="266"/>
      <c r="D10" s="266"/>
      <c r="E10" s="266"/>
      <c r="F10" s="266"/>
      <c r="G10" s="266"/>
      <c r="H10" s="266"/>
      <c r="I10" s="264">
        <f>AQ14</f>
        <v>4</v>
      </c>
      <c r="J10" s="264"/>
      <c r="K10" s="267" t="s">
        <v>176</v>
      </c>
      <c r="L10" s="268"/>
      <c r="M10" s="269" t="s">
        <v>570</v>
      </c>
      <c r="N10" s="266"/>
      <c r="O10" s="266"/>
      <c r="P10" s="266"/>
      <c r="Q10" s="266"/>
      <c r="R10" s="266"/>
      <c r="S10" s="266"/>
      <c r="T10" s="266"/>
      <c r="U10" s="264">
        <f>AQ37</f>
        <v>0</v>
      </c>
      <c r="V10" s="264"/>
      <c r="W10" s="267" t="s">
        <v>176</v>
      </c>
      <c r="X10" s="268"/>
      <c r="Y10" s="269" t="s">
        <v>571</v>
      </c>
      <c r="Z10" s="266"/>
      <c r="AA10" s="266"/>
      <c r="AB10" s="266"/>
      <c r="AC10" s="266"/>
      <c r="AD10" s="266"/>
      <c r="AE10" s="266"/>
      <c r="AF10" s="266"/>
      <c r="AG10" s="264">
        <f>AQ26+AQ25</f>
        <v>0</v>
      </c>
      <c r="AH10" s="264"/>
      <c r="AI10" s="28" t="s">
        <v>176</v>
      </c>
      <c r="AK10" s="440" t="s">
        <v>572</v>
      </c>
      <c r="AL10" s="440"/>
      <c r="AM10" s="440"/>
      <c r="AN10" s="440"/>
      <c r="AO10" s="440"/>
      <c r="AP10" s="440"/>
      <c r="AQ10" s="42"/>
      <c r="AR10" s="43"/>
      <c r="AS10" s="46">
        <v>1</v>
      </c>
      <c r="AT10" s="46"/>
      <c r="AU10" s="46" t="s">
        <v>119</v>
      </c>
      <c r="AV10" s="47" t="s">
        <v>573</v>
      </c>
      <c r="AW10" s="47" t="s">
        <v>574</v>
      </c>
      <c r="AX10" s="47">
        <v>0.33333333333333331</v>
      </c>
      <c r="AY10" s="47">
        <v>0.83333333333333337</v>
      </c>
      <c r="AZ10" s="43"/>
      <c r="BB10" s="49" t="s">
        <v>95</v>
      </c>
      <c r="BC10" s="120">
        <v>1</v>
      </c>
      <c r="BD10" s="120">
        <v>2</v>
      </c>
      <c r="BE10" s="120">
        <v>3</v>
      </c>
      <c r="BF10" s="120">
        <v>4</v>
      </c>
      <c r="BG10" s="120">
        <v>5</v>
      </c>
      <c r="BH10" s="120">
        <v>6</v>
      </c>
      <c r="BI10" s="120">
        <v>7</v>
      </c>
      <c r="BJ10" s="120">
        <v>8</v>
      </c>
      <c r="BK10" s="120">
        <v>9</v>
      </c>
      <c r="BL10" s="120">
        <v>10</v>
      </c>
      <c r="BM10" s="120">
        <v>11</v>
      </c>
      <c r="BN10" s="120">
        <v>12</v>
      </c>
      <c r="BO10" s="120">
        <v>13</v>
      </c>
      <c r="BP10" s="120">
        <v>14</v>
      </c>
      <c r="BQ10" s="120">
        <v>15</v>
      </c>
      <c r="BR10" s="120">
        <v>16</v>
      </c>
      <c r="BS10" s="120">
        <v>17</v>
      </c>
      <c r="BT10" s="120">
        <v>18</v>
      </c>
      <c r="BU10" s="120">
        <v>19</v>
      </c>
      <c r="BV10" s="120">
        <v>20</v>
      </c>
      <c r="BW10" s="120">
        <v>21</v>
      </c>
      <c r="BX10" s="120">
        <v>22</v>
      </c>
      <c r="BY10" s="120">
        <v>23</v>
      </c>
      <c r="BZ10" s="120">
        <v>24</v>
      </c>
      <c r="CA10" s="120">
        <v>25</v>
      </c>
      <c r="CB10" s="120">
        <v>26</v>
      </c>
      <c r="CC10" s="120">
        <v>27</v>
      </c>
      <c r="CD10" s="120">
        <v>28</v>
      </c>
      <c r="CE10" s="120">
        <v>29</v>
      </c>
      <c r="CF10" s="120">
        <v>30</v>
      </c>
      <c r="CG10" s="43"/>
    </row>
    <row r="11" spans="1:85" ht="18" customHeight="1">
      <c r="A11" s="265" t="s">
        <v>575</v>
      </c>
      <c r="B11" s="266"/>
      <c r="C11" s="266"/>
      <c r="D11" s="266"/>
      <c r="E11" s="266"/>
      <c r="F11" s="266"/>
      <c r="G11" s="266"/>
      <c r="H11" s="266"/>
      <c r="I11" s="264">
        <f>AQ27</f>
        <v>0</v>
      </c>
      <c r="J11" s="264"/>
      <c r="K11" s="267" t="s">
        <v>176</v>
      </c>
      <c r="L11" s="268"/>
      <c r="M11" s="269" t="s">
        <v>576</v>
      </c>
      <c r="N11" s="266"/>
      <c r="O11" s="266"/>
      <c r="P11" s="266"/>
      <c r="Q11" s="266"/>
      <c r="R11" s="266"/>
      <c r="S11" s="266"/>
      <c r="T11" s="266"/>
      <c r="U11" s="264">
        <f>AQ36</f>
        <v>0</v>
      </c>
      <c r="V11" s="264"/>
      <c r="W11" s="267" t="s">
        <v>176</v>
      </c>
      <c r="X11" s="268"/>
      <c r="Y11" s="269" t="s">
        <v>577</v>
      </c>
      <c r="Z11" s="266"/>
      <c r="AA11" s="266"/>
      <c r="AB11" s="266"/>
      <c r="AC11" s="266"/>
      <c r="AD11" s="266"/>
      <c r="AE11" s="266"/>
      <c r="AF11" s="266"/>
      <c r="AG11" s="264">
        <f>AQ34</f>
        <v>0</v>
      </c>
      <c r="AH11" s="264"/>
      <c r="AI11" s="28" t="s">
        <v>176</v>
      </c>
      <c r="AK11" s="441" t="s">
        <v>578</v>
      </c>
      <c r="AL11" s="442"/>
      <c r="AM11" s="442"/>
      <c r="AN11" s="442"/>
      <c r="AO11" s="442"/>
      <c r="AP11" s="443"/>
      <c r="AQ11" s="42">
        <v>26</v>
      </c>
      <c r="AR11" s="43"/>
      <c r="AS11" s="46">
        <v>2</v>
      </c>
      <c r="AT11" s="46"/>
      <c r="AU11" s="46"/>
      <c r="AV11" s="47" t="s">
        <v>579</v>
      </c>
      <c r="AW11" s="47" t="s">
        <v>580</v>
      </c>
      <c r="AX11" s="47">
        <v>0.33333333333333331</v>
      </c>
      <c r="AY11" s="47">
        <v>0.58333333333333337</v>
      </c>
      <c r="AZ11" s="43"/>
      <c r="BB11" s="121" t="s">
        <v>581</v>
      </c>
      <c r="BC11" s="138" t="s">
        <v>582</v>
      </c>
      <c r="BD11" s="138" t="s">
        <v>583</v>
      </c>
      <c r="BE11" s="138" t="s">
        <v>584</v>
      </c>
      <c r="BF11" s="138" t="s">
        <v>585</v>
      </c>
      <c r="BG11" s="139" t="s">
        <v>584</v>
      </c>
      <c r="BH11" s="138" t="s">
        <v>582</v>
      </c>
      <c r="BI11" s="138" t="s">
        <v>585</v>
      </c>
      <c r="BJ11" s="138" t="s">
        <v>583</v>
      </c>
      <c r="BK11" s="138" t="s">
        <v>584</v>
      </c>
      <c r="BL11" s="138" t="s">
        <v>583</v>
      </c>
      <c r="BM11" s="138" t="s">
        <v>585</v>
      </c>
      <c r="BN11" s="138" t="s">
        <v>582</v>
      </c>
      <c r="BO11" s="138" t="s">
        <v>584</v>
      </c>
      <c r="BP11" s="138" t="s">
        <v>585</v>
      </c>
      <c r="BQ11" s="138" t="s">
        <v>583</v>
      </c>
      <c r="BR11" s="138" t="s">
        <v>585</v>
      </c>
      <c r="BS11" s="138" t="s">
        <v>584</v>
      </c>
      <c r="BT11" s="138" t="s">
        <v>582</v>
      </c>
      <c r="BU11" s="138" t="s">
        <v>583</v>
      </c>
      <c r="BV11" s="138" t="s">
        <v>585</v>
      </c>
      <c r="BW11" s="138" t="s">
        <v>582</v>
      </c>
      <c r="BX11" s="138" t="s">
        <v>584</v>
      </c>
      <c r="BY11" s="138" t="s">
        <v>585</v>
      </c>
      <c r="BZ11" s="138" t="s">
        <v>583</v>
      </c>
      <c r="CA11" s="138" t="s">
        <v>582</v>
      </c>
      <c r="CB11" s="138" t="s">
        <v>585</v>
      </c>
      <c r="CC11" s="138" t="s">
        <v>584</v>
      </c>
      <c r="CD11" s="138" t="s">
        <v>582</v>
      </c>
      <c r="CE11" s="138" t="s">
        <v>585</v>
      </c>
      <c r="CF11" s="138" t="s">
        <v>583</v>
      </c>
      <c r="CG11" s="43"/>
    </row>
    <row r="12" spans="1:85" ht="18" customHeight="1">
      <c r="A12" s="265" t="s">
        <v>586</v>
      </c>
      <c r="B12" s="266"/>
      <c r="C12" s="266"/>
      <c r="D12" s="266"/>
      <c r="E12" s="266"/>
      <c r="F12" s="266"/>
      <c r="G12" s="266"/>
      <c r="H12" s="266"/>
      <c r="I12" s="264">
        <f>AQ33</f>
        <v>1</v>
      </c>
      <c r="J12" s="264"/>
      <c r="K12" s="267" t="s">
        <v>176</v>
      </c>
      <c r="L12" s="268"/>
      <c r="M12" s="269" t="s">
        <v>587</v>
      </c>
      <c r="N12" s="266"/>
      <c r="O12" s="266"/>
      <c r="P12" s="266"/>
      <c r="Q12" s="266"/>
      <c r="R12" s="266"/>
      <c r="S12" s="266"/>
      <c r="T12" s="266"/>
      <c r="U12" s="264">
        <f>AQ24</f>
        <v>0</v>
      </c>
      <c r="V12" s="264"/>
      <c r="W12" s="267" t="s">
        <v>176</v>
      </c>
      <c r="X12" s="268"/>
      <c r="Y12" s="269" t="s">
        <v>588</v>
      </c>
      <c r="Z12" s="266"/>
      <c r="AA12" s="266"/>
      <c r="AB12" s="266"/>
      <c r="AC12" s="266"/>
      <c r="AD12" s="266"/>
      <c r="AE12" s="266"/>
      <c r="AF12" s="266"/>
      <c r="AG12" s="264">
        <f>AQ20+AQ21+AQ22+AQ23</f>
        <v>1</v>
      </c>
      <c r="AH12" s="264"/>
      <c r="AI12" s="28" t="s">
        <v>176</v>
      </c>
      <c r="AK12" s="441" t="s">
        <v>589</v>
      </c>
      <c r="AL12" s="442"/>
      <c r="AM12" s="442"/>
      <c r="AN12" s="442"/>
      <c r="AO12" s="442"/>
      <c r="AP12" s="443"/>
      <c r="AQ12" s="42">
        <v>11</v>
      </c>
      <c r="AR12" s="43"/>
      <c r="AS12" s="46">
        <v>3</v>
      </c>
      <c r="AT12" s="46"/>
      <c r="AU12" s="46"/>
      <c r="AV12" s="47" t="s">
        <v>590</v>
      </c>
      <c r="AW12" s="47" t="s">
        <v>574</v>
      </c>
      <c r="AX12" s="47">
        <v>0.58333333333333337</v>
      </c>
      <c r="AY12" s="47">
        <v>0.83333333333333337</v>
      </c>
      <c r="AZ12" s="43"/>
      <c r="BB12" s="49"/>
      <c r="BC12" s="43"/>
      <c r="BD12" s="43"/>
      <c r="BE12" s="43"/>
      <c r="BF12" s="43"/>
      <c r="BG12" s="43"/>
      <c r="BH12" s="43"/>
      <c r="BI12" s="43"/>
      <c r="BJ12" s="43"/>
      <c r="BK12" s="43"/>
      <c r="BL12" s="43"/>
      <c r="BM12" s="43"/>
      <c r="BN12" s="43"/>
      <c r="BO12" s="43"/>
      <c r="BP12" s="43"/>
      <c r="BQ12" s="43"/>
      <c r="BR12" s="43"/>
      <c r="BS12" s="43"/>
      <c r="BT12" s="43"/>
      <c r="BU12" s="43"/>
      <c r="BV12" s="43"/>
      <c r="BW12" s="43"/>
      <c r="BX12" s="43"/>
      <c r="BY12" s="43"/>
      <c r="BZ12" s="43"/>
      <c r="CA12" s="43"/>
      <c r="CB12" s="43"/>
      <c r="CC12" s="43"/>
      <c r="CD12" s="43"/>
      <c r="CE12" s="43"/>
      <c r="CF12" s="43"/>
      <c r="CG12" s="43"/>
    </row>
    <row r="13" spans="1:85" ht="18" customHeight="1" thickBot="1">
      <c r="A13" s="517" t="s">
        <v>591</v>
      </c>
      <c r="B13" s="277"/>
      <c r="C13" s="277"/>
      <c r="D13" s="277"/>
      <c r="E13" s="277"/>
      <c r="F13" s="277"/>
      <c r="G13" s="277"/>
      <c r="H13" s="277"/>
      <c r="I13" s="272">
        <f>AQ30+AQ31</f>
        <v>0</v>
      </c>
      <c r="J13" s="272"/>
      <c r="K13" s="273" t="s">
        <v>176</v>
      </c>
      <c r="L13" s="274"/>
      <c r="M13" s="276" t="s">
        <v>592</v>
      </c>
      <c r="N13" s="277"/>
      <c r="O13" s="277"/>
      <c r="P13" s="277"/>
      <c r="Q13" s="277"/>
      <c r="R13" s="277"/>
      <c r="S13" s="277"/>
      <c r="T13" s="277"/>
      <c r="U13" s="272">
        <f>AQ28</f>
        <v>0</v>
      </c>
      <c r="V13" s="272"/>
      <c r="W13" s="273" t="s">
        <v>176</v>
      </c>
      <c r="X13" s="274"/>
      <c r="Y13" s="276" t="s">
        <v>593</v>
      </c>
      <c r="Z13" s="277"/>
      <c r="AA13" s="277"/>
      <c r="AB13" s="277"/>
      <c r="AC13" s="277"/>
      <c r="AD13" s="277"/>
      <c r="AE13" s="277"/>
      <c r="AF13" s="277"/>
      <c r="AG13" s="272">
        <f>AQ13</f>
        <v>3</v>
      </c>
      <c r="AH13" s="272"/>
      <c r="AI13" s="34" t="s">
        <v>176</v>
      </c>
      <c r="AK13" s="425" t="s">
        <v>594</v>
      </c>
      <c r="AL13" s="425"/>
      <c r="AM13" s="425"/>
      <c r="AN13" s="425"/>
      <c r="AO13" s="425"/>
      <c r="AP13" s="425"/>
      <c r="AQ13" s="42">
        <v>3</v>
      </c>
      <c r="AR13" s="43"/>
      <c r="AS13" s="46">
        <v>4</v>
      </c>
      <c r="AT13" s="46"/>
      <c r="AU13" s="46" t="s">
        <v>28</v>
      </c>
      <c r="AV13" s="47" t="s">
        <v>950</v>
      </c>
      <c r="AW13" s="47" t="s">
        <v>596</v>
      </c>
      <c r="AX13" s="47">
        <v>0.33333333333333331</v>
      </c>
      <c r="AY13" s="47">
        <v>0.5</v>
      </c>
      <c r="AZ13" s="43"/>
      <c r="BB13" s="121" t="s">
        <v>597</v>
      </c>
      <c r="BC13" s="140" t="s">
        <v>20</v>
      </c>
      <c r="BD13" s="140" t="s">
        <v>119</v>
      </c>
      <c r="BE13" s="140" t="s">
        <v>20</v>
      </c>
      <c r="BF13" s="140" t="s">
        <v>20</v>
      </c>
      <c r="BG13" s="140" t="s">
        <v>20</v>
      </c>
      <c r="BH13" s="140" t="s">
        <v>20</v>
      </c>
      <c r="BI13" s="140" t="s">
        <v>80</v>
      </c>
      <c r="BJ13" s="140" t="s">
        <v>20</v>
      </c>
      <c r="BK13" s="140" t="s">
        <v>20</v>
      </c>
      <c r="BL13" s="140" t="s">
        <v>20</v>
      </c>
      <c r="BM13" s="140" t="s">
        <v>20</v>
      </c>
      <c r="BN13" s="140" t="s">
        <v>20</v>
      </c>
      <c r="BO13" s="140" t="s">
        <v>119</v>
      </c>
      <c r="BP13" s="140" t="s">
        <v>119</v>
      </c>
      <c r="BQ13" s="140" t="s">
        <v>20</v>
      </c>
      <c r="BR13" s="140" t="s">
        <v>119</v>
      </c>
      <c r="BS13" s="140" t="s">
        <v>20</v>
      </c>
      <c r="BT13" s="140" t="s">
        <v>20</v>
      </c>
      <c r="BU13" s="140" t="s">
        <v>20</v>
      </c>
      <c r="BV13" s="140" t="s">
        <v>119</v>
      </c>
      <c r="BW13" s="140" t="s">
        <v>119</v>
      </c>
      <c r="BX13" s="140" t="s">
        <v>20</v>
      </c>
      <c r="BY13" s="140" t="s">
        <v>119</v>
      </c>
      <c r="BZ13" s="140" t="s">
        <v>20</v>
      </c>
      <c r="CA13" s="140" t="s">
        <v>119</v>
      </c>
      <c r="CB13" s="140" t="s">
        <v>20</v>
      </c>
      <c r="CC13" s="140" t="s">
        <v>20</v>
      </c>
      <c r="CD13" s="140" t="s">
        <v>119</v>
      </c>
      <c r="CE13" s="140" t="s">
        <v>20</v>
      </c>
      <c r="CF13" s="140" t="s">
        <v>119</v>
      </c>
      <c r="CG13" s="43"/>
    </row>
    <row r="14" spans="1:85" ht="18" customHeight="1" thickBot="1">
      <c r="A14" s="452" t="s">
        <v>598</v>
      </c>
      <c r="B14" s="453"/>
      <c r="C14" s="453"/>
      <c r="D14" s="453"/>
      <c r="E14" s="453"/>
      <c r="F14" s="453"/>
      <c r="G14" s="453"/>
      <c r="H14" s="453"/>
      <c r="I14" s="453"/>
      <c r="J14" s="453"/>
      <c r="K14" s="453"/>
      <c r="L14" s="453"/>
      <c r="M14" s="453"/>
      <c r="N14" s="453"/>
      <c r="O14" s="453"/>
      <c r="P14" s="453"/>
      <c r="Q14" s="453"/>
      <c r="R14" s="453"/>
      <c r="S14" s="453"/>
      <c r="T14" s="453"/>
      <c r="U14" s="453"/>
      <c r="V14" s="453"/>
      <c r="W14" s="453"/>
      <c r="X14" s="453"/>
      <c r="Y14" s="453"/>
      <c r="Z14" s="453"/>
      <c r="AA14" s="453"/>
      <c r="AB14" s="453"/>
      <c r="AC14" s="453"/>
      <c r="AD14" s="453"/>
      <c r="AE14" s="453"/>
      <c r="AF14" s="453"/>
      <c r="AG14" s="453"/>
      <c r="AH14" s="453"/>
      <c r="AI14" s="454"/>
      <c r="AK14" s="440" t="s">
        <v>599</v>
      </c>
      <c r="AL14" s="440"/>
      <c r="AM14" s="440"/>
      <c r="AN14" s="440"/>
      <c r="AO14" s="440"/>
      <c r="AP14" s="440"/>
      <c r="AQ14" s="42">
        <v>4</v>
      </c>
      <c r="AR14" s="43"/>
      <c r="AS14" s="46">
        <v>5</v>
      </c>
      <c r="AT14" s="46"/>
      <c r="AU14" s="46" t="s">
        <v>20</v>
      </c>
      <c r="AV14" s="47" t="s">
        <v>600</v>
      </c>
      <c r="AW14" s="47" t="s">
        <v>596</v>
      </c>
      <c r="AX14" s="47">
        <v>0.375</v>
      </c>
      <c r="AY14" s="47">
        <v>0.75</v>
      </c>
      <c r="AZ14" s="43"/>
      <c r="BB14" s="121" t="s">
        <v>601</v>
      </c>
      <c r="BC14" s="162" t="s">
        <v>28</v>
      </c>
      <c r="BD14" s="162" t="s">
        <v>602</v>
      </c>
      <c r="BE14" s="162" t="s">
        <v>602</v>
      </c>
      <c r="BF14" s="162" t="s">
        <v>28</v>
      </c>
      <c r="BG14" s="162" t="s">
        <v>602</v>
      </c>
      <c r="BH14" s="162" t="s">
        <v>602</v>
      </c>
      <c r="BI14" s="162" t="s">
        <v>28</v>
      </c>
      <c r="BJ14" s="162" t="s">
        <v>28</v>
      </c>
      <c r="BK14" s="162" t="s">
        <v>602</v>
      </c>
      <c r="BL14" s="162" t="s">
        <v>28</v>
      </c>
      <c r="BM14" s="162" t="s">
        <v>602</v>
      </c>
      <c r="BN14" s="162" t="s">
        <v>28</v>
      </c>
      <c r="BO14" s="162" t="s">
        <v>28</v>
      </c>
      <c r="BP14" s="162" t="s">
        <v>76</v>
      </c>
      <c r="BQ14" s="162" t="s">
        <v>28</v>
      </c>
      <c r="BR14" s="162" t="s">
        <v>602</v>
      </c>
      <c r="BS14" s="162" t="s">
        <v>28</v>
      </c>
      <c r="BT14" s="162" t="s">
        <v>602</v>
      </c>
      <c r="BU14" s="162" t="s">
        <v>28</v>
      </c>
      <c r="BV14" s="162" t="s">
        <v>602</v>
      </c>
      <c r="BW14" s="162" t="s">
        <v>28</v>
      </c>
      <c r="BX14" s="162" t="s">
        <v>28</v>
      </c>
      <c r="BY14" s="162" t="s">
        <v>602</v>
      </c>
      <c r="BZ14" s="162" t="s">
        <v>28</v>
      </c>
      <c r="CA14" s="162" t="s">
        <v>602</v>
      </c>
      <c r="CB14" s="162" t="s">
        <v>28</v>
      </c>
      <c r="CC14" s="162" t="s">
        <v>28</v>
      </c>
      <c r="CD14" s="162" t="s">
        <v>76</v>
      </c>
      <c r="CE14" s="162" t="s">
        <v>28</v>
      </c>
      <c r="CF14" s="162" t="s">
        <v>602</v>
      </c>
      <c r="CG14" s="43"/>
    </row>
    <row r="15" spans="1:85" ht="18" customHeight="1" thickBot="1">
      <c r="A15" s="30" t="s">
        <v>189</v>
      </c>
      <c r="B15" s="264" t="s">
        <v>603</v>
      </c>
      <c r="C15" s="264"/>
      <c r="D15" s="264"/>
      <c r="E15" s="264"/>
      <c r="F15" s="264"/>
      <c r="G15" s="264"/>
      <c r="H15" s="264"/>
      <c r="I15" s="264"/>
      <c r="J15" s="278">
        <f>AQ9+AQ10</f>
        <v>63</v>
      </c>
      <c r="K15" s="278"/>
      <c r="L15" s="278"/>
      <c r="M15" s="264" t="s">
        <v>176</v>
      </c>
      <c r="N15" s="264"/>
      <c r="O15" s="264" t="s">
        <v>604</v>
      </c>
      <c r="P15" s="264"/>
      <c r="Q15" s="264"/>
      <c r="R15" s="264"/>
      <c r="S15" s="264"/>
      <c r="T15" s="264"/>
      <c r="U15" s="264"/>
      <c r="V15" s="264"/>
      <c r="W15" s="278">
        <f>AQ11+AQ12</f>
        <v>37</v>
      </c>
      <c r="X15" s="278"/>
      <c r="Y15" s="278"/>
      <c r="Z15" s="264" t="s">
        <v>176</v>
      </c>
      <c r="AA15" s="264"/>
      <c r="AB15" s="503" t="s">
        <v>605</v>
      </c>
      <c r="AC15" s="503"/>
      <c r="AD15" s="503"/>
      <c r="AE15" s="503"/>
      <c r="AF15" s="503"/>
      <c r="AG15" s="503"/>
      <c r="AH15" s="281" t="s">
        <v>584</v>
      </c>
      <c r="AI15" s="282"/>
      <c r="AK15" s="425" t="s">
        <v>606</v>
      </c>
      <c r="AL15" s="425"/>
      <c r="AM15" s="425"/>
      <c r="AN15" s="425"/>
      <c r="AO15" s="425"/>
      <c r="AP15" s="425"/>
      <c r="AQ15" s="42"/>
      <c r="AR15" s="43"/>
      <c r="AS15" s="46">
        <v>6</v>
      </c>
      <c r="AT15" s="46"/>
      <c r="AU15" s="46" t="s">
        <v>608</v>
      </c>
      <c r="AV15" s="47" t="s">
        <v>951</v>
      </c>
      <c r="AW15" s="47" t="s">
        <v>596</v>
      </c>
      <c r="AX15" s="47">
        <v>0.5</v>
      </c>
      <c r="AY15" s="47">
        <v>0.83333333333333337</v>
      </c>
      <c r="AZ15" s="43"/>
      <c r="BB15" s="121" t="s">
        <v>31</v>
      </c>
      <c r="BC15" s="163" t="s">
        <v>119</v>
      </c>
      <c r="BD15" s="164"/>
      <c r="BE15" s="165" t="s">
        <v>28</v>
      </c>
      <c r="BF15" s="165" t="s">
        <v>119</v>
      </c>
      <c r="BG15" s="164"/>
      <c r="BH15" s="164"/>
      <c r="BI15" s="164"/>
      <c r="BJ15" s="164"/>
      <c r="BK15" s="165" t="s">
        <v>119</v>
      </c>
      <c r="BL15" s="165" t="s">
        <v>602</v>
      </c>
      <c r="BM15" s="165" t="s">
        <v>119</v>
      </c>
      <c r="BN15" s="165" t="s">
        <v>602</v>
      </c>
      <c r="BO15" s="164"/>
      <c r="BP15" s="164"/>
      <c r="BQ15" s="165" t="s">
        <v>608</v>
      </c>
      <c r="BR15" s="165" t="s">
        <v>20</v>
      </c>
      <c r="BS15" s="165" t="s">
        <v>602</v>
      </c>
      <c r="BT15" s="165" t="s">
        <v>119</v>
      </c>
      <c r="BU15" s="165" t="s">
        <v>602</v>
      </c>
      <c r="BV15" s="164"/>
      <c r="BW15" s="164"/>
      <c r="BX15" s="165" t="s">
        <v>119</v>
      </c>
      <c r="BY15" s="165" t="s">
        <v>20</v>
      </c>
      <c r="BZ15" s="165" t="s">
        <v>602</v>
      </c>
      <c r="CA15" s="165" t="s">
        <v>20</v>
      </c>
      <c r="CB15" s="165" t="s">
        <v>602</v>
      </c>
      <c r="CC15" s="165" t="s">
        <v>602</v>
      </c>
      <c r="CD15" s="164"/>
      <c r="CE15" s="165" t="s">
        <v>119</v>
      </c>
      <c r="CF15" s="165" t="s">
        <v>20</v>
      </c>
      <c r="CG15" s="43"/>
    </row>
    <row r="16" spans="1:85" ht="18" customHeight="1">
      <c r="A16" s="504" t="s">
        <v>609</v>
      </c>
      <c r="B16" s="505"/>
      <c r="C16" s="505"/>
      <c r="D16" s="505"/>
      <c r="E16" s="505"/>
      <c r="F16" s="505"/>
      <c r="G16" s="505"/>
      <c r="H16" s="505"/>
      <c r="I16" s="505"/>
      <c r="J16" s="505"/>
      <c r="K16" s="505"/>
      <c r="L16" s="505"/>
      <c r="M16" s="505"/>
      <c r="N16" s="505"/>
      <c r="O16" s="505"/>
      <c r="P16" s="505"/>
      <c r="Q16" s="505"/>
      <c r="R16" s="505"/>
      <c r="S16" s="505"/>
      <c r="T16" s="505"/>
      <c r="U16" s="505"/>
      <c r="V16" s="505"/>
      <c r="W16" s="505"/>
      <c r="X16" s="505"/>
      <c r="Y16" s="505"/>
      <c r="Z16" s="505"/>
      <c r="AA16" s="505"/>
      <c r="AB16" s="505"/>
      <c r="AC16" s="505"/>
      <c r="AD16" s="505"/>
      <c r="AE16" s="505"/>
      <c r="AF16" s="505"/>
      <c r="AG16" s="505"/>
      <c r="AH16" s="505"/>
      <c r="AI16" s="506"/>
      <c r="AK16" s="425" t="s">
        <v>610</v>
      </c>
      <c r="AL16" s="425"/>
      <c r="AM16" s="425"/>
      <c r="AN16" s="425"/>
      <c r="AO16" s="425"/>
      <c r="AP16" s="425"/>
      <c r="AQ16" s="42"/>
      <c r="AR16" s="43"/>
      <c r="AS16" s="46">
        <v>7</v>
      </c>
      <c r="AT16" s="46"/>
      <c r="AU16" s="46" t="s">
        <v>20</v>
      </c>
      <c r="AV16" s="47" t="s">
        <v>611</v>
      </c>
      <c r="AW16" s="47" t="s">
        <v>612</v>
      </c>
      <c r="AX16" s="47">
        <v>0.83333333333333337</v>
      </c>
      <c r="AY16" s="47" t="s">
        <v>613</v>
      </c>
      <c r="AZ16" s="43"/>
      <c r="BB16" s="121" t="s">
        <v>614</v>
      </c>
      <c r="BC16" s="142" t="s">
        <v>20</v>
      </c>
      <c r="BD16" s="140" t="s">
        <v>67</v>
      </c>
      <c r="BE16" s="142" t="s">
        <v>42</v>
      </c>
      <c r="BF16" s="142" t="s">
        <v>20</v>
      </c>
      <c r="BG16" s="142" t="s">
        <v>42</v>
      </c>
      <c r="BH16" s="142" t="s">
        <v>61</v>
      </c>
      <c r="BI16" s="142" t="s">
        <v>67</v>
      </c>
      <c r="BJ16" s="142" t="s">
        <v>67</v>
      </c>
      <c r="BK16" s="142" t="s">
        <v>42</v>
      </c>
      <c r="BL16" s="142" t="s">
        <v>42</v>
      </c>
      <c r="BM16" s="142" t="s">
        <v>67</v>
      </c>
      <c r="BN16" s="142" t="s">
        <v>67</v>
      </c>
      <c r="BO16" s="142" t="s">
        <v>42</v>
      </c>
      <c r="BP16" s="142" t="s">
        <v>67</v>
      </c>
      <c r="BQ16" s="142" t="s">
        <v>20</v>
      </c>
      <c r="BR16" s="142" t="s">
        <v>71</v>
      </c>
      <c r="BS16" s="142" t="s">
        <v>67</v>
      </c>
      <c r="BT16" s="142" t="s">
        <v>67</v>
      </c>
      <c r="BU16" s="142" t="s">
        <v>61</v>
      </c>
      <c r="BV16" s="142" t="s">
        <v>42</v>
      </c>
      <c r="BW16" s="142" t="s">
        <v>49</v>
      </c>
      <c r="BX16" s="142" t="s">
        <v>20</v>
      </c>
      <c r="BY16" s="142" t="s">
        <v>71</v>
      </c>
      <c r="BZ16" s="142" t="s">
        <v>42</v>
      </c>
      <c r="CA16" s="142" t="s">
        <v>20</v>
      </c>
      <c r="CB16" s="142" t="s">
        <v>61</v>
      </c>
      <c r="CC16" s="142" t="s">
        <v>42</v>
      </c>
      <c r="CD16" s="142" t="s">
        <v>49</v>
      </c>
      <c r="CE16" s="142" t="s">
        <v>20</v>
      </c>
      <c r="CF16" s="143" t="s">
        <v>71</v>
      </c>
      <c r="CG16" s="43"/>
    </row>
    <row r="17" spans="1:85" ht="18" customHeight="1">
      <c r="A17" s="396" t="s">
        <v>615</v>
      </c>
      <c r="B17" s="397"/>
      <c r="C17" s="397"/>
      <c r="D17" s="397"/>
      <c r="E17" s="397"/>
      <c r="F17" s="398" t="s">
        <v>616</v>
      </c>
      <c r="G17" s="398"/>
      <c r="H17" s="398"/>
      <c r="I17" s="398"/>
      <c r="J17" s="398"/>
      <c r="K17" s="398"/>
      <c r="L17" s="398"/>
      <c r="M17" s="398"/>
      <c r="N17" s="398"/>
      <c r="O17" s="398"/>
      <c r="P17" s="398"/>
      <c r="Q17" s="398"/>
      <c r="R17" s="398"/>
      <c r="S17" s="398"/>
      <c r="T17" s="398"/>
      <c r="U17" s="398"/>
      <c r="V17" s="398"/>
      <c r="W17" s="398"/>
      <c r="X17" s="398"/>
      <c r="Y17" s="398"/>
      <c r="Z17" s="398"/>
      <c r="AA17" s="398"/>
      <c r="AB17" s="398"/>
      <c r="AC17" s="398"/>
      <c r="AD17" s="398"/>
      <c r="AE17" s="398"/>
      <c r="AF17" s="398"/>
      <c r="AG17" s="398"/>
      <c r="AH17" s="398"/>
      <c r="AI17" s="399"/>
      <c r="AK17" s="425" t="s">
        <v>617</v>
      </c>
      <c r="AL17" s="425"/>
      <c r="AM17" s="425"/>
      <c r="AN17" s="425"/>
      <c r="AO17" s="425"/>
      <c r="AP17" s="425"/>
      <c r="AQ17" s="42">
        <v>1</v>
      </c>
      <c r="AR17" s="43"/>
      <c r="AS17" s="46">
        <v>8</v>
      </c>
      <c r="AT17" s="46"/>
      <c r="AU17" s="46" t="s">
        <v>67</v>
      </c>
      <c r="AV17" s="47" t="s">
        <v>618</v>
      </c>
      <c r="AW17" s="47" t="s">
        <v>612</v>
      </c>
      <c r="AX17" s="47">
        <v>0.83333333333333337</v>
      </c>
      <c r="AY17" s="47" t="s">
        <v>613</v>
      </c>
      <c r="AZ17" s="43"/>
      <c r="BB17" s="121" t="s">
        <v>619</v>
      </c>
      <c r="BC17" s="141" t="s">
        <v>67</v>
      </c>
      <c r="BD17" s="140" t="s">
        <v>42</v>
      </c>
      <c r="BE17" s="141" t="s">
        <v>71</v>
      </c>
      <c r="BF17" s="140" t="s">
        <v>67</v>
      </c>
      <c r="BG17" s="140" t="s">
        <v>61</v>
      </c>
      <c r="BH17" s="140" t="s">
        <v>42</v>
      </c>
      <c r="BI17" s="140" t="s">
        <v>49</v>
      </c>
      <c r="BJ17" s="140" t="s">
        <v>61</v>
      </c>
      <c r="BK17" s="140" t="s">
        <v>71</v>
      </c>
      <c r="BL17" s="140" t="s">
        <v>67</v>
      </c>
      <c r="BM17" s="140" t="s">
        <v>49</v>
      </c>
      <c r="BN17" s="140" t="s">
        <v>49</v>
      </c>
      <c r="BO17" s="140" t="s">
        <v>61</v>
      </c>
      <c r="BP17" s="140" t="s">
        <v>49</v>
      </c>
      <c r="BQ17" s="140" t="s">
        <v>67</v>
      </c>
      <c r="BR17" s="140" t="s">
        <v>42</v>
      </c>
      <c r="BS17" s="140" t="s">
        <v>42</v>
      </c>
      <c r="BT17" s="140" t="s">
        <v>49</v>
      </c>
      <c r="BU17" s="140" t="s">
        <v>42</v>
      </c>
      <c r="BV17" s="140" t="s">
        <v>61</v>
      </c>
      <c r="BW17" s="140" t="s">
        <v>71</v>
      </c>
      <c r="BX17" s="140" t="s">
        <v>67</v>
      </c>
      <c r="BY17" s="140" t="s">
        <v>42</v>
      </c>
      <c r="BZ17" s="140" t="s">
        <v>67</v>
      </c>
      <c r="CA17" s="140" t="s">
        <v>67</v>
      </c>
      <c r="CB17" s="140" t="s">
        <v>49</v>
      </c>
      <c r="CC17" s="140" t="s">
        <v>61</v>
      </c>
      <c r="CD17" s="140" t="s">
        <v>71</v>
      </c>
      <c r="CE17" s="140" t="s">
        <v>67</v>
      </c>
      <c r="CF17" s="140" t="s">
        <v>42</v>
      </c>
      <c r="CG17" s="43"/>
    </row>
    <row r="18" spans="1:85" ht="18" customHeight="1">
      <c r="A18" s="501" t="s">
        <v>620</v>
      </c>
      <c r="B18" s="502"/>
      <c r="C18" s="502"/>
      <c r="D18" s="502"/>
      <c r="E18" s="502"/>
      <c r="F18" s="400" t="s">
        <v>616</v>
      </c>
      <c r="G18" s="400"/>
      <c r="H18" s="400"/>
      <c r="I18" s="400"/>
      <c r="J18" s="400"/>
      <c r="K18" s="400"/>
      <c r="L18" s="400"/>
      <c r="M18" s="400"/>
      <c r="N18" s="400"/>
      <c r="O18" s="400"/>
      <c r="P18" s="400"/>
      <c r="Q18" s="400"/>
      <c r="R18" s="400"/>
      <c r="S18" s="400"/>
      <c r="T18" s="400"/>
      <c r="U18" s="400"/>
      <c r="V18" s="400"/>
      <c r="W18" s="400"/>
      <c r="X18" s="400"/>
      <c r="Y18" s="400"/>
      <c r="Z18" s="400"/>
      <c r="AA18" s="400"/>
      <c r="AB18" s="400"/>
      <c r="AC18" s="400"/>
      <c r="AD18" s="400"/>
      <c r="AE18" s="400"/>
      <c r="AF18" s="400"/>
      <c r="AG18" s="400"/>
      <c r="AH18" s="400"/>
      <c r="AI18" s="401"/>
      <c r="AK18" s="425" t="s">
        <v>621</v>
      </c>
      <c r="AL18" s="425"/>
      <c r="AM18" s="425"/>
      <c r="AN18" s="425"/>
      <c r="AO18" s="425"/>
      <c r="AP18" s="425"/>
      <c r="AQ18" s="42"/>
      <c r="AR18" s="43"/>
      <c r="AS18" s="46">
        <v>9</v>
      </c>
      <c r="AT18" s="46"/>
      <c r="AU18" s="46" t="s">
        <v>55</v>
      </c>
      <c r="AV18" s="47" t="s">
        <v>622</v>
      </c>
      <c r="AW18" s="47" t="s">
        <v>612</v>
      </c>
      <c r="AX18" s="47">
        <v>0.83333333333333337</v>
      </c>
      <c r="AY18" s="47" t="s">
        <v>613</v>
      </c>
      <c r="AZ18" s="43"/>
    </row>
    <row r="19" spans="1:85" ht="18" customHeight="1" thickBot="1">
      <c r="A19" s="35" t="s">
        <v>189</v>
      </c>
      <c r="B19" s="405">
        <v>0.52430555555555558</v>
      </c>
      <c r="C19" s="405"/>
      <c r="D19" s="405"/>
      <c r="E19" s="405"/>
      <c r="F19" s="402" t="s">
        <v>952</v>
      </c>
      <c r="G19" s="402"/>
      <c r="H19" s="402"/>
      <c r="I19" s="402"/>
      <c r="J19" s="402"/>
      <c r="K19" s="402"/>
      <c r="L19" s="402"/>
      <c r="M19" s="402"/>
      <c r="N19" s="402"/>
      <c r="O19" s="402"/>
      <c r="P19" s="402"/>
      <c r="Q19" s="402"/>
      <c r="R19" s="402"/>
      <c r="S19" s="402"/>
      <c r="T19" s="402"/>
      <c r="U19" s="402"/>
      <c r="V19" s="402"/>
      <c r="W19" s="402"/>
      <c r="X19" s="402"/>
      <c r="Y19" s="402"/>
      <c r="Z19" s="402"/>
      <c r="AA19" s="402"/>
      <c r="AB19" s="402"/>
      <c r="AC19" s="402"/>
      <c r="AD19" s="402"/>
      <c r="AE19" s="402"/>
      <c r="AF19" s="402"/>
      <c r="AG19" s="402"/>
      <c r="AH19" s="402"/>
      <c r="AI19" s="403"/>
      <c r="AK19" s="524" t="s">
        <v>623</v>
      </c>
      <c r="AL19" s="524"/>
      <c r="AM19" s="524"/>
      <c r="AN19" s="524"/>
      <c r="AO19" s="524"/>
      <c r="AP19" s="524"/>
      <c r="AQ19" s="58"/>
      <c r="AR19" s="43"/>
      <c r="AS19" s="46">
        <v>10</v>
      </c>
      <c r="AT19" s="46"/>
      <c r="AU19" s="46"/>
      <c r="AV19" s="47" t="s">
        <v>111</v>
      </c>
      <c r="AW19" s="47" t="s">
        <v>612</v>
      </c>
      <c r="AX19" s="47">
        <v>0.83333333333333337</v>
      </c>
      <c r="AY19" s="47" t="s">
        <v>613</v>
      </c>
      <c r="AZ19" s="43"/>
    </row>
    <row r="20" spans="1:85" ht="18" customHeight="1">
      <c r="A20" s="36" t="s">
        <v>189</v>
      </c>
      <c r="B20" s="404">
        <v>0.55555555555555558</v>
      </c>
      <c r="C20" s="404"/>
      <c r="D20" s="404"/>
      <c r="E20" s="404"/>
      <c r="F20" s="288" t="s">
        <v>953</v>
      </c>
      <c r="G20" s="288"/>
      <c r="H20" s="288"/>
      <c r="I20" s="288"/>
      <c r="J20" s="288"/>
      <c r="K20" s="288"/>
      <c r="L20" s="288"/>
      <c r="M20" s="288"/>
      <c r="N20" s="288"/>
      <c r="O20" s="288"/>
      <c r="P20" s="288"/>
      <c r="Q20" s="288"/>
      <c r="R20" s="288"/>
      <c r="S20" s="288"/>
      <c r="T20" s="288"/>
      <c r="U20" s="288"/>
      <c r="V20" s="288"/>
      <c r="W20" s="288"/>
      <c r="X20" s="288"/>
      <c r="Y20" s="288"/>
      <c r="Z20" s="288"/>
      <c r="AA20" s="288"/>
      <c r="AB20" s="288"/>
      <c r="AC20" s="288"/>
      <c r="AD20" s="288"/>
      <c r="AE20" s="288"/>
      <c r="AF20" s="288"/>
      <c r="AG20" s="288"/>
      <c r="AH20" s="288"/>
      <c r="AI20" s="289"/>
      <c r="AK20" s="447" t="s">
        <v>624</v>
      </c>
      <c r="AL20" s="448"/>
      <c r="AM20" s="448"/>
      <c r="AN20" s="448"/>
      <c r="AO20" s="448"/>
      <c r="AP20" s="448"/>
      <c r="AQ20" s="62"/>
      <c r="AR20" s="426" t="s">
        <v>625</v>
      </c>
      <c r="AS20" s="146">
        <v>11</v>
      </c>
      <c r="AT20" s="46"/>
      <c r="AU20" s="46"/>
      <c r="AV20" s="47" t="s">
        <v>111</v>
      </c>
      <c r="AW20" s="47" t="s">
        <v>612</v>
      </c>
      <c r="AX20" s="47">
        <v>0.83333333333333337</v>
      </c>
      <c r="AY20" s="47" t="s">
        <v>613</v>
      </c>
      <c r="AZ20" s="43"/>
    </row>
    <row r="21" spans="1:85" ht="18" customHeight="1" thickBot="1">
      <c r="A21" s="36" t="s">
        <v>189</v>
      </c>
      <c r="B21" s="404">
        <v>0.56944444444444442</v>
      </c>
      <c r="C21" s="404"/>
      <c r="D21" s="404"/>
      <c r="E21" s="404"/>
      <c r="F21" s="288" t="s">
        <v>954</v>
      </c>
      <c r="G21" s="288"/>
      <c r="H21" s="288"/>
      <c r="I21" s="288"/>
      <c r="J21" s="288"/>
      <c r="K21" s="288"/>
      <c r="L21" s="288"/>
      <c r="M21" s="288"/>
      <c r="N21" s="288"/>
      <c r="O21" s="288"/>
      <c r="P21" s="288"/>
      <c r="Q21" s="288"/>
      <c r="R21" s="288"/>
      <c r="S21" s="288"/>
      <c r="T21" s="288"/>
      <c r="U21" s="288"/>
      <c r="V21" s="288"/>
      <c r="W21" s="288"/>
      <c r="X21" s="288"/>
      <c r="Y21" s="288"/>
      <c r="Z21" s="288"/>
      <c r="AA21" s="288"/>
      <c r="AB21" s="288"/>
      <c r="AC21" s="288"/>
      <c r="AD21" s="288"/>
      <c r="AE21" s="288"/>
      <c r="AF21" s="288"/>
      <c r="AG21" s="288"/>
      <c r="AH21" s="288"/>
      <c r="AI21" s="289"/>
      <c r="AK21" s="429" t="s">
        <v>626</v>
      </c>
      <c r="AL21" s="430"/>
      <c r="AM21" s="430"/>
      <c r="AN21" s="430"/>
      <c r="AO21" s="430"/>
      <c r="AP21" s="430"/>
      <c r="AQ21" s="63"/>
      <c r="AR21" s="427"/>
      <c r="AW21" s="43"/>
      <c r="AX21" s="43"/>
      <c r="AY21" s="43"/>
      <c r="AZ21" s="43"/>
    </row>
    <row r="22" spans="1:85" ht="18" customHeight="1">
      <c r="A22" s="36" t="s">
        <v>189</v>
      </c>
      <c r="B22" s="404">
        <v>0.60138888888888886</v>
      </c>
      <c r="C22" s="404"/>
      <c r="D22" s="404"/>
      <c r="E22" s="404"/>
      <c r="F22" s="288" t="s">
        <v>955</v>
      </c>
      <c r="G22" s="288"/>
      <c r="H22" s="288"/>
      <c r="I22" s="288"/>
      <c r="J22" s="288"/>
      <c r="K22" s="288"/>
      <c r="L22" s="288"/>
      <c r="M22" s="288"/>
      <c r="N22" s="288"/>
      <c r="O22" s="288"/>
      <c r="P22" s="288"/>
      <c r="Q22" s="288"/>
      <c r="R22" s="288"/>
      <c r="S22" s="288"/>
      <c r="T22" s="288"/>
      <c r="U22" s="288"/>
      <c r="V22" s="288"/>
      <c r="W22" s="288"/>
      <c r="X22" s="288"/>
      <c r="Y22" s="288"/>
      <c r="Z22" s="288"/>
      <c r="AA22" s="288"/>
      <c r="AB22" s="288"/>
      <c r="AC22" s="288"/>
      <c r="AD22" s="288"/>
      <c r="AE22" s="288"/>
      <c r="AF22" s="288"/>
      <c r="AG22" s="288"/>
      <c r="AH22" s="288"/>
      <c r="AI22" s="289"/>
      <c r="AK22" s="429" t="s">
        <v>627</v>
      </c>
      <c r="AL22" s="430"/>
      <c r="AM22" s="430"/>
      <c r="AN22" s="430"/>
      <c r="AO22" s="430"/>
      <c r="AP22" s="430"/>
      <c r="AQ22" s="63">
        <v>1</v>
      </c>
      <c r="AR22" s="427"/>
      <c r="AS22" s="433" t="s">
        <v>628</v>
      </c>
      <c r="AT22" s="434"/>
      <c r="AU22" s="435"/>
      <c r="AV22" s="435"/>
      <c r="AW22" s="60" t="s">
        <v>74</v>
      </c>
      <c r="AY22" s="413" t="s">
        <v>629</v>
      </c>
      <c r="AZ22" s="413"/>
      <c r="BA22" s="412"/>
      <c r="BB22" s="412"/>
    </row>
    <row r="23" spans="1:85" ht="18" customHeight="1" thickBot="1">
      <c r="A23" s="36"/>
      <c r="B23" s="404"/>
      <c r="C23" s="404"/>
      <c r="D23" s="404"/>
      <c r="E23" s="404"/>
      <c r="F23" s="288" t="s">
        <v>956</v>
      </c>
      <c r="G23" s="288"/>
      <c r="H23" s="288"/>
      <c r="I23" s="288"/>
      <c r="J23" s="288"/>
      <c r="K23" s="288"/>
      <c r="L23" s="288"/>
      <c r="M23" s="288"/>
      <c r="N23" s="288"/>
      <c r="O23" s="288"/>
      <c r="P23" s="288"/>
      <c r="Q23" s="288"/>
      <c r="R23" s="288"/>
      <c r="S23" s="288"/>
      <c r="T23" s="288"/>
      <c r="U23" s="288"/>
      <c r="V23" s="288"/>
      <c r="W23" s="288"/>
      <c r="X23" s="288"/>
      <c r="Y23" s="288"/>
      <c r="Z23" s="288"/>
      <c r="AA23" s="288"/>
      <c r="AB23" s="288"/>
      <c r="AC23" s="288"/>
      <c r="AD23" s="288"/>
      <c r="AE23" s="288"/>
      <c r="AF23" s="288"/>
      <c r="AG23" s="288"/>
      <c r="AH23" s="288"/>
      <c r="AI23" s="289"/>
      <c r="AK23" s="431" t="s">
        <v>630</v>
      </c>
      <c r="AL23" s="432"/>
      <c r="AM23" s="432"/>
      <c r="AN23" s="432"/>
      <c r="AO23" s="432"/>
      <c r="AP23" s="432"/>
      <c r="AQ23" s="64"/>
      <c r="AR23" s="428"/>
      <c r="AS23" s="536" t="s">
        <v>631</v>
      </c>
      <c r="AT23" s="246"/>
      <c r="AU23" s="537"/>
      <c r="AV23" s="537"/>
      <c r="AW23" s="56" t="s">
        <v>632</v>
      </c>
      <c r="AY23" s="413" t="s">
        <v>633</v>
      </c>
      <c r="AZ23" s="413"/>
      <c r="BA23" s="412"/>
      <c r="BB23" s="412"/>
    </row>
    <row r="24" spans="1:85" ht="18" customHeight="1" thickBot="1">
      <c r="A24" s="36"/>
      <c r="B24" s="404"/>
      <c r="C24" s="404"/>
      <c r="D24" s="404"/>
      <c r="E24" s="404"/>
      <c r="F24" s="288" t="s">
        <v>957</v>
      </c>
      <c r="G24" s="288"/>
      <c r="H24" s="288"/>
      <c r="I24" s="288"/>
      <c r="J24" s="288"/>
      <c r="K24" s="288"/>
      <c r="L24" s="288"/>
      <c r="M24" s="288"/>
      <c r="N24" s="288"/>
      <c r="O24" s="288"/>
      <c r="P24" s="288"/>
      <c r="Q24" s="288"/>
      <c r="R24" s="288"/>
      <c r="S24" s="288"/>
      <c r="T24" s="288"/>
      <c r="U24" s="288"/>
      <c r="V24" s="288"/>
      <c r="W24" s="288"/>
      <c r="X24" s="288"/>
      <c r="Y24" s="288"/>
      <c r="Z24" s="288"/>
      <c r="AA24" s="288"/>
      <c r="AB24" s="288"/>
      <c r="AC24" s="288"/>
      <c r="AD24" s="288"/>
      <c r="AE24" s="288"/>
      <c r="AF24" s="288"/>
      <c r="AG24" s="288"/>
      <c r="AH24" s="288"/>
      <c r="AI24" s="289"/>
      <c r="AK24" s="527" t="s">
        <v>634</v>
      </c>
      <c r="AL24" s="528"/>
      <c r="AM24" s="528"/>
      <c r="AN24" s="528"/>
      <c r="AO24" s="528"/>
      <c r="AP24" s="528"/>
      <c r="AQ24" s="65"/>
      <c r="AR24" s="43"/>
      <c r="AY24" s="413" t="s">
        <v>635</v>
      </c>
      <c r="AZ24" s="413"/>
      <c r="BA24" s="412"/>
      <c r="BB24" s="412"/>
    </row>
    <row r="25" spans="1:85" ht="18" customHeight="1">
      <c r="A25" s="36" t="s">
        <v>189</v>
      </c>
      <c r="B25" s="404">
        <v>0.66666666666666663</v>
      </c>
      <c r="C25" s="404"/>
      <c r="D25" s="404"/>
      <c r="E25" s="404"/>
      <c r="F25" s="288" t="s">
        <v>958</v>
      </c>
      <c r="G25" s="288"/>
      <c r="H25" s="288"/>
      <c r="I25" s="288"/>
      <c r="J25" s="288"/>
      <c r="K25" s="288"/>
      <c r="L25" s="288"/>
      <c r="M25" s="288"/>
      <c r="N25" s="288"/>
      <c r="O25" s="288"/>
      <c r="P25" s="288"/>
      <c r="Q25" s="288"/>
      <c r="R25" s="288"/>
      <c r="S25" s="288"/>
      <c r="T25" s="288"/>
      <c r="U25" s="288"/>
      <c r="V25" s="288"/>
      <c r="W25" s="288"/>
      <c r="X25" s="288"/>
      <c r="Y25" s="288"/>
      <c r="Z25" s="288"/>
      <c r="AA25" s="288"/>
      <c r="AB25" s="288"/>
      <c r="AC25" s="288"/>
      <c r="AD25" s="288"/>
      <c r="AE25" s="288"/>
      <c r="AF25" s="288"/>
      <c r="AG25" s="288"/>
      <c r="AH25" s="288"/>
      <c r="AI25" s="289"/>
      <c r="AK25" s="529" t="s">
        <v>636</v>
      </c>
      <c r="AL25" s="529"/>
      <c r="AM25" s="529"/>
      <c r="AN25" s="529"/>
      <c r="AO25" s="529"/>
      <c r="AP25" s="529"/>
      <c r="AQ25" s="66"/>
      <c r="AR25" s="43"/>
      <c r="AY25" s="413" t="s">
        <v>637</v>
      </c>
      <c r="AZ25" s="413"/>
      <c r="BA25" s="412"/>
      <c r="BB25" s="412"/>
    </row>
    <row r="26" spans="1:85" ht="18" customHeight="1">
      <c r="A26" s="36" t="s">
        <v>189</v>
      </c>
      <c r="B26" s="404">
        <v>0.72430555555555554</v>
      </c>
      <c r="C26" s="404"/>
      <c r="D26" s="404"/>
      <c r="E26" s="404"/>
      <c r="F26" s="288" t="s">
        <v>959</v>
      </c>
      <c r="G26" s="288"/>
      <c r="H26" s="288"/>
      <c r="I26" s="288"/>
      <c r="J26" s="288"/>
      <c r="K26" s="288"/>
      <c r="L26" s="288"/>
      <c r="M26" s="288"/>
      <c r="N26" s="288"/>
      <c r="O26" s="288"/>
      <c r="P26" s="288"/>
      <c r="Q26" s="288"/>
      <c r="R26" s="288"/>
      <c r="S26" s="288"/>
      <c r="T26" s="288"/>
      <c r="U26" s="288"/>
      <c r="V26" s="288"/>
      <c r="W26" s="288"/>
      <c r="X26" s="288"/>
      <c r="Y26" s="288"/>
      <c r="Z26" s="288"/>
      <c r="AA26" s="288"/>
      <c r="AB26" s="288"/>
      <c r="AC26" s="288"/>
      <c r="AD26" s="288"/>
      <c r="AE26" s="288"/>
      <c r="AF26" s="288"/>
      <c r="AG26" s="288"/>
      <c r="AH26" s="288"/>
      <c r="AI26" s="289"/>
      <c r="AK26" s="436" t="s">
        <v>638</v>
      </c>
      <c r="AL26" s="436"/>
      <c r="AM26" s="436"/>
      <c r="AN26" s="436"/>
      <c r="AO26" s="436"/>
      <c r="AP26" s="436"/>
      <c r="AQ26" s="67"/>
      <c r="AR26" s="43"/>
      <c r="AS26" s="548" t="s">
        <v>639</v>
      </c>
      <c r="AT26" s="549"/>
      <c r="AU26" s="549"/>
      <c r="AV26" s="549"/>
      <c r="AW26" s="550"/>
      <c r="AY26" s="147"/>
      <c r="AZ26" s="147"/>
      <c r="BA26" s="147"/>
      <c r="BB26" s="147"/>
    </row>
    <row r="27" spans="1:85" ht="18" customHeight="1">
      <c r="A27" s="36"/>
      <c r="B27" s="404"/>
      <c r="C27" s="404"/>
      <c r="D27" s="404"/>
      <c r="E27" s="404"/>
      <c r="F27" s="288" t="s">
        <v>960</v>
      </c>
      <c r="G27" s="288"/>
      <c r="H27" s="288"/>
      <c r="I27" s="288"/>
      <c r="J27" s="288"/>
      <c r="K27" s="288"/>
      <c r="L27" s="288"/>
      <c r="M27" s="288"/>
      <c r="N27" s="288"/>
      <c r="O27" s="288"/>
      <c r="P27" s="288"/>
      <c r="Q27" s="288"/>
      <c r="R27" s="288"/>
      <c r="S27" s="288"/>
      <c r="T27" s="288"/>
      <c r="U27" s="288"/>
      <c r="V27" s="288"/>
      <c r="W27" s="288"/>
      <c r="X27" s="288"/>
      <c r="Y27" s="288"/>
      <c r="Z27" s="288"/>
      <c r="AA27" s="288"/>
      <c r="AB27" s="288"/>
      <c r="AC27" s="288"/>
      <c r="AD27" s="288"/>
      <c r="AE27" s="288"/>
      <c r="AF27" s="288"/>
      <c r="AG27" s="288"/>
      <c r="AH27" s="288"/>
      <c r="AI27" s="289"/>
      <c r="AK27" s="436" t="s">
        <v>640</v>
      </c>
      <c r="AL27" s="436"/>
      <c r="AM27" s="436"/>
      <c r="AN27" s="436"/>
      <c r="AO27" s="436"/>
      <c r="AP27" s="436"/>
      <c r="AQ27" s="67"/>
      <c r="AR27" s="43"/>
      <c r="AS27" s="458" t="s">
        <v>641</v>
      </c>
      <c r="AT27" s="460"/>
      <c r="AU27" s="458" t="s">
        <v>642</v>
      </c>
      <c r="AV27" s="459"/>
      <c r="AW27" s="460"/>
      <c r="AY27" s="411" t="s">
        <v>643</v>
      </c>
      <c r="AZ27" s="411"/>
      <c r="BA27" s="411"/>
      <c r="BB27" s="411"/>
    </row>
    <row r="28" spans="1:85" ht="18" customHeight="1" thickBot="1">
      <c r="A28" s="36" t="s">
        <v>189</v>
      </c>
      <c r="B28" s="404">
        <v>0.76597222222222228</v>
      </c>
      <c r="C28" s="404"/>
      <c r="D28" s="404"/>
      <c r="E28" s="404"/>
      <c r="F28" s="288" t="s">
        <v>961</v>
      </c>
      <c r="G28" s="288"/>
      <c r="H28" s="288"/>
      <c r="I28" s="288"/>
      <c r="J28" s="288"/>
      <c r="K28" s="288"/>
      <c r="L28" s="288"/>
      <c r="M28" s="288"/>
      <c r="N28" s="288"/>
      <c r="O28" s="288"/>
      <c r="P28" s="288"/>
      <c r="Q28" s="288"/>
      <c r="R28" s="288"/>
      <c r="S28" s="288"/>
      <c r="T28" s="288"/>
      <c r="U28" s="288"/>
      <c r="V28" s="288"/>
      <c r="W28" s="288"/>
      <c r="X28" s="288"/>
      <c r="Y28" s="288"/>
      <c r="Z28" s="288"/>
      <c r="AA28" s="288"/>
      <c r="AB28" s="288"/>
      <c r="AC28" s="288"/>
      <c r="AD28" s="288"/>
      <c r="AE28" s="288"/>
      <c r="AF28" s="288"/>
      <c r="AG28" s="288"/>
      <c r="AH28" s="288"/>
      <c r="AI28" s="289"/>
      <c r="AK28" s="436" t="s">
        <v>644</v>
      </c>
      <c r="AL28" s="436"/>
      <c r="AM28" s="436"/>
      <c r="AN28" s="436"/>
      <c r="AO28" s="436"/>
      <c r="AP28" s="436"/>
      <c r="AQ28" s="67"/>
      <c r="AR28" s="43"/>
      <c r="AS28" s="538" t="s">
        <v>645</v>
      </c>
      <c r="AT28" s="539"/>
      <c r="AU28" s="533" t="s">
        <v>646</v>
      </c>
      <c r="AV28" s="534"/>
      <c r="AW28" s="535"/>
      <c r="AY28" s="413" t="s">
        <v>647</v>
      </c>
      <c r="AZ28" s="413"/>
      <c r="BA28" s="412"/>
      <c r="BB28" s="412"/>
    </row>
    <row r="29" spans="1:85" ht="18" customHeight="1" thickBot="1">
      <c r="A29" s="36" t="s">
        <v>189</v>
      </c>
      <c r="B29" s="404">
        <v>0.875</v>
      </c>
      <c r="C29" s="404"/>
      <c r="D29" s="404"/>
      <c r="E29" s="404"/>
      <c r="F29" s="288" t="s">
        <v>936</v>
      </c>
      <c r="G29" s="288"/>
      <c r="H29" s="288"/>
      <c r="I29" s="288"/>
      <c r="J29" s="288"/>
      <c r="K29" s="288"/>
      <c r="L29" s="288"/>
      <c r="M29" s="288"/>
      <c r="N29" s="288"/>
      <c r="O29" s="288"/>
      <c r="P29" s="288"/>
      <c r="Q29" s="288"/>
      <c r="R29" s="288"/>
      <c r="S29" s="288"/>
      <c r="T29" s="288"/>
      <c r="U29" s="288"/>
      <c r="V29" s="288"/>
      <c r="W29" s="288"/>
      <c r="X29" s="288"/>
      <c r="Y29" s="288"/>
      <c r="Z29" s="288"/>
      <c r="AA29" s="288"/>
      <c r="AB29" s="288"/>
      <c r="AC29" s="288"/>
      <c r="AD29" s="288"/>
      <c r="AE29" s="288"/>
      <c r="AF29" s="288"/>
      <c r="AG29" s="288"/>
      <c r="AH29" s="288"/>
      <c r="AI29" s="289"/>
      <c r="AK29" s="524"/>
      <c r="AL29" s="524"/>
      <c r="AM29" s="524"/>
      <c r="AN29" s="524"/>
      <c r="AO29" s="524"/>
      <c r="AP29" s="524"/>
      <c r="AQ29" s="58"/>
      <c r="AR29" s="43"/>
      <c r="AS29" s="551">
        <v>1.1034722222222222</v>
      </c>
      <c r="AT29" s="552"/>
      <c r="AU29" s="434" t="s">
        <v>962</v>
      </c>
      <c r="AV29" s="434"/>
      <c r="AW29" s="553"/>
      <c r="AY29" s="413" t="s">
        <v>633</v>
      </c>
      <c r="AZ29" s="413"/>
      <c r="BA29" s="412"/>
      <c r="BB29" s="412"/>
    </row>
    <row r="30" spans="1:85" ht="18" customHeight="1">
      <c r="A30" s="36"/>
      <c r="B30" s="404"/>
      <c r="C30" s="404"/>
      <c r="D30" s="404"/>
      <c r="E30" s="404"/>
      <c r="F30" s="288"/>
      <c r="G30" s="288"/>
      <c r="H30" s="288"/>
      <c r="I30" s="288"/>
      <c r="J30" s="288"/>
      <c r="K30" s="288"/>
      <c r="L30" s="288"/>
      <c r="M30" s="288"/>
      <c r="N30" s="288"/>
      <c r="O30" s="288"/>
      <c r="P30" s="288"/>
      <c r="Q30" s="288"/>
      <c r="R30" s="288"/>
      <c r="S30" s="288"/>
      <c r="T30" s="288"/>
      <c r="U30" s="288"/>
      <c r="V30" s="288"/>
      <c r="W30" s="288"/>
      <c r="X30" s="288"/>
      <c r="Y30" s="288"/>
      <c r="Z30" s="288"/>
      <c r="AA30" s="288"/>
      <c r="AB30" s="288"/>
      <c r="AC30" s="288"/>
      <c r="AD30" s="288"/>
      <c r="AE30" s="288"/>
      <c r="AF30" s="288"/>
      <c r="AG30" s="288"/>
      <c r="AH30" s="288"/>
      <c r="AI30" s="289"/>
      <c r="AK30" s="449" t="s">
        <v>648</v>
      </c>
      <c r="AL30" s="450"/>
      <c r="AM30" s="450"/>
      <c r="AN30" s="450"/>
      <c r="AO30" s="450"/>
      <c r="AP30" s="450"/>
      <c r="AQ30" s="62"/>
      <c r="AR30" s="43"/>
      <c r="AS30" s="554">
        <v>1.1034722222222222</v>
      </c>
      <c r="AT30" s="532"/>
      <c r="AU30" s="439" t="s">
        <v>963</v>
      </c>
      <c r="AV30" s="439"/>
      <c r="AW30" s="555"/>
      <c r="AY30" s="413" t="s">
        <v>649</v>
      </c>
      <c r="AZ30" s="413"/>
      <c r="BA30" s="412"/>
      <c r="BB30" s="412"/>
    </row>
    <row r="31" spans="1:85" ht="18" customHeight="1" thickBot="1">
      <c r="A31" s="37"/>
      <c r="B31" s="466"/>
      <c r="C31" s="466"/>
      <c r="D31" s="466"/>
      <c r="E31" s="466"/>
      <c r="F31" s="467"/>
      <c r="G31" s="467"/>
      <c r="H31" s="467"/>
      <c r="I31" s="467"/>
      <c r="J31" s="467"/>
      <c r="K31" s="467"/>
      <c r="L31" s="467"/>
      <c r="M31" s="467"/>
      <c r="N31" s="467"/>
      <c r="O31" s="467"/>
      <c r="P31" s="467"/>
      <c r="Q31" s="467"/>
      <c r="R31" s="467"/>
      <c r="S31" s="467"/>
      <c r="T31" s="467"/>
      <c r="U31" s="467"/>
      <c r="V31" s="467"/>
      <c r="W31" s="467"/>
      <c r="X31" s="467"/>
      <c r="Y31" s="467"/>
      <c r="Z31" s="467"/>
      <c r="AA31" s="467"/>
      <c r="AB31" s="467"/>
      <c r="AC31" s="467"/>
      <c r="AD31" s="467"/>
      <c r="AE31" s="467"/>
      <c r="AF31" s="467"/>
      <c r="AG31" s="467"/>
      <c r="AH31" s="467"/>
      <c r="AI31" s="468"/>
      <c r="AK31" s="451" t="s">
        <v>650</v>
      </c>
      <c r="AL31" s="416"/>
      <c r="AM31" s="416"/>
      <c r="AN31" s="416"/>
      <c r="AO31" s="416"/>
      <c r="AP31" s="416"/>
      <c r="AQ31" s="64"/>
      <c r="AR31" s="48"/>
      <c r="AS31" s="556">
        <v>1.1076388888888888</v>
      </c>
      <c r="AT31" s="557"/>
      <c r="AU31" s="424" t="s">
        <v>964</v>
      </c>
      <c r="AV31" s="424"/>
      <c r="AW31" s="491"/>
      <c r="AY31" s="413" t="s">
        <v>637</v>
      </c>
      <c r="AZ31" s="413"/>
      <c r="BA31" s="412"/>
      <c r="BB31" s="412"/>
    </row>
    <row r="32" spans="1:85" ht="18" customHeight="1" thickBot="1">
      <c r="A32" s="406" t="s">
        <v>651</v>
      </c>
      <c r="B32" s="407"/>
      <c r="C32" s="407"/>
      <c r="D32" s="407"/>
      <c r="E32" s="407"/>
      <c r="F32" s="407"/>
      <c r="G32" s="407"/>
      <c r="H32" s="407"/>
      <c r="I32" s="407"/>
      <c r="J32" s="407"/>
      <c r="K32" s="407"/>
      <c r="L32" s="407"/>
      <c r="M32" s="407"/>
      <c r="N32" s="407"/>
      <c r="O32" s="407"/>
      <c r="P32" s="407"/>
      <c r="Q32" s="407"/>
      <c r="R32" s="407"/>
      <c r="S32" s="407"/>
      <c r="T32" s="407"/>
      <c r="U32" s="407"/>
      <c r="V32" s="407"/>
      <c r="W32" s="407"/>
      <c r="X32" s="407"/>
      <c r="Y32" s="407"/>
      <c r="Z32" s="407"/>
      <c r="AA32" s="407"/>
      <c r="AB32" s="407"/>
      <c r="AC32" s="407"/>
      <c r="AD32" s="407"/>
      <c r="AE32" s="407"/>
      <c r="AF32" s="407"/>
      <c r="AG32" s="407"/>
      <c r="AH32" s="407"/>
      <c r="AI32" s="408"/>
      <c r="AK32" s="531"/>
      <c r="AL32" s="531"/>
      <c r="AM32" s="531"/>
      <c r="AN32" s="531"/>
      <c r="AO32" s="531"/>
      <c r="AP32" s="531"/>
      <c r="AQ32" s="61"/>
      <c r="AR32" s="48"/>
      <c r="AS32" s="558">
        <v>1.2770833333333333</v>
      </c>
      <c r="AT32" s="558"/>
      <c r="AU32" s="559" t="s">
        <v>965</v>
      </c>
      <c r="AV32" s="559"/>
      <c r="AW32" s="559"/>
      <c r="AY32" s="413" t="s">
        <v>652</v>
      </c>
      <c r="AZ32" s="413"/>
      <c r="BA32" s="412"/>
      <c r="BB32" s="412"/>
    </row>
    <row r="33" spans="1:80" ht="18" customHeight="1">
      <c r="A33" s="39"/>
      <c r="B33" s="546" t="s">
        <v>653</v>
      </c>
      <c r="C33" s="546"/>
      <c r="D33" s="546"/>
      <c r="E33" s="546"/>
      <c r="F33" s="417" t="str" cm="1">
        <f t="array" ref="F33">_xlfn.TEXTJOIN("/",TRUE,IF(AS29:AS31&lt;&gt;"",TEXT(AS29:AS31,"h:mm")&amp;" "&amp;AU29:AU31,""))</f>
        <v>2:29 45階ルーフトップテラス1/2:29 45階ルーフトップテラス2/2:35 44階4418号室</v>
      </c>
      <c r="G33" s="418"/>
      <c r="H33" s="418"/>
      <c r="I33" s="418"/>
      <c r="J33" s="418"/>
      <c r="K33" s="418"/>
      <c r="L33" s="418"/>
      <c r="M33" s="418"/>
      <c r="N33" s="418"/>
      <c r="O33" s="418"/>
      <c r="P33" s="418"/>
      <c r="Q33" s="418"/>
      <c r="R33" s="418"/>
      <c r="S33" s="418"/>
      <c r="T33" s="418"/>
      <c r="U33" s="418"/>
      <c r="V33" s="418"/>
      <c r="W33" s="418"/>
      <c r="X33" s="418"/>
      <c r="Y33" s="418"/>
      <c r="Z33" s="418"/>
      <c r="AA33" s="418"/>
      <c r="AB33" s="418"/>
      <c r="AC33" s="418"/>
      <c r="AD33" s="418"/>
      <c r="AE33" s="418"/>
      <c r="AF33" s="418"/>
      <c r="AG33" s="418"/>
      <c r="AH33" s="418"/>
      <c r="AI33" s="419"/>
      <c r="AK33" s="449" t="s">
        <v>654</v>
      </c>
      <c r="AL33" s="450"/>
      <c r="AM33" s="450"/>
      <c r="AN33" s="450"/>
      <c r="AO33" s="450"/>
      <c r="AP33" s="450"/>
      <c r="AQ33" s="60">
        <v>1</v>
      </c>
      <c r="AR33" s="48"/>
      <c r="AS33" s="532"/>
      <c r="AT33" s="532"/>
      <c r="AU33" s="439"/>
      <c r="AV33" s="439"/>
      <c r="AW33" s="439"/>
      <c r="AY33" s="413" t="s">
        <v>655</v>
      </c>
      <c r="AZ33" s="413"/>
      <c r="BA33" s="412"/>
      <c r="BB33" s="412"/>
    </row>
    <row r="34" spans="1:80" ht="18" customHeight="1" thickBot="1">
      <c r="A34" s="39"/>
      <c r="B34" s="546" t="s">
        <v>656</v>
      </c>
      <c r="C34" s="546"/>
      <c r="D34" s="546"/>
      <c r="E34" s="546"/>
      <c r="F34" s="420" t="s">
        <v>79</v>
      </c>
      <c r="G34" s="420"/>
      <c r="H34" s="420"/>
      <c r="I34" s="420"/>
      <c r="J34" s="420"/>
      <c r="K34" s="420"/>
      <c r="L34" s="420"/>
      <c r="M34" s="420"/>
      <c r="N34" s="420"/>
      <c r="O34" s="420"/>
      <c r="P34" s="420"/>
      <c r="Q34" s="420"/>
      <c r="R34" s="420"/>
      <c r="S34" s="420"/>
      <c r="T34" s="420"/>
      <c r="U34" s="420"/>
      <c r="V34" s="420"/>
      <c r="W34" s="420"/>
      <c r="X34" s="420"/>
      <c r="Y34" s="420"/>
      <c r="Z34" s="420"/>
      <c r="AA34" s="420"/>
      <c r="AB34" s="420"/>
      <c r="AC34" s="421"/>
      <c r="AD34" s="421"/>
      <c r="AE34" s="421"/>
      <c r="AF34" s="421"/>
      <c r="AG34" s="421"/>
      <c r="AH34" s="421"/>
      <c r="AI34" s="422"/>
      <c r="AK34" s="451" t="s">
        <v>657</v>
      </c>
      <c r="AL34" s="416"/>
      <c r="AM34" s="416"/>
      <c r="AN34" s="416"/>
      <c r="AO34" s="416"/>
      <c r="AP34" s="416"/>
      <c r="AQ34" s="56"/>
      <c r="AR34" s="48"/>
      <c r="AS34" s="532"/>
      <c r="AT34" s="532"/>
      <c r="AU34" s="439"/>
      <c r="AV34" s="439"/>
      <c r="AW34" s="439"/>
      <c r="AY34" s="413" t="s">
        <v>658</v>
      </c>
      <c r="AZ34" s="413"/>
      <c r="BA34" s="412"/>
      <c r="BB34" s="412"/>
    </row>
    <row r="35" spans="1:80" ht="18" customHeight="1" thickBot="1">
      <c r="A35" s="57"/>
      <c r="B35" s="547" t="s">
        <v>659</v>
      </c>
      <c r="C35" s="547"/>
      <c r="D35" s="547"/>
      <c r="E35" s="547"/>
      <c r="F35" s="389" t="s">
        <v>660</v>
      </c>
      <c r="G35" s="389"/>
      <c r="H35" s="389"/>
      <c r="I35" s="389"/>
      <c r="J35" s="389"/>
      <c r="K35" s="389"/>
      <c r="L35" s="389"/>
      <c r="M35" s="389"/>
      <c r="N35" s="389"/>
      <c r="O35" s="389"/>
      <c r="P35" s="389"/>
      <c r="Q35" s="389"/>
      <c r="R35" s="389"/>
      <c r="S35" s="389"/>
      <c r="T35" s="389"/>
      <c r="U35" s="389"/>
      <c r="V35" s="389"/>
      <c r="W35" s="390" t="s">
        <v>661</v>
      </c>
      <c r="X35" s="391"/>
      <c r="Y35" s="391"/>
      <c r="Z35" s="391"/>
      <c r="AA35" s="391"/>
      <c r="AB35" s="391"/>
      <c r="AC35" s="392" t="s">
        <v>662</v>
      </c>
      <c r="AD35" s="393"/>
      <c r="AE35" s="393"/>
      <c r="AF35" s="393"/>
      <c r="AG35" s="393"/>
      <c r="AH35" s="393"/>
      <c r="AI35" s="394"/>
      <c r="AK35" s="531"/>
      <c r="AL35" s="531"/>
      <c r="AM35" s="531"/>
      <c r="AN35" s="531"/>
      <c r="AO35" s="531"/>
      <c r="AP35" s="531"/>
      <c r="AQ35" s="61"/>
      <c r="AR35" s="48"/>
      <c r="AS35" s="532"/>
      <c r="AT35" s="532"/>
      <c r="AU35" s="439"/>
      <c r="AV35" s="439"/>
      <c r="AW35" s="439"/>
      <c r="AY35" s="413" t="s">
        <v>663</v>
      </c>
      <c r="AZ35" s="413"/>
      <c r="BA35" s="412"/>
      <c r="BB35" s="412"/>
    </row>
    <row r="36" spans="1:80" ht="18" customHeight="1" thickBot="1">
      <c r="A36" s="492" t="s">
        <v>664</v>
      </c>
      <c r="B36" s="493"/>
      <c r="C36" s="493"/>
      <c r="D36" s="493"/>
      <c r="E36" s="493"/>
      <c r="F36" s="498">
        <v>4.1666666666666664E-2</v>
      </c>
      <c r="G36" s="439"/>
      <c r="H36" s="439"/>
      <c r="I36" s="439"/>
      <c r="J36" s="439"/>
      <c r="K36" s="439"/>
      <c r="L36" s="499" t="s">
        <v>665</v>
      </c>
      <c r="M36" s="489"/>
      <c r="N36" s="489"/>
      <c r="O36" s="500"/>
      <c r="P36" s="410" t="s">
        <v>21</v>
      </c>
      <c r="Q36" s="410"/>
      <c r="R36" s="410"/>
      <c r="S36" s="55" t="s">
        <v>666</v>
      </c>
      <c r="T36" s="410" t="s">
        <v>72</v>
      </c>
      <c r="U36" s="410"/>
      <c r="V36" s="530"/>
      <c r="W36" s="489" t="s">
        <v>667</v>
      </c>
      <c r="X36" s="489"/>
      <c r="Y36" s="489"/>
      <c r="Z36" s="489"/>
      <c r="AA36" s="489"/>
      <c r="AB36" s="489"/>
      <c r="AC36" s="490" t="s">
        <v>722</v>
      </c>
      <c r="AD36" s="487"/>
      <c r="AE36" s="487"/>
      <c r="AF36" s="487"/>
      <c r="AG36" s="487"/>
      <c r="AH36" s="487"/>
      <c r="AI36" s="488"/>
      <c r="AK36" s="525" t="s">
        <v>668</v>
      </c>
      <c r="AL36" s="526"/>
      <c r="AM36" s="526"/>
      <c r="AN36" s="526"/>
      <c r="AO36" s="526"/>
      <c r="AP36" s="526"/>
      <c r="AQ36" s="117"/>
      <c r="AR36" s="48"/>
      <c r="AS36" s="532"/>
      <c r="AT36" s="532"/>
      <c r="AU36" s="439"/>
      <c r="AV36" s="439"/>
      <c r="AW36" s="439"/>
      <c r="BH36" s="50"/>
      <c r="BI36" s="51"/>
    </row>
    <row r="37" spans="1:80" ht="18" customHeight="1" thickBot="1">
      <c r="A37" s="494" t="s">
        <v>669</v>
      </c>
      <c r="B37" s="495"/>
      <c r="C37" s="495"/>
      <c r="D37" s="495"/>
      <c r="E37" s="495"/>
      <c r="F37" s="487"/>
      <c r="G37" s="487"/>
      <c r="H37" s="487"/>
      <c r="I37" s="487"/>
      <c r="J37" s="487"/>
      <c r="K37" s="487"/>
      <c r="L37" s="487"/>
      <c r="M37" s="487"/>
      <c r="N37" s="487"/>
      <c r="O37" s="487"/>
      <c r="P37" s="487"/>
      <c r="Q37" s="487"/>
      <c r="R37" s="487"/>
      <c r="S37" s="487"/>
      <c r="T37" s="487"/>
      <c r="U37" s="487"/>
      <c r="V37" s="487"/>
      <c r="W37" s="487"/>
      <c r="X37" s="487"/>
      <c r="Y37" s="487"/>
      <c r="Z37" s="487"/>
      <c r="AA37" s="487"/>
      <c r="AB37" s="487"/>
      <c r="AC37" s="487"/>
      <c r="AD37" s="487"/>
      <c r="AE37" s="487"/>
      <c r="AF37" s="487"/>
      <c r="AG37" s="487"/>
      <c r="AH37" s="487"/>
      <c r="AI37" s="488"/>
      <c r="AK37" s="544" t="s">
        <v>240</v>
      </c>
      <c r="AL37" s="545"/>
      <c r="AM37" s="545"/>
      <c r="AN37" s="545"/>
      <c r="AO37" s="545"/>
      <c r="AP37" s="545"/>
      <c r="AQ37" s="122"/>
      <c r="AR37" s="48"/>
      <c r="AS37" s="532"/>
      <c r="AT37" s="532"/>
      <c r="AU37" s="439"/>
      <c r="AV37" s="439"/>
      <c r="AW37" s="439"/>
      <c r="BH37" s="50"/>
      <c r="BI37" s="51"/>
    </row>
    <row r="38" spans="1:80" ht="18" customHeight="1" thickBot="1">
      <c r="A38" s="496" t="s">
        <v>670</v>
      </c>
      <c r="B38" s="497"/>
      <c r="C38" s="497"/>
      <c r="D38" s="497"/>
      <c r="E38" s="497"/>
      <c r="F38" s="416" t="s">
        <v>667</v>
      </c>
      <c r="G38" s="416"/>
      <c r="H38" s="416"/>
      <c r="I38" s="416"/>
      <c r="J38" s="416"/>
      <c r="K38" s="416"/>
      <c r="L38" s="424" t="s">
        <v>722</v>
      </c>
      <c r="M38" s="424"/>
      <c r="N38" s="424"/>
      <c r="O38" s="424"/>
      <c r="P38" s="416" t="s">
        <v>671</v>
      </c>
      <c r="Q38" s="416"/>
      <c r="R38" s="416"/>
      <c r="S38" s="416"/>
      <c r="T38" s="416"/>
      <c r="U38" s="416"/>
      <c r="V38" s="416"/>
      <c r="W38" s="416" t="s">
        <v>667</v>
      </c>
      <c r="X38" s="416"/>
      <c r="Y38" s="416"/>
      <c r="Z38" s="416"/>
      <c r="AA38" s="416"/>
      <c r="AB38" s="416"/>
      <c r="AC38" s="424" t="s">
        <v>722</v>
      </c>
      <c r="AD38" s="424"/>
      <c r="AE38" s="424"/>
      <c r="AF38" s="424"/>
      <c r="AG38" s="424"/>
      <c r="AH38" s="424"/>
      <c r="AI38" s="491"/>
      <c r="AK38" s="543"/>
      <c r="AL38" s="543"/>
      <c r="AM38" s="543"/>
      <c r="AN38" s="543"/>
      <c r="AO38" s="543"/>
      <c r="AP38" s="543"/>
      <c r="AQ38" s="59"/>
      <c r="AR38" s="48"/>
      <c r="BC38" s="50"/>
      <c r="BD38" s="51"/>
    </row>
    <row r="39" spans="1:80" ht="18" customHeight="1">
      <c r="A39" s="452" t="s">
        <v>672</v>
      </c>
      <c r="B39" s="453"/>
      <c r="C39" s="453"/>
      <c r="D39" s="453"/>
      <c r="E39" s="453"/>
      <c r="F39" s="453"/>
      <c r="G39" s="453"/>
      <c r="H39" s="453"/>
      <c r="I39" s="453"/>
      <c r="J39" s="453"/>
      <c r="K39" s="453"/>
      <c r="L39" s="453"/>
      <c r="M39" s="453"/>
      <c r="N39" s="453"/>
      <c r="O39" s="453"/>
      <c r="P39" s="453"/>
      <c r="Q39" s="453"/>
      <c r="R39" s="453"/>
      <c r="S39" s="453"/>
      <c r="T39" s="453"/>
      <c r="U39" s="453"/>
      <c r="V39" s="453"/>
      <c r="W39" s="453"/>
      <c r="X39" s="453"/>
      <c r="Y39" s="453"/>
      <c r="Z39" s="453"/>
      <c r="AA39" s="453"/>
      <c r="AB39" s="453"/>
      <c r="AC39" s="453"/>
      <c r="AD39" s="453"/>
      <c r="AE39" s="453"/>
      <c r="AF39" s="453"/>
      <c r="AG39" s="453"/>
      <c r="AH39" s="453"/>
      <c r="AI39" s="454"/>
      <c r="AK39" s="444" t="s">
        <v>673</v>
      </c>
      <c r="AL39" s="444"/>
      <c r="AM39" s="444"/>
      <c r="AN39" s="444"/>
      <c r="AO39" s="444"/>
      <c r="AP39" s="444"/>
      <c r="AQ39" s="42"/>
      <c r="AR39" s="48"/>
      <c r="AS39" s="423" t="s">
        <v>526</v>
      </c>
      <c r="AT39" s="423"/>
      <c r="AU39" s="148">
        <v>22</v>
      </c>
      <c r="AV39" s="423" t="s">
        <v>528</v>
      </c>
      <c r="AW39" s="423"/>
      <c r="BC39" s="50"/>
      <c r="BD39" s="51"/>
    </row>
    <row r="40" spans="1:80" ht="18" customHeight="1">
      <c r="A40" s="464" t="s">
        <v>674</v>
      </c>
      <c r="B40" s="459"/>
      <c r="C40" s="459"/>
      <c r="D40" s="459"/>
      <c r="E40" s="470" t="s">
        <v>675</v>
      </c>
      <c r="F40" s="471"/>
      <c r="G40" s="471"/>
      <c r="H40" s="471"/>
      <c r="I40" s="471"/>
      <c r="J40" s="471"/>
      <c r="K40" s="472"/>
      <c r="L40" s="458" t="s">
        <v>676</v>
      </c>
      <c r="M40" s="459"/>
      <c r="N40" s="459"/>
      <c r="O40" s="459"/>
      <c r="P40" s="459"/>
      <c r="Q40" s="459"/>
      <c r="R40" s="460"/>
      <c r="S40" s="458" t="s">
        <v>677</v>
      </c>
      <c r="T40" s="459"/>
      <c r="U40" s="459"/>
      <c r="V40" s="459"/>
      <c r="W40" s="470" t="s">
        <v>675</v>
      </c>
      <c r="X40" s="471"/>
      <c r="Y40" s="471"/>
      <c r="Z40" s="471"/>
      <c r="AA40" s="471"/>
      <c r="AB40" s="471"/>
      <c r="AC40" s="472"/>
      <c r="AD40" s="458" t="s">
        <v>678</v>
      </c>
      <c r="AE40" s="459"/>
      <c r="AF40" s="459"/>
      <c r="AG40" s="459"/>
      <c r="AH40" s="459"/>
      <c r="AI40" s="463"/>
      <c r="AK40" s="444" t="s">
        <v>679</v>
      </c>
      <c r="AL40" s="444"/>
      <c r="AM40" s="444"/>
      <c r="AN40" s="444"/>
      <c r="AO40" s="444"/>
      <c r="AP40" s="444"/>
      <c r="AQ40" s="42"/>
      <c r="AR40" s="48"/>
      <c r="AS40" s="423" t="s">
        <v>527</v>
      </c>
      <c r="AT40" s="423"/>
      <c r="AU40" s="148">
        <v>20</v>
      </c>
      <c r="AV40" s="560">
        <v>0.56120000000000003</v>
      </c>
      <c r="AW40" s="560"/>
      <c r="BC40" s="50"/>
      <c r="BD40" s="51"/>
    </row>
    <row r="41" spans="1:80" ht="18" customHeight="1">
      <c r="A41" s="464" t="s">
        <v>16</v>
      </c>
      <c r="B41" s="459"/>
      <c r="C41" s="459"/>
      <c r="D41" s="459"/>
      <c r="E41" s="469">
        <f>AX10</f>
        <v>0.33333333333333331</v>
      </c>
      <c r="F41" s="456"/>
      <c r="G41" s="456"/>
      <c r="H41" s="144" t="s">
        <v>680</v>
      </c>
      <c r="I41" s="456">
        <f>AY10</f>
        <v>0.83333333333333337</v>
      </c>
      <c r="J41" s="456"/>
      <c r="K41" s="457"/>
      <c r="L41" s="458" t="str">
        <f>AU10</f>
        <v>藤井隆幸</v>
      </c>
      <c r="M41" s="459"/>
      <c r="N41" s="459"/>
      <c r="O41" s="459"/>
      <c r="P41" s="459"/>
      <c r="Q41" s="459"/>
      <c r="R41" s="460"/>
      <c r="S41" s="409" t="s">
        <v>31</v>
      </c>
      <c r="T41" s="410"/>
      <c r="U41" s="410"/>
      <c r="V41" s="410"/>
      <c r="W41" s="414">
        <v>0.39583333333333331</v>
      </c>
      <c r="X41" s="415"/>
      <c r="Y41" s="415"/>
      <c r="Z41" s="40" t="s">
        <v>680</v>
      </c>
      <c r="AA41" s="415">
        <v>0.77083333333333337</v>
      </c>
      <c r="AB41" s="415"/>
      <c r="AC41" s="461"/>
      <c r="AD41" s="409" t="str">
        <f>AU14</f>
        <v>三角龍彦</v>
      </c>
      <c r="AE41" s="410"/>
      <c r="AF41" s="410"/>
      <c r="AG41" s="410"/>
      <c r="AH41" s="410"/>
      <c r="AI41" s="462"/>
      <c r="AK41" s="444" t="s">
        <v>681</v>
      </c>
      <c r="AL41" s="444"/>
      <c r="AM41" s="444"/>
      <c r="AN41" s="444"/>
      <c r="AO41" s="444"/>
      <c r="AP41" s="444"/>
      <c r="AQ41" s="42"/>
      <c r="AR41" s="48"/>
      <c r="BC41" s="50"/>
      <c r="BD41" s="51"/>
    </row>
    <row r="42" spans="1:80" ht="18" customHeight="1">
      <c r="A42" s="464" t="s">
        <v>24</v>
      </c>
      <c r="B42" s="459"/>
      <c r="C42" s="459"/>
      <c r="D42" s="459"/>
      <c r="E42" s="469">
        <f>AX13</f>
        <v>0.33333333333333331</v>
      </c>
      <c r="F42" s="456"/>
      <c r="G42" s="456"/>
      <c r="H42" s="144" t="s">
        <v>680</v>
      </c>
      <c r="I42" s="456">
        <f>AY13</f>
        <v>0.5</v>
      </c>
      <c r="J42" s="456"/>
      <c r="K42" s="457"/>
      <c r="L42" s="458" t="str">
        <f>AU13</f>
        <v>松葉眞</v>
      </c>
      <c r="M42" s="459"/>
      <c r="N42" s="459"/>
      <c r="O42" s="459"/>
      <c r="P42" s="459"/>
      <c r="Q42" s="459"/>
      <c r="R42" s="460"/>
      <c r="S42" s="409" t="s">
        <v>24</v>
      </c>
      <c r="T42" s="410"/>
      <c r="U42" s="410"/>
      <c r="V42" s="410"/>
      <c r="W42" s="414">
        <v>0.5</v>
      </c>
      <c r="X42" s="415"/>
      <c r="Y42" s="415"/>
      <c r="Z42" s="136" t="s">
        <v>680</v>
      </c>
      <c r="AA42" s="415">
        <f>AY15</f>
        <v>0.83333333333333337</v>
      </c>
      <c r="AB42" s="415"/>
      <c r="AC42" s="461"/>
      <c r="AD42" s="409" t="str">
        <f>AU15</f>
        <v>石井秀幸</v>
      </c>
      <c r="AE42" s="410"/>
      <c r="AF42" s="410"/>
      <c r="AG42" s="410"/>
      <c r="AH42" s="410"/>
      <c r="AI42" s="462"/>
      <c r="AK42" s="445" t="s">
        <v>682</v>
      </c>
      <c r="AL42" s="445"/>
      <c r="AM42" s="445"/>
      <c r="AN42" s="445"/>
      <c r="AO42" s="445"/>
      <c r="AP42" s="445"/>
      <c r="AQ42" s="42"/>
      <c r="AR42" s="48"/>
      <c r="AS42" s="561" t="s">
        <v>683</v>
      </c>
      <c r="AT42" s="561"/>
      <c r="AU42" s="561"/>
      <c r="AV42" s="561"/>
      <c r="AW42" s="561"/>
      <c r="BC42" s="50"/>
      <c r="BD42" s="51"/>
    </row>
    <row r="43" spans="1:80" ht="18" customHeight="1">
      <c r="A43" s="464" t="s">
        <v>38</v>
      </c>
      <c r="B43" s="459"/>
      <c r="C43" s="459"/>
      <c r="D43" s="459"/>
      <c r="E43" s="469">
        <f>AX16</f>
        <v>0.83333333333333337</v>
      </c>
      <c r="F43" s="456"/>
      <c r="G43" s="456"/>
      <c r="H43" s="144" t="s">
        <v>680</v>
      </c>
      <c r="I43" s="456" t="str">
        <f>AY16</f>
        <v>翌8:00</v>
      </c>
      <c r="J43" s="456"/>
      <c r="K43" s="457"/>
      <c r="L43" s="458" t="str">
        <f>AU16</f>
        <v>三角龍彦</v>
      </c>
      <c r="M43" s="459"/>
      <c r="N43" s="459"/>
      <c r="O43" s="459"/>
      <c r="P43" s="459"/>
      <c r="Q43" s="459"/>
      <c r="R43" s="460"/>
      <c r="S43" s="409" t="s">
        <v>58</v>
      </c>
      <c r="T43" s="410"/>
      <c r="U43" s="410"/>
      <c r="V43" s="410"/>
      <c r="W43" s="414">
        <f>AX18</f>
        <v>0.83333333333333337</v>
      </c>
      <c r="X43" s="415"/>
      <c r="Y43" s="415"/>
      <c r="Z43" s="136" t="s">
        <v>680</v>
      </c>
      <c r="AA43" s="415" t="str">
        <f>AY18</f>
        <v>翌8:00</v>
      </c>
      <c r="AB43" s="415"/>
      <c r="AC43" s="461"/>
      <c r="AD43" s="486" t="str">
        <f>AU18</f>
        <v>小園行聖</v>
      </c>
      <c r="AE43" s="410"/>
      <c r="AF43" s="410"/>
      <c r="AG43" s="410"/>
      <c r="AH43" s="410"/>
      <c r="AI43" s="462"/>
      <c r="AK43" s="444" t="s">
        <v>684</v>
      </c>
      <c r="AL43" s="444"/>
      <c r="AM43" s="444"/>
      <c r="AN43" s="444"/>
      <c r="AO43" s="444"/>
      <c r="AP43" s="444"/>
      <c r="AQ43" s="42"/>
      <c r="AR43" s="43"/>
      <c r="AW43"/>
      <c r="AX43"/>
      <c r="AY43"/>
      <c r="AZ43"/>
      <c r="BA43"/>
      <c r="BB43"/>
      <c r="BC43" s="50"/>
      <c r="BD43" s="51"/>
      <c r="BE43"/>
      <c r="BF43"/>
      <c r="BG43"/>
      <c r="BH43"/>
      <c r="BI43"/>
      <c r="BJ43"/>
      <c r="BK43"/>
      <c r="BL43"/>
      <c r="BM43"/>
      <c r="BN43"/>
      <c r="BO43"/>
      <c r="BP43"/>
      <c r="BQ43"/>
      <c r="BR43"/>
      <c r="BS43"/>
      <c r="BT43"/>
      <c r="BU43"/>
      <c r="BV43"/>
      <c r="BW43"/>
      <c r="BX43"/>
      <c r="BY43"/>
      <c r="BZ43"/>
      <c r="CA43"/>
      <c r="CB43"/>
    </row>
    <row r="44" spans="1:80" ht="18" customHeight="1" thickBot="1">
      <c r="A44" s="473" t="s">
        <v>45</v>
      </c>
      <c r="B44" s="474"/>
      <c r="C44" s="474"/>
      <c r="D44" s="474"/>
      <c r="E44" s="475">
        <f>AX17</f>
        <v>0.83333333333333337</v>
      </c>
      <c r="F44" s="476"/>
      <c r="G44" s="476"/>
      <c r="H44" s="145" t="s">
        <v>680</v>
      </c>
      <c r="I44" s="476" t="str">
        <f>AY17</f>
        <v>翌8:00</v>
      </c>
      <c r="J44" s="476"/>
      <c r="K44" s="477"/>
      <c r="L44" s="478" t="str">
        <f>AU17</f>
        <v>片山薫</v>
      </c>
      <c r="M44" s="478"/>
      <c r="N44" s="478"/>
      <c r="O44" s="478"/>
      <c r="P44" s="478"/>
      <c r="Q44" s="478"/>
      <c r="R44" s="478"/>
      <c r="S44" s="479"/>
      <c r="T44" s="480"/>
      <c r="U44" s="480"/>
      <c r="V44" s="480"/>
      <c r="W44" s="481"/>
      <c r="X44" s="482"/>
      <c r="Y44" s="482"/>
      <c r="Z44" s="137"/>
      <c r="AA44" s="482"/>
      <c r="AB44" s="482"/>
      <c r="AC44" s="483"/>
      <c r="AD44" s="484">
        <f>AU19</f>
        <v>0</v>
      </c>
      <c r="AE44" s="480"/>
      <c r="AF44" s="480"/>
      <c r="AG44" s="480"/>
      <c r="AH44" s="480"/>
      <c r="AI44" s="485"/>
      <c r="AK44" s="446" t="s">
        <v>685</v>
      </c>
      <c r="AL44" s="446"/>
      <c r="AM44" s="446"/>
      <c r="AN44" s="446"/>
      <c r="AO44" s="446"/>
      <c r="AP44" s="446"/>
      <c r="AQ44" s="42"/>
      <c r="AR44" s="43"/>
      <c r="BC44" s="50"/>
      <c r="BD44" s="51"/>
    </row>
    <row r="45" spans="1:80" ht="18" customHeight="1" thickBot="1">
      <c r="A45" s="27"/>
      <c r="B45" s="27"/>
      <c r="C45" s="27"/>
      <c r="D45" s="27"/>
      <c r="E45" s="27"/>
      <c r="F45" s="27"/>
      <c r="G45" s="27"/>
      <c r="H45" s="27"/>
      <c r="I45" s="27"/>
      <c r="R45" s="307">
        <f>A7</f>
        <v>46195</v>
      </c>
      <c r="S45" s="308"/>
      <c r="T45" s="308"/>
      <c r="U45" s="308"/>
      <c r="V45" s="23" t="s">
        <v>169</v>
      </c>
      <c r="W45" s="309">
        <f>G7</f>
        <v>46195</v>
      </c>
      <c r="X45" s="308"/>
      <c r="Y45" s="23" t="s">
        <v>170</v>
      </c>
      <c r="Z45" s="310">
        <f>K7</f>
        <v>46195</v>
      </c>
      <c r="AA45" s="308"/>
      <c r="AB45" s="23" t="s">
        <v>3</v>
      </c>
      <c r="AC45" s="455">
        <f>O7</f>
        <v>46195</v>
      </c>
      <c r="AD45" s="308"/>
      <c r="AE45" s="308" t="s">
        <v>292</v>
      </c>
      <c r="AF45" s="308"/>
      <c r="AK45" s="425" t="s">
        <v>686</v>
      </c>
      <c r="AL45" s="425"/>
      <c r="AM45" s="425"/>
      <c r="AN45" s="425"/>
      <c r="AO45" s="425"/>
      <c r="AP45" s="425"/>
      <c r="AQ45" s="42"/>
      <c r="AR45" s="43"/>
      <c r="BC45" s="50"/>
      <c r="BD45" s="51"/>
    </row>
    <row r="46" spans="1:80" customFormat="1" ht="18" customHeight="1">
      <c r="A46" s="452" t="s">
        <v>598</v>
      </c>
      <c r="B46" s="453"/>
      <c r="C46" s="453"/>
      <c r="D46" s="453"/>
      <c r="E46" s="453"/>
      <c r="F46" s="453"/>
      <c r="G46" s="453"/>
      <c r="H46" s="453"/>
      <c r="I46" s="453"/>
      <c r="J46" s="453"/>
      <c r="K46" s="453"/>
      <c r="L46" s="453"/>
      <c r="M46" s="453"/>
      <c r="N46" s="453"/>
      <c r="O46" s="453"/>
      <c r="P46" s="453"/>
      <c r="Q46" s="453"/>
      <c r="R46" s="453"/>
      <c r="S46" s="453"/>
      <c r="T46" s="453"/>
      <c r="U46" s="453"/>
      <c r="V46" s="453"/>
      <c r="W46" s="453"/>
      <c r="X46" s="453"/>
      <c r="Y46" s="453"/>
      <c r="Z46" s="453"/>
      <c r="AA46" s="453"/>
      <c r="AB46" s="453"/>
      <c r="AC46" s="453"/>
      <c r="AD46" s="453"/>
      <c r="AE46" s="453"/>
      <c r="AF46" s="453"/>
      <c r="AG46" s="453"/>
      <c r="AH46" s="453"/>
      <c r="AI46" s="454"/>
      <c r="AK46" s="425" t="s">
        <v>687</v>
      </c>
      <c r="AL46" s="425"/>
      <c r="AM46" s="425"/>
      <c r="AN46" s="425"/>
      <c r="AO46" s="425"/>
      <c r="AP46" s="425"/>
      <c r="AQ46" s="42"/>
      <c r="AR46" s="43"/>
      <c r="AW46" s="23"/>
      <c r="AX46" s="23"/>
      <c r="AY46" s="23"/>
      <c r="AZ46" s="23"/>
      <c r="BA46" s="23"/>
      <c r="BB46" s="23"/>
      <c r="BC46" s="50"/>
      <c r="BD46" s="51"/>
      <c r="BE46" s="23"/>
      <c r="BF46" s="23"/>
      <c r="BG46" s="23"/>
      <c r="BH46" s="23"/>
      <c r="BI46" s="23"/>
      <c r="BJ46" s="23"/>
      <c r="BK46" s="23"/>
      <c r="BL46" s="23"/>
      <c r="BM46" s="23"/>
      <c r="BN46" s="23"/>
      <c r="BO46" s="23"/>
      <c r="BP46" s="23"/>
      <c r="BQ46" s="23"/>
      <c r="BR46" s="23"/>
      <c r="BS46" s="23"/>
      <c r="BT46" s="23"/>
      <c r="BU46" s="23"/>
      <c r="BV46" s="23"/>
      <c r="BW46" s="23"/>
      <c r="BX46" s="23"/>
      <c r="BY46" s="23"/>
      <c r="BZ46" s="23"/>
      <c r="CA46" s="23"/>
      <c r="CB46" s="23"/>
    </row>
    <row r="47" spans="1:80" ht="18" customHeight="1">
      <c r="A47" s="36" t="s">
        <v>189</v>
      </c>
      <c r="B47" s="404">
        <v>0.95138888888888884</v>
      </c>
      <c r="C47" s="404"/>
      <c r="D47" s="404"/>
      <c r="E47" s="404"/>
      <c r="F47" s="288" t="s">
        <v>966</v>
      </c>
      <c r="G47" s="288"/>
      <c r="H47" s="288"/>
      <c r="I47" s="288"/>
      <c r="J47" s="288"/>
      <c r="K47" s="288"/>
      <c r="L47" s="288"/>
      <c r="M47" s="288"/>
      <c r="N47" s="288"/>
      <c r="O47" s="288"/>
      <c r="P47" s="288"/>
      <c r="Q47" s="288"/>
      <c r="R47" s="288"/>
      <c r="S47" s="288"/>
      <c r="T47" s="288"/>
      <c r="U47" s="288"/>
      <c r="V47" s="288"/>
      <c r="W47" s="288"/>
      <c r="X47" s="288"/>
      <c r="Y47" s="288"/>
      <c r="Z47" s="288"/>
      <c r="AA47" s="288"/>
      <c r="AB47" s="288"/>
      <c r="AC47" s="288"/>
      <c r="AD47" s="288"/>
      <c r="AE47" s="288"/>
      <c r="AF47" s="288"/>
      <c r="AG47" s="288"/>
      <c r="AH47" s="288"/>
      <c r="AI47" s="289"/>
      <c r="AK47" s="425" t="s">
        <v>688</v>
      </c>
      <c r="AL47" s="425"/>
      <c r="AM47" s="425"/>
      <c r="AN47" s="425"/>
      <c r="AO47" s="425"/>
      <c r="AP47" s="425"/>
      <c r="AQ47" s="42"/>
      <c r="AR47" s="43"/>
      <c r="AS47" s="120" t="s">
        <v>189</v>
      </c>
      <c r="AT47" s="43" t="s">
        <v>689</v>
      </c>
      <c r="AU47" s="43"/>
      <c r="BC47" s="50"/>
      <c r="BD47" s="51"/>
    </row>
    <row r="48" spans="1:80" ht="18" customHeight="1">
      <c r="A48" s="36"/>
      <c r="B48" s="404"/>
      <c r="C48" s="404"/>
      <c r="D48" s="404"/>
      <c r="E48" s="404"/>
      <c r="F48" s="288" t="s">
        <v>878</v>
      </c>
      <c r="G48" s="288"/>
      <c r="H48" s="288"/>
      <c r="I48" s="288"/>
      <c r="J48" s="288"/>
      <c r="K48" s="288"/>
      <c r="L48" s="288"/>
      <c r="M48" s="288"/>
      <c r="N48" s="288"/>
      <c r="O48" s="288"/>
      <c r="P48" s="288"/>
      <c r="Q48" s="288"/>
      <c r="R48" s="288"/>
      <c r="S48" s="288"/>
      <c r="T48" s="288"/>
      <c r="U48" s="288"/>
      <c r="V48" s="288"/>
      <c r="W48" s="288"/>
      <c r="X48" s="288"/>
      <c r="Y48" s="288"/>
      <c r="Z48" s="288"/>
      <c r="AA48" s="288"/>
      <c r="AB48" s="288"/>
      <c r="AC48" s="288"/>
      <c r="AD48" s="288"/>
      <c r="AE48" s="288"/>
      <c r="AF48" s="288"/>
      <c r="AG48" s="288"/>
      <c r="AH48" s="288"/>
      <c r="AI48" s="289"/>
      <c r="AK48" s="425" t="s">
        <v>690</v>
      </c>
      <c r="AL48" s="425"/>
      <c r="AM48" s="425"/>
      <c r="AN48" s="425"/>
      <c r="AO48" s="425"/>
      <c r="AP48" s="425"/>
      <c r="AQ48" s="42"/>
      <c r="AR48" s="43"/>
      <c r="AS48" s="43"/>
      <c r="AT48" s="43"/>
      <c r="AU48" s="43"/>
      <c r="BC48" s="50"/>
      <c r="BD48" s="51"/>
    </row>
    <row r="49" spans="1:61" ht="18" customHeight="1">
      <c r="A49" s="36"/>
      <c r="B49" s="404">
        <v>6.9444444444444441E-3</v>
      </c>
      <c r="C49" s="404"/>
      <c r="D49" s="404"/>
      <c r="E49" s="404"/>
      <c r="F49" s="288" t="s">
        <v>967</v>
      </c>
      <c r="G49" s="288"/>
      <c r="H49" s="288"/>
      <c r="I49" s="288"/>
      <c r="J49" s="288"/>
      <c r="K49" s="288"/>
      <c r="L49" s="288"/>
      <c r="M49" s="288"/>
      <c r="N49" s="288"/>
      <c r="O49" s="288"/>
      <c r="P49" s="288"/>
      <c r="Q49" s="288"/>
      <c r="R49" s="288"/>
      <c r="S49" s="288"/>
      <c r="T49" s="288"/>
      <c r="U49" s="288"/>
      <c r="V49" s="288"/>
      <c r="W49" s="288"/>
      <c r="X49" s="288"/>
      <c r="Y49" s="288"/>
      <c r="Z49" s="288"/>
      <c r="AA49" s="288"/>
      <c r="AB49" s="288"/>
      <c r="AC49" s="288"/>
      <c r="AD49" s="288"/>
      <c r="AE49" s="288"/>
      <c r="AF49" s="288"/>
      <c r="AG49" s="288"/>
      <c r="AH49" s="288"/>
      <c r="AI49" s="289"/>
      <c r="AK49" s="425" t="s">
        <v>691</v>
      </c>
      <c r="AL49" s="425"/>
      <c r="AM49" s="425"/>
      <c r="AN49" s="425"/>
      <c r="AO49" s="425"/>
      <c r="AP49" s="425"/>
      <c r="AQ49" s="42"/>
      <c r="AR49" s="43"/>
      <c r="AS49" s="43"/>
      <c r="AT49" s="43"/>
      <c r="AU49" s="43"/>
      <c r="BC49" s="50"/>
      <c r="BD49" s="51"/>
    </row>
    <row r="50" spans="1:61" ht="18" customHeight="1">
      <c r="A50" s="36"/>
      <c r="B50" s="404"/>
      <c r="C50" s="404"/>
      <c r="D50" s="404"/>
      <c r="E50" s="404"/>
      <c r="F50" s="288" t="s">
        <v>968</v>
      </c>
      <c r="G50" s="288"/>
      <c r="H50" s="288"/>
      <c r="I50" s="288"/>
      <c r="J50" s="288"/>
      <c r="K50" s="288"/>
      <c r="L50" s="288"/>
      <c r="M50" s="288"/>
      <c r="N50" s="288"/>
      <c r="O50" s="288"/>
      <c r="P50" s="288"/>
      <c r="Q50" s="288"/>
      <c r="R50" s="288"/>
      <c r="S50" s="288"/>
      <c r="T50" s="288"/>
      <c r="U50" s="288"/>
      <c r="V50" s="288"/>
      <c r="W50" s="288"/>
      <c r="X50" s="288"/>
      <c r="Y50" s="288"/>
      <c r="Z50" s="288"/>
      <c r="AA50" s="288"/>
      <c r="AB50" s="288"/>
      <c r="AC50" s="288"/>
      <c r="AD50" s="288"/>
      <c r="AE50" s="288"/>
      <c r="AF50" s="288"/>
      <c r="AG50" s="288"/>
      <c r="AH50" s="288"/>
      <c r="AI50" s="289"/>
      <c r="AK50" s="425" t="s">
        <v>692</v>
      </c>
      <c r="AL50" s="425"/>
      <c r="AM50" s="425"/>
      <c r="AN50" s="425"/>
      <c r="AO50" s="425"/>
      <c r="AP50" s="425"/>
      <c r="AQ50" s="42"/>
      <c r="AR50" s="43"/>
      <c r="AS50" s="43"/>
      <c r="AT50" s="43"/>
      <c r="AU50" s="43"/>
      <c r="BC50" s="50"/>
      <c r="BD50" s="51"/>
    </row>
    <row r="51" spans="1:61" ht="18" customHeight="1">
      <c r="A51" s="36"/>
      <c r="B51" s="404"/>
      <c r="C51" s="404"/>
      <c r="D51" s="404"/>
      <c r="E51" s="404"/>
      <c r="F51" s="288" t="s">
        <v>969</v>
      </c>
      <c r="G51" s="288"/>
      <c r="H51" s="288"/>
      <c r="I51" s="288"/>
      <c r="J51" s="288"/>
      <c r="K51" s="288"/>
      <c r="L51" s="288"/>
      <c r="M51" s="288"/>
      <c r="N51" s="288"/>
      <c r="O51" s="288"/>
      <c r="P51" s="288"/>
      <c r="Q51" s="288"/>
      <c r="R51" s="288"/>
      <c r="S51" s="288"/>
      <c r="T51" s="288"/>
      <c r="U51" s="288"/>
      <c r="V51" s="288"/>
      <c r="W51" s="288"/>
      <c r="X51" s="288"/>
      <c r="Y51" s="288"/>
      <c r="Z51" s="288"/>
      <c r="AA51" s="288"/>
      <c r="AB51" s="288"/>
      <c r="AC51" s="288"/>
      <c r="AD51" s="288"/>
      <c r="AE51" s="288"/>
      <c r="AF51" s="288"/>
      <c r="AG51" s="288"/>
      <c r="AH51" s="288"/>
      <c r="AI51" s="289"/>
      <c r="AK51" s="425" t="s">
        <v>693</v>
      </c>
      <c r="AL51" s="425"/>
      <c r="AM51" s="425"/>
      <c r="AN51" s="425"/>
      <c r="AO51" s="425"/>
      <c r="AP51" s="425"/>
      <c r="AQ51" s="42"/>
      <c r="AR51" s="43"/>
      <c r="AS51" s="43"/>
      <c r="AT51" s="43"/>
      <c r="AU51" s="43"/>
      <c r="BC51" s="50"/>
      <c r="BD51" s="51"/>
    </row>
    <row r="52" spans="1:61" ht="18" customHeight="1">
      <c r="A52" s="36" t="s">
        <v>189</v>
      </c>
      <c r="B52" s="404">
        <v>9.7222222222222224E-2</v>
      </c>
      <c r="C52" s="404"/>
      <c r="D52" s="404"/>
      <c r="E52" s="404"/>
      <c r="F52" s="288" t="s">
        <v>970</v>
      </c>
      <c r="G52" s="288"/>
      <c r="H52" s="288"/>
      <c r="I52" s="288"/>
      <c r="J52" s="288"/>
      <c r="K52" s="288"/>
      <c r="L52" s="288"/>
      <c r="M52" s="288"/>
      <c r="N52" s="288"/>
      <c r="O52" s="288"/>
      <c r="P52" s="288"/>
      <c r="Q52" s="288"/>
      <c r="R52" s="288"/>
      <c r="S52" s="288"/>
      <c r="T52" s="288"/>
      <c r="U52" s="288"/>
      <c r="V52" s="288"/>
      <c r="W52" s="288"/>
      <c r="X52" s="288"/>
      <c r="Y52" s="288"/>
      <c r="Z52" s="288"/>
      <c r="AA52" s="288"/>
      <c r="AB52" s="288"/>
      <c r="AC52" s="288"/>
      <c r="AD52" s="288"/>
      <c r="AE52" s="288"/>
      <c r="AF52" s="288"/>
      <c r="AG52" s="288"/>
      <c r="AH52" s="288"/>
      <c r="AI52" s="289"/>
      <c r="AK52" s="425" t="s">
        <v>694</v>
      </c>
      <c r="AL52" s="425"/>
      <c r="AM52" s="425"/>
      <c r="AN52" s="425"/>
      <c r="AO52" s="425"/>
      <c r="AP52" s="425"/>
      <c r="AQ52" s="42"/>
      <c r="AR52" s="43"/>
      <c r="AS52" s="43"/>
      <c r="AV52" s="43"/>
      <c r="AW52" s="43"/>
      <c r="AX52" s="43"/>
      <c r="AY52" s="43"/>
      <c r="AZ52" s="43"/>
      <c r="BA52" s="43"/>
      <c r="BH52" s="52"/>
      <c r="BI52" s="51"/>
    </row>
    <row r="53" spans="1:61" ht="18" customHeight="1">
      <c r="A53" s="36"/>
      <c r="B53" s="404"/>
      <c r="C53" s="404"/>
      <c r="D53" s="404"/>
      <c r="E53" s="404"/>
      <c r="F53" s="288" t="s">
        <v>971</v>
      </c>
      <c r="G53" s="288"/>
      <c r="H53" s="288"/>
      <c r="I53" s="288"/>
      <c r="J53" s="288"/>
      <c r="K53" s="288"/>
      <c r="L53" s="288"/>
      <c r="M53" s="288"/>
      <c r="N53" s="288"/>
      <c r="O53" s="288"/>
      <c r="P53" s="288"/>
      <c r="Q53" s="288"/>
      <c r="R53" s="288"/>
      <c r="S53" s="288"/>
      <c r="T53" s="288"/>
      <c r="U53" s="288"/>
      <c r="V53" s="288"/>
      <c r="W53" s="288"/>
      <c r="X53" s="288"/>
      <c r="Y53" s="288"/>
      <c r="Z53" s="288"/>
      <c r="AA53" s="288"/>
      <c r="AB53" s="288"/>
      <c r="AC53" s="288"/>
      <c r="AD53" s="288"/>
      <c r="AE53" s="288"/>
      <c r="AF53" s="288"/>
      <c r="AG53" s="288"/>
      <c r="AH53" s="288"/>
      <c r="AI53" s="289"/>
      <c r="AK53" s="425" t="s">
        <v>695</v>
      </c>
      <c r="AL53" s="425"/>
      <c r="AM53" s="425"/>
      <c r="AN53" s="425"/>
      <c r="AO53" s="425"/>
      <c r="AP53" s="425"/>
      <c r="AQ53" s="42"/>
      <c r="AR53" s="43"/>
      <c r="AS53" s="43"/>
      <c r="AT53" s="43"/>
      <c r="AU53" s="43"/>
      <c r="AV53" s="43"/>
      <c r="AW53" s="43"/>
      <c r="AX53" s="43"/>
      <c r="AY53" s="43"/>
      <c r="AZ53" s="43"/>
      <c r="BH53" s="50"/>
      <c r="BI53" s="51"/>
    </row>
    <row r="54" spans="1:61" ht="18" customHeight="1">
      <c r="A54" s="36"/>
      <c r="B54" s="404">
        <v>0.1076388888888889</v>
      </c>
      <c r="C54" s="404"/>
      <c r="D54" s="404"/>
      <c r="E54" s="404"/>
      <c r="F54" s="288" t="s">
        <v>972</v>
      </c>
      <c r="G54" s="288"/>
      <c r="H54" s="288"/>
      <c r="I54" s="288"/>
      <c r="J54" s="288"/>
      <c r="K54" s="288"/>
      <c r="L54" s="288"/>
      <c r="M54" s="288"/>
      <c r="N54" s="288"/>
      <c r="O54" s="288"/>
      <c r="P54" s="288"/>
      <c r="Q54" s="288"/>
      <c r="R54" s="288"/>
      <c r="S54" s="288"/>
      <c r="T54" s="288"/>
      <c r="U54" s="288"/>
      <c r="V54" s="288"/>
      <c r="W54" s="288"/>
      <c r="X54" s="288"/>
      <c r="Y54" s="288"/>
      <c r="Z54" s="288"/>
      <c r="AA54" s="288"/>
      <c r="AB54" s="288"/>
      <c r="AC54" s="288"/>
      <c r="AD54" s="288"/>
      <c r="AE54" s="288"/>
      <c r="AF54" s="288"/>
      <c r="AG54" s="288"/>
      <c r="AH54" s="288"/>
      <c r="AI54" s="289"/>
      <c r="AK54" s="425" t="s">
        <v>696</v>
      </c>
      <c r="AL54" s="425"/>
      <c r="AM54" s="425"/>
      <c r="AN54" s="425"/>
      <c r="AO54" s="425"/>
      <c r="AP54" s="425"/>
      <c r="AQ54" s="42"/>
      <c r="AR54" s="43"/>
      <c r="AS54" s="43"/>
      <c r="AT54" s="43"/>
      <c r="AU54" s="43"/>
      <c r="AV54" s="43"/>
      <c r="AW54" s="43"/>
      <c r="AX54" s="43"/>
      <c r="AY54" s="43"/>
      <c r="AZ54" s="43"/>
      <c r="BH54" s="50"/>
      <c r="BI54" s="51"/>
    </row>
    <row r="55" spans="1:61" ht="18" customHeight="1">
      <c r="A55" s="36" t="s">
        <v>189</v>
      </c>
      <c r="B55" s="404">
        <v>0.29166666666666669</v>
      </c>
      <c r="C55" s="404"/>
      <c r="D55" s="404"/>
      <c r="E55" s="404"/>
      <c r="F55" s="288" t="s">
        <v>689</v>
      </c>
      <c r="G55" s="288"/>
      <c r="H55" s="288"/>
      <c r="I55" s="288"/>
      <c r="J55" s="288"/>
      <c r="K55" s="288"/>
      <c r="L55" s="288"/>
      <c r="M55" s="288"/>
      <c r="N55" s="288"/>
      <c r="O55" s="288"/>
      <c r="P55" s="288"/>
      <c r="Q55" s="288"/>
      <c r="R55" s="288"/>
      <c r="S55" s="288"/>
      <c r="T55" s="288"/>
      <c r="U55" s="288"/>
      <c r="V55" s="288"/>
      <c r="W55" s="288"/>
      <c r="X55" s="288"/>
      <c r="Y55" s="288"/>
      <c r="Z55" s="288"/>
      <c r="AA55" s="288"/>
      <c r="AB55" s="288"/>
      <c r="AC55" s="288"/>
      <c r="AD55" s="288"/>
      <c r="AE55" s="288"/>
      <c r="AF55" s="288"/>
      <c r="AG55" s="288"/>
      <c r="AH55" s="288"/>
      <c r="AI55" s="289"/>
      <c r="AK55" s="425" t="s">
        <v>697</v>
      </c>
      <c r="AL55" s="425"/>
      <c r="AM55" s="425"/>
      <c r="AN55" s="425"/>
      <c r="AO55" s="425"/>
      <c r="AP55" s="425"/>
      <c r="AQ55" s="42"/>
      <c r="AR55" s="43"/>
      <c r="AS55" s="43"/>
      <c r="AT55" s="43"/>
      <c r="AU55" s="43"/>
      <c r="AV55" s="43"/>
      <c r="AW55" s="43"/>
      <c r="AX55" s="43"/>
      <c r="AY55" s="43"/>
      <c r="AZ55" s="43"/>
      <c r="BH55" s="50"/>
      <c r="BI55" s="51"/>
    </row>
    <row r="56" spans="1:61" ht="18" customHeight="1">
      <c r="A56" s="36"/>
      <c r="B56" s="404"/>
      <c r="C56" s="404"/>
      <c r="D56" s="404"/>
      <c r="E56" s="404"/>
      <c r="F56" s="288"/>
      <c r="G56" s="288"/>
      <c r="H56" s="288"/>
      <c r="I56" s="288"/>
      <c r="J56" s="288"/>
      <c r="K56" s="288"/>
      <c r="L56" s="288"/>
      <c r="M56" s="288"/>
      <c r="N56" s="288"/>
      <c r="O56" s="288"/>
      <c r="P56" s="288"/>
      <c r="Q56" s="288"/>
      <c r="R56" s="288"/>
      <c r="S56" s="288"/>
      <c r="T56" s="288"/>
      <c r="U56" s="288"/>
      <c r="V56" s="288"/>
      <c r="W56" s="288"/>
      <c r="X56" s="288"/>
      <c r="Y56" s="288"/>
      <c r="Z56" s="288"/>
      <c r="AA56" s="288"/>
      <c r="AB56" s="288"/>
      <c r="AC56" s="288"/>
      <c r="AD56" s="288"/>
      <c r="AE56" s="288"/>
      <c r="AF56" s="288"/>
      <c r="AG56" s="288"/>
      <c r="AH56" s="288"/>
      <c r="AI56" s="289"/>
      <c r="AK56" s="425" t="s">
        <v>698</v>
      </c>
      <c r="AL56" s="425"/>
      <c r="AM56" s="425"/>
      <c r="AN56" s="425"/>
      <c r="AO56" s="425"/>
      <c r="AP56" s="425"/>
      <c r="AQ56" s="42"/>
      <c r="AR56" s="43"/>
      <c r="AS56" s="43"/>
      <c r="AT56" s="43"/>
      <c r="AU56" s="43"/>
      <c r="AV56" s="43"/>
      <c r="AW56" s="43"/>
      <c r="AX56" s="43"/>
      <c r="AY56" s="43"/>
      <c r="AZ56" s="43"/>
      <c r="BH56" s="52"/>
      <c r="BI56" s="51"/>
    </row>
    <row r="57" spans="1:61" ht="18" customHeight="1">
      <c r="A57" s="36"/>
      <c r="B57" s="404"/>
      <c r="C57" s="404"/>
      <c r="D57" s="404"/>
      <c r="E57" s="404"/>
      <c r="F57" s="288"/>
      <c r="G57" s="288"/>
      <c r="H57" s="288"/>
      <c r="I57" s="288"/>
      <c r="J57" s="288"/>
      <c r="K57" s="288"/>
      <c r="L57" s="288"/>
      <c r="M57" s="288"/>
      <c r="N57" s="288"/>
      <c r="O57" s="288"/>
      <c r="P57" s="288"/>
      <c r="Q57" s="288"/>
      <c r="R57" s="288"/>
      <c r="S57" s="288"/>
      <c r="T57" s="288"/>
      <c r="U57" s="288"/>
      <c r="V57" s="288"/>
      <c r="W57" s="288"/>
      <c r="X57" s="288"/>
      <c r="Y57" s="288"/>
      <c r="Z57" s="288"/>
      <c r="AA57" s="288"/>
      <c r="AB57" s="288"/>
      <c r="AC57" s="288"/>
      <c r="AD57" s="288"/>
      <c r="AE57" s="288"/>
      <c r="AF57" s="288"/>
      <c r="AG57" s="288"/>
      <c r="AH57" s="288"/>
      <c r="AI57" s="289"/>
      <c r="AK57" s="425" t="s">
        <v>699</v>
      </c>
      <c r="AL57" s="425"/>
      <c r="AM57" s="425"/>
      <c r="AN57" s="425"/>
      <c r="AO57" s="425"/>
      <c r="AP57" s="425"/>
      <c r="AQ57" s="42"/>
      <c r="AR57" s="43"/>
      <c r="AS57" s="43"/>
      <c r="AT57" s="43"/>
      <c r="AU57" s="43"/>
      <c r="AV57" s="43"/>
      <c r="AW57" s="43"/>
      <c r="AX57" s="43"/>
      <c r="AY57" s="43"/>
      <c r="AZ57" s="43"/>
      <c r="BH57" s="50"/>
      <c r="BI57" s="51"/>
    </row>
    <row r="58" spans="1:61" ht="18" customHeight="1">
      <c r="A58" s="36"/>
      <c r="B58" s="404"/>
      <c r="C58" s="404"/>
      <c r="D58" s="404"/>
      <c r="E58" s="404"/>
      <c r="F58" s="288"/>
      <c r="G58" s="288"/>
      <c r="H58" s="288"/>
      <c r="I58" s="288"/>
      <c r="J58" s="288"/>
      <c r="K58" s="288"/>
      <c r="L58" s="288"/>
      <c r="M58" s="288"/>
      <c r="N58" s="288"/>
      <c r="O58" s="288"/>
      <c r="P58" s="288"/>
      <c r="Q58" s="288"/>
      <c r="R58" s="288"/>
      <c r="S58" s="288"/>
      <c r="T58" s="288"/>
      <c r="U58" s="288"/>
      <c r="V58" s="288"/>
      <c r="W58" s="288"/>
      <c r="X58" s="288"/>
      <c r="Y58" s="288"/>
      <c r="Z58" s="288"/>
      <c r="AA58" s="288"/>
      <c r="AB58" s="288"/>
      <c r="AC58" s="288"/>
      <c r="AD58" s="288"/>
      <c r="AE58" s="288"/>
      <c r="AF58" s="288"/>
      <c r="AG58" s="288"/>
      <c r="AH58" s="288"/>
      <c r="AI58" s="289"/>
      <c r="AK58" s="425" t="s">
        <v>700</v>
      </c>
      <c r="AL58" s="425"/>
      <c r="AM58" s="425"/>
      <c r="AN58" s="425"/>
      <c r="AO58" s="425"/>
      <c r="AP58" s="425"/>
      <c r="AQ58" s="42"/>
      <c r="AR58" s="43"/>
      <c r="AS58" s="43"/>
      <c r="AT58" s="43"/>
      <c r="AU58" s="43"/>
      <c r="AV58" s="43"/>
      <c r="AW58" s="43"/>
      <c r="AX58" s="43"/>
      <c r="AY58" s="43"/>
      <c r="AZ58" s="43"/>
      <c r="BH58" s="50"/>
      <c r="BI58" s="51"/>
    </row>
    <row r="59" spans="1:61" ht="18" customHeight="1">
      <c r="A59" s="36"/>
      <c r="B59" s="404"/>
      <c r="C59" s="404"/>
      <c r="D59" s="404"/>
      <c r="E59" s="404"/>
      <c r="F59" s="288"/>
      <c r="G59" s="288"/>
      <c r="H59" s="288"/>
      <c r="I59" s="288"/>
      <c r="J59" s="288"/>
      <c r="K59" s="288"/>
      <c r="L59" s="288"/>
      <c r="M59" s="288"/>
      <c r="N59" s="288"/>
      <c r="O59" s="288"/>
      <c r="P59" s="288"/>
      <c r="Q59" s="288"/>
      <c r="R59" s="288"/>
      <c r="S59" s="288"/>
      <c r="T59" s="288"/>
      <c r="U59" s="288"/>
      <c r="V59" s="288"/>
      <c r="W59" s="288"/>
      <c r="X59" s="288"/>
      <c r="Y59" s="288"/>
      <c r="Z59" s="288"/>
      <c r="AA59" s="288"/>
      <c r="AB59" s="288"/>
      <c r="AC59" s="288"/>
      <c r="AD59" s="288"/>
      <c r="AE59" s="288"/>
      <c r="AF59" s="288"/>
      <c r="AG59" s="288"/>
      <c r="AH59" s="288"/>
      <c r="AI59" s="289"/>
      <c r="AK59" s="425" t="s">
        <v>701</v>
      </c>
      <c r="AL59" s="425"/>
      <c r="AM59" s="425"/>
      <c r="AN59" s="425"/>
      <c r="AO59" s="425"/>
      <c r="AP59" s="425"/>
      <c r="AQ59" s="42"/>
      <c r="AR59" s="43"/>
      <c r="AS59" s="43"/>
      <c r="AT59" s="43"/>
      <c r="AU59" s="43"/>
      <c r="AV59" s="43"/>
      <c r="AW59" s="43"/>
      <c r="AX59" s="43"/>
      <c r="AY59" s="43"/>
      <c r="AZ59" s="43"/>
      <c r="BH59" s="50"/>
      <c r="BI59" s="51"/>
    </row>
    <row r="60" spans="1:61" ht="18" customHeight="1">
      <c r="A60" s="36"/>
      <c r="B60" s="404"/>
      <c r="C60" s="404"/>
      <c r="D60" s="404"/>
      <c r="E60" s="404"/>
      <c r="F60" s="288"/>
      <c r="G60" s="288"/>
      <c r="H60" s="288"/>
      <c r="I60" s="288"/>
      <c r="J60" s="288"/>
      <c r="K60" s="288"/>
      <c r="L60" s="288"/>
      <c r="M60" s="288"/>
      <c r="N60" s="288"/>
      <c r="O60" s="288"/>
      <c r="P60" s="288"/>
      <c r="Q60" s="288"/>
      <c r="R60" s="288"/>
      <c r="S60" s="288"/>
      <c r="T60" s="288"/>
      <c r="U60" s="288"/>
      <c r="V60" s="288"/>
      <c r="W60" s="288"/>
      <c r="X60" s="288"/>
      <c r="Y60" s="288"/>
      <c r="Z60" s="288"/>
      <c r="AA60" s="288"/>
      <c r="AB60" s="288"/>
      <c r="AC60" s="288"/>
      <c r="AD60" s="288"/>
      <c r="AE60" s="288"/>
      <c r="AF60" s="288"/>
      <c r="AG60" s="288"/>
      <c r="AH60" s="288"/>
      <c r="AI60" s="289"/>
      <c r="AK60" s="425" t="s">
        <v>702</v>
      </c>
      <c r="AL60" s="425"/>
      <c r="AM60" s="425"/>
      <c r="AN60" s="425"/>
      <c r="AO60" s="425"/>
      <c r="AP60" s="425"/>
      <c r="AQ60" s="42"/>
      <c r="AR60" s="43"/>
      <c r="AS60" s="43"/>
      <c r="AT60" s="43"/>
      <c r="AU60" s="43"/>
      <c r="AV60" s="43"/>
      <c r="AW60" s="43"/>
      <c r="AX60" s="43"/>
      <c r="AY60" s="43"/>
      <c r="AZ60" s="43"/>
      <c r="BH60" s="52"/>
      <c r="BI60" s="51"/>
    </row>
    <row r="61" spans="1:61" ht="18" customHeight="1">
      <c r="A61" s="36"/>
      <c r="B61" s="404"/>
      <c r="C61" s="404"/>
      <c r="D61" s="404"/>
      <c r="E61" s="404"/>
      <c r="F61" s="288"/>
      <c r="G61" s="288"/>
      <c r="H61" s="288"/>
      <c r="I61" s="288"/>
      <c r="J61" s="288"/>
      <c r="K61" s="288"/>
      <c r="L61" s="288"/>
      <c r="M61" s="288"/>
      <c r="N61" s="288"/>
      <c r="O61" s="288"/>
      <c r="P61" s="288"/>
      <c r="Q61" s="288"/>
      <c r="R61" s="288"/>
      <c r="S61" s="288"/>
      <c r="T61" s="288"/>
      <c r="U61" s="288"/>
      <c r="V61" s="288"/>
      <c r="W61" s="288"/>
      <c r="X61" s="288"/>
      <c r="Y61" s="288"/>
      <c r="Z61" s="288"/>
      <c r="AA61" s="288"/>
      <c r="AB61" s="288"/>
      <c r="AC61" s="288"/>
      <c r="AD61" s="288"/>
      <c r="AE61" s="288"/>
      <c r="AF61" s="288"/>
      <c r="AG61" s="288"/>
      <c r="AH61" s="288"/>
      <c r="AI61" s="289"/>
      <c r="AK61" s="425" t="s">
        <v>703</v>
      </c>
      <c r="AL61" s="425"/>
      <c r="AM61" s="425"/>
      <c r="AN61" s="425"/>
      <c r="AO61" s="425"/>
      <c r="AP61" s="425"/>
      <c r="AQ61" s="42"/>
      <c r="AR61" s="43"/>
      <c r="AS61" s="43"/>
      <c r="AT61" s="43"/>
      <c r="AU61" s="43"/>
      <c r="AV61" s="43"/>
      <c r="AW61" s="43"/>
      <c r="AX61" s="43"/>
      <c r="AY61" s="43"/>
      <c r="AZ61" s="43"/>
      <c r="BH61" s="50"/>
      <c r="BI61" s="51"/>
    </row>
    <row r="62" spans="1:61" ht="18" customHeight="1">
      <c r="A62" s="36"/>
      <c r="B62" s="404"/>
      <c r="C62" s="404"/>
      <c r="D62" s="404"/>
      <c r="E62" s="404"/>
      <c r="F62" s="288"/>
      <c r="G62" s="288"/>
      <c r="H62" s="288"/>
      <c r="I62" s="288"/>
      <c r="J62" s="288"/>
      <c r="K62" s="288"/>
      <c r="L62" s="288"/>
      <c r="M62" s="288"/>
      <c r="N62" s="288"/>
      <c r="O62" s="288"/>
      <c r="P62" s="288"/>
      <c r="Q62" s="288"/>
      <c r="R62" s="288"/>
      <c r="S62" s="288"/>
      <c r="T62" s="288"/>
      <c r="U62" s="288"/>
      <c r="V62" s="288"/>
      <c r="W62" s="288"/>
      <c r="X62" s="288"/>
      <c r="Y62" s="288"/>
      <c r="Z62" s="288"/>
      <c r="AA62" s="288"/>
      <c r="AB62" s="288"/>
      <c r="AC62" s="288"/>
      <c r="AD62" s="288"/>
      <c r="AE62" s="288"/>
      <c r="AF62" s="288"/>
      <c r="AG62" s="288"/>
      <c r="AH62" s="288"/>
      <c r="AI62" s="289"/>
      <c r="AK62" s="425"/>
      <c r="AL62" s="425"/>
      <c r="AM62" s="425"/>
      <c r="AN62" s="425"/>
      <c r="AO62" s="425"/>
      <c r="AP62" s="425"/>
      <c r="AQ62" s="42"/>
      <c r="AR62" s="43"/>
      <c r="AS62" s="43"/>
      <c r="AT62" s="43"/>
      <c r="AU62" s="43"/>
      <c r="AV62" s="43"/>
      <c r="AW62" s="43"/>
      <c r="AX62" s="43"/>
      <c r="AY62" s="43"/>
      <c r="AZ62" s="43"/>
      <c r="BH62" s="50"/>
      <c r="BI62" s="51"/>
    </row>
    <row r="63" spans="1:61" ht="18" customHeight="1">
      <c r="A63" s="36"/>
      <c r="B63" s="404"/>
      <c r="C63" s="404"/>
      <c r="D63" s="404"/>
      <c r="E63" s="404"/>
      <c r="F63" s="288"/>
      <c r="G63" s="288"/>
      <c r="H63" s="288"/>
      <c r="I63" s="288"/>
      <c r="J63" s="288"/>
      <c r="K63" s="288"/>
      <c r="L63" s="288"/>
      <c r="M63" s="288"/>
      <c r="N63" s="288"/>
      <c r="O63" s="288"/>
      <c r="P63" s="288"/>
      <c r="Q63" s="288"/>
      <c r="R63" s="288"/>
      <c r="S63" s="288"/>
      <c r="T63" s="288"/>
      <c r="U63" s="288"/>
      <c r="V63" s="288"/>
      <c r="W63" s="288"/>
      <c r="X63" s="288"/>
      <c r="Y63" s="288"/>
      <c r="Z63" s="288"/>
      <c r="AA63" s="288"/>
      <c r="AB63" s="288"/>
      <c r="AC63" s="288"/>
      <c r="AD63" s="288"/>
      <c r="AE63" s="288"/>
      <c r="AF63" s="288"/>
      <c r="AG63" s="288"/>
      <c r="AH63" s="288"/>
      <c r="AI63" s="289"/>
      <c r="AK63" s="425"/>
      <c r="AL63" s="425"/>
      <c r="AM63" s="425"/>
      <c r="AN63" s="425"/>
      <c r="AO63" s="425"/>
      <c r="AP63" s="425"/>
      <c r="AQ63" s="42"/>
      <c r="AR63" s="43"/>
      <c r="AS63" s="43"/>
      <c r="AT63" s="43"/>
      <c r="AU63" s="43"/>
      <c r="AV63" s="43"/>
      <c r="AW63" s="43"/>
      <c r="AX63" s="43"/>
      <c r="AY63" s="43"/>
      <c r="AZ63" s="43"/>
      <c r="BH63" s="52"/>
      <c r="BI63" s="51"/>
    </row>
    <row r="64" spans="1:61" ht="18" customHeight="1">
      <c r="A64" s="36"/>
      <c r="B64" s="404"/>
      <c r="C64" s="404"/>
      <c r="D64" s="404"/>
      <c r="E64" s="404"/>
      <c r="F64" s="288"/>
      <c r="G64" s="288"/>
      <c r="H64" s="288"/>
      <c r="I64" s="288"/>
      <c r="J64" s="288"/>
      <c r="K64" s="288"/>
      <c r="L64" s="288"/>
      <c r="M64" s="288"/>
      <c r="N64" s="288"/>
      <c r="O64" s="288"/>
      <c r="P64" s="288"/>
      <c r="Q64" s="288"/>
      <c r="R64" s="288"/>
      <c r="S64" s="288"/>
      <c r="T64" s="288"/>
      <c r="U64" s="288"/>
      <c r="V64" s="288"/>
      <c r="W64" s="288"/>
      <c r="X64" s="288"/>
      <c r="Y64" s="288"/>
      <c r="Z64" s="288"/>
      <c r="AA64" s="288"/>
      <c r="AB64" s="288"/>
      <c r="AC64" s="288"/>
      <c r="AD64" s="288"/>
      <c r="AE64" s="288"/>
      <c r="AF64" s="288"/>
      <c r="AG64" s="288"/>
      <c r="AH64" s="288"/>
      <c r="AI64" s="289"/>
      <c r="AK64" s="425"/>
      <c r="AL64" s="425"/>
      <c r="AM64" s="425"/>
      <c r="AN64" s="425"/>
      <c r="AO64" s="425"/>
      <c r="AP64" s="425"/>
      <c r="AQ64" s="42"/>
      <c r="AR64" s="43"/>
      <c r="AS64" s="43"/>
      <c r="AT64" s="43"/>
      <c r="AU64" s="43"/>
      <c r="AV64" s="43"/>
      <c r="AW64" s="43"/>
      <c r="AX64" s="43"/>
      <c r="AY64" s="43"/>
      <c r="AZ64" s="43"/>
      <c r="BH64" s="52"/>
      <c r="BI64" s="51"/>
    </row>
    <row r="65" spans="1:61" ht="18" customHeight="1">
      <c r="A65" s="36"/>
      <c r="B65" s="404"/>
      <c r="C65" s="404"/>
      <c r="D65" s="404"/>
      <c r="E65" s="404"/>
      <c r="F65" s="288"/>
      <c r="G65" s="288"/>
      <c r="H65" s="288"/>
      <c r="I65" s="288"/>
      <c r="J65" s="288"/>
      <c r="K65" s="288"/>
      <c r="L65" s="288"/>
      <c r="M65" s="288"/>
      <c r="N65" s="288"/>
      <c r="O65" s="288"/>
      <c r="P65" s="288"/>
      <c r="Q65" s="288"/>
      <c r="R65" s="288"/>
      <c r="S65" s="288"/>
      <c r="T65" s="288"/>
      <c r="U65" s="288"/>
      <c r="V65" s="288"/>
      <c r="W65" s="288"/>
      <c r="X65" s="288"/>
      <c r="Y65" s="288"/>
      <c r="Z65" s="288"/>
      <c r="AA65" s="288"/>
      <c r="AB65" s="288"/>
      <c r="AC65" s="288"/>
      <c r="AD65" s="288"/>
      <c r="AE65" s="288"/>
      <c r="AF65" s="288"/>
      <c r="AG65" s="288"/>
      <c r="AH65" s="288"/>
      <c r="AI65" s="289"/>
      <c r="AK65" s="425"/>
      <c r="AL65" s="425"/>
      <c r="AM65" s="425"/>
      <c r="AN65" s="425"/>
      <c r="AO65" s="425"/>
      <c r="AP65" s="425"/>
      <c r="AQ65" s="42"/>
      <c r="AR65" s="43"/>
      <c r="AS65" s="43"/>
      <c r="AT65" s="43"/>
      <c r="AU65" s="43"/>
      <c r="AV65" s="43"/>
      <c r="AW65" s="43"/>
      <c r="AX65" s="43"/>
      <c r="AY65" s="43"/>
      <c r="AZ65" s="43"/>
      <c r="BH65" s="50"/>
      <c r="BI65" s="51"/>
    </row>
    <row r="66" spans="1:61" ht="18" customHeight="1">
      <c r="A66" s="36"/>
      <c r="B66" s="404"/>
      <c r="C66" s="404"/>
      <c r="D66" s="404"/>
      <c r="E66" s="404"/>
      <c r="F66" s="288"/>
      <c r="G66" s="288"/>
      <c r="H66" s="288"/>
      <c r="I66" s="288"/>
      <c r="J66" s="288"/>
      <c r="K66" s="288"/>
      <c r="L66" s="288"/>
      <c r="M66" s="288"/>
      <c r="N66" s="288"/>
      <c r="O66" s="288"/>
      <c r="P66" s="288"/>
      <c r="Q66" s="288"/>
      <c r="R66" s="288"/>
      <c r="S66" s="288"/>
      <c r="T66" s="288"/>
      <c r="U66" s="288"/>
      <c r="V66" s="288"/>
      <c r="W66" s="288"/>
      <c r="X66" s="288"/>
      <c r="Y66" s="288"/>
      <c r="Z66" s="288"/>
      <c r="AA66" s="288"/>
      <c r="AB66" s="288"/>
      <c r="AC66" s="288"/>
      <c r="AD66" s="288"/>
      <c r="AE66" s="288"/>
      <c r="AF66" s="288"/>
      <c r="AG66" s="288"/>
      <c r="AH66" s="288"/>
      <c r="AI66" s="289"/>
      <c r="AK66" s="425"/>
      <c r="AL66" s="425"/>
      <c r="AM66" s="425"/>
      <c r="AN66" s="425"/>
      <c r="AO66" s="425"/>
      <c r="AP66" s="425"/>
      <c r="AQ66" s="42"/>
      <c r="AR66" s="43"/>
      <c r="AS66" s="43"/>
      <c r="AT66" s="43"/>
      <c r="AU66" s="43"/>
      <c r="AV66" s="43"/>
      <c r="AW66" s="43"/>
      <c r="AX66" s="43"/>
      <c r="AY66" s="43"/>
      <c r="AZ66" s="43"/>
      <c r="BH66" s="50"/>
      <c r="BI66" s="51"/>
    </row>
    <row r="67" spans="1:61" ht="18" customHeight="1">
      <c r="A67" s="36"/>
      <c r="B67" s="404"/>
      <c r="C67" s="404"/>
      <c r="D67" s="404"/>
      <c r="E67" s="404"/>
      <c r="F67" s="288"/>
      <c r="G67" s="288"/>
      <c r="H67" s="288"/>
      <c r="I67" s="288"/>
      <c r="J67" s="288"/>
      <c r="K67" s="288"/>
      <c r="L67" s="288"/>
      <c r="M67" s="288"/>
      <c r="N67" s="288"/>
      <c r="O67" s="288"/>
      <c r="P67" s="288"/>
      <c r="Q67" s="288"/>
      <c r="R67" s="288"/>
      <c r="S67" s="288"/>
      <c r="T67" s="288"/>
      <c r="U67" s="288"/>
      <c r="V67" s="288"/>
      <c r="W67" s="288"/>
      <c r="X67" s="288"/>
      <c r="Y67" s="288"/>
      <c r="Z67" s="288"/>
      <c r="AA67" s="288"/>
      <c r="AB67" s="288"/>
      <c r="AC67" s="288"/>
      <c r="AD67" s="288"/>
      <c r="AE67" s="288"/>
      <c r="AF67" s="288"/>
      <c r="AG67" s="288"/>
      <c r="AH67" s="288"/>
      <c r="AI67" s="289"/>
      <c r="AK67" s="425"/>
      <c r="AL67" s="425"/>
      <c r="AM67" s="425"/>
      <c r="AN67" s="425"/>
      <c r="AO67" s="425"/>
      <c r="AP67" s="425"/>
      <c r="AQ67" s="67"/>
      <c r="AR67" s="43"/>
      <c r="AS67" s="43"/>
      <c r="AT67" s="43"/>
      <c r="AU67" s="43"/>
      <c r="AV67" s="43"/>
      <c r="AW67" s="43"/>
      <c r="AX67" s="43"/>
      <c r="AY67" s="43"/>
      <c r="AZ67" s="43"/>
      <c r="BH67" s="50"/>
      <c r="BI67" s="51"/>
    </row>
    <row r="68" spans="1:61" ht="18" customHeight="1">
      <c r="A68" s="36"/>
      <c r="B68" s="404"/>
      <c r="C68" s="404"/>
      <c r="D68" s="404"/>
      <c r="E68" s="404"/>
      <c r="F68" s="288"/>
      <c r="G68" s="288"/>
      <c r="H68" s="288"/>
      <c r="I68" s="288"/>
      <c r="J68" s="288"/>
      <c r="K68" s="288"/>
      <c r="L68" s="288"/>
      <c r="M68" s="288"/>
      <c r="N68" s="288"/>
      <c r="O68" s="288"/>
      <c r="P68" s="288"/>
      <c r="Q68" s="288"/>
      <c r="R68" s="288"/>
      <c r="S68" s="288"/>
      <c r="T68" s="288"/>
      <c r="U68" s="288"/>
      <c r="V68" s="288"/>
      <c r="W68" s="288"/>
      <c r="X68" s="288"/>
      <c r="Y68" s="288"/>
      <c r="Z68" s="288"/>
      <c r="AA68" s="288"/>
      <c r="AB68" s="288"/>
      <c r="AC68" s="288"/>
      <c r="AD68" s="288"/>
      <c r="AE68" s="288"/>
      <c r="AF68" s="288"/>
      <c r="AG68" s="288"/>
      <c r="AH68" s="288"/>
      <c r="AI68" s="289"/>
      <c r="AK68" s="425"/>
      <c r="AL68" s="425"/>
      <c r="AM68" s="425"/>
      <c r="AN68" s="425"/>
      <c r="AO68" s="425"/>
      <c r="AP68" s="425"/>
      <c r="AQ68" s="67"/>
      <c r="AR68" s="43"/>
      <c r="AS68" s="43"/>
      <c r="AT68" s="43"/>
      <c r="AU68" s="43"/>
      <c r="AV68" s="43"/>
      <c r="AW68" s="43"/>
      <c r="AX68" s="43"/>
      <c r="AY68" s="43"/>
      <c r="AZ68" s="43"/>
      <c r="BH68" s="50"/>
      <c r="BI68" s="51"/>
    </row>
    <row r="69" spans="1:61" ht="18" customHeight="1">
      <c r="A69" s="36"/>
      <c r="B69" s="404"/>
      <c r="C69" s="404"/>
      <c r="D69" s="404"/>
      <c r="E69" s="404"/>
      <c r="F69" s="288"/>
      <c r="G69" s="288"/>
      <c r="H69" s="288"/>
      <c r="I69" s="288"/>
      <c r="J69" s="288"/>
      <c r="K69" s="288"/>
      <c r="L69" s="288"/>
      <c r="M69" s="288"/>
      <c r="N69" s="288"/>
      <c r="O69" s="288"/>
      <c r="P69" s="288"/>
      <c r="Q69" s="288"/>
      <c r="R69" s="288"/>
      <c r="S69" s="288"/>
      <c r="T69" s="288"/>
      <c r="U69" s="288"/>
      <c r="V69" s="288"/>
      <c r="W69" s="288"/>
      <c r="X69" s="288"/>
      <c r="Y69" s="288"/>
      <c r="Z69" s="288"/>
      <c r="AA69" s="288"/>
      <c r="AB69" s="288"/>
      <c r="AC69" s="288"/>
      <c r="AD69" s="288"/>
      <c r="AE69" s="288"/>
      <c r="AF69" s="288"/>
      <c r="AG69" s="288"/>
      <c r="AH69" s="288"/>
      <c r="AI69" s="289"/>
      <c r="AK69" s="425"/>
      <c r="AL69" s="425"/>
      <c r="AM69" s="425"/>
      <c r="AN69" s="425"/>
      <c r="AO69" s="425"/>
      <c r="AP69" s="425"/>
      <c r="AQ69" s="42"/>
      <c r="AR69" s="43"/>
      <c r="AS69" s="43"/>
      <c r="AT69" s="43"/>
      <c r="AU69" s="43"/>
      <c r="AV69" s="43"/>
      <c r="AW69" s="43"/>
      <c r="AX69" s="43"/>
      <c r="AY69" s="43"/>
      <c r="AZ69" s="43"/>
      <c r="BH69" s="50"/>
      <c r="BI69" s="51"/>
    </row>
    <row r="70" spans="1:61" ht="18" customHeight="1">
      <c r="A70" s="36"/>
      <c r="B70" s="404"/>
      <c r="C70" s="404"/>
      <c r="D70" s="404"/>
      <c r="E70" s="404"/>
      <c r="F70" s="288"/>
      <c r="G70" s="288"/>
      <c r="H70" s="288"/>
      <c r="I70" s="288"/>
      <c r="J70" s="288"/>
      <c r="K70" s="288"/>
      <c r="L70" s="288"/>
      <c r="M70" s="288"/>
      <c r="N70" s="288"/>
      <c r="O70" s="288"/>
      <c r="P70" s="288"/>
      <c r="Q70" s="288"/>
      <c r="R70" s="288"/>
      <c r="S70" s="288"/>
      <c r="T70" s="288"/>
      <c r="U70" s="288"/>
      <c r="V70" s="288"/>
      <c r="W70" s="288"/>
      <c r="X70" s="288"/>
      <c r="Y70" s="288"/>
      <c r="Z70" s="288"/>
      <c r="AA70" s="288"/>
      <c r="AB70" s="288"/>
      <c r="AC70" s="288"/>
      <c r="AD70" s="288"/>
      <c r="AE70" s="288"/>
      <c r="AF70" s="288"/>
      <c r="AG70" s="288"/>
      <c r="AH70" s="288"/>
      <c r="AI70" s="289"/>
      <c r="AK70" s="425"/>
      <c r="AL70" s="425"/>
      <c r="AM70" s="425"/>
      <c r="AN70" s="425"/>
      <c r="AO70" s="425"/>
      <c r="AP70" s="425"/>
      <c r="AQ70" s="42"/>
      <c r="AR70" s="43"/>
      <c r="AS70" s="43"/>
      <c r="AT70" s="43"/>
      <c r="AU70" s="43"/>
      <c r="AV70" s="43"/>
      <c r="AW70" s="43"/>
      <c r="AX70" s="43"/>
      <c r="AY70" s="43"/>
      <c r="AZ70" s="43"/>
      <c r="BH70" s="50"/>
      <c r="BI70" s="51"/>
    </row>
    <row r="71" spans="1:61" ht="18" customHeight="1">
      <c r="A71" s="36"/>
      <c r="B71" s="404"/>
      <c r="C71" s="404"/>
      <c r="D71" s="404"/>
      <c r="E71" s="404"/>
      <c r="F71" s="288"/>
      <c r="G71" s="288"/>
      <c r="H71" s="288"/>
      <c r="I71" s="288"/>
      <c r="J71" s="288"/>
      <c r="K71" s="288"/>
      <c r="L71" s="288"/>
      <c r="M71" s="288"/>
      <c r="N71" s="288"/>
      <c r="O71" s="288"/>
      <c r="P71" s="288"/>
      <c r="Q71" s="288"/>
      <c r="R71" s="288"/>
      <c r="S71" s="288"/>
      <c r="T71" s="288"/>
      <c r="U71" s="288"/>
      <c r="V71" s="288"/>
      <c r="W71" s="288"/>
      <c r="X71" s="288"/>
      <c r="Y71" s="288"/>
      <c r="Z71" s="288"/>
      <c r="AA71" s="288"/>
      <c r="AB71" s="288"/>
      <c r="AC71" s="288"/>
      <c r="AD71" s="288"/>
      <c r="AE71" s="288"/>
      <c r="AF71" s="288"/>
      <c r="AG71" s="288"/>
      <c r="AH71" s="288"/>
      <c r="AI71" s="289"/>
      <c r="AK71" s="425"/>
      <c r="AL71" s="425"/>
      <c r="AM71" s="425"/>
      <c r="AN71" s="425"/>
      <c r="AO71" s="425"/>
      <c r="AP71" s="425"/>
      <c r="AQ71" s="42"/>
      <c r="AR71" s="43"/>
      <c r="AS71" s="43"/>
      <c r="AT71" s="43"/>
      <c r="AU71" s="43"/>
      <c r="AV71" s="43"/>
      <c r="AW71" s="43"/>
      <c r="AX71" s="43"/>
      <c r="AY71" s="43"/>
      <c r="AZ71" s="43"/>
      <c r="BH71" s="52"/>
      <c r="BI71" s="51"/>
    </row>
    <row r="72" spans="1:61" ht="18" customHeight="1">
      <c r="A72" s="36"/>
      <c r="B72" s="404"/>
      <c r="C72" s="404"/>
      <c r="D72" s="404"/>
      <c r="E72" s="404"/>
      <c r="F72" s="288"/>
      <c r="G72" s="288"/>
      <c r="H72" s="288"/>
      <c r="I72" s="288"/>
      <c r="J72" s="288"/>
      <c r="K72" s="288"/>
      <c r="L72" s="288"/>
      <c r="M72" s="288"/>
      <c r="N72" s="288"/>
      <c r="O72" s="288"/>
      <c r="P72" s="288"/>
      <c r="Q72" s="288"/>
      <c r="R72" s="288"/>
      <c r="S72" s="288"/>
      <c r="T72" s="288"/>
      <c r="U72" s="288"/>
      <c r="V72" s="288"/>
      <c r="W72" s="288"/>
      <c r="X72" s="288"/>
      <c r="Y72" s="288"/>
      <c r="Z72" s="288"/>
      <c r="AA72" s="288"/>
      <c r="AB72" s="288"/>
      <c r="AC72" s="288"/>
      <c r="AD72" s="288"/>
      <c r="AE72" s="288"/>
      <c r="AF72" s="288"/>
      <c r="AG72" s="288"/>
      <c r="AH72" s="288"/>
      <c r="AI72" s="289"/>
      <c r="AK72" s="425"/>
      <c r="AL72" s="425"/>
      <c r="AM72" s="425"/>
      <c r="AN72" s="425"/>
      <c r="AO72" s="425"/>
      <c r="AP72" s="425"/>
      <c r="AQ72" s="42"/>
      <c r="AR72" s="43"/>
      <c r="AS72" s="43"/>
      <c r="AT72" s="43"/>
      <c r="AU72" s="43"/>
      <c r="AV72" s="43"/>
      <c r="AW72" s="43"/>
      <c r="AX72" s="43"/>
      <c r="AY72" s="43"/>
      <c r="AZ72" s="43"/>
      <c r="BH72" s="53"/>
      <c r="BI72" s="51"/>
    </row>
    <row r="73" spans="1:61" ht="18" customHeight="1">
      <c r="A73" s="36"/>
      <c r="B73" s="404"/>
      <c r="C73" s="404"/>
      <c r="D73" s="404"/>
      <c r="E73" s="404"/>
      <c r="F73" s="288"/>
      <c r="G73" s="288"/>
      <c r="H73" s="288"/>
      <c r="I73" s="288"/>
      <c r="J73" s="288"/>
      <c r="K73" s="288"/>
      <c r="L73" s="288"/>
      <c r="M73" s="288"/>
      <c r="N73" s="288"/>
      <c r="O73" s="288"/>
      <c r="P73" s="288"/>
      <c r="Q73" s="288"/>
      <c r="R73" s="288"/>
      <c r="S73" s="288"/>
      <c r="T73" s="288"/>
      <c r="U73" s="288"/>
      <c r="V73" s="288"/>
      <c r="W73" s="288"/>
      <c r="X73" s="288"/>
      <c r="Y73" s="288"/>
      <c r="Z73" s="288"/>
      <c r="AA73" s="288"/>
      <c r="AB73" s="288"/>
      <c r="AC73" s="288"/>
      <c r="AD73" s="288"/>
      <c r="AE73" s="288"/>
      <c r="AF73" s="288"/>
      <c r="AG73" s="288"/>
      <c r="AH73" s="288"/>
      <c r="AI73" s="289"/>
      <c r="AK73" s="425"/>
      <c r="AL73" s="425"/>
      <c r="AM73" s="425"/>
      <c r="AN73" s="425"/>
      <c r="AO73" s="425"/>
      <c r="AP73" s="425"/>
      <c r="AQ73" s="42"/>
      <c r="AR73" s="43"/>
      <c r="AS73" s="43"/>
      <c r="AT73" s="43"/>
      <c r="AU73" s="43"/>
      <c r="AV73" s="43"/>
      <c r="AW73" s="43"/>
      <c r="AX73" s="43"/>
      <c r="AY73" s="43"/>
      <c r="AZ73" s="43"/>
      <c r="BH73" s="54"/>
      <c r="BI73" s="51"/>
    </row>
    <row r="74" spans="1:61" ht="18" customHeight="1">
      <c r="A74" s="36"/>
      <c r="B74" s="404"/>
      <c r="C74" s="404"/>
      <c r="D74" s="404"/>
      <c r="E74" s="404"/>
      <c r="F74" s="288"/>
      <c r="G74" s="288"/>
      <c r="H74" s="288"/>
      <c r="I74" s="288"/>
      <c r="J74" s="288"/>
      <c r="K74" s="288"/>
      <c r="L74" s="288"/>
      <c r="M74" s="288"/>
      <c r="N74" s="288"/>
      <c r="O74" s="288"/>
      <c r="P74" s="288"/>
      <c r="Q74" s="288"/>
      <c r="R74" s="288"/>
      <c r="S74" s="288"/>
      <c r="T74" s="288"/>
      <c r="U74" s="288"/>
      <c r="V74" s="288"/>
      <c r="W74" s="288"/>
      <c r="X74" s="288"/>
      <c r="Y74" s="288"/>
      <c r="Z74" s="288"/>
      <c r="AA74" s="288"/>
      <c r="AB74" s="288"/>
      <c r="AC74" s="288"/>
      <c r="AD74" s="288"/>
      <c r="AE74" s="288"/>
      <c r="AF74" s="288"/>
      <c r="AG74" s="288"/>
      <c r="AH74" s="288"/>
      <c r="AI74" s="289"/>
      <c r="AK74" s="425"/>
      <c r="AL74" s="425"/>
      <c r="AM74" s="425"/>
      <c r="AN74" s="425"/>
      <c r="AO74" s="425"/>
      <c r="AP74" s="425"/>
      <c r="AQ74" s="42"/>
      <c r="AR74" s="43"/>
      <c r="AS74" s="43"/>
      <c r="AT74" s="43"/>
      <c r="AU74" s="43"/>
      <c r="AV74" s="43"/>
      <c r="AW74" s="43"/>
      <c r="AX74" s="43"/>
      <c r="AY74" s="43"/>
      <c r="AZ74" s="43"/>
      <c r="BH74" s="54"/>
      <c r="BI74" s="51"/>
    </row>
    <row r="75" spans="1:61" ht="18" customHeight="1">
      <c r="A75" s="36"/>
      <c r="B75" s="404"/>
      <c r="C75" s="404"/>
      <c r="D75" s="404"/>
      <c r="E75" s="404"/>
      <c r="F75" s="288"/>
      <c r="G75" s="288"/>
      <c r="H75" s="288"/>
      <c r="I75" s="288"/>
      <c r="J75" s="288"/>
      <c r="K75" s="288"/>
      <c r="L75" s="288"/>
      <c r="M75" s="288"/>
      <c r="N75" s="288"/>
      <c r="O75" s="288"/>
      <c r="P75" s="288"/>
      <c r="Q75" s="288"/>
      <c r="R75" s="288"/>
      <c r="S75" s="288"/>
      <c r="T75" s="288"/>
      <c r="U75" s="288"/>
      <c r="V75" s="288"/>
      <c r="W75" s="288"/>
      <c r="X75" s="288"/>
      <c r="Y75" s="288"/>
      <c r="Z75" s="288"/>
      <c r="AA75" s="288"/>
      <c r="AB75" s="288"/>
      <c r="AC75" s="288"/>
      <c r="AD75" s="288"/>
      <c r="AE75" s="288"/>
      <c r="AF75" s="288"/>
      <c r="AG75" s="288"/>
      <c r="AH75" s="288"/>
      <c r="AI75" s="289"/>
      <c r="AK75" s="425"/>
      <c r="AL75" s="425"/>
      <c r="AM75" s="425"/>
      <c r="AN75" s="425"/>
      <c r="AO75" s="425"/>
      <c r="AP75" s="425"/>
      <c r="AQ75" s="42"/>
      <c r="AR75" s="43"/>
      <c r="AS75" s="43"/>
      <c r="AT75" s="43"/>
      <c r="AU75" s="43"/>
      <c r="AV75" s="43"/>
      <c r="AW75" s="43"/>
      <c r="AX75" s="43"/>
      <c r="AY75" s="43"/>
      <c r="AZ75" s="43"/>
      <c r="BH75" s="53"/>
      <c r="BI75" s="51"/>
    </row>
    <row r="76" spans="1:61" ht="18" customHeight="1">
      <c r="A76" s="36"/>
      <c r="B76" s="404"/>
      <c r="C76" s="404"/>
      <c r="D76" s="404"/>
      <c r="E76" s="404"/>
      <c r="F76" s="288"/>
      <c r="G76" s="288"/>
      <c r="H76" s="288"/>
      <c r="I76" s="288"/>
      <c r="J76" s="288"/>
      <c r="K76" s="288"/>
      <c r="L76" s="288"/>
      <c r="M76" s="288"/>
      <c r="N76" s="288"/>
      <c r="O76" s="288"/>
      <c r="P76" s="288"/>
      <c r="Q76" s="288"/>
      <c r="R76" s="288"/>
      <c r="S76" s="288"/>
      <c r="T76" s="288"/>
      <c r="U76" s="288"/>
      <c r="V76" s="288"/>
      <c r="W76" s="288"/>
      <c r="X76" s="288"/>
      <c r="Y76" s="288"/>
      <c r="Z76" s="288"/>
      <c r="AA76" s="288"/>
      <c r="AB76" s="288"/>
      <c r="AC76" s="288"/>
      <c r="AD76" s="288"/>
      <c r="AE76" s="288"/>
      <c r="AF76" s="288"/>
      <c r="AG76" s="288"/>
      <c r="AH76" s="288"/>
      <c r="AI76" s="289"/>
      <c r="AK76" s="425"/>
      <c r="AL76" s="425"/>
      <c r="AM76" s="425"/>
      <c r="AN76" s="425"/>
      <c r="AO76" s="425"/>
      <c r="AP76" s="425"/>
      <c r="AQ76" s="42"/>
      <c r="AR76" s="43"/>
      <c r="AS76" s="43"/>
      <c r="AT76" s="43"/>
      <c r="AU76" s="43"/>
      <c r="AV76" s="43"/>
      <c r="AW76" s="43"/>
      <c r="AX76" s="43"/>
      <c r="AY76" s="43"/>
      <c r="AZ76" s="43"/>
      <c r="BH76" s="53"/>
      <c r="BI76" s="51"/>
    </row>
    <row r="77" spans="1:61" ht="18" customHeight="1">
      <c r="A77" s="36"/>
      <c r="B77" s="404"/>
      <c r="C77" s="404"/>
      <c r="D77" s="404"/>
      <c r="E77" s="404"/>
      <c r="F77" s="288"/>
      <c r="G77" s="288"/>
      <c r="H77" s="288"/>
      <c r="I77" s="288"/>
      <c r="J77" s="288"/>
      <c r="K77" s="288"/>
      <c r="L77" s="288"/>
      <c r="M77" s="288"/>
      <c r="N77" s="288"/>
      <c r="O77" s="288"/>
      <c r="P77" s="288"/>
      <c r="Q77" s="288"/>
      <c r="R77" s="288"/>
      <c r="S77" s="288"/>
      <c r="T77" s="288"/>
      <c r="U77" s="288"/>
      <c r="V77" s="288"/>
      <c r="W77" s="288"/>
      <c r="X77" s="288"/>
      <c r="Y77" s="288"/>
      <c r="Z77" s="288"/>
      <c r="AA77" s="288"/>
      <c r="AB77" s="288"/>
      <c r="AC77" s="288"/>
      <c r="AD77" s="288"/>
      <c r="AE77" s="288"/>
      <c r="AF77" s="288"/>
      <c r="AG77" s="288"/>
      <c r="AH77" s="288"/>
      <c r="AI77" s="289"/>
      <c r="AK77" s="425"/>
      <c r="AL77" s="425"/>
      <c r="AM77" s="425"/>
      <c r="AN77" s="425"/>
      <c r="AO77" s="425"/>
      <c r="AP77" s="425"/>
      <c r="AQ77" s="42"/>
      <c r="AR77" s="43"/>
      <c r="AS77" s="43"/>
      <c r="AT77" s="43"/>
      <c r="AU77" s="43"/>
      <c r="AV77" s="43"/>
      <c r="AW77" s="43"/>
      <c r="AX77" s="43"/>
      <c r="AY77" s="43"/>
      <c r="AZ77" s="43"/>
      <c r="BH77" s="54"/>
      <c r="BI77" s="51"/>
    </row>
    <row r="78" spans="1:61" ht="18" customHeight="1">
      <c r="A78" s="36"/>
      <c r="B78" s="404"/>
      <c r="C78" s="404"/>
      <c r="D78" s="404"/>
      <c r="E78" s="404"/>
      <c r="F78" s="288"/>
      <c r="G78" s="288"/>
      <c r="H78" s="288"/>
      <c r="I78" s="288"/>
      <c r="J78" s="288"/>
      <c r="K78" s="288"/>
      <c r="L78" s="288"/>
      <c r="M78" s="288"/>
      <c r="N78" s="288"/>
      <c r="O78" s="288"/>
      <c r="P78" s="288"/>
      <c r="Q78" s="288"/>
      <c r="R78" s="288"/>
      <c r="S78" s="288"/>
      <c r="T78" s="288"/>
      <c r="U78" s="288"/>
      <c r="V78" s="288"/>
      <c r="W78" s="288"/>
      <c r="X78" s="288"/>
      <c r="Y78" s="288"/>
      <c r="Z78" s="288"/>
      <c r="AA78" s="288"/>
      <c r="AB78" s="288"/>
      <c r="AC78" s="288"/>
      <c r="AD78" s="288"/>
      <c r="AE78" s="288"/>
      <c r="AF78" s="288"/>
      <c r="AG78" s="288"/>
      <c r="AH78" s="288"/>
      <c r="AI78" s="289"/>
      <c r="AK78" s="425"/>
      <c r="AL78" s="425"/>
      <c r="AM78" s="425"/>
      <c r="AN78" s="425"/>
      <c r="AO78" s="425"/>
      <c r="AP78" s="425"/>
      <c r="AQ78" s="42"/>
      <c r="AR78" s="43"/>
      <c r="AS78" s="43"/>
      <c r="AT78" s="43"/>
      <c r="AU78" s="43"/>
      <c r="AV78" s="43"/>
      <c r="AW78" s="43"/>
      <c r="AX78" s="43"/>
      <c r="AY78" s="43"/>
      <c r="AZ78" s="43"/>
      <c r="BH78" s="54"/>
      <c r="BI78" s="51"/>
    </row>
    <row r="79" spans="1:61" ht="18" customHeight="1">
      <c r="A79" s="36"/>
      <c r="B79" s="404"/>
      <c r="C79" s="404"/>
      <c r="D79" s="404"/>
      <c r="E79" s="404"/>
      <c r="F79" s="288"/>
      <c r="G79" s="288"/>
      <c r="H79" s="288"/>
      <c r="I79" s="288"/>
      <c r="J79" s="288"/>
      <c r="K79" s="288"/>
      <c r="L79" s="288"/>
      <c r="M79" s="288"/>
      <c r="N79" s="288"/>
      <c r="O79" s="288"/>
      <c r="P79" s="288"/>
      <c r="Q79" s="288"/>
      <c r="R79" s="288"/>
      <c r="S79" s="288"/>
      <c r="T79" s="288"/>
      <c r="U79" s="288"/>
      <c r="V79" s="288"/>
      <c r="W79" s="288"/>
      <c r="X79" s="288"/>
      <c r="Y79" s="288"/>
      <c r="Z79" s="288"/>
      <c r="AA79" s="288"/>
      <c r="AB79" s="288"/>
      <c r="AC79" s="288"/>
      <c r="AD79" s="288"/>
      <c r="AE79" s="288"/>
      <c r="AF79" s="288"/>
      <c r="AG79" s="288"/>
      <c r="AH79" s="288"/>
      <c r="AI79" s="289"/>
      <c r="AK79" s="425"/>
      <c r="AL79" s="425"/>
      <c r="AM79" s="425"/>
      <c r="AN79" s="425"/>
      <c r="AO79" s="425"/>
      <c r="AP79" s="425"/>
      <c r="AQ79" s="42"/>
      <c r="AR79" s="43"/>
      <c r="AS79" s="43"/>
      <c r="AT79" s="43"/>
      <c r="AU79" s="43"/>
      <c r="AV79" s="43"/>
      <c r="AW79" s="43"/>
      <c r="AX79" s="43"/>
      <c r="AY79" s="43"/>
      <c r="AZ79" s="43"/>
      <c r="BH79" s="54"/>
      <c r="BI79" s="51"/>
    </row>
    <row r="80" spans="1:61" ht="18" customHeight="1">
      <c r="A80" s="37"/>
      <c r="B80" s="466"/>
      <c r="C80" s="466"/>
      <c r="D80" s="466"/>
      <c r="E80" s="466"/>
      <c r="F80" s="467"/>
      <c r="G80" s="467"/>
      <c r="H80" s="467"/>
      <c r="I80" s="467"/>
      <c r="J80" s="467"/>
      <c r="K80" s="467"/>
      <c r="L80" s="467"/>
      <c r="M80" s="467"/>
      <c r="N80" s="467"/>
      <c r="O80" s="467"/>
      <c r="P80" s="467"/>
      <c r="Q80" s="467"/>
      <c r="R80" s="467"/>
      <c r="S80" s="467"/>
      <c r="T80" s="467"/>
      <c r="U80" s="467"/>
      <c r="V80" s="467"/>
      <c r="W80" s="467"/>
      <c r="X80" s="467"/>
      <c r="Y80" s="467"/>
      <c r="Z80" s="467"/>
      <c r="AA80" s="467"/>
      <c r="AB80" s="467"/>
      <c r="AC80" s="467"/>
      <c r="AD80" s="467"/>
      <c r="AE80" s="467"/>
      <c r="AF80" s="467"/>
      <c r="AG80" s="467"/>
      <c r="AH80" s="467"/>
      <c r="AI80" s="468"/>
      <c r="AK80" s="425"/>
      <c r="AL80" s="425"/>
      <c r="AM80" s="425"/>
      <c r="AN80" s="425"/>
      <c r="AO80" s="425"/>
      <c r="AP80" s="425"/>
      <c r="AQ80" s="42"/>
      <c r="AR80" s="43"/>
      <c r="AS80" s="43"/>
      <c r="AT80" s="43"/>
      <c r="AU80" s="43"/>
      <c r="AV80" s="43"/>
      <c r="AW80" s="43"/>
      <c r="AX80" s="43"/>
      <c r="AY80" s="43"/>
      <c r="AZ80" s="43"/>
      <c r="BH80" s="54"/>
      <c r="BI80" s="51"/>
    </row>
    <row r="81" spans="1:61" ht="18" customHeight="1">
      <c r="A81" s="406" t="s">
        <v>704</v>
      </c>
      <c r="B81" s="407"/>
      <c r="C81" s="407"/>
      <c r="D81" s="407"/>
      <c r="E81" s="407"/>
      <c r="F81" s="407"/>
      <c r="G81" s="407"/>
      <c r="H81" s="407"/>
      <c r="I81" s="407"/>
      <c r="J81" s="407"/>
      <c r="K81" s="407"/>
      <c r="L81" s="407"/>
      <c r="M81" s="407"/>
      <c r="N81" s="407"/>
      <c r="O81" s="407"/>
      <c r="P81" s="407"/>
      <c r="Q81" s="407"/>
      <c r="R81" s="407"/>
      <c r="S81" s="407"/>
      <c r="T81" s="407"/>
      <c r="U81" s="407"/>
      <c r="V81" s="407"/>
      <c r="W81" s="407"/>
      <c r="X81" s="407"/>
      <c r="Y81" s="407"/>
      <c r="Z81" s="407"/>
      <c r="AA81" s="407"/>
      <c r="AB81" s="407"/>
      <c r="AC81" s="407"/>
      <c r="AD81" s="407"/>
      <c r="AE81" s="407"/>
      <c r="AF81" s="407"/>
      <c r="AG81" s="407"/>
      <c r="AH81" s="407"/>
      <c r="AI81" s="408"/>
      <c r="AK81" s="425"/>
      <c r="AL81" s="425"/>
      <c r="AM81" s="425"/>
      <c r="AN81" s="425"/>
      <c r="AO81" s="425"/>
      <c r="AP81" s="425"/>
      <c r="AQ81" s="42"/>
      <c r="AR81" s="43"/>
      <c r="AS81" s="43"/>
      <c r="AT81" s="43"/>
      <c r="AU81" s="43"/>
      <c r="AV81" s="43"/>
      <c r="AW81" s="43"/>
      <c r="AX81" s="43"/>
      <c r="AY81" s="43"/>
      <c r="AZ81" s="43"/>
      <c r="BH81" s="53"/>
      <c r="BI81" s="51"/>
    </row>
    <row r="82" spans="1:61" ht="18" customHeight="1">
      <c r="A82" s="38"/>
      <c r="B82" s="465">
        <v>45644</v>
      </c>
      <c r="C82" s="465"/>
      <c r="D82" s="465"/>
      <c r="E82" s="465"/>
      <c r="F82" s="288" t="s">
        <v>837</v>
      </c>
      <c r="G82" s="288"/>
      <c r="H82" s="288"/>
      <c r="I82" s="288"/>
      <c r="J82" s="288"/>
      <c r="K82" s="288"/>
      <c r="L82" s="288"/>
      <c r="M82" s="288"/>
      <c r="N82" s="288"/>
      <c r="O82" s="288"/>
      <c r="P82" s="288"/>
      <c r="Q82" s="288"/>
      <c r="R82" s="288"/>
      <c r="S82" s="288"/>
      <c r="T82" s="288"/>
      <c r="U82" s="288"/>
      <c r="V82" s="288"/>
      <c r="W82" s="288"/>
      <c r="X82" s="288"/>
      <c r="Y82" s="288"/>
      <c r="Z82" s="288"/>
      <c r="AA82" s="288"/>
      <c r="AB82" s="288"/>
      <c r="AC82" s="288"/>
      <c r="AD82" s="288"/>
      <c r="AE82" s="288"/>
      <c r="AF82" s="288"/>
      <c r="AG82" s="288"/>
      <c r="AH82" s="288"/>
      <c r="AI82" s="289"/>
      <c r="AK82" s="425"/>
      <c r="AL82" s="425"/>
      <c r="AM82" s="425"/>
      <c r="AN82" s="425"/>
      <c r="AO82" s="425"/>
      <c r="AP82" s="425"/>
      <c r="AQ82" s="42"/>
      <c r="AR82" s="43"/>
      <c r="AS82" s="43"/>
      <c r="AT82" s="43"/>
      <c r="AU82" s="43"/>
      <c r="AV82" s="43"/>
      <c r="AW82" s="43"/>
      <c r="AX82" s="43"/>
      <c r="AY82" s="43"/>
      <c r="AZ82" s="43"/>
      <c r="BH82" s="53"/>
      <c r="BI82" s="51"/>
    </row>
    <row r="83" spans="1:61" ht="18" customHeight="1">
      <c r="A83" s="38"/>
      <c r="B83" s="465">
        <v>46160</v>
      </c>
      <c r="C83" s="465"/>
      <c r="D83" s="465"/>
      <c r="E83" s="465"/>
      <c r="F83" s="288" t="s">
        <v>838</v>
      </c>
      <c r="G83" s="288"/>
      <c r="H83" s="288"/>
      <c r="I83" s="288"/>
      <c r="J83" s="288"/>
      <c r="K83" s="288"/>
      <c r="L83" s="288"/>
      <c r="M83" s="288"/>
      <c r="N83" s="288"/>
      <c r="O83" s="288"/>
      <c r="P83" s="288"/>
      <c r="Q83" s="288"/>
      <c r="R83" s="288"/>
      <c r="S83" s="288"/>
      <c r="T83" s="288"/>
      <c r="U83" s="288"/>
      <c r="V83" s="288"/>
      <c r="W83" s="288"/>
      <c r="X83" s="288"/>
      <c r="Y83" s="288"/>
      <c r="Z83" s="288"/>
      <c r="AA83" s="288"/>
      <c r="AB83" s="288"/>
      <c r="AC83" s="288"/>
      <c r="AD83" s="288"/>
      <c r="AE83" s="288"/>
      <c r="AF83" s="288"/>
      <c r="AG83" s="288"/>
      <c r="AH83" s="288"/>
      <c r="AI83" s="289"/>
      <c r="AK83" s="425"/>
      <c r="AL83" s="425"/>
      <c r="AM83" s="425"/>
      <c r="AN83" s="425"/>
      <c r="AO83" s="425"/>
      <c r="AP83" s="425"/>
      <c r="AQ83" s="42"/>
      <c r="AR83" s="43"/>
      <c r="AS83" s="43"/>
      <c r="AT83" s="43"/>
      <c r="AU83" s="43"/>
      <c r="AV83" s="43"/>
      <c r="AW83" s="43"/>
      <c r="AX83" s="43"/>
      <c r="AY83" s="43"/>
      <c r="AZ83" s="43"/>
      <c r="BH83" s="53"/>
      <c r="BI83" s="51"/>
    </row>
    <row r="84" spans="1:61" ht="18" customHeight="1">
      <c r="A84" s="38"/>
      <c r="B84" s="465"/>
      <c r="C84" s="465"/>
      <c r="D84" s="465"/>
      <c r="E84" s="465"/>
      <c r="F84" s="288"/>
      <c r="G84" s="288"/>
      <c r="H84" s="288"/>
      <c r="I84" s="288"/>
      <c r="J84" s="288"/>
      <c r="K84" s="288"/>
      <c r="L84" s="288"/>
      <c r="M84" s="288"/>
      <c r="N84" s="288"/>
      <c r="O84" s="288"/>
      <c r="P84" s="288"/>
      <c r="Q84" s="288"/>
      <c r="R84" s="288"/>
      <c r="S84" s="288"/>
      <c r="T84" s="288"/>
      <c r="U84" s="288"/>
      <c r="V84" s="288"/>
      <c r="W84" s="288"/>
      <c r="X84" s="288"/>
      <c r="Y84" s="288"/>
      <c r="Z84" s="288"/>
      <c r="AA84" s="288"/>
      <c r="AB84" s="288"/>
      <c r="AC84" s="288"/>
      <c r="AD84" s="288"/>
      <c r="AE84" s="288"/>
      <c r="AF84" s="288"/>
      <c r="AG84" s="288"/>
      <c r="AH84" s="288"/>
      <c r="AI84" s="289"/>
      <c r="AK84" s="425"/>
      <c r="AL84" s="425"/>
      <c r="AM84" s="425"/>
      <c r="AN84" s="425"/>
      <c r="AO84" s="425"/>
      <c r="AP84" s="425"/>
      <c r="AQ84" s="42"/>
      <c r="AR84" s="43"/>
      <c r="AS84" s="43"/>
      <c r="AT84" s="43"/>
      <c r="AU84" s="43"/>
      <c r="AV84" s="43"/>
      <c r="AW84" s="43"/>
      <c r="AX84" s="43"/>
      <c r="AY84" s="43"/>
      <c r="AZ84" s="43"/>
    </row>
    <row r="85" spans="1:61" ht="18" customHeight="1">
      <c r="A85" s="38"/>
      <c r="B85" s="465"/>
      <c r="C85" s="465"/>
      <c r="D85" s="465"/>
      <c r="E85" s="465"/>
      <c r="F85" s="288"/>
      <c r="G85" s="288"/>
      <c r="H85" s="288"/>
      <c r="I85" s="288"/>
      <c r="J85" s="288"/>
      <c r="K85" s="288"/>
      <c r="L85" s="288"/>
      <c r="M85" s="288"/>
      <c r="N85" s="288"/>
      <c r="O85" s="288"/>
      <c r="P85" s="288"/>
      <c r="Q85" s="288"/>
      <c r="R85" s="288"/>
      <c r="S85" s="288"/>
      <c r="T85" s="288"/>
      <c r="U85" s="288"/>
      <c r="V85" s="288"/>
      <c r="W85" s="288"/>
      <c r="X85" s="288"/>
      <c r="Y85" s="288"/>
      <c r="Z85" s="288"/>
      <c r="AA85" s="288"/>
      <c r="AB85" s="288"/>
      <c r="AC85" s="288"/>
      <c r="AD85" s="288"/>
      <c r="AE85" s="288"/>
      <c r="AF85" s="288"/>
      <c r="AG85" s="288"/>
      <c r="AH85" s="288"/>
      <c r="AI85" s="289"/>
      <c r="AK85" s="425"/>
      <c r="AL85" s="425"/>
      <c r="AM85" s="425"/>
      <c r="AN85" s="425"/>
      <c r="AO85" s="425"/>
      <c r="AP85" s="425"/>
      <c r="AQ85" s="42"/>
      <c r="AR85" s="43"/>
      <c r="AS85" s="43"/>
      <c r="AT85" s="43"/>
      <c r="AU85" s="43"/>
      <c r="AV85" s="43"/>
      <c r="AW85" s="43"/>
      <c r="AX85" s="43"/>
      <c r="AY85" s="43"/>
      <c r="AZ85" s="43"/>
    </row>
    <row r="86" spans="1:61" ht="18" customHeight="1" thickBot="1">
      <c r="A86" s="41"/>
      <c r="B86" s="540"/>
      <c r="C86" s="540"/>
      <c r="D86" s="540"/>
      <c r="E86" s="540"/>
      <c r="F86" s="541"/>
      <c r="G86" s="541"/>
      <c r="H86" s="541"/>
      <c r="I86" s="541"/>
      <c r="J86" s="541"/>
      <c r="K86" s="541"/>
      <c r="L86" s="541"/>
      <c r="M86" s="541"/>
      <c r="N86" s="541"/>
      <c r="O86" s="541"/>
      <c r="P86" s="541"/>
      <c r="Q86" s="541"/>
      <c r="R86" s="541"/>
      <c r="S86" s="541"/>
      <c r="T86" s="541"/>
      <c r="U86" s="541"/>
      <c r="V86" s="541"/>
      <c r="W86" s="541"/>
      <c r="X86" s="541"/>
      <c r="Y86" s="541"/>
      <c r="Z86" s="541"/>
      <c r="AA86" s="541"/>
      <c r="AB86" s="541"/>
      <c r="AC86" s="541"/>
      <c r="AD86" s="541"/>
      <c r="AE86" s="541"/>
      <c r="AF86" s="541"/>
      <c r="AG86" s="541"/>
      <c r="AH86" s="541"/>
      <c r="AI86" s="542"/>
      <c r="AK86" s="425"/>
      <c r="AL86" s="425"/>
      <c r="AM86" s="425"/>
      <c r="AN86" s="425"/>
      <c r="AO86" s="425"/>
      <c r="AP86" s="425"/>
      <c r="AQ86" s="42"/>
      <c r="AR86" s="43"/>
      <c r="AS86" s="43"/>
      <c r="AT86" s="43"/>
      <c r="AU86" s="43"/>
      <c r="AV86" s="43"/>
      <c r="AW86" s="43"/>
      <c r="AX86" s="43"/>
      <c r="AY86" s="43"/>
      <c r="AZ86" s="43"/>
    </row>
    <row r="87" spans="1:61" ht="14.1" customHeight="1">
      <c r="AK87" s="438"/>
      <c r="AL87" s="438"/>
      <c r="AM87" s="438"/>
      <c r="AN87" s="438"/>
      <c r="AO87" s="438"/>
      <c r="AP87" s="438"/>
      <c r="AQ87" s="119"/>
    </row>
    <row r="88" spans="1:61" ht="14.1" customHeight="1">
      <c r="AK88" s="437"/>
      <c r="AL88" s="437"/>
      <c r="AM88" s="437"/>
      <c r="AN88" s="437"/>
      <c r="AO88" s="437"/>
      <c r="AP88" s="437"/>
      <c r="AQ88" s="120"/>
    </row>
    <row r="89" spans="1:61" ht="14.1" customHeight="1">
      <c r="AK89" s="437"/>
      <c r="AL89" s="437"/>
      <c r="AM89" s="437"/>
      <c r="AN89" s="437"/>
      <c r="AO89" s="437"/>
      <c r="AP89" s="437"/>
      <c r="AQ89" s="120"/>
    </row>
    <row r="90" spans="1:61" ht="14.1" customHeight="1"/>
    <row r="91" spans="1:61" ht="14.1" customHeight="1"/>
    <row r="92" spans="1:61" ht="14.1" customHeight="1"/>
    <row r="93" spans="1:61" ht="14.1" customHeight="1"/>
    <row r="94" spans="1:61" ht="14.1" customHeight="1"/>
    <row r="95" spans="1:61" ht="14.1" customHeight="1"/>
    <row r="96" spans="1:61" ht="14.1" customHeight="1"/>
    <row r="97" ht="14.1" customHeight="1"/>
    <row r="98" ht="14.1" customHeight="1"/>
    <row r="99" ht="14.1" customHeight="1"/>
    <row r="100" ht="14.1" customHeight="1"/>
    <row r="101" ht="14.1" customHeight="1"/>
    <row r="102" ht="14.1" customHeight="1"/>
    <row r="103" ht="14.1" customHeight="1"/>
    <row r="104" ht="14.1" customHeight="1"/>
    <row r="105" ht="14.1" customHeight="1"/>
    <row r="106" ht="14.1" customHeight="1"/>
    <row r="107" ht="14.1" customHeight="1"/>
    <row r="108" ht="14.1" customHeight="1"/>
    <row r="109" ht="14.1" customHeight="1"/>
    <row r="110" ht="14.1" customHeight="1"/>
    <row r="111" ht="14.1" customHeight="1"/>
    <row r="112" ht="14.1" customHeight="1"/>
    <row r="113" ht="14.1" customHeight="1"/>
    <row r="114" ht="14.1" customHeight="1"/>
    <row r="115" ht="14.1" customHeight="1"/>
    <row r="116" ht="14.1" customHeight="1"/>
    <row r="117" ht="14.1" customHeight="1"/>
    <row r="118" ht="14.1" customHeight="1"/>
    <row r="119" ht="14.1" customHeight="1"/>
    <row r="120" ht="14.1" customHeight="1"/>
    <row r="121" ht="14.1" customHeight="1"/>
    <row r="122" ht="14.1" customHeight="1"/>
    <row r="123" ht="14.1" customHeight="1"/>
    <row r="124" ht="14.1" customHeight="1"/>
    <row r="125" ht="14.1" customHeight="1"/>
    <row r="126" ht="14.1" customHeight="1"/>
    <row r="127" ht="14.1" customHeight="1"/>
    <row r="128" ht="14.1" customHeight="1"/>
    <row r="129" ht="14.1" customHeight="1"/>
    <row r="130" ht="14.1" customHeight="1"/>
    <row r="131" ht="14.1" customHeight="1"/>
    <row r="132" ht="14.1" customHeight="1"/>
    <row r="133" ht="14.1" customHeight="1"/>
    <row r="134" ht="14.1" customHeight="1"/>
    <row r="135" ht="14.1" customHeight="1"/>
    <row r="136" ht="14.1" customHeight="1"/>
    <row r="137" ht="14.1" customHeight="1"/>
    <row r="138" ht="14.1" customHeight="1"/>
    <row r="139" ht="14.1" customHeight="1"/>
    <row r="140" ht="14.1" customHeight="1"/>
    <row r="141" ht="14.1" customHeight="1"/>
    <row r="142" ht="14.1" customHeight="1"/>
    <row r="143" ht="14.1" customHeight="1"/>
    <row r="144" ht="14.1" customHeight="1"/>
    <row r="145" ht="14.1" customHeight="1"/>
    <row r="146" ht="14.1" customHeight="1"/>
    <row r="147" ht="14.1" customHeight="1"/>
    <row r="148" ht="14.1" customHeight="1"/>
    <row r="149" ht="14.1" customHeight="1"/>
    <row r="150" ht="14.1" customHeight="1"/>
    <row r="151" ht="14.1" customHeight="1"/>
    <row r="152" ht="14.1" customHeight="1"/>
    <row r="153" ht="14.1" customHeight="1"/>
    <row r="154" ht="14.1" customHeight="1"/>
    <row r="155" ht="14.1" customHeight="1"/>
    <row r="156" ht="14.1" customHeight="1"/>
    <row r="157" ht="14.1" customHeight="1"/>
    <row r="158" ht="14.1" customHeight="1"/>
    <row r="159" ht="14.1" customHeight="1"/>
    <row r="160" ht="14.1" customHeight="1"/>
    <row r="161" ht="14.1" customHeight="1"/>
    <row r="162" ht="14.1" customHeight="1"/>
    <row r="163" ht="14.1" customHeight="1"/>
    <row r="164" ht="14.1" customHeight="1"/>
    <row r="165" ht="14.1" customHeight="1"/>
    <row r="166" ht="14.1" customHeight="1"/>
    <row r="167" ht="14.1" customHeight="1"/>
    <row r="168" ht="14.1" customHeight="1"/>
    <row r="169" ht="14.1" customHeight="1"/>
    <row r="170" ht="14.1" customHeight="1"/>
    <row r="171" ht="14.1" customHeight="1"/>
    <row r="172" ht="14.1" customHeight="1"/>
    <row r="173" ht="14.1" customHeight="1"/>
    <row r="174" ht="14.1" customHeight="1"/>
    <row r="175" ht="14.1" customHeight="1"/>
    <row r="176" ht="14.1" customHeight="1"/>
    <row r="177" ht="14.1" customHeight="1"/>
    <row r="178" ht="14.1" customHeight="1"/>
    <row r="179" ht="14.1" customHeight="1"/>
    <row r="180" ht="14.1" customHeight="1"/>
    <row r="181" ht="14.1" customHeight="1"/>
    <row r="182" ht="14.1" customHeight="1"/>
    <row r="183" ht="14.1" customHeight="1"/>
    <row r="184" ht="14.1" customHeight="1"/>
    <row r="185" ht="14.1" customHeight="1"/>
    <row r="186" ht="14.1" customHeight="1"/>
    <row r="187" ht="14.1" customHeight="1"/>
    <row r="188" ht="14.1" customHeight="1"/>
    <row r="189" ht="14.1" customHeight="1"/>
    <row r="190" ht="14.1" customHeight="1"/>
    <row r="191" ht="14.1" customHeight="1"/>
    <row r="192" ht="14.1" customHeight="1"/>
    <row r="193" ht="14.1" customHeight="1"/>
    <row r="194" ht="14.1" customHeight="1"/>
    <row r="195" ht="14.1" customHeight="1"/>
    <row r="196" ht="14.1" customHeight="1"/>
    <row r="197" ht="14.1" customHeight="1"/>
    <row r="198" ht="14.1" customHeight="1"/>
    <row r="199" ht="14.1" customHeight="1"/>
    <row r="200" ht="14.1" customHeight="1"/>
    <row r="201" ht="14.1" customHeight="1"/>
    <row r="202" ht="14.1" customHeight="1"/>
    <row r="203" ht="14.1" customHeight="1"/>
    <row r="204" ht="14.1" customHeight="1"/>
    <row r="205" ht="14.1" customHeight="1"/>
    <row r="206" ht="14.1" customHeight="1"/>
    <row r="207" ht="14.1" customHeight="1"/>
    <row r="208" ht="14.1" customHeight="1"/>
    <row r="209" ht="14.1" customHeight="1"/>
    <row r="210" ht="14.1" customHeight="1"/>
    <row r="211" ht="14.1" customHeight="1"/>
    <row r="212" ht="14.1" customHeight="1"/>
    <row r="213" ht="14.1" customHeight="1"/>
    <row r="214" ht="14.1" customHeight="1"/>
    <row r="215" ht="14.1" customHeight="1"/>
    <row r="216" ht="14.1" customHeight="1"/>
    <row r="217" ht="14.1" customHeight="1"/>
    <row r="218" ht="14.1" customHeight="1"/>
    <row r="219" ht="14.1" customHeight="1"/>
    <row r="220" ht="14.1" customHeight="1"/>
    <row r="221" ht="14.1" customHeight="1"/>
    <row r="222" ht="14.1" customHeight="1"/>
    <row r="223" ht="14.1" customHeight="1"/>
    <row r="224" ht="14.1" customHeight="1"/>
    <row r="225" ht="14.1" customHeight="1"/>
    <row r="226" ht="14.1" customHeight="1"/>
    <row r="227" ht="14.1" customHeight="1"/>
    <row r="228" ht="14.1" customHeight="1"/>
    <row r="229" ht="14.1" customHeight="1"/>
    <row r="230" ht="14.1" customHeight="1"/>
    <row r="231" ht="14.1" customHeight="1"/>
    <row r="232" ht="14.1" customHeight="1"/>
    <row r="233" ht="14.1" customHeight="1"/>
    <row r="234" ht="14.1" customHeight="1"/>
    <row r="235" ht="14.1" customHeight="1"/>
    <row r="236" ht="14.1" customHeight="1"/>
    <row r="237" ht="14.1" customHeight="1"/>
    <row r="238" ht="14.1" customHeight="1"/>
    <row r="239" ht="14.1" customHeight="1"/>
    <row r="240" ht="14.1" customHeight="1"/>
    <row r="241" ht="14.1" customHeight="1"/>
    <row r="242" ht="14.1" customHeight="1"/>
    <row r="243" ht="14.1" customHeight="1"/>
    <row r="244" ht="14.1" customHeight="1"/>
    <row r="245" ht="14.1" customHeight="1"/>
    <row r="246" ht="14.1" customHeight="1"/>
    <row r="247" ht="14.1" customHeight="1"/>
    <row r="248" ht="14.1" customHeight="1"/>
    <row r="249" ht="14.1" customHeight="1"/>
    <row r="250" ht="14.1" customHeight="1"/>
    <row r="251" ht="14.1" customHeight="1"/>
    <row r="252" ht="14.1" customHeight="1"/>
    <row r="253" ht="14.1" customHeight="1"/>
    <row r="254" ht="14.1" customHeight="1"/>
    <row r="255" ht="14.1" customHeight="1"/>
    <row r="256" ht="14.1" customHeight="1"/>
    <row r="257" ht="14.1" customHeight="1"/>
    <row r="258" ht="14.1" customHeight="1"/>
    <row r="259" ht="14.1" customHeight="1"/>
    <row r="260" ht="14.1" customHeight="1"/>
    <row r="261" ht="14.1" customHeight="1"/>
    <row r="262" ht="14.1" customHeight="1"/>
    <row r="263" ht="14.1" customHeight="1"/>
    <row r="264" ht="14.1" customHeight="1"/>
    <row r="265" ht="14.1" customHeight="1"/>
    <row r="266" ht="14.1" customHeight="1"/>
  </sheetData>
  <sheetProtection algorithmName="SHA-512" hashValue="AVe3eTDm6/v3EkDQl8WH6YBu7qfiUW4iQSXzxaw24wTV4G9rq46zO/UWR2xXCnKnfyt9/Cv3iyCIa1EgUSx4oA==" saltValue="8IlRtWDfJ7JxjKq1XCh7TA==" spinCount="100000" sheet="1" autoFilter="0"/>
  <mergeCells count="381">
    <mergeCell ref="A1:S3"/>
    <mergeCell ref="T1:Z3"/>
    <mergeCell ref="AD1:AI1"/>
    <mergeCell ref="AD2:AF4"/>
    <mergeCell ref="AG2:AI4"/>
    <mergeCell ref="A4:S5"/>
    <mergeCell ref="AK7:AP8"/>
    <mergeCell ref="AQ7:AQ8"/>
    <mergeCell ref="V8:X8"/>
    <mergeCell ref="A9:AI9"/>
    <mergeCell ref="AK9:AP9"/>
    <mergeCell ref="A10:H10"/>
    <mergeCell ref="I10:J10"/>
    <mergeCell ref="K10:L10"/>
    <mergeCell ref="M10:T10"/>
    <mergeCell ref="U10:V10"/>
    <mergeCell ref="O7:P8"/>
    <mergeCell ref="Q7:R8"/>
    <mergeCell ref="S7:T8"/>
    <mergeCell ref="V7:X7"/>
    <mergeCell ref="Y7:AA8"/>
    <mergeCell ref="AB7:AI8"/>
    <mergeCell ref="A7:E8"/>
    <mergeCell ref="F7:F8"/>
    <mergeCell ref="G7:I8"/>
    <mergeCell ref="J7:J8"/>
    <mergeCell ref="K7:M8"/>
    <mergeCell ref="N7:N8"/>
    <mergeCell ref="W10:X10"/>
    <mergeCell ref="Y10:AF10"/>
    <mergeCell ref="AG10:AH10"/>
    <mergeCell ref="AK10:AP10"/>
    <mergeCell ref="A11:H11"/>
    <mergeCell ref="I11:J11"/>
    <mergeCell ref="K11:L11"/>
    <mergeCell ref="M11:T11"/>
    <mergeCell ref="U11:V11"/>
    <mergeCell ref="W11:X11"/>
    <mergeCell ref="Y11:AF11"/>
    <mergeCell ref="AG11:AH11"/>
    <mergeCell ref="AK11:AP11"/>
    <mergeCell ref="A12:H12"/>
    <mergeCell ref="I12:J12"/>
    <mergeCell ref="K12:L12"/>
    <mergeCell ref="M12:T12"/>
    <mergeCell ref="U12:V12"/>
    <mergeCell ref="W12:X12"/>
    <mergeCell ref="Y12:AF12"/>
    <mergeCell ref="AG12:AH12"/>
    <mergeCell ref="AK12:AP12"/>
    <mergeCell ref="A13:H13"/>
    <mergeCell ref="I13:J13"/>
    <mergeCell ref="K13:L13"/>
    <mergeCell ref="M13:T13"/>
    <mergeCell ref="U13:V13"/>
    <mergeCell ref="W13:X13"/>
    <mergeCell ref="Y13:AF13"/>
    <mergeCell ref="AG13:AH13"/>
    <mergeCell ref="AK13:AP13"/>
    <mergeCell ref="A14:AI14"/>
    <mergeCell ref="AK14:AP14"/>
    <mergeCell ref="B15:I15"/>
    <mergeCell ref="J15:L15"/>
    <mergeCell ref="M15:N15"/>
    <mergeCell ref="O15:V15"/>
    <mergeCell ref="W15:Y15"/>
    <mergeCell ref="Z15:AA15"/>
    <mergeCell ref="AB15:AG15"/>
    <mergeCell ref="A18:E18"/>
    <mergeCell ref="F18:AI18"/>
    <mergeCell ref="AK18:AP18"/>
    <mergeCell ref="B19:E19"/>
    <mergeCell ref="F19:AI19"/>
    <mergeCell ref="AK19:AP19"/>
    <mergeCell ref="AH15:AI15"/>
    <mergeCell ref="AK15:AP15"/>
    <mergeCell ref="A16:AI16"/>
    <mergeCell ref="AK16:AP16"/>
    <mergeCell ref="A17:E17"/>
    <mergeCell ref="F17:AI17"/>
    <mergeCell ref="AK17:AP17"/>
    <mergeCell ref="B20:E20"/>
    <mergeCell ref="F20:AI20"/>
    <mergeCell ref="AK20:AP20"/>
    <mergeCell ref="AR20:AR23"/>
    <mergeCell ref="B21:E21"/>
    <mergeCell ref="F21:AI21"/>
    <mergeCell ref="AK21:AP21"/>
    <mergeCell ref="B22:E22"/>
    <mergeCell ref="F22:AI22"/>
    <mergeCell ref="AK22:AP22"/>
    <mergeCell ref="BA23:BB23"/>
    <mergeCell ref="B24:E24"/>
    <mergeCell ref="F24:AI24"/>
    <mergeCell ref="AK24:AP24"/>
    <mergeCell ref="AY24:AZ24"/>
    <mergeCell ref="BA24:BB24"/>
    <mergeCell ref="AS22:AT22"/>
    <mergeCell ref="AU22:AV22"/>
    <mergeCell ref="AY22:AZ22"/>
    <mergeCell ref="BA22:BB22"/>
    <mergeCell ref="B23:E23"/>
    <mergeCell ref="F23:AI23"/>
    <mergeCell ref="AK23:AP23"/>
    <mergeCell ref="AS23:AT23"/>
    <mergeCell ref="AU23:AV23"/>
    <mergeCell ref="AY23:AZ23"/>
    <mergeCell ref="B27:E27"/>
    <mergeCell ref="F27:AI27"/>
    <mergeCell ref="AK27:AP27"/>
    <mergeCell ref="AS27:AT27"/>
    <mergeCell ref="AU27:AW27"/>
    <mergeCell ref="AY27:BB27"/>
    <mergeCell ref="B25:E25"/>
    <mergeCell ref="F25:AI25"/>
    <mergeCell ref="AK25:AP25"/>
    <mergeCell ref="AY25:AZ25"/>
    <mergeCell ref="BA25:BB25"/>
    <mergeCell ref="B26:E26"/>
    <mergeCell ref="F26:AI26"/>
    <mergeCell ref="AK26:AP26"/>
    <mergeCell ref="AS26:AW26"/>
    <mergeCell ref="BA28:BB28"/>
    <mergeCell ref="B29:E29"/>
    <mergeCell ref="F29:AI29"/>
    <mergeCell ref="AK29:AP29"/>
    <mergeCell ref="AS29:AT29"/>
    <mergeCell ref="AU29:AW29"/>
    <mergeCell ref="AY29:AZ29"/>
    <mergeCell ref="BA29:BB29"/>
    <mergeCell ref="B28:E28"/>
    <mergeCell ref="F28:AI28"/>
    <mergeCell ref="AK28:AP28"/>
    <mergeCell ref="AS28:AT28"/>
    <mergeCell ref="AU28:AW28"/>
    <mergeCell ref="AY28:AZ28"/>
    <mergeCell ref="A32:AI32"/>
    <mergeCell ref="AK32:AP32"/>
    <mergeCell ref="AS32:AT32"/>
    <mergeCell ref="AU32:AW32"/>
    <mergeCell ref="AY32:AZ32"/>
    <mergeCell ref="BA32:BB32"/>
    <mergeCell ref="BA30:BB30"/>
    <mergeCell ref="B31:E31"/>
    <mergeCell ref="F31:AI31"/>
    <mergeCell ref="AK31:AP31"/>
    <mergeCell ref="AS31:AT31"/>
    <mergeCell ref="AU31:AW31"/>
    <mergeCell ref="AY31:AZ31"/>
    <mergeCell ref="BA31:BB31"/>
    <mergeCell ref="B30:E30"/>
    <mergeCell ref="F30:AI30"/>
    <mergeCell ref="AK30:AP30"/>
    <mergeCell ref="AS30:AT30"/>
    <mergeCell ref="AU30:AW30"/>
    <mergeCell ref="AY30:AZ30"/>
    <mergeCell ref="BA33:BB33"/>
    <mergeCell ref="B34:E34"/>
    <mergeCell ref="F34:AI34"/>
    <mergeCell ref="AK34:AP34"/>
    <mergeCell ref="AS34:AT34"/>
    <mergeCell ref="AU34:AW34"/>
    <mergeCell ref="AY34:AZ34"/>
    <mergeCell ref="BA34:BB34"/>
    <mergeCell ref="B33:E33"/>
    <mergeCell ref="F33:AI33"/>
    <mergeCell ref="AK33:AP33"/>
    <mergeCell ref="AS33:AT33"/>
    <mergeCell ref="AU33:AW33"/>
    <mergeCell ref="AY33:AZ33"/>
    <mergeCell ref="AY35:AZ35"/>
    <mergeCell ref="BA35:BB35"/>
    <mergeCell ref="A36:E36"/>
    <mergeCell ref="F36:K36"/>
    <mergeCell ref="L36:O36"/>
    <mergeCell ref="P36:R36"/>
    <mergeCell ref="T36:V36"/>
    <mergeCell ref="W36:AB36"/>
    <mergeCell ref="AC36:AI36"/>
    <mergeCell ref="B35:E35"/>
    <mergeCell ref="F35:V35"/>
    <mergeCell ref="W35:AB35"/>
    <mergeCell ref="AC35:AI35"/>
    <mergeCell ref="AK35:AP35"/>
    <mergeCell ref="AS35:AT35"/>
    <mergeCell ref="AK36:AP36"/>
    <mergeCell ref="AS36:AT36"/>
    <mergeCell ref="AU36:AW36"/>
    <mergeCell ref="AU35:AW35"/>
    <mergeCell ref="A39:AI39"/>
    <mergeCell ref="AK39:AP39"/>
    <mergeCell ref="AS39:AT39"/>
    <mergeCell ref="AV39:AW39"/>
    <mergeCell ref="A38:E38"/>
    <mergeCell ref="F38:K38"/>
    <mergeCell ref="L38:O38"/>
    <mergeCell ref="P38:V38"/>
    <mergeCell ref="W38:AB38"/>
    <mergeCell ref="AC38:AI38"/>
    <mergeCell ref="AD40:AI40"/>
    <mergeCell ref="A37:E37"/>
    <mergeCell ref="F37:AI37"/>
    <mergeCell ref="AK40:AP40"/>
    <mergeCell ref="AS40:AT40"/>
    <mergeCell ref="AV40:AW40"/>
    <mergeCell ref="A41:D41"/>
    <mergeCell ref="E41:G41"/>
    <mergeCell ref="I41:K41"/>
    <mergeCell ref="L41:R41"/>
    <mergeCell ref="S41:V41"/>
    <mergeCell ref="W41:Y41"/>
    <mergeCell ref="AA41:AC41"/>
    <mergeCell ref="AD41:AI41"/>
    <mergeCell ref="AK41:AP41"/>
    <mergeCell ref="A40:D40"/>
    <mergeCell ref="E40:K40"/>
    <mergeCell ref="L40:R40"/>
    <mergeCell ref="S40:V40"/>
    <mergeCell ref="W40:AC40"/>
    <mergeCell ref="AK37:AP37"/>
    <mergeCell ref="AS37:AT37"/>
    <mergeCell ref="AU37:AW37"/>
    <mergeCell ref="AK38:AP38"/>
    <mergeCell ref="A42:D42"/>
    <mergeCell ref="E42:G42"/>
    <mergeCell ref="I42:K42"/>
    <mergeCell ref="L42:R42"/>
    <mergeCell ref="S42:V42"/>
    <mergeCell ref="W42:Y42"/>
    <mergeCell ref="AA42:AC42"/>
    <mergeCell ref="AK42:AP42"/>
    <mergeCell ref="AS42:AW42"/>
    <mergeCell ref="A43:D43"/>
    <mergeCell ref="E43:G43"/>
    <mergeCell ref="I43:K43"/>
    <mergeCell ref="L43:R43"/>
    <mergeCell ref="S43:V43"/>
    <mergeCell ref="W43:Y43"/>
    <mergeCell ref="AA43:AC43"/>
    <mergeCell ref="A44:D44"/>
    <mergeCell ref="E44:G44"/>
    <mergeCell ref="I44:K44"/>
    <mergeCell ref="L44:R44"/>
    <mergeCell ref="S44:V44"/>
    <mergeCell ref="W44:Y44"/>
    <mergeCell ref="AA44:AC44"/>
    <mergeCell ref="AD44:AI44"/>
    <mergeCell ref="AD42:AI42"/>
    <mergeCell ref="AK44:AP44"/>
    <mergeCell ref="R45:U45"/>
    <mergeCell ref="W45:X45"/>
    <mergeCell ref="Z45:AA45"/>
    <mergeCell ref="AC45:AD45"/>
    <mergeCell ref="AE45:AF45"/>
    <mergeCell ref="AK45:AP45"/>
    <mergeCell ref="AD43:AI43"/>
    <mergeCell ref="AK43:AP43"/>
    <mergeCell ref="B49:E49"/>
    <mergeCell ref="F49:AI49"/>
    <mergeCell ref="AK49:AP49"/>
    <mergeCell ref="B50:E50"/>
    <mergeCell ref="F50:AI50"/>
    <mergeCell ref="AK50:AP50"/>
    <mergeCell ref="A46:AI46"/>
    <mergeCell ref="AK46:AP46"/>
    <mergeCell ref="B47:E47"/>
    <mergeCell ref="F47:AI47"/>
    <mergeCell ref="AK47:AP47"/>
    <mergeCell ref="B48:E48"/>
    <mergeCell ref="F48:AI48"/>
    <mergeCell ref="AK48:AP48"/>
    <mergeCell ref="B53:E53"/>
    <mergeCell ref="F53:AI53"/>
    <mergeCell ref="AK53:AP53"/>
    <mergeCell ref="B54:E54"/>
    <mergeCell ref="F54:AI54"/>
    <mergeCell ref="AK54:AP54"/>
    <mergeCell ref="B51:E51"/>
    <mergeCell ref="F51:AI51"/>
    <mergeCell ref="AK51:AP51"/>
    <mergeCell ref="B52:E52"/>
    <mergeCell ref="F52:AI52"/>
    <mergeCell ref="AK52:AP52"/>
    <mergeCell ref="B57:E57"/>
    <mergeCell ref="F57:AI57"/>
    <mergeCell ref="AK57:AP57"/>
    <mergeCell ref="B58:E58"/>
    <mergeCell ref="F58:AI58"/>
    <mergeCell ref="AK58:AP58"/>
    <mergeCell ref="B55:E55"/>
    <mergeCell ref="F55:AI55"/>
    <mergeCell ref="AK55:AP55"/>
    <mergeCell ref="B56:E56"/>
    <mergeCell ref="F56:AI56"/>
    <mergeCell ref="AK56:AP56"/>
    <mergeCell ref="B61:E61"/>
    <mergeCell ref="F61:AI61"/>
    <mergeCell ref="AK61:AP61"/>
    <mergeCell ref="B62:E62"/>
    <mergeCell ref="F62:AI62"/>
    <mergeCell ref="AK62:AP62"/>
    <mergeCell ref="B59:E59"/>
    <mergeCell ref="F59:AI59"/>
    <mergeCell ref="AK59:AP59"/>
    <mergeCell ref="B60:E60"/>
    <mergeCell ref="F60:AI60"/>
    <mergeCell ref="AK60:AP60"/>
    <mergeCell ref="B65:E65"/>
    <mergeCell ref="F65:AI65"/>
    <mergeCell ref="AK65:AP65"/>
    <mergeCell ref="B66:E66"/>
    <mergeCell ref="F66:AI66"/>
    <mergeCell ref="AK66:AP66"/>
    <mergeCell ref="B63:E63"/>
    <mergeCell ref="F63:AI63"/>
    <mergeCell ref="AK63:AP63"/>
    <mergeCell ref="B64:E64"/>
    <mergeCell ref="F64:AI64"/>
    <mergeCell ref="AK64:AP64"/>
    <mergeCell ref="B69:E69"/>
    <mergeCell ref="F69:AI69"/>
    <mergeCell ref="AK69:AP69"/>
    <mergeCell ref="B70:E70"/>
    <mergeCell ref="F70:AI70"/>
    <mergeCell ref="AK70:AP70"/>
    <mergeCell ref="B67:E67"/>
    <mergeCell ref="F67:AI67"/>
    <mergeCell ref="AK67:AP67"/>
    <mergeCell ref="B68:E68"/>
    <mergeCell ref="F68:AI68"/>
    <mergeCell ref="AK68:AP68"/>
    <mergeCell ref="B73:E73"/>
    <mergeCell ref="F73:AI73"/>
    <mergeCell ref="AK73:AP73"/>
    <mergeCell ref="B74:E74"/>
    <mergeCell ref="F74:AI74"/>
    <mergeCell ref="AK74:AP74"/>
    <mergeCell ref="B71:E71"/>
    <mergeCell ref="F71:AI71"/>
    <mergeCell ref="AK71:AP71"/>
    <mergeCell ref="B72:E72"/>
    <mergeCell ref="F72:AI72"/>
    <mergeCell ref="AK72:AP72"/>
    <mergeCell ref="B77:E77"/>
    <mergeCell ref="F77:AI77"/>
    <mergeCell ref="AK77:AP77"/>
    <mergeCell ref="B78:E78"/>
    <mergeCell ref="F78:AI78"/>
    <mergeCell ref="AK78:AP78"/>
    <mergeCell ref="B75:E75"/>
    <mergeCell ref="F75:AI75"/>
    <mergeCell ref="AK75:AP75"/>
    <mergeCell ref="B76:E76"/>
    <mergeCell ref="F76:AI76"/>
    <mergeCell ref="AK76:AP76"/>
    <mergeCell ref="A81:AI81"/>
    <mergeCell ref="AK81:AP81"/>
    <mergeCell ref="B82:E82"/>
    <mergeCell ref="F82:AI82"/>
    <mergeCell ref="AK82:AP82"/>
    <mergeCell ref="B83:E83"/>
    <mergeCell ref="F83:AI83"/>
    <mergeCell ref="AK83:AP83"/>
    <mergeCell ref="B79:E79"/>
    <mergeCell ref="F79:AI79"/>
    <mergeCell ref="AK79:AP79"/>
    <mergeCell ref="B80:E80"/>
    <mergeCell ref="F80:AI80"/>
    <mergeCell ref="AK80:AP80"/>
    <mergeCell ref="B86:E86"/>
    <mergeCell ref="F86:AI86"/>
    <mergeCell ref="AK86:AP86"/>
    <mergeCell ref="AK87:AP87"/>
    <mergeCell ref="AK88:AP88"/>
    <mergeCell ref="AK89:AP89"/>
    <mergeCell ref="B84:E84"/>
    <mergeCell ref="F84:AI84"/>
    <mergeCell ref="AK84:AP84"/>
    <mergeCell ref="B85:E85"/>
    <mergeCell ref="F85:AI85"/>
    <mergeCell ref="AK85:AP85"/>
  </mergeCells>
  <phoneticPr fontId="2"/>
  <conditionalFormatting sqref="AQ20:AQ28 AQ30:AQ31 AQ9 AQ11:AQ12 AQ14 AQ33:AQ34">
    <cfRule type="containsBlanks" dxfId="107" priority="12">
      <formula>LEN(TRIM(AQ9))=0</formula>
    </cfRule>
  </conditionalFormatting>
  <conditionalFormatting sqref="BC11:CF11">
    <cfRule type="containsText" dxfId="106" priority="8" operator="containsText" text="青">
      <formula>NOT(ISERROR(SEARCH("青",BC11)))</formula>
    </cfRule>
    <cfRule type="containsText" dxfId="105" priority="9" operator="containsText" text="緑">
      <formula>NOT(ISERROR(SEARCH("緑",BC11)))</formula>
    </cfRule>
    <cfRule type="containsText" dxfId="104" priority="10" operator="containsText" text="黄">
      <formula>NOT(ISERROR(SEARCH("黄",BC11)))</formula>
    </cfRule>
    <cfRule type="containsText" dxfId="103" priority="11" operator="containsText" text="赤">
      <formula>NOT(ISERROR(SEARCH("赤",BC11)))</formula>
    </cfRule>
  </conditionalFormatting>
  <conditionalFormatting sqref="V7:X8">
    <cfRule type="containsBlanks" dxfId="102" priority="7">
      <formula>LEN(TRIM(V7))=0</formula>
    </cfRule>
  </conditionalFormatting>
  <conditionalFormatting sqref="AB7:AI8">
    <cfRule type="containsBlanks" dxfId="101" priority="6">
      <formula>LEN(TRIM(AB7))=0</formula>
    </cfRule>
  </conditionalFormatting>
  <conditionalFormatting sqref="A7:E8 G7:I8 K7:M8 O7:P8">
    <cfRule type="containsBlanks" dxfId="100" priority="5">
      <formula>LEN(TRIM(A7))=0</formula>
    </cfRule>
  </conditionalFormatting>
  <conditionalFormatting sqref="W15:Y15 AH15:AI15 J15:L15">
    <cfRule type="containsBlanks" dxfId="99" priority="4">
      <formula>LEN(TRIM(J15))=0</formula>
    </cfRule>
  </conditionalFormatting>
  <conditionalFormatting sqref="L41:R44">
    <cfRule type="cellIs" dxfId="98" priority="1" operator="equal">
      <formula>0</formula>
    </cfRule>
  </conditionalFormatting>
  <conditionalFormatting sqref="P36:R36 T36:V36 L38:O38 AC38:AI38 AC36:AI36">
    <cfRule type="containsBlanks" dxfId="97" priority="3">
      <formula>LEN(TRIM(L36))=0</formula>
    </cfRule>
  </conditionalFormatting>
  <conditionalFormatting sqref="W41:Y44 AA41:AI44">
    <cfRule type="cellIs" dxfId="96" priority="2" operator="equal">
      <formula>0</formula>
    </cfRule>
  </conditionalFormatting>
  <printOptions horizontalCentered="1" verticalCentered="1"/>
  <pageMargins left="0.70866141732283472" right="0.59055118110236227" top="0.55118110236220474" bottom="0.55118110236220474" header="0.31496062992125984" footer="0.31496062992125984"/>
  <pageSetup paperSize="9" orientation="portrait" horizontalDpi="300" verticalDpi="300" r:id="rId1"/>
  <headerFooter scaleWithDoc="0" alignWithMargins="0">
    <oddFooter>&amp;C&amp;P&amp;Rヒトトヒト株式会社</oddFooter>
  </headerFooter>
  <rowBreaks count="1" manualBreakCount="1">
    <brk id="44" max="34" man="1"/>
  </rowBreaks>
  <drawing r:id="rId2"/>
  <extLst>
    <ext xmlns:x14="http://schemas.microsoft.com/office/spreadsheetml/2009/9/main" uri="{CCE6A557-97BC-4b89-ADB6-D9C93CAAB3DF}">
      <x14:dataValidations xmlns:xm="http://schemas.microsoft.com/office/excel/2006/main" count="6">
        <x14:dataValidation type="list" allowBlank="1" showInputMessage="1" showErrorMessage="1" xr:uid="{570BB607-133C-4944-90A2-23FFF4CCF568}">
          <x14:formula1>
            <xm:f>初期値!$C$12:$C$27</xm:f>
          </x14:formula1>
          <xm:sqref>P36:R36 T36:V36</xm:sqref>
        </x14:dataValidation>
        <x14:dataValidation type="list" allowBlank="1" showInputMessage="1" showErrorMessage="1" xr:uid="{0048AD1A-7D40-44D8-9484-13DE1DC389B5}">
          <x14:formula1>
            <xm:f>初期値!$G$12:$G$24</xm:f>
          </x14:formula1>
          <xm:sqref>V7:X8</xm:sqref>
        </x14:dataValidation>
        <x14:dataValidation type="list" allowBlank="1" showInputMessage="1" showErrorMessage="1" xr:uid="{7AB033E4-12FD-47B1-8F65-DD9E42B46A99}">
          <x14:formula1>
            <xm:f>初期値!$E$12:$E$13</xm:f>
          </x14:formula1>
          <xm:sqref>L38:O38 AC38:AI38 AC36:AI36</xm:sqref>
        </x14:dataValidation>
        <x14:dataValidation type="list" allowBlank="1" showInputMessage="1" showErrorMessage="1" xr:uid="{A3566E0F-23CF-42B8-809E-E26B8D4EE85F}">
          <x14:formula1>
            <xm:f>初期値!$N$22:$N$23</xm:f>
          </x14:formula1>
          <xm:sqref>AW23</xm:sqref>
        </x14:dataValidation>
        <x14:dataValidation type="list" allowBlank="1" showInputMessage="1" showErrorMessage="1" xr:uid="{1A6D514B-9DBB-491B-8774-7E1FD1F96C70}">
          <x14:formula1>
            <xm:f>初期値!$P$12:$P$27</xm:f>
          </x14:formula1>
          <xm:sqref>BA24:BB24 BA22:BB22 BA28:BB28 BA30:BB30 BA32:BB32 BA34:BB34</xm:sqref>
        </x14:dataValidation>
        <x14:dataValidation type="list" allowBlank="1" showInputMessage="1" showErrorMessage="1" xr:uid="{76AFCF95-8D85-4953-B95D-D75D7F8C60A4}">
          <x14:formula1>
            <xm:f>初期値!$N$12:$N$19</xm:f>
          </x14:formula1>
          <xm:sqref>AU22:AV22</xm:sqref>
        </x14:dataValidation>
      </x14:dataValidations>
    </ext>
  </extLst>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45DA308-815C-4266-8104-8744323A2B14}">
  <sheetPr codeName="Sheet30"/>
  <dimension ref="A1:CG266"/>
  <sheetViews>
    <sheetView topLeftCell="A21" zoomScaleNormal="100" zoomScaleSheetLayoutView="100" workbookViewId="0">
      <selection activeCell="A22" sqref="A22:AI22"/>
    </sheetView>
  </sheetViews>
  <sheetFormatPr defaultColWidth="8.875" defaultRowHeight="13.5"/>
  <cols>
    <col min="1" max="42" width="2.25" style="23" customWidth="1"/>
    <col min="43" max="43" width="6" style="23" bestFit="1" customWidth="1"/>
    <col min="44" max="44" width="4.5" style="23" bestFit="1" customWidth="1"/>
    <col min="45" max="45" width="6" style="23" bestFit="1" customWidth="1"/>
    <col min="46" max="46" width="4.5" style="23" bestFit="1" customWidth="1"/>
    <col min="47" max="47" width="9" style="23" bestFit="1" customWidth="1"/>
    <col min="48" max="48" width="8.5" style="23" bestFit="1" customWidth="1"/>
    <col min="49" max="49" width="7.5" style="23" bestFit="1" customWidth="1"/>
    <col min="50" max="50" width="6.5" style="23" bestFit="1" customWidth="1"/>
    <col min="51" max="51" width="7.5" style="23" bestFit="1" customWidth="1"/>
    <col min="52" max="52" width="2.125" style="23" customWidth="1"/>
    <col min="53" max="54" width="7.375" style="23" customWidth="1"/>
    <col min="55" max="63" width="3.625" style="23" bestFit="1" customWidth="1"/>
    <col min="64" max="84" width="4" style="23" bestFit="1" customWidth="1"/>
    <col min="85" max="16384" width="8.875" style="23"/>
  </cols>
  <sheetData>
    <row r="1" spans="1:85" ht="14.1" customHeight="1">
      <c r="A1" s="510" t="s">
        <v>551</v>
      </c>
      <c r="B1" s="510"/>
      <c r="C1" s="510"/>
      <c r="D1" s="510"/>
      <c r="E1" s="510"/>
      <c r="F1" s="510"/>
      <c r="G1" s="510"/>
      <c r="H1" s="510"/>
      <c r="I1" s="510"/>
      <c r="J1" s="510"/>
      <c r="K1" s="510"/>
      <c r="L1" s="510"/>
      <c r="M1" s="510"/>
      <c r="N1" s="510"/>
      <c r="O1" s="510"/>
      <c r="P1" s="510"/>
      <c r="Q1" s="510"/>
      <c r="R1" s="510"/>
      <c r="S1" s="510"/>
      <c r="T1" s="388"/>
      <c r="U1" s="388"/>
      <c r="V1" s="388"/>
      <c r="W1" s="388"/>
      <c r="X1" s="388"/>
      <c r="Y1" s="388"/>
      <c r="Z1" s="388"/>
      <c r="AA1" s="24"/>
      <c r="AB1" s="32"/>
      <c r="AD1" s="252" t="s">
        <v>167</v>
      </c>
      <c r="AE1" s="252"/>
      <c r="AF1" s="252"/>
      <c r="AG1" s="252"/>
      <c r="AH1" s="252"/>
      <c r="AI1" s="252"/>
      <c r="AM1" s="123">
        <v>23</v>
      </c>
      <c r="BB1"/>
    </row>
    <row r="2" spans="1:85" ht="14.1" customHeight="1">
      <c r="A2" s="510"/>
      <c r="B2" s="510"/>
      <c r="C2" s="510"/>
      <c r="D2" s="510"/>
      <c r="E2" s="510"/>
      <c r="F2" s="510"/>
      <c r="G2" s="510"/>
      <c r="H2" s="510"/>
      <c r="I2" s="510"/>
      <c r="J2" s="510"/>
      <c r="K2" s="510"/>
      <c r="L2" s="510"/>
      <c r="M2" s="510"/>
      <c r="N2" s="510"/>
      <c r="O2" s="510"/>
      <c r="P2" s="510"/>
      <c r="Q2" s="510"/>
      <c r="R2" s="510"/>
      <c r="S2" s="510"/>
      <c r="T2" s="388"/>
      <c r="U2" s="388"/>
      <c r="V2" s="388"/>
      <c r="W2" s="388"/>
      <c r="X2" s="388"/>
      <c r="Y2" s="388"/>
      <c r="Z2" s="388"/>
      <c r="AA2" s="25"/>
      <c r="AB2" s="31"/>
      <c r="AD2" s="253"/>
      <c r="AE2" s="253"/>
      <c r="AF2" s="253"/>
      <c r="AG2" s="253"/>
      <c r="AH2" s="253"/>
      <c r="AI2" s="253"/>
      <c r="BA2"/>
    </row>
    <row r="3" spans="1:85" ht="14.1" customHeight="1">
      <c r="A3" s="510"/>
      <c r="B3" s="510"/>
      <c r="C3" s="510"/>
      <c r="D3" s="510"/>
      <c r="E3" s="510"/>
      <c r="F3" s="510"/>
      <c r="G3" s="510"/>
      <c r="H3" s="510"/>
      <c r="I3" s="510"/>
      <c r="J3" s="510"/>
      <c r="K3" s="510"/>
      <c r="L3" s="510"/>
      <c r="M3" s="510"/>
      <c r="N3" s="510"/>
      <c r="O3" s="510"/>
      <c r="P3" s="510"/>
      <c r="Q3" s="510"/>
      <c r="R3" s="510"/>
      <c r="S3" s="510"/>
      <c r="T3" s="388"/>
      <c r="U3" s="388"/>
      <c r="V3" s="388"/>
      <c r="W3" s="388"/>
      <c r="X3" s="388"/>
      <c r="Y3" s="388"/>
      <c r="Z3" s="388"/>
      <c r="AA3" s="25"/>
      <c r="AB3" s="31"/>
      <c r="AD3" s="253"/>
      <c r="AE3" s="253"/>
      <c r="AF3" s="253"/>
      <c r="AG3" s="253"/>
      <c r="AH3" s="253"/>
      <c r="AI3" s="253"/>
      <c r="BA3"/>
    </row>
    <row r="4" spans="1:85" ht="14.1" customHeight="1">
      <c r="A4" s="395" t="s">
        <v>552</v>
      </c>
      <c r="B4" s="395"/>
      <c r="C4" s="395"/>
      <c r="D4" s="395"/>
      <c r="E4" s="395"/>
      <c r="F4" s="395"/>
      <c r="G4" s="395"/>
      <c r="H4" s="395"/>
      <c r="I4" s="395"/>
      <c r="J4" s="395"/>
      <c r="K4" s="395"/>
      <c r="L4" s="395"/>
      <c r="M4" s="395"/>
      <c r="N4" s="395"/>
      <c r="O4" s="395"/>
      <c r="P4" s="395"/>
      <c r="Q4" s="395"/>
      <c r="R4" s="395"/>
      <c r="S4" s="395"/>
      <c r="T4" s="155"/>
      <c r="U4" s="155"/>
      <c r="V4" s="155"/>
      <c r="W4" s="155"/>
      <c r="X4" s="155"/>
      <c r="Y4" s="155"/>
      <c r="Z4" s="155"/>
      <c r="AA4" s="26"/>
      <c r="AB4" s="31"/>
      <c r="AD4" s="253"/>
      <c r="AE4" s="253"/>
      <c r="AF4" s="253"/>
      <c r="AG4" s="253"/>
      <c r="AH4" s="253"/>
      <c r="AI4" s="253"/>
      <c r="BA4"/>
    </row>
    <row r="5" spans="1:85" ht="14.1" customHeight="1">
      <c r="A5" s="395"/>
      <c r="B5" s="395"/>
      <c r="C5" s="395"/>
      <c r="D5" s="395"/>
      <c r="E5" s="395"/>
      <c r="F5" s="395"/>
      <c r="G5" s="395"/>
      <c r="H5" s="395"/>
      <c r="I5" s="395"/>
      <c r="J5" s="395"/>
      <c r="K5" s="395"/>
      <c r="L5" s="395"/>
      <c r="M5" s="395"/>
      <c r="N5" s="395"/>
      <c r="O5" s="395"/>
      <c r="P5" s="395"/>
      <c r="Q5" s="395"/>
      <c r="R5" s="395"/>
      <c r="S5" s="395"/>
      <c r="T5" s="155"/>
      <c r="U5" s="155"/>
      <c r="V5" s="155"/>
      <c r="W5" s="155"/>
      <c r="X5" s="155"/>
      <c r="Y5" s="155"/>
      <c r="Z5" s="155"/>
      <c r="AA5" s="26"/>
      <c r="AB5" s="31"/>
      <c r="AC5" s="31"/>
      <c r="AD5" s="31"/>
      <c r="AE5" s="31"/>
      <c r="AF5" s="31"/>
      <c r="AG5" s="31"/>
      <c r="AH5" s="31"/>
      <c r="AI5" s="31"/>
      <c r="BA5"/>
    </row>
    <row r="6" spans="1:85" ht="14.1" customHeight="1" thickBot="1">
      <c r="A6" s="27"/>
      <c r="B6" s="27"/>
      <c r="C6" s="27"/>
      <c r="D6" s="27"/>
      <c r="E6" s="27"/>
      <c r="F6" s="27"/>
      <c r="G6" s="27"/>
      <c r="H6" s="27"/>
      <c r="I6" s="27"/>
      <c r="BA6"/>
    </row>
    <row r="7" spans="1:85" ht="12" customHeight="1">
      <c r="A7" s="255">
        <f>DATE(初期値!A2,初期値!A3,AM1)</f>
        <v>46196</v>
      </c>
      <c r="B7" s="256"/>
      <c r="C7" s="256"/>
      <c r="D7" s="256"/>
      <c r="E7" s="256"/>
      <c r="F7" s="259" t="s">
        <v>169</v>
      </c>
      <c r="G7" s="236">
        <f>$A$7</f>
        <v>46196</v>
      </c>
      <c r="H7" s="236"/>
      <c r="I7" s="236"/>
      <c r="J7" s="239" t="s">
        <v>170</v>
      </c>
      <c r="K7" s="261">
        <f>$A$7</f>
        <v>46196</v>
      </c>
      <c r="L7" s="261"/>
      <c r="M7" s="261"/>
      <c r="N7" s="239" t="s">
        <v>3</v>
      </c>
      <c r="O7" s="520">
        <f>$A$7</f>
        <v>46196</v>
      </c>
      <c r="P7" s="520"/>
      <c r="Q7" s="239" t="s">
        <v>292</v>
      </c>
      <c r="R7" s="240"/>
      <c r="S7" s="522" t="s">
        <v>553</v>
      </c>
      <c r="T7" s="244"/>
      <c r="U7" s="29" t="s">
        <v>554</v>
      </c>
      <c r="V7" s="518" t="s">
        <v>37</v>
      </c>
      <c r="W7" s="518"/>
      <c r="X7" s="518"/>
      <c r="Y7" s="511" t="s">
        <v>555</v>
      </c>
      <c r="Z7" s="512"/>
      <c r="AA7" s="513"/>
      <c r="AB7" s="244" t="str">
        <f>L43</f>
        <v>石井忠志</v>
      </c>
      <c r="AC7" s="244"/>
      <c r="AD7" s="244"/>
      <c r="AE7" s="244"/>
      <c r="AF7" s="244"/>
      <c r="AG7" s="244"/>
      <c r="AH7" s="244"/>
      <c r="AI7" s="245"/>
      <c r="AK7" s="425" t="s">
        <v>556</v>
      </c>
      <c r="AL7" s="425"/>
      <c r="AM7" s="425"/>
      <c r="AN7" s="425"/>
      <c r="AO7" s="425"/>
      <c r="AP7" s="425"/>
      <c r="AQ7" s="439" t="s">
        <v>557</v>
      </c>
      <c r="AR7" s="43"/>
      <c r="AS7" s="43"/>
      <c r="AT7" s="43"/>
      <c r="AU7" s="43"/>
      <c r="AV7" s="43"/>
      <c r="AW7" s="43"/>
      <c r="AX7" s="43"/>
      <c r="AY7" s="43"/>
      <c r="AZ7" s="43"/>
      <c r="BA7"/>
    </row>
    <row r="8" spans="1:85" ht="12" customHeight="1" thickBot="1">
      <c r="A8" s="257"/>
      <c r="B8" s="258"/>
      <c r="C8" s="258"/>
      <c r="D8" s="258"/>
      <c r="E8" s="258"/>
      <c r="F8" s="260"/>
      <c r="G8" s="237"/>
      <c r="H8" s="237"/>
      <c r="I8" s="237"/>
      <c r="J8" s="242"/>
      <c r="K8" s="262"/>
      <c r="L8" s="262"/>
      <c r="M8" s="262"/>
      <c r="N8" s="242"/>
      <c r="O8" s="521"/>
      <c r="P8" s="521"/>
      <c r="Q8" s="242"/>
      <c r="R8" s="243"/>
      <c r="S8" s="523"/>
      <c r="T8" s="246"/>
      <c r="U8" s="33" t="s">
        <v>558</v>
      </c>
      <c r="V8" s="519" t="s">
        <v>30</v>
      </c>
      <c r="W8" s="519"/>
      <c r="X8" s="519"/>
      <c r="Y8" s="514"/>
      <c r="Z8" s="515"/>
      <c r="AA8" s="516"/>
      <c r="AB8" s="246"/>
      <c r="AC8" s="246"/>
      <c r="AD8" s="246"/>
      <c r="AE8" s="246"/>
      <c r="AF8" s="246"/>
      <c r="AG8" s="246"/>
      <c r="AH8" s="246"/>
      <c r="AI8" s="247"/>
      <c r="AK8" s="425"/>
      <c r="AL8" s="425"/>
      <c r="AM8" s="425"/>
      <c r="AN8" s="425"/>
      <c r="AO8" s="425"/>
      <c r="AP8" s="425"/>
      <c r="AQ8" s="439"/>
      <c r="AR8" s="43"/>
      <c r="AS8" s="43"/>
      <c r="AT8" s="43"/>
      <c r="AU8" s="43"/>
      <c r="AV8" s="43"/>
      <c r="AW8" s="43"/>
      <c r="AX8" s="43"/>
      <c r="AY8" s="43"/>
      <c r="AZ8" s="43"/>
      <c r="BA8"/>
    </row>
    <row r="9" spans="1:85" ht="18" customHeight="1">
      <c r="A9" s="507" t="s">
        <v>559</v>
      </c>
      <c r="B9" s="508"/>
      <c r="C9" s="508"/>
      <c r="D9" s="508"/>
      <c r="E9" s="508"/>
      <c r="F9" s="508"/>
      <c r="G9" s="508"/>
      <c r="H9" s="508"/>
      <c r="I9" s="508"/>
      <c r="J9" s="508"/>
      <c r="K9" s="508"/>
      <c r="L9" s="508"/>
      <c r="M9" s="508"/>
      <c r="N9" s="508"/>
      <c r="O9" s="508"/>
      <c r="P9" s="508"/>
      <c r="Q9" s="508"/>
      <c r="R9" s="508"/>
      <c r="S9" s="508"/>
      <c r="T9" s="508"/>
      <c r="U9" s="508"/>
      <c r="V9" s="508"/>
      <c r="W9" s="508"/>
      <c r="X9" s="508"/>
      <c r="Y9" s="508"/>
      <c r="Z9" s="508"/>
      <c r="AA9" s="508"/>
      <c r="AB9" s="508"/>
      <c r="AC9" s="508"/>
      <c r="AD9" s="508"/>
      <c r="AE9" s="508"/>
      <c r="AF9" s="508"/>
      <c r="AG9" s="508"/>
      <c r="AH9" s="508"/>
      <c r="AI9" s="509"/>
      <c r="AK9" s="440" t="s">
        <v>560</v>
      </c>
      <c r="AL9" s="440"/>
      <c r="AM9" s="440"/>
      <c r="AN9" s="440"/>
      <c r="AO9" s="440"/>
      <c r="AP9" s="440"/>
      <c r="AQ9" s="42">
        <v>56</v>
      </c>
      <c r="AR9" s="43"/>
      <c r="AS9" s="44" t="s">
        <v>561</v>
      </c>
      <c r="AT9" s="44" t="s">
        <v>562</v>
      </c>
      <c r="AU9" s="44" t="s">
        <v>563</v>
      </c>
      <c r="AV9" s="44" t="s">
        <v>564</v>
      </c>
      <c r="AW9" s="45" t="s">
        <v>565</v>
      </c>
      <c r="AX9" s="45" t="s">
        <v>566</v>
      </c>
      <c r="AY9" s="44" t="s">
        <v>567</v>
      </c>
      <c r="AZ9" s="43"/>
      <c r="BB9" s="49" t="s">
        <v>568</v>
      </c>
      <c r="BC9" s="43"/>
      <c r="BD9" s="43"/>
      <c r="BE9" s="43"/>
      <c r="BF9" s="43"/>
      <c r="BG9" s="43"/>
      <c r="BH9" s="43"/>
      <c r="BI9" s="43"/>
      <c r="BJ9" s="43"/>
      <c r="BK9" s="43"/>
      <c r="BL9" s="43"/>
      <c r="BM9" s="43"/>
      <c r="BN9" s="43"/>
      <c r="BO9" s="43"/>
      <c r="BP9" s="43"/>
      <c r="BQ9" s="43"/>
      <c r="BR9" s="43"/>
      <c r="BS9" s="43"/>
      <c r="BT9" s="43"/>
      <c r="BU9" s="43"/>
      <c r="BV9" s="43"/>
      <c r="BW9" s="43"/>
      <c r="BX9" s="43"/>
      <c r="BY9" s="43"/>
      <c r="BZ9" s="43"/>
      <c r="CA9" s="43"/>
      <c r="CB9" s="43"/>
      <c r="CC9" s="43"/>
      <c r="CD9" s="43"/>
      <c r="CE9" s="43"/>
      <c r="CF9" s="43"/>
      <c r="CG9" s="43"/>
    </row>
    <row r="10" spans="1:85" ht="18" customHeight="1">
      <c r="A10" s="265" t="s">
        <v>569</v>
      </c>
      <c r="B10" s="266"/>
      <c r="C10" s="266"/>
      <c r="D10" s="266"/>
      <c r="E10" s="266"/>
      <c r="F10" s="266"/>
      <c r="G10" s="266"/>
      <c r="H10" s="266"/>
      <c r="I10" s="264">
        <f>AQ14</f>
        <v>2</v>
      </c>
      <c r="J10" s="264"/>
      <c r="K10" s="267" t="s">
        <v>176</v>
      </c>
      <c r="L10" s="268"/>
      <c r="M10" s="269" t="s">
        <v>570</v>
      </c>
      <c r="N10" s="266"/>
      <c r="O10" s="266"/>
      <c r="P10" s="266"/>
      <c r="Q10" s="266"/>
      <c r="R10" s="266"/>
      <c r="S10" s="266"/>
      <c r="T10" s="266"/>
      <c r="U10" s="264">
        <f>AQ37</f>
        <v>0</v>
      </c>
      <c r="V10" s="264"/>
      <c r="W10" s="267" t="s">
        <v>176</v>
      </c>
      <c r="X10" s="268"/>
      <c r="Y10" s="269" t="s">
        <v>571</v>
      </c>
      <c r="Z10" s="266"/>
      <c r="AA10" s="266"/>
      <c r="AB10" s="266"/>
      <c r="AC10" s="266"/>
      <c r="AD10" s="266"/>
      <c r="AE10" s="266"/>
      <c r="AF10" s="266"/>
      <c r="AG10" s="264">
        <f>AQ26+AQ25</f>
        <v>0</v>
      </c>
      <c r="AH10" s="264"/>
      <c r="AI10" s="28" t="s">
        <v>176</v>
      </c>
      <c r="AK10" s="440" t="s">
        <v>572</v>
      </c>
      <c r="AL10" s="440"/>
      <c r="AM10" s="440"/>
      <c r="AN10" s="440"/>
      <c r="AO10" s="440"/>
      <c r="AP10" s="440"/>
      <c r="AQ10" s="42"/>
      <c r="AR10" s="43"/>
      <c r="AS10" s="46">
        <v>1</v>
      </c>
      <c r="AT10" s="46"/>
      <c r="AU10" s="46" t="s">
        <v>119</v>
      </c>
      <c r="AV10" s="47" t="s">
        <v>573</v>
      </c>
      <c r="AW10" s="47" t="s">
        <v>574</v>
      </c>
      <c r="AX10" s="47">
        <v>0.33333333333333331</v>
      </c>
      <c r="AY10" s="47">
        <v>0.83333333333333337</v>
      </c>
      <c r="AZ10" s="43"/>
      <c r="BB10" s="49" t="s">
        <v>95</v>
      </c>
      <c r="BC10" s="120">
        <v>1</v>
      </c>
      <c r="BD10" s="120">
        <v>2</v>
      </c>
      <c r="BE10" s="120">
        <v>3</v>
      </c>
      <c r="BF10" s="120">
        <v>4</v>
      </c>
      <c r="BG10" s="120">
        <v>5</v>
      </c>
      <c r="BH10" s="120">
        <v>6</v>
      </c>
      <c r="BI10" s="120">
        <v>7</v>
      </c>
      <c r="BJ10" s="120">
        <v>8</v>
      </c>
      <c r="BK10" s="120">
        <v>9</v>
      </c>
      <c r="BL10" s="120">
        <v>10</v>
      </c>
      <c r="BM10" s="120">
        <v>11</v>
      </c>
      <c r="BN10" s="120">
        <v>12</v>
      </c>
      <c r="BO10" s="120">
        <v>13</v>
      </c>
      <c r="BP10" s="120">
        <v>14</v>
      </c>
      <c r="BQ10" s="120">
        <v>15</v>
      </c>
      <c r="BR10" s="120">
        <v>16</v>
      </c>
      <c r="BS10" s="120">
        <v>17</v>
      </c>
      <c r="BT10" s="120">
        <v>18</v>
      </c>
      <c r="BU10" s="120">
        <v>19</v>
      </c>
      <c r="BV10" s="120">
        <v>20</v>
      </c>
      <c r="BW10" s="120">
        <v>21</v>
      </c>
      <c r="BX10" s="120">
        <v>22</v>
      </c>
      <c r="BY10" s="120">
        <v>23</v>
      </c>
      <c r="BZ10" s="120">
        <v>24</v>
      </c>
      <c r="CA10" s="120">
        <v>25</v>
      </c>
      <c r="CB10" s="120">
        <v>26</v>
      </c>
      <c r="CC10" s="120">
        <v>27</v>
      </c>
      <c r="CD10" s="120">
        <v>28</v>
      </c>
      <c r="CE10" s="120">
        <v>29</v>
      </c>
      <c r="CF10" s="120">
        <v>30</v>
      </c>
      <c r="CG10" s="43"/>
    </row>
    <row r="11" spans="1:85" ht="18" customHeight="1">
      <c r="A11" s="265" t="s">
        <v>575</v>
      </c>
      <c r="B11" s="266"/>
      <c r="C11" s="266"/>
      <c r="D11" s="266"/>
      <c r="E11" s="266"/>
      <c r="F11" s="266"/>
      <c r="G11" s="266"/>
      <c r="H11" s="266"/>
      <c r="I11" s="264">
        <f>AQ27</f>
        <v>0</v>
      </c>
      <c r="J11" s="264"/>
      <c r="K11" s="267" t="s">
        <v>176</v>
      </c>
      <c r="L11" s="268"/>
      <c r="M11" s="269" t="s">
        <v>576</v>
      </c>
      <c r="N11" s="266"/>
      <c r="O11" s="266"/>
      <c r="P11" s="266"/>
      <c r="Q11" s="266"/>
      <c r="R11" s="266"/>
      <c r="S11" s="266"/>
      <c r="T11" s="266"/>
      <c r="U11" s="264">
        <f>AQ36</f>
        <v>0</v>
      </c>
      <c r="V11" s="264"/>
      <c r="W11" s="267" t="s">
        <v>176</v>
      </c>
      <c r="X11" s="268"/>
      <c r="Y11" s="269" t="s">
        <v>577</v>
      </c>
      <c r="Z11" s="266"/>
      <c r="AA11" s="266"/>
      <c r="AB11" s="266"/>
      <c r="AC11" s="266"/>
      <c r="AD11" s="266"/>
      <c r="AE11" s="266"/>
      <c r="AF11" s="266"/>
      <c r="AG11" s="264">
        <f>AQ34</f>
        <v>0</v>
      </c>
      <c r="AH11" s="264"/>
      <c r="AI11" s="28" t="s">
        <v>176</v>
      </c>
      <c r="AK11" s="441" t="s">
        <v>578</v>
      </c>
      <c r="AL11" s="442"/>
      <c r="AM11" s="442"/>
      <c r="AN11" s="442"/>
      <c r="AO11" s="442"/>
      <c r="AP11" s="443"/>
      <c r="AQ11" s="42">
        <v>21</v>
      </c>
      <c r="AR11" s="43"/>
      <c r="AS11" s="46">
        <v>2</v>
      </c>
      <c r="AT11" s="46"/>
      <c r="AU11" s="46"/>
      <c r="AV11" s="47" t="s">
        <v>579</v>
      </c>
      <c r="AW11" s="47" t="s">
        <v>580</v>
      </c>
      <c r="AX11" s="47">
        <v>0.33333333333333331</v>
      </c>
      <c r="AY11" s="47">
        <v>0.58333333333333337</v>
      </c>
      <c r="AZ11" s="43"/>
      <c r="BB11" s="121" t="s">
        <v>581</v>
      </c>
      <c r="BC11" s="138" t="s">
        <v>582</v>
      </c>
      <c r="BD11" s="138" t="s">
        <v>583</v>
      </c>
      <c r="BE11" s="138" t="s">
        <v>584</v>
      </c>
      <c r="BF11" s="138" t="s">
        <v>585</v>
      </c>
      <c r="BG11" s="139" t="s">
        <v>584</v>
      </c>
      <c r="BH11" s="138" t="s">
        <v>582</v>
      </c>
      <c r="BI11" s="138" t="s">
        <v>585</v>
      </c>
      <c r="BJ11" s="138" t="s">
        <v>583</v>
      </c>
      <c r="BK11" s="138" t="s">
        <v>584</v>
      </c>
      <c r="BL11" s="138" t="s">
        <v>583</v>
      </c>
      <c r="BM11" s="138" t="s">
        <v>585</v>
      </c>
      <c r="BN11" s="138" t="s">
        <v>582</v>
      </c>
      <c r="BO11" s="138" t="s">
        <v>584</v>
      </c>
      <c r="BP11" s="138" t="s">
        <v>585</v>
      </c>
      <c r="BQ11" s="138" t="s">
        <v>583</v>
      </c>
      <c r="BR11" s="138" t="s">
        <v>585</v>
      </c>
      <c r="BS11" s="138" t="s">
        <v>584</v>
      </c>
      <c r="BT11" s="138" t="s">
        <v>582</v>
      </c>
      <c r="BU11" s="138" t="s">
        <v>583</v>
      </c>
      <c r="BV11" s="138" t="s">
        <v>585</v>
      </c>
      <c r="BW11" s="138" t="s">
        <v>582</v>
      </c>
      <c r="BX11" s="138" t="s">
        <v>584</v>
      </c>
      <c r="BY11" s="138" t="s">
        <v>585</v>
      </c>
      <c r="BZ11" s="138" t="s">
        <v>583</v>
      </c>
      <c r="CA11" s="138" t="s">
        <v>582</v>
      </c>
      <c r="CB11" s="138" t="s">
        <v>585</v>
      </c>
      <c r="CC11" s="138" t="s">
        <v>584</v>
      </c>
      <c r="CD11" s="138" t="s">
        <v>582</v>
      </c>
      <c r="CE11" s="138" t="s">
        <v>585</v>
      </c>
      <c r="CF11" s="138" t="s">
        <v>583</v>
      </c>
      <c r="CG11" s="43"/>
    </row>
    <row r="12" spans="1:85" ht="18" customHeight="1">
      <c r="A12" s="265" t="s">
        <v>586</v>
      </c>
      <c r="B12" s="266"/>
      <c r="C12" s="266"/>
      <c r="D12" s="266"/>
      <c r="E12" s="266"/>
      <c r="F12" s="266"/>
      <c r="G12" s="266"/>
      <c r="H12" s="266"/>
      <c r="I12" s="264">
        <f>AQ33</f>
        <v>0</v>
      </c>
      <c r="J12" s="264"/>
      <c r="K12" s="267" t="s">
        <v>176</v>
      </c>
      <c r="L12" s="268"/>
      <c r="M12" s="269" t="s">
        <v>587</v>
      </c>
      <c r="N12" s="266"/>
      <c r="O12" s="266"/>
      <c r="P12" s="266"/>
      <c r="Q12" s="266"/>
      <c r="R12" s="266"/>
      <c r="S12" s="266"/>
      <c r="T12" s="266"/>
      <c r="U12" s="264">
        <f>AQ24</f>
        <v>0</v>
      </c>
      <c r="V12" s="264"/>
      <c r="W12" s="267" t="s">
        <v>176</v>
      </c>
      <c r="X12" s="268"/>
      <c r="Y12" s="269" t="s">
        <v>588</v>
      </c>
      <c r="Z12" s="266"/>
      <c r="AA12" s="266"/>
      <c r="AB12" s="266"/>
      <c r="AC12" s="266"/>
      <c r="AD12" s="266"/>
      <c r="AE12" s="266"/>
      <c r="AF12" s="266"/>
      <c r="AG12" s="264">
        <f>AQ20+AQ21+AQ22+AQ23</f>
        <v>0</v>
      </c>
      <c r="AH12" s="264"/>
      <c r="AI12" s="28" t="s">
        <v>176</v>
      </c>
      <c r="AK12" s="441" t="s">
        <v>589</v>
      </c>
      <c r="AL12" s="442"/>
      <c r="AM12" s="442"/>
      <c r="AN12" s="442"/>
      <c r="AO12" s="442"/>
      <c r="AP12" s="443"/>
      <c r="AQ12" s="42">
        <v>7</v>
      </c>
      <c r="AR12" s="43"/>
      <c r="AS12" s="46">
        <v>3</v>
      </c>
      <c r="AT12" s="46"/>
      <c r="AU12" s="46"/>
      <c r="AV12" s="47" t="s">
        <v>590</v>
      </c>
      <c r="AW12" s="47" t="s">
        <v>574</v>
      </c>
      <c r="AX12" s="47">
        <v>0.58333333333333337</v>
      </c>
      <c r="AY12" s="47">
        <v>0.83333333333333337</v>
      </c>
      <c r="AZ12" s="43"/>
      <c r="BB12" s="49"/>
      <c r="BC12" s="43"/>
      <c r="BD12" s="43"/>
      <c r="BE12" s="43"/>
      <c r="BF12" s="43"/>
      <c r="BG12" s="43"/>
      <c r="BH12" s="43"/>
      <c r="BI12" s="43"/>
      <c r="BJ12" s="43"/>
      <c r="BK12" s="43"/>
      <c r="BL12" s="43"/>
      <c r="BM12" s="43"/>
      <c r="BN12" s="43"/>
      <c r="BO12" s="43"/>
      <c r="BP12" s="43"/>
      <c r="BQ12" s="43"/>
      <c r="BR12" s="43"/>
      <c r="BS12" s="43"/>
      <c r="BT12" s="43"/>
      <c r="BU12" s="43"/>
      <c r="BV12" s="43"/>
      <c r="BW12" s="43"/>
      <c r="BX12" s="43"/>
      <c r="BY12" s="43"/>
      <c r="BZ12" s="43"/>
      <c r="CA12" s="43"/>
      <c r="CB12" s="43"/>
      <c r="CC12" s="43"/>
      <c r="CD12" s="43"/>
      <c r="CE12" s="43"/>
      <c r="CF12" s="43"/>
      <c r="CG12" s="43"/>
    </row>
    <row r="13" spans="1:85" ht="18" customHeight="1" thickBot="1">
      <c r="A13" s="517" t="s">
        <v>591</v>
      </c>
      <c r="B13" s="277"/>
      <c r="C13" s="277"/>
      <c r="D13" s="277"/>
      <c r="E13" s="277"/>
      <c r="F13" s="277"/>
      <c r="G13" s="277"/>
      <c r="H13" s="277"/>
      <c r="I13" s="272">
        <f>AQ30+AQ31</f>
        <v>0</v>
      </c>
      <c r="J13" s="272"/>
      <c r="K13" s="273" t="s">
        <v>176</v>
      </c>
      <c r="L13" s="274"/>
      <c r="M13" s="276" t="s">
        <v>592</v>
      </c>
      <c r="N13" s="277"/>
      <c r="O13" s="277"/>
      <c r="P13" s="277"/>
      <c r="Q13" s="277"/>
      <c r="R13" s="277"/>
      <c r="S13" s="277"/>
      <c r="T13" s="277"/>
      <c r="U13" s="272">
        <f>AQ28</f>
        <v>0</v>
      </c>
      <c r="V13" s="272"/>
      <c r="W13" s="273" t="s">
        <v>176</v>
      </c>
      <c r="X13" s="274"/>
      <c r="Y13" s="276" t="s">
        <v>593</v>
      </c>
      <c r="Z13" s="277"/>
      <c r="AA13" s="277"/>
      <c r="AB13" s="277"/>
      <c r="AC13" s="277"/>
      <c r="AD13" s="277"/>
      <c r="AE13" s="277"/>
      <c r="AF13" s="277"/>
      <c r="AG13" s="272">
        <f>AQ13</f>
        <v>0</v>
      </c>
      <c r="AH13" s="272"/>
      <c r="AI13" s="34" t="s">
        <v>176</v>
      </c>
      <c r="AK13" s="425" t="s">
        <v>594</v>
      </c>
      <c r="AL13" s="425"/>
      <c r="AM13" s="425"/>
      <c r="AN13" s="425"/>
      <c r="AO13" s="425"/>
      <c r="AP13" s="425"/>
      <c r="AQ13" s="42"/>
      <c r="AR13" s="43"/>
      <c r="AS13" s="46">
        <v>4</v>
      </c>
      <c r="AT13" s="46"/>
      <c r="AU13" s="46" t="s">
        <v>602</v>
      </c>
      <c r="AV13" s="47" t="s">
        <v>595</v>
      </c>
      <c r="AW13" s="47" t="s">
        <v>596</v>
      </c>
      <c r="AX13" s="47">
        <v>0.33333333333333331</v>
      </c>
      <c r="AY13" s="47">
        <v>0.83333333333333337</v>
      </c>
      <c r="AZ13" s="43"/>
      <c r="BB13" s="121" t="s">
        <v>597</v>
      </c>
      <c r="BC13" s="140" t="s">
        <v>20</v>
      </c>
      <c r="BD13" s="140" t="s">
        <v>119</v>
      </c>
      <c r="BE13" s="140" t="s">
        <v>20</v>
      </c>
      <c r="BF13" s="140" t="s">
        <v>20</v>
      </c>
      <c r="BG13" s="140" t="s">
        <v>20</v>
      </c>
      <c r="BH13" s="140" t="s">
        <v>20</v>
      </c>
      <c r="BI13" s="140" t="s">
        <v>80</v>
      </c>
      <c r="BJ13" s="140" t="s">
        <v>20</v>
      </c>
      <c r="BK13" s="140" t="s">
        <v>20</v>
      </c>
      <c r="BL13" s="140" t="s">
        <v>20</v>
      </c>
      <c r="BM13" s="140" t="s">
        <v>20</v>
      </c>
      <c r="BN13" s="140" t="s">
        <v>20</v>
      </c>
      <c r="BO13" s="140" t="s">
        <v>119</v>
      </c>
      <c r="BP13" s="140" t="s">
        <v>119</v>
      </c>
      <c r="BQ13" s="140" t="s">
        <v>20</v>
      </c>
      <c r="BR13" s="140" t="s">
        <v>119</v>
      </c>
      <c r="BS13" s="140" t="s">
        <v>20</v>
      </c>
      <c r="BT13" s="140" t="s">
        <v>20</v>
      </c>
      <c r="BU13" s="140" t="s">
        <v>20</v>
      </c>
      <c r="BV13" s="140" t="s">
        <v>119</v>
      </c>
      <c r="BW13" s="140" t="s">
        <v>119</v>
      </c>
      <c r="BX13" s="140" t="s">
        <v>20</v>
      </c>
      <c r="BY13" s="140" t="s">
        <v>119</v>
      </c>
      <c r="BZ13" s="140" t="s">
        <v>20</v>
      </c>
      <c r="CA13" s="140" t="s">
        <v>119</v>
      </c>
      <c r="CB13" s="140" t="s">
        <v>20</v>
      </c>
      <c r="CC13" s="140" t="s">
        <v>20</v>
      </c>
      <c r="CD13" s="140" t="s">
        <v>119</v>
      </c>
      <c r="CE13" s="140" t="s">
        <v>20</v>
      </c>
      <c r="CF13" s="140" t="s">
        <v>119</v>
      </c>
      <c r="CG13" s="43"/>
    </row>
    <row r="14" spans="1:85" ht="18" customHeight="1" thickBot="1">
      <c r="A14" s="452" t="s">
        <v>598</v>
      </c>
      <c r="B14" s="453"/>
      <c r="C14" s="453"/>
      <c r="D14" s="453"/>
      <c r="E14" s="453"/>
      <c r="F14" s="453"/>
      <c r="G14" s="453"/>
      <c r="H14" s="453"/>
      <c r="I14" s="453"/>
      <c r="J14" s="453"/>
      <c r="K14" s="453"/>
      <c r="L14" s="453"/>
      <c r="M14" s="453"/>
      <c r="N14" s="453"/>
      <c r="O14" s="453"/>
      <c r="P14" s="453"/>
      <c r="Q14" s="453"/>
      <c r="R14" s="453"/>
      <c r="S14" s="453"/>
      <c r="T14" s="453"/>
      <c r="U14" s="453"/>
      <c r="V14" s="453"/>
      <c r="W14" s="453"/>
      <c r="X14" s="453"/>
      <c r="Y14" s="453"/>
      <c r="Z14" s="453"/>
      <c r="AA14" s="453"/>
      <c r="AB14" s="453"/>
      <c r="AC14" s="453"/>
      <c r="AD14" s="453"/>
      <c r="AE14" s="453"/>
      <c r="AF14" s="453"/>
      <c r="AG14" s="453"/>
      <c r="AH14" s="453"/>
      <c r="AI14" s="454"/>
      <c r="AK14" s="440" t="s">
        <v>599</v>
      </c>
      <c r="AL14" s="440"/>
      <c r="AM14" s="440"/>
      <c r="AN14" s="440"/>
      <c r="AO14" s="440"/>
      <c r="AP14" s="440"/>
      <c r="AQ14" s="42">
        <v>2</v>
      </c>
      <c r="AR14" s="43"/>
      <c r="AS14" s="46">
        <v>5</v>
      </c>
      <c r="AT14" s="46"/>
      <c r="AU14" s="46" t="s">
        <v>20</v>
      </c>
      <c r="AV14" s="47" t="s">
        <v>600</v>
      </c>
      <c r="AW14" s="47" t="s">
        <v>596</v>
      </c>
      <c r="AX14" s="47">
        <v>0.33333333333333331</v>
      </c>
      <c r="AY14" s="47">
        <v>0.83333333333333337</v>
      </c>
      <c r="AZ14" s="43"/>
      <c r="BB14" s="121" t="s">
        <v>601</v>
      </c>
      <c r="BC14" s="162" t="s">
        <v>28</v>
      </c>
      <c r="BD14" s="162" t="s">
        <v>602</v>
      </c>
      <c r="BE14" s="162" t="s">
        <v>602</v>
      </c>
      <c r="BF14" s="162" t="s">
        <v>28</v>
      </c>
      <c r="BG14" s="162" t="s">
        <v>602</v>
      </c>
      <c r="BH14" s="162" t="s">
        <v>602</v>
      </c>
      <c r="BI14" s="162" t="s">
        <v>28</v>
      </c>
      <c r="BJ14" s="162" t="s">
        <v>28</v>
      </c>
      <c r="BK14" s="162" t="s">
        <v>602</v>
      </c>
      <c r="BL14" s="162" t="s">
        <v>28</v>
      </c>
      <c r="BM14" s="162" t="s">
        <v>602</v>
      </c>
      <c r="BN14" s="162" t="s">
        <v>28</v>
      </c>
      <c r="BO14" s="162" t="s">
        <v>28</v>
      </c>
      <c r="BP14" s="162" t="s">
        <v>76</v>
      </c>
      <c r="BQ14" s="162" t="s">
        <v>28</v>
      </c>
      <c r="BR14" s="162" t="s">
        <v>602</v>
      </c>
      <c r="BS14" s="162" t="s">
        <v>28</v>
      </c>
      <c r="BT14" s="162" t="s">
        <v>602</v>
      </c>
      <c r="BU14" s="162" t="s">
        <v>28</v>
      </c>
      <c r="BV14" s="162" t="s">
        <v>602</v>
      </c>
      <c r="BW14" s="162" t="s">
        <v>28</v>
      </c>
      <c r="BX14" s="162" t="s">
        <v>28</v>
      </c>
      <c r="BY14" s="162" t="s">
        <v>602</v>
      </c>
      <c r="BZ14" s="162" t="s">
        <v>28</v>
      </c>
      <c r="CA14" s="162" t="s">
        <v>602</v>
      </c>
      <c r="CB14" s="162" t="s">
        <v>28</v>
      </c>
      <c r="CC14" s="162" t="s">
        <v>28</v>
      </c>
      <c r="CD14" s="162" t="s">
        <v>76</v>
      </c>
      <c r="CE14" s="162" t="s">
        <v>28</v>
      </c>
      <c r="CF14" s="162" t="s">
        <v>602</v>
      </c>
      <c r="CG14" s="43"/>
    </row>
    <row r="15" spans="1:85" ht="18" customHeight="1" thickBot="1">
      <c r="A15" s="30" t="s">
        <v>189</v>
      </c>
      <c r="B15" s="264" t="s">
        <v>603</v>
      </c>
      <c r="C15" s="264"/>
      <c r="D15" s="264"/>
      <c r="E15" s="264"/>
      <c r="F15" s="264"/>
      <c r="G15" s="264"/>
      <c r="H15" s="264"/>
      <c r="I15" s="264"/>
      <c r="J15" s="278">
        <f>AQ9+AQ10</f>
        <v>56</v>
      </c>
      <c r="K15" s="278"/>
      <c r="L15" s="278"/>
      <c r="M15" s="264" t="s">
        <v>176</v>
      </c>
      <c r="N15" s="264"/>
      <c r="O15" s="264" t="s">
        <v>604</v>
      </c>
      <c r="P15" s="264"/>
      <c r="Q15" s="264"/>
      <c r="R15" s="264"/>
      <c r="S15" s="264"/>
      <c r="T15" s="264"/>
      <c r="U15" s="264"/>
      <c r="V15" s="264"/>
      <c r="W15" s="278">
        <f>AQ11+AQ12</f>
        <v>28</v>
      </c>
      <c r="X15" s="278"/>
      <c r="Y15" s="278"/>
      <c r="Z15" s="264" t="s">
        <v>176</v>
      </c>
      <c r="AA15" s="264"/>
      <c r="AB15" s="503" t="s">
        <v>605</v>
      </c>
      <c r="AC15" s="503"/>
      <c r="AD15" s="503"/>
      <c r="AE15" s="503"/>
      <c r="AF15" s="503"/>
      <c r="AG15" s="503"/>
      <c r="AH15" s="281" t="s">
        <v>585</v>
      </c>
      <c r="AI15" s="282"/>
      <c r="AK15" s="425" t="s">
        <v>606</v>
      </c>
      <c r="AL15" s="425"/>
      <c r="AM15" s="425"/>
      <c r="AN15" s="425"/>
      <c r="AO15" s="425"/>
      <c r="AP15" s="425"/>
      <c r="AQ15" s="42"/>
      <c r="AR15" s="43"/>
      <c r="AS15" s="46">
        <v>6</v>
      </c>
      <c r="AT15" s="46"/>
      <c r="AU15" s="46"/>
      <c r="AV15" s="47" t="s">
        <v>607</v>
      </c>
      <c r="AW15" s="47" t="s">
        <v>596</v>
      </c>
      <c r="AX15" s="47">
        <v>0.33333333333333331</v>
      </c>
      <c r="AY15" s="47">
        <v>0.83333333333333337</v>
      </c>
      <c r="AZ15" s="43"/>
      <c r="BB15" s="121" t="s">
        <v>31</v>
      </c>
      <c r="BC15" s="163" t="s">
        <v>119</v>
      </c>
      <c r="BD15" s="164"/>
      <c r="BE15" s="165" t="s">
        <v>28</v>
      </c>
      <c r="BF15" s="165" t="s">
        <v>119</v>
      </c>
      <c r="BG15" s="164"/>
      <c r="BH15" s="164"/>
      <c r="BI15" s="164"/>
      <c r="BJ15" s="164"/>
      <c r="BK15" s="165" t="s">
        <v>119</v>
      </c>
      <c r="BL15" s="165" t="s">
        <v>602</v>
      </c>
      <c r="BM15" s="165" t="s">
        <v>119</v>
      </c>
      <c r="BN15" s="165" t="s">
        <v>602</v>
      </c>
      <c r="BO15" s="164"/>
      <c r="BP15" s="164"/>
      <c r="BQ15" s="165" t="s">
        <v>608</v>
      </c>
      <c r="BR15" s="165" t="s">
        <v>20</v>
      </c>
      <c r="BS15" s="165" t="s">
        <v>602</v>
      </c>
      <c r="BT15" s="165" t="s">
        <v>119</v>
      </c>
      <c r="BU15" s="165" t="s">
        <v>602</v>
      </c>
      <c r="BV15" s="164"/>
      <c r="BW15" s="164"/>
      <c r="BX15" s="165" t="s">
        <v>119</v>
      </c>
      <c r="BY15" s="165" t="s">
        <v>20</v>
      </c>
      <c r="BZ15" s="165" t="s">
        <v>602</v>
      </c>
      <c r="CA15" s="165" t="s">
        <v>20</v>
      </c>
      <c r="CB15" s="165" t="s">
        <v>602</v>
      </c>
      <c r="CC15" s="165" t="s">
        <v>602</v>
      </c>
      <c r="CD15" s="164"/>
      <c r="CE15" s="165" t="s">
        <v>119</v>
      </c>
      <c r="CF15" s="165" t="s">
        <v>20</v>
      </c>
      <c r="CG15" s="43"/>
    </row>
    <row r="16" spans="1:85" ht="18" customHeight="1">
      <c r="A16" s="504" t="s">
        <v>609</v>
      </c>
      <c r="B16" s="505"/>
      <c r="C16" s="505"/>
      <c r="D16" s="505"/>
      <c r="E16" s="505"/>
      <c r="F16" s="505"/>
      <c r="G16" s="505"/>
      <c r="H16" s="505"/>
      <c r="I16" s="505"/>
      <c r="J16" s="505"/>
      <c r="K16" s="505"/>
      <c r="L16" s="505"/>
      <c r="M16" s="505"/>
      <c r="N16" s="505"/>
      <c r="O16" s="505"/>
      <c r="P16" s="505"/>
      <c r="Q16" s="505"/>
      <c r="R16" s="505"/>
      <c r="S16" s="505"/>
      <c r="T16" s="505"/>
      <c r="U16" s="505"/>
      <c r="V16" s="505"/>
      <c r="W16" s="505"/>
      <c r="X16" s="505"/>
      <c r="Y16" s="505"/>
      <c r="Z16" s="505"/>
      <c r="AA16" s="505"/>
      <c r="AB16" s="505"/>
      <c r="AC16" s="505"/>
      <c r="AD16" s="505"/>
      <c r="AE16" s="505"/>
      <c r="AF16" s="505"/>
      <c r="AG16" s="505"/>
      <c r="AH16" s="505"/>
      <c r="AI16" s="506"/>
      <c r="AK16" s="425" t="s">
        <v>610</v>
      </c>
      <c r="AL16" s="425"/>
      <c r="AM16" s="425"/>
      <c r="AN16" s="425"/>
      <c r="AO16" s="425"/>
      <c r="AP16" s="425"/>
      <c r="AQ16" s="42"/>
      <c r="AR16" s="43"/>
      <c r="AS16" s="46">
        <v>7</v>
      </c>
      <c r="AT16" s="46"/>
      <c r="AU16" s="46" t="s">
        <v>71</v>
      </c>
      <c r="AV16" s="47" t="s">
        <v>611</v>
      </c>
      <c r="AW16" s="47" t="s">
        <v>612</v>
      </c>
      <c r="AX16" s="47">
        <v>0.83333333333333337</v>
      </c>
      <c r="AY16" s="47" t="s">
        <v>613</v>
      </c>
      <c r="AZ16" s="43"/>
      <c r="BB16" s="121" t="s">
        <v>614</v>
      </c>
      <c r="BC16" s="142" t="s">
        <v>20</v>
      </c>
      <c r="BD16" s="140" t="s">
        <v>67</v>
      </c>
      <c r="BE16" s="142" t="s">
        <v>42</v>
      </c>
      <c r="BF16" s="142" t="s">
        <v>20</v>
      </c>
      <c r="BG16" s="142" t="s">
        <v>42</v>
      </c>
      <c r="BH16" s="142" t="s">
        <v>61</v>
      </c>
      <c r="BI16" s="142" t="s">
        <v>67</v>
      </c>
      <c r="BJ16" s="142" t="s">
        <v>67</v>
      </c>
      <c r="BK16" s="142" t="s">
        <v>42</v>
      </c>
      <c r="BL16" s="142" t="s">
        <v>42</v>
      </c>
      <c r="BM16" s="142" t="s">
        <v>67</v>
      </c>
      <c r="BN16" s="142" t="s">
        <v>67</v>
      </c>
      <c r="BO16" s="142" t="s">
        <v>42</v>
      </c>
      <c r="BP16" s="142" t="s">
        <v>67</v>
      </c>
      <c r="BQ16" s="142" t="s">
        <v>20</v>
      </c>
      <c r="BR16" s="142" t="s">
        <v>71</v>
      </c>
      <c r="BS16" s="142" t="s">
        <v>67</v>
      </c>
      <c r="BT16" s="142" t="s">
        <v>67</v>
      </c>
      <c r="BU16" s="142" t="s">
        <v>61</v>
      </c>
      <c r="BV16" s="142" t="s">
        <v>42</v>
      </c>
      <c r="BW16" s="142" t="s">
        <v>49</v>
      </c>
      <c r="BX16" s="142" t="s">
        <v>20</v>
      </c>
      <c r="BY16" s="142" t="s">
        <v>71</v>
      </c>
      <c r="BZ16" s="142" t="s">
        <v>42</v>
      </c>
      <c r="CA16" s="142" t="s">
        <v>20</v>
      </c>
      <c r="CB16" s="142" t="s">
        <v>61</v>
      </c>
      <c r="CC16" s="142" t="s">
        <v>42</v>
      </c>
      <c r="CD16" s="142" t="s">
        <v>49</v>
      </c>
      <c r="CE16" s="142" t="s">
        <v>20</v>
      </c>
      <c r="CF16" s="143" t="s">
        <v>71</v>
      </c>
      <c r="CG16" s="43"/>
    </row>
    <row r="17" spans="1:85" ht="18" customHeight="1">
      <c r="A17" s="396" t="s">
        <v>615</v>
      </c>
      <c r="B17" s="397"/>
      <c r="C17" s="397"/>
      <c r="D17" s="397"/>
      <c r="E17" s="397"/>
      <c r="F17" s="398" t="s">
        <v>616</v>
      </c>
      <c r="G17" s="398"/>
      <c r="H17" s="398"/>
      <c r="I17" s="398"/>
      <c r="J17" s="398"/>
      <c r="K17" s="398"/>
      <c r="L17" s="398"/>
      <c r="M17" s="398"/>
      <c r="N17" s="398"/>
      <c r="O17" s="398"/>
      <c r="P17" s="398"/>
      <c r="Q17" s="398"/>
      <c r="R17" s="398"/>
      <c r="S17" s="398"/>
      <c r="T17" s="398"/>
      <c r="U17" s="398"/>
      <c r="V17" s="398"/>
      <c r="W17" s="398"/>
      <c r="X17" s="398"/>
      <c r="Y17" s="398"/>
      <c r="Z17" s="398"/>
      <c r="AA17" s="398"/>
      <c r="AB17" s="398"/>
      <c r="AC17" s="398"/>
      <c r="AD17" s="398"/>
      <c r="AE17" s="398"/>
      <c r="AF17" s="398"/>
      <c r="AG17" s="398"/>
      <c r="AH17" s="398"/>
      <c r="AI17" s="399"/>
      <c r="AK17" s="425" t="s">
        <v>617</v>
      </c>
      <c r="AL17" s="425"/>
      <c r="AM17" s="425"/>
      <c r="AN17" s="425"/>
      <c r="AO17" s="425"/>
      <c r="AP17" s="425"/>
      <c r="AQ17" s="42"/>
      <c r="AR17" s="43"/>
      <c r="AS17" s="46">
        <v>8</v>
      </c>
      <c r="AT17" s="46"/>
      <c r="AU17" s="46" t="s">
        <v>42</v>
      </c>
      <c r="AV17" s="47" t="s">
        <v>618</v>
      </c>
      <c r="AW17" s="47" t="s">
        <v>612</v>
      </c>
      <c r="AX17" s="47">
        <v>0.83333333333333337</v>
      </c>
      <c r="AY17" s="47" t="s">
        <v>613</v>
      </c>
      <c r="AZ17" s="43"/>
      <c r="BB17" s="121" t="s">
        <v>619</v>
      </c>
      <c r="BC17" s="141" t="s">
        <v>67</v>
      </c>
      <c r="BD17" s="140" t="s">
        <v>42</v>
      </c>
      <c r="BE17" s="141" t="s">
        <v>71</v>
      </c>
      <c r="BF17" s="140" t="s">
        <v>67</v>
      </c>
      <c r="BG17" s="140" t="s">
        <v>61</v>
      </c>
      <c r="BH17" s="140" t="s">
        <v>42</v>
      </c>
      <c r="BI17" s="140" t="s">
        <v>49</v>
      </c>
      <c r="BJ17" s="140" t="s">
        <v>61</v>
      </c>
      <c r="BK17" s="140" t="s">
        <v>71</v>
      </c>
      <c r="BL17" s="140" t="s">
        <v>67</v>
      </c>
      <c r="BM17" s="140" t="s">
        <v>49</v>
      </c>
      <c r="BN17" s="140" t="s">
        <v>49</v>
      </c>
      <c r="BO17" s="140" t="s">
        <v>61</v>
      </c>
      <c r="BP17" s="140" t="s">
        <v>49</v>
      </c>
      <c r="BQ17" s="140" t="s">
        <v>67</v>
      </c>
      <c r="BR17" s="140" t="s">
        <v>42</v>
      </c>
      <c r="BS17" s="140" t="s">
        <v>42</v>
      </c>
      <c r="BT17" s="140" t="s">
        <v>49</v>
      </c>
      <c r="BU17" s="140" t="s">
        <v>42</v>
      </c>
      <c r="BV17" s="140" t="s">
        <v>61</v>
      </c>
      <c r="BW17" s="140" t="s">
        <v>71</v>
      </c>
      <c r="BX17" s="140" t="s">
        <v>67</v>
      </c>
      <c r="BY17" s="140" t="s">
        <v>42</v>
      </c>
      <c r="BZ17" s="140" t="s">
        <v>67</v>
      </c>
      <c r="CA17" s="140" t="s">
        <v>67</v>
      </c>
      <c r="CB17" s="140" t="s">
        <v>49</v>
      </c>
      <c r="CC17" s="140" t="s">
        <v>61</v>
      </c>
      <c r="CD17" s="140" t="s">
        <v>71</v>
      </c>
      <c r="CE17" s="140" t="s">
        <v>67</v>
      </c>
      <c r="CF17" s="140" t="s">
        <v>42</v>
      </c>
      <c r="CG17" s="43"/>
    </row>
    <row r="18" spans="1:85" ht="18" customHeight="1">
      <c r="A18" s="501" t="s">
        <v>620</v>
      </c>
      <c r="B18" s="502"/>
      <c r="C18" s="502"/>
      <c r="D18" s="502"/>
      <c r="E18" s="502"/>
      <c r="F18" s="400" t="s">
        <v>616</v>
      </c>
      <c r="G18" s="400"/>
      <c r="H18" s="400"/>
      <c r="I18" s="400"/>
      <c r="J18" s="400"/>
      <c r="K18" s="400"/>
      <c r="L18" s="400"/>
      <c r="M18" s="400"/>
      <c r="N18" s="400"/>
      <c r="O18" s="400"/>
      <c r="P18" s="400"/>
      <c r="Q18" s="400"/>
      <c r="R18" s="400"/>
      <c r="S18" s="400"/>
      <c r="T18" s="400"/>
      <c r="U18" s="400"/>
      <c r="V18" s="400"/>
      <c r="W18" s="400"/>
      <c r="X18" s="400"/>
      <c r="Y18" s="400"/>
      <c r="Z18" s="400"/>
      <c r="AA18" s="400"/>
      <c r="AB18" s="400"/>
      <c r="AC18" s="400"/>
      <c r="AD18" s="400"/>
      <c r="AE18" s="400"/>
      <c r="AF18" s="400"/>
      <c r="AG18" s="400"/>
      <c r="AH18" s="400"/>
      <c r="AI18" s="401"/>
      <c r="AK18" s="425" t="s">
        <v>621</v>
      </c>
      <c r="AL18" s="425"/>
      <c r="AM18" s="425"/>
      <c r="AN18" s="425"/>
      <c r="AO18" s="425"/>
      <c r="AP18" s="425"/>
      <c r="AQ18" s="42"/>
      <c r="AR18" s="43"/>
      <c r="AS18" s="46">
        <v>9</v>
      </c>
      <c r="AT18" s="46"/>
      <c r="AU18" s="46"/>
      <c r="AV18" s="47" t="s">
        <v>622</v>
      </c>
      <c r="AW18" s="47" t="s">
        <v>612</v>
      </c>
      <c r="AX18" s="47">
        <v>0.83333333333333337</v>
      </c>
      <c r="AY18" s="47" t="s">
        <v>613</v>
      </c>
      <c r="AZ18" s="43"/>
    </row>
    <row r="19" spans="1:85" ht="18" customHeight="1" thickBot="1">
      <c r="A19" s="35" t="s">
        <v>189</v>
      </c>
      <c r="B19" s="405">
        <v>0.56944444444444442</v>
      </c>
      <c r="C19" s="405"/>
      <c r="D19" s="405"/>
      <c r="E19" s="405"/>
      <c r="F19" s="402" t="s">
        <v>788</v>
      </c>
      <c r="G19" s="402"/>
      <c r="H19" s="402"/>
      <c r="I19" s="402"/>
      <c r="J19" s="402"/>
      <c r="K19" s="402"/>
      <c r="L19" s="402"/>
      <c r="M19" s="402"/>
      <c r="N19" s="402"/>
      <c r="O19" s="402"/>
      <c r="P19" s="402"/>
      <c r="Q19" s="402"/>
      <c r="R19" s="402"/>
      <c r="S19" s="402"/>
      <c r="T19" s="402"/>
      <c r="U19" s="402"/>
      <c r="V19" s="402"/>
      <c r="W19" s="402"/>
      <c r="X19" s="402"/>
      <c r="Y19" s="402"/>
      <c r="Z19" s="402"/>
      <c r="AA19" s="402"/>
      <c r="AB19" s="402"/>
      <c r="AC19" s="402"/>
      <c r="AD19" s="402"/>
      <c r="AE19" s="402"/>
      <c r="AF19" s="402"/>
      <c r="AG19" s="402"/>
      <c r="AH19" s="402"/>
      <c r="AI19" s="403"/>
      <c r="AK19" s="524" t="s">
        <v>623</v>
      </c>
      <c r="AL19" s="524"/>
      <c r="AM19" s="524"/>
      <c r="AN19" s="524"/>
      <c r="AO19" s="524"/>
      <c r="AP19" s="524"/>
      <c r="AQ19" s="58"/>
      <c r="AR19" s="43"/>
      <c r="AS19" s="46">
        <v>10</v>
      </c>
      <c r="AT19" s="46"/>
      <c r="AU19" s="46"/>
      <c r="AV19" s="47" t="s">
        <v>111</v>
      </c>
      <c r="AW19" s="47" t="s">
        <v>612</v>
      </c>
      <c r="AX19" s="47">
        <v>0.83333333333333337</v>
      </c>
      <c r="AY19" s="47" t="s">
        <v>613</v>
      </c>
      <c r="AZ19" s="43"/>
    </row>
    <row r="20" spans="1:85" ht="18" customHeight="1">
      <c r="A20" s="36" t="s">
        <v>189</v>
      </c>
      <c r="B20" s="404">
        <v>0.70833333333333337</v>
      </c>
      <c r="C20" s="404"/>
      <c r="D20" s="404"/>
      <c r="E20" s="404"/>
      <c r="F20" s="288" t="s">
        <v>713</v>
      </c>
      <c r="G20" s="288"/>
      <c r="H20" s="288"/>
      <c r="I20" s="288"/>
      <c r="J20" s="288"/>
      <c r="K20" s="288"/>
      <c r="L20" s="288"/>
      <c r="M20" s="288"/>
      <c r="N20" s="288"/>
      <c r="O20" s="288"/>
      <c r="P20" s="288"/>
      <c r="Q20" s="288"/>
      <c r="R20" s="288"/>
      <c r="S20" s="288"/>
      <c r="T20" s="288"/>
      <c r="U20" s="288"/>
      <c r="V20" s="288"/>
      <c r="W20" s="288"/>
      <c r="X20" s="288"/>
      <c r="Y20" s="288"/>
      <c r="Z20" s="288"/>
      <c r="AA20" s="288"/>
      <c r="AB20" s="288"/>
      <c r="AC20" s="288"/>
      <c r="AD20" s="288"/>
      <c r="AE20" s="288"/>
      <c r="AF20" s="288"/>
      <c r="AG20" s="288"/>
      <c r="AH20" s="288"/>
      <c r="AI20" s="289"/>
      <c r="AK20" s="447" t="s">
        <v>624</v>
      </c>
      <c r="AL20" s="448"/>
      <c r="AM20" s="448"/>
      <c r="AN20" s="448"/>
      <c r="AO20" s="448"/>
      <c r="AP20" s="448"/>
      <c r="AQ20" s="62"/>
      <c r="AR20" s="426" t="s">
        <v>625</v>
      </c>
      <c r="AS20" s="146">
        <v>11</v>
      </c>
      <c r="AT20" s="46"/>
      <c r="AU20" s="46"/>
      <c r="AV20" s="47" t="s">
        <v>111</v>
      </c>
      <c r="AW20" s="47" t="s">
        <v>612</v>
      </c>
      <c r="AX20" s="47">
        <v>0.83333333333333337</v>
      </c>
      <c r="AY20" s="47" t="s">
        <v>613</v>
      </c>
      <c r="AZ20" s="43"/>
    </row>
    <row r="21" spans="1:85" ht="18" customHeight="1" thickBot="1">
      <c r="A21" s="36" t="s">
        <v>189</v>
      </c>
      <c r="B21" s="404">
        <v>0.89444444444444449</v>
      </c>
      <c r="C21" s="404"/>
      <c r="D21" s="404"/>
      <c r="E21" s="404"/>
      <c r="F21" s="288" t="s">
        <v>973</v>
      </c>
      <c r="G21" s="288"/>
      <c r="H21" s="288"/>
      <c r="I21" s="288"/>
      <c r="J21" s="288"/>
      <c r="K21" s="288"/>
      <c r="L21" s="288"/>
      <c r="M21" s="288"/>
      <c r="N21" s="288"/>
      <c r="O21" s="288"/>
      <c r="P21" s="288"/>
      <c r="Q21" s="288"/>
      <c r="R21" s="288"/>
      <c r="S21" s="288"/>
      <c r="T21" s="288"/>
      <c r="U21" s="288"/>
      <c r="V21" s="288"/>
      <c r="W21" s="288"/>
      <c r="X21" s="288"/>
      <c r="Y21" s="288"/>
      <c r="Z21" s="288"/>
      <c r="AA21" s="288"/>
      <c r="AB21" s="288"/>
      <c r="AC21" s="288"/>
      <c r="AD21" s="288"/>
      <c r="AE21" s="288"/>
      <c r="AF21" s="288"/>
      <c r="AG21" s="288"/>
      <c r="AH21" s="288"/>
      <c r="AI21" s="289"/>
      <c r="AK21" s="429" t="s">
        <v>626</v>
      </c>
      <c r="AL21" s="430"/>
      <c r="AM21" s="430"/>
      <c r="AN21" s="430"/>
      <c r="AO21" s="430"/>
      <c r="AP21" s="430"/>
      <c r="AQ21" s="63"/>
      <c r="AR21" s="427"/>
      <c r="AW21" s="43"/>
      <c r="AX21" s="43"/>
      <c r="AY21" s="43"/>
      <c r="AZ21" s="43"/>
    </row>
    <row r="22" spans="1:85" ht="18" customHeight="1">
      <c r="A22" s="36" t="s">
        <v>189</v>
      </c>
      <c r="B22" s="404">
        <v>0.29166666666666669</v>
      </c>
      <c r="C22" s="404"/>
      <c r="D22" s="404"/>
      <c r="E22" s="404"/>
      <c r="F22" s="288" t="s">
        <v>689</v>
      </c>
      <c r="G22" s="288"/>
      <c r="H22" s="288"/>
      <c r="I22" s="288"/>
      <c r="J22" s="288"/>
      <c r="K22" s="288"/>
      <c r="L22" s="288"/>
      <c r="M22" s="288"/>
      <c r="N22" s="288"/>
      <c r="O22" s="288"/>
      <c r="P22" s="288"/>
      <c r="Q22" s="288"/>
      <c r="R22" s="288"/>
      <c r="S22" s="288"/>
      <c r="T22" s="288"/>
      <c r="U22" s="288"/>
      <c r="V22" s="288"/>
      <c r="W22" s="288"/>
      <c r="X22" s="288"/>
      <c r="Y22" s="288"/>
      <c r="Z22" s="288"/>
      <c r="AA22" s="288"/>
      <c r="AB22" s="288"/>
      <c r="AC22" s="288"/>
      <c r="AD22" s="288"/>
      <c r="AE22" s="288"/>
      <c r="AF22" s="288"/>
      <c r="AG22" s="288"/>
      <c r="AH22" s="288"/>
      <c r="AI22" s="289"/>
      <c r="AK22" s="429" t="s">
        <v>627</v>
      </c>
      <c r="AL22" s="430"/>
      <c r="AM22" s="430"/>
      <c r="AN22" s="430"/>
      <c r="AO22" s="430"/>
      <c r="AP22" s="430"/>
      <c r="AQ22" s="63"/>
      <c r="AR22" s="427"/>
      <c r="AS22" s="433" t="s">
        <v>628</v>
      </c>
      <c r="AT22" s="434"/>
      <c r="AU22" s="435"/>
      <c r="AV22" s="435"/>
      <c r="AW22" s="60" t="s">
        <v>74</v>
      </c>
      <c r="AY22" s="413" t="s">
        <v>629</v>
      </c>
      <c r="AZ22" s="413"/>
      <c r="BA22" s="412"/>
      <c r="BB22" s="412"/>
    </row>
    <row r="23" spans="1:85" ht="18" customHeight="1" thickBot="1">
      <c r="A23" s="36"/>
      <c r="B23" s="404"/>
      <c r="C23" s="404"/>
      <c r="D23" s="404"/>
      <c r="E23" s="404"/>
      <c r="F23" s="288"/>
      <c r="G23" s="288"/>
      <c r="H23" s="288"/>
      <c r="I23" s="288"/>
      <c r="J23" s="288"/>
      <c r="K23" s="288"/>
      <c r="L23" s="288"/>
      <c r="M23" s="288"/>
      <c r="N23" s="288"/>
      <c r="O23" s="288"/>
      <c r="P23" s="288"/>
      <c r="Q23" s="288"/>
      <c r="R23" s="288"/>
      <c r="S23" s="288"/>
      <c r="T23" s="288"/>
      <c r="U23" s="288"/>
      <c r="V23" s="288"/>
      <c r="W23" s="288"/>
      <c r="X23" s="288"/>
      <c r="Y23" s="288"/>
      <c r="Z23" s="288"/>
      <c r="AA23" s="288"/>
      <c r="AB23" s="288"/>
      <c r="AC23" s="288"/>
      <c r="AD23" s="288"/>
      <c r="AE23" s="288"/>
      <c r="AF23" s="288"/>
      <c r="AG23" s="288"/>
      <c r="AH23" s="288"/>
      <c r="AI23" s="289"/>
      <c r="AK23" s="431" t="s">
        <v>630</v>
      </c>
      <c r="AL23" s="432"/>
      <c r="AM23" s="432"/>
      <c r="AN23" s="432"/>
      <c r="AO23" s="432"/>
      <c r="AP23" s="432"/>
      <c r="AQ23" s="64"/>
      <c r="AR23" s="428"/>
      <c r="AS23" s="536" t="s">
        <v>631</v>
      </c>
      <c r="AT23" s="246"/>
      <c r="AU23" s="537"/>
      <c r="AV23" s="537"/>
      <c r="AW23" s="56" t="s">
        <v>632</v>
      </c>
      <c r="AY23" s="413" t="s">
        <v>633</v>
      </c>
      <c r="AZ23" s="413"/>
      <c r="BA23" s="412"/>
      <c r="BB23" s="412"/>
    </row>
    <row r="24" spans="1:85" ht="18" customHeight="1" thickBot="1">
      <c r="A24" s="36"/>
      <c r="B24" s="404"/>
      <c r="C24" s="404"/>
      <c r="D24" s="404"/>
      <c r="E24" s="404"/>
      <c r="F24" s="288"/>
      <c r="G24" s="288"/>
      <c r="H24" s="288"/>
      <c r="I24" s="288"/>
      <c r="J24" s="288"/>
      <c r="K24" s="288"/>
      <c r="L24" s="288"/>
      <c r="M24" s="288"/>
      <c r="N24" s="288"/>
      <c r="O24" s="288"/>
      <c r="P24" s="288"/>
      <c r="Q24" s="288"/>
      <c r="R24" s="288"/>
      <c r="S24" s="288"/>
      <c r="T24" s="288"/>
      <c r="U24" s="288"/>
      <c r="V24" s="288"/>
      <c r="W24" s="288"/>
      <c r="X24" s="288"/>
      <c r="Y24" s="288"/>
      <c r="Z24" s="288"/>
      <c r="AA24" s="288"/>
      <c r="AB24" s="288"/>
      <c r="AC24" s="288"/>
      <c r="AD24" s="288"/>
      <c r="AE24" s="288"/>
      <c r="AF24" s="288"/>
      <c r="AG24" s="288"/>
      <c r="AH24" s="288"/>
      <c r="AI24" s="289"/>
      <c r="AK24" s="527" t="s">
        <v>634</v>
      </c>
      <c r="AL24" s="528"/>
      <c r="AM24" s="528"/>
      <c r="AN24" s="528"/>
      <c r="AO24" s="528"/>
      <c r="AP24" s="528"/>
      <c r="AQ24" s="65"/>
      <c r="AR24" s="43"/>
      <c r="AY24" s="413" t="s">
        <v>635</v>
      </c>
      <c r="AZ24" s="413"/>
      <c r="BA24" s="412"/>
      <c r="BB24" s="412"/>
    </row>
    <row r="25" spans="1:85" ht="18" customHeight="1">
      <c r="A25" s="36"/>
      <c r="B25" s="404"/>
      <c r="C25" s="404"/>
      <c r="D25" s="404"/>
      <c r="E25" s="404"/>
      <c r="F25" s="288"/>
      <c r="G25" s="288"/>
      <c r="H25" s="288"/>
      <c r="I25" s="288"/>
      <c r="J25" s="288"/>
      <c r="K25" s="288"/>
      <c r="L25" s="288"/>
      <c r="M25" s="288"/>
      <c r="N25" s="288"/>
      <c r="O25" s="288"/>
      <c r="P25" s="288"/>
      <c r="Q25" s="288"/>
      <c r="R25" s="288"/>
      <c r="S25" s="288"/>
      <c r="T25" s="288"/>
      <c r="U25" s="288"/>
      <c r="V25" s="288"/>
      <c r="W25" s="288"/>
      <c r="X25" s="288"/>
      <c r="Y25" s="288"/>
      <c r="Z25" s="288"/>
      <c r="AA25" s="288"/>
      <c r="AB25" s="288"/>
      <c r="AC25" s="288"/>
      <c r="AD25" s="288"/>
      <c r="AE25" s="288"/>
      <c r="AF25" s="288"/>
      <c r="AG25" s="288"/>
      <c r="AH25" s="288"/>
      <c r="AI25" s="289"/>
      <c r="AK25" s="529" t="s">
        <v>636</v>
      </c>
      <c r="AL25" s="529"/>
      <c r="AM25" s="529"/>
      <c r="AN25" s="529"/>
      <c r="AO25" s="529"/>
      <c r="AP25" s="529"/>
      <c r="AQ25" s="66"/>
      <c r="AR25" s="43"/>
      <c r="AY25" s="413" t="s">
        <v>637</v>
      </c>
      <c r="AZ25" s="413"/>
      <c r="BA25" s="412"/>
      <c r="BB25" s="412"/>
    </row>
    <row r="26" spans="1:85" ht="18" customHeight="1">
      <c r="A26" s="36"/>
      <c r="B26" s="404"/>
      <c r="C26" s="404"/>
      <c r="D26" s="404"/>
      <c r="E26" s="404"/>
      <c r="F26" s="288"/>
      <c r="G26" s="288"/>
      <c r="H26" s="288"/>
      <c r="I26" s="288"/>
      <c r="J26" s="288"/>
      <c r="K26" s="288"/>
      <c r="L26" s="288"/>
      <c r="M26" s="288"/>
      <c r="N26" s="288"/>
      <c r="O26" s="288"/>
      <c r="P26" s="288"/>
      <c r="Q26" s="288"/>
      <c r="R26" s="288"/>
      <c r="S26" s="288"/>
      <c r="T26" s="288"/>
      <c r="U26" s="288"/>
      <c r="V26" s="288"/>
      <c r="W26" s="288"/>
      <c r="X26" s="288"/>
      <c r="Y26" s="288"/>
      <c r="Z26" s="288"/>
      <c r="AA26" s="288"/>
      <c r="AB26" s="288"/>
      <c r="AC26" s="288"/>
      <c r="AD26" s="288"/>
      <c r="AE26" s="288"/>
      <c r="AF26" s="288"/>
      <c r="AG26" s="288"/>
      <c r="AH26" s="288"/>
      <c r="AI26" s="289"/>
      <c r="AK26" s="436" t="s">
        <v>638</v>
      </c>
      <c r="AL26" s="436"/>
      <c r="AM26" s="436"/>
      <c r="AN26" s="436"/>
      <c r="AO26" s="436"/>
      <c r="AP26" s="436"/>
      <c r="AQ26" s="67"/>
      <c r="AR26" s="43"/>
      <c r="AS26" s="548" t="s">
        <v>639</v>
      </c>
      <c r="AT26" s="549"/>
      <c r="AU26" s="549"/>
      <c r="AV26" s="549"/>
      <c r="AW26" s="550"/>
      <c r="AY26" s="147"/>
      <c r="AZ26" s="147"/>
      <c r="BA26" s="147"/>
      <c r="BB26" s="147"/>
    </row>
    <row r="27" spans="1:85" ht="18" customHeight="1">
      <c r="A27" s="36"/>
      <c r="B27" s="404"/>
      <c r="C27" s="404"/>
      <c r="D27" s="404"/>
      <c r="E27" s="404"/>
      <c r="F27" s="288"/>
      <c r="G27" s="288"/>
      <c r="H27" s="288"/>
      <c r="I27" s="288"/>
      <c r="J27" s="288"/>
      <c r="K27" s="288"/>
      <c r="L27" s="288"/>
      <c r="M27" s="288"/>
      <c r="N27" s="288"/>
      <c r="O27" s="288"/>
      <c r="P27" s="288"/>
      <c r="Q27" s="288"/>
      <c r="R27" s="288"/>
      <c r="S27" s="288"/>
      <c r="T27" s="288"/>
      <c r="U27" s="288"/>
      <c r="V27" s="288"/>
      <c r="W27" s="288"/>
      <c r="X27" s="288"/>
      <c r="Y27" s="288"/>
      <c r="Z27" s="288"/>
      <c r="AA27" s="288"/>
      <c r="AB27" s="288"/>
      <c r="AC27" s="288"/>
      <c r="AD27" s="288"/>
      <c r="AE27" s="288"/>
      <c r="AF27" s="288"/>
      <c r="AG27" s="288"/>
      <c r="AH27" s="288"/>
      <c r="AI27" s="289"/>
      <c r="AK27" s="436" t="s">
        <v>640</v>
      </c>
      <c r="AL27" s="436"/>
      <c r="AM27" s="436"/>
      <c r="AN27" s="436"/>
      <c r="AO27" s="436"/>
      <c r="AP27" s="436"/>
      <c r="AQ27" s="67"/>
      <c r="AR27" s="43"/>
      <c r="AS27" s="458" t="s">
        <v>641</v>
      </c>
      <c r="AT27" s="460"/>
      <c r="AU27" s="458" t="s">
        <v>642</v>
      </c>
      <c r="AV27" s="459"/>
      <c r="AW27" s="460"/>
      <c r="AY27" s="411" t="s">
        <v>643</v>
      </c>
      <c r="AZ27" s="411"/>
      <c r="BA27" s="411"/>
      <c r="BB27" s="411"/>
    </row>
    <row r="28" spans="1:85" ht="18" customHeight="1" thickBot="1">
      <c r="A28" s="36"/>
      <c r="B28" s="404"/>
      <c r="C28" s="404"/>
      <c r="D28" s="404"/>
      <c r="E28" s="404"/>
      <c r="F28" s="288"/>
      <c r="G28" s="288"/>
      <c r="H28" s="288"/>
      <c r="I28" s="288"/>
      <c r="J28" s="288"/>
      <c r="K28" s="288"/>
      <c r="L28" s="288"/>
      <c r="M28" s="288"/>
      <c r="N28" s="288"/>
      <c r="O28" s="288"/>
      <c r="P28" s="288"/>
      <c r="Q28" s="288"/>
      <c r="R28" s="288"/>
      <c r="S28" s="288"/>
      <c r="T28" s="288"/>
      <c r="U28" s="288"/>
      <c r="V28" s="288"/>
      <c r="W28" s="288"/>
      <c r="X28" s="288"/>
      <c r="Y28" s="288"/>
      <c r="Z28" s="288"/>
      <c r="AA28" s="288"/>
      <c r="AB28" s="288"/>
      <c r="AC28" s="288"/>
      <c r="AD28" s="288"/>
      <c r="AE28" s="288"/>
      <c r="AF28" s="288"/>
      <c r="AG28" s="288"/>
      <c r="AH28" s="288"/>
      <c r="AI28" s="289"/>
      <c r="AK28" s="436" t="s">
        <v>644</v>
      </c>
      <c r="AL28" s="436"/>
      <c r="AM28" s="436"/>
      <c r="AN28" s="436"/>
      <c r="AO28" s="436"/>
      <c r="AP28" s="436"/>
      <c r="AQ28" s="67"/>
      <c r="AR28" s="43"/>
      <c r="AS28" s="538" t="s">
        <v>645</v>
      </c>
      <c r="AT28" s="539"/>
      <c r="AU28" s="533" t="s">
        <v>646</v>
      </c>
      <c r="AV28" s="534"/>
      <c r="AW28" s="535"/>
      <c r="AY28" s="413" t="s">
        <v>647</v>
      </c>
      <c r="AZ28" s="413"/>
      <c r="BA28" s="412"/>
      <c r="BB28" s="412"/>
    </row>
    <row r="29" spans="1:85" ht="18" customHeight="1" thickBot="1">
      <c r="A29" s="36"/>
      <c r="B29" s="404"/>
      <c r="C29" s="404"/>
      <c r="D29" s="404"/>
      <c r="E29" s="404"/>
      <c r="F29" s="288"/>
      <c r="G29" s="288"/>
      <c r="H29" s="288"/>
      <c r="I29" s="288"/>
      <c r="J29" s="288"/>
      <c r="K29" s="288"/>
      <c r="L29" s="288"/>
      <c r="M29" s="288"/>
      <c r="N29" s="288"/>
      <c r="O29" s="288"/>
      <c r="P29" s="288"/>
      <c r="Q29" s="288"/>
      <c r="R29" s="288"/>
      <c r="S29" s="288"/>
      <c r="T29" s="288"/>
      <c r="U29" s="288"/>
      <c r="V29" s="288"/>
      <c r="W29" s="288"/>
      <c r="X29" s="288"/>
      <c r="Y29" s="288"/>
      <c r="Z29" s="288"/>
      <c r="AA29" s="288"/>
      <c r="AB29" s="288"/>
      <c r="AC29" s="288"/>
      <c r="AD29" s="288"/>
      <c r="AE29" s="288"/>
      <c r="AF29" s="288"/>
      <c r="AG29" s="288"/>
      <c r="AH29" s="288"/>
      <c r="AI29" s="289"/>
      <c r="AK29" s="524"/>
      <c r="AL29" s="524"/>
      <c r="AM29" s="524"/>
      <c r="AN29" s="524"/>
      <c r="AO29" s="524"/>
      <c r="AP29" s="524"/>
      <c r="AQ29" s="58"/>
      <c r="AR29" s="43"/>
      <c r="AS29" s="551">
        <v>1.0888888888888888</v>
      </c>
      <c r="AT29" s="552"/>
      <c r="AU29" s="434" t="s">
        <v>962</v>
      </c>
      <c r="AV29" s="434"/>
      <c r="AW29" s="553"/>
      <c r="AY29" s="413" t="s">
        <v>633</v>
      </c>
      <c r="AZ29" s="413"/>
      <c r="BA29" s="412"/>
      <c r="BB29" s="412"/>
    </row>
    <row r="30" spans="1:85" ht="18" customHeight="1">
      <c r="A30" s="36"/>
      <c r="B30" s="404"/>
      <c r="C30" s="404"/>
      <c r="D30" s="404"/>
      <c r="E30" s="404"/>
      <c r="F30" s="288"/>
      <c r="G30" s="288"/>
      <c r="H30" s="288"/>
      <c r="I30" s="288"/>
      <c r="J30" s="288"/>
      <c r="K30" s="288"/>
      <c r="L30" s="288"/>
      <c r="M30" s="288"/>
      <c r="N30" s="288"/>
      <c r="O30" s="288"/>
      <c r="P30" s="288"/>
      <c r="Q30" s="288"/>
      <c r="R30" s="288"/>
      <c r="S30" s="288"/>
      <c r="T30" s="288"/>
      <c r="U30" s="288"/>
      <c r="V30" s="288"/>
      <c r="W30" s="288"/>
      <c r="X30" s="288"/>
      <c r="Y30" s="288"/>
      <c r="Z30" s="288"/>
      <c r="AA30" s="288"/>
      <c r="AB30" s="288"/>
      <c r="AC30" s="288"/>
      <c r="AD30" s="288"/>
      <c r="AE30" s="288"/>
      <c r="AF30" s="288"/>
      <c r="AG30" s="288"/>
      <c r="AH30" s="288"/>
      <c r="AI30" s="289"/>
      <c r="AK30" s="449" t="s">
        <v>648</v>
      </c>
      <c r="AL30" s="450"/>
      <c r="AM30" s="450"/>
      <c r="AN30" s="450"/>
      <c r="AO30" s="450"/>
      <c r="AP30" s="450"/>
      <c r="AQ30" s="62"/>
      <c r="AR30" s="43"/>
      <c r="AS30" s="554">
        <v>1.0895833333333333</v>
      </c>
      <c r="AT30" s="532"/>
      <c r="AU30" s="439" t="s">
        <v>833</v>
      </c>
      <c r="AV30" s="439"/>
      <c r="AW30" s="555"/>
      <c r="AY30" s="413" t="s">
        <v>649</v>
      </c>
      <c r="AZ30" s="413"/>
      <c r="BA30" s="412"/>
      <c r="BB30" s="412"/>
    </row>
    <row r="31" spans="1:85" ht="18" customHeight="1" thickBot="1">
      <c r="A31" s="37"/>
      <c r="B31" s="466"/>
      <c r="C31" s="466"/>
      <c r="D31" s="466"/>
      <c r="E31" s="466"/>
      <c r="F31" s="467"/>
      <c r="G31" s="467"/>
      <c r="H31" s="467"/>
      <c r="I31" s="467"/>
      <c r="J31" s="467"/>
      <c r="K31" s="467"/>
      <c r="L31" s="467"/>
      <c r="M31" s="467"/>
      <c r="N31" s="467"/>
      <c r="O31" s="467"/>
      <c r="P31" s="467"/>
      <c r="Q31" s="467"/>
      <c r="R31" s="467"/>
      <c r="S31" s="467"/>
      <c r="T31" s="467"/>
      <c r="U31" s="467"/>
      <c r="V31" s="467"/>
      <c r="W31" s="467"/>
      <c r="X31" s="467"/>
      <c r="Y31" s="467"/>
      <c r="Z31" s="467"/>
      <c r="AA31" s="467"/>
      <c r="AB31" s="467"/>
      <c r="AC31" s="467"/>
      <c r="AD31" s="467"/>
      <c r="AE31" s="467"/>
      <c r="AF31" s="467"/>
      <c r="AG31" s="467"/>
      <c r="AH31" s="467"/>
      <c r="AI31" s="468"/>
      <c r="AK31" s="451" t="s">
        <v>650</v>
      </c>
      <c r="AL31" s="416"/>
      <c r="AM31" s="416"/>
      <c r="AN31" s="416"/>
      <c r="AO31" s="416"/>
      <c r="AP31" s="416"/>
      <c r="AQ31" s="64"/>
      <c r="AR31" s="48"/>
      <c r="AS31" s="556"/>
      <c r="AT31" s="557"/>
      <c r="AU31" s="424"/>
      <c r="AV31" s="424"/>
      <c r="AW31" s="491"/>
      <c r="AY31" s="413" t="s">
        <v>637</v>
      </c>
      <c r="AZ31" s="413"/>
      <c r="BA31" s="412"/>
      <c r="BB31" s="412"/>
    </row>
    <row r="32" spans="1:85" ht="18" customHeight="1" thickBot="1">
      <c r="A32" s="406" t="s">
        <v>651</v>
      </c>
      <c r="B32" s="407"/>
      <c r="C32" s="407"/>
      <c r="D32" s="407"/>
      <c r="E32" s="407"/>
      <c r="F32" s="407"/>
      <c r="G32" s="407"/>
      <c r="H32" s="407"/>
      <c r="I32" s="407"/>
      <c r="J32" s="407"/>
      <c r="K32" s="407"/>
      <c r="L32" s="407"/>
      <c r="M32" s="407"/>
      <c r="N32" s="407"/>
      <c r="O32" s="407"/>
      <c r="P32" s="407"/>
      <c r="Q32" s="407"/>
      <c r="R32" s="407"/>
      <c r="S32" s="407"/>
      <c r="T32" s="407"/>
      <c r="U32" s="407"/>
      <c r="V32" s="407"/>
      <c r="W32" s="407"/>
      <c r="X32" s="407"/>
      <c r="Y32" s="407"/>
      <c r="Z32" s="407"/>
      <c r="AA32" s="407"/>
      <c r="AB32" s="407"/>
      <c r="AC32" s="407"/>
      <c r="AD32" s="407"/>
      <c r="AE32" s="407"/>
      <c r="AF32" s="407"/>
      <c r="AG32" s="407"/>
      <c r="AH32" s="407"/>
      <c r="AI32" s="408"/>
      <c r="AK32" s="531"/>
      <c r="AL32" s="531"/>
      <c r="AM32" s="531"/>
      <c r="AN32" s="531"/>
      <c r="AO32" s="531"/>
      <c r="AP32" s="531"/>
      <c r="AQ32" s="61"/>
      <c r="AR32" s="48"/>
      <c r="AS32" s="558"/>
      <c r="AT32" s="558"/>
      <c r="AU32" s="559"/>
      <c r="AV32" s="559"/>
      <c r="AW32" s="559"/>
      <c r="AY32" s="413" t="s">
        <v>652</v>
      </c>
      <c r="AZ32" s="413"/>
      <c r="BA32" s="412"/>
      <c r="BB32" s="412"/>
    </row>
    <row r="33" spans="1:80" ht="18" customHeight="1">
      <c r="A33" s="39"/>
      <c r="B33" s="546" t="s">
        <v>653</v>
      </c>
      <c r="C33" s="546"/>
      <c r="D33" s="546"/>
      <c r="E33" s="546"/>
      <c r="F33" s="417" t="str" cm="1">
        <f t="array" ref="F33">_xlfn.TEXTJOIN("/",TRUE,IF(AS29:AS31&lt;&gt;"",TEXT(AS29:AS31,"h:mm")&amp;" "&amp;AU29:AU31,""))</f>
        <v>2:08 45階ルーフトップテラス1/2:09 45階ルーフトップテラス2</v>
      </c>
      <c r="G33" s="418"/>
      <c r="H33" s="418"/>
      <c r="I33" s="418"/>
      <c r="J33" s="418"/>
      <c r="K33" s="418"/>
      <c r="L33" s="418"/>
      <c r="M33" s="418"/>
      <c r="N33" s="418"/>
      <c r="O33" s="418"/>
      <c r="P33" s="418"/>
      <c r="Q33" s="418"/>
      <c r="R33" s="418"/>
      <c r="S33" s="418"/>
      <c r="T33" s="418"/>
      <c r="U33" s="418"/>
      <c r="V33" s="418"/>
      <c r="W33" s="418"/>
      <c r="X33" s="418"/>
      <c r="Y33" s="418"/>
      <c r="Z33" s="418"/>
      <c r="AA33" s="418"/>
      <c r="AB33" s="418"/>
      <c r="AC33" s="418"/>
      <c r="AD33" s="418"/>
      <c r="AE33" s="418"/>
      <c r="AF33" s="418"/>
      <c r="AG33" s="418"/>
      <c r="AH33" s="418"/>
      <c r="AI33" s="419"/>
      <c r="AK33" s="449" t="s">
        <v>654</v>
      </c>
      <c r="AL33" s="450"/>
      <c r="AM33" s="450"/>
      <c r="AN33" s="450"/>
      <c r="AO33" s="450"/>
      <c r="AP33" s="450"/>
      <c r="AQ33" s="60"/>
      <c r="AR33" s="48"/>
      <c r="AS33" s="532"/>
      <c r="AT33" s="532"/>
      <c r="AU33" s="439"/>
      <c r="AV33" s="439"/>
      <c r="AW33" s="439"/>
      <c r="AY33" s="413" t="s">
        <v>655</v>
      </c>
      <c r="AZ33" s="413"/>
      <c r="BA33" s="412"/>
      <c r="BB33" s="412"/>
    </row>
    <row r="34" spans="1:80" ht="18" customHeight="1" thickBot="1">
      <c r="A34" s="39"/>
      <c r="B34" s="546" t="s">
        <v>656</v>
      </c>
      <c r="C34" s="546"/>
      <c r="D34" s="546"/>
      <c r="E34" s="546"/>
      <c r="F34" s="420" t="s">
        <v>79</v>
      </c>
      <c r="G34" s="420"/>
      <c r="H34" s="420"/>
      <c r="I34" s="420"/>
      <c r="J34" s="420"/>
      <c r="K34" s="420"/>
      <c r="L34" s="420"/>
      <c r="M34" s="420"/>
      <c r="N34" s="420"/>
      <c r="O34" s="420"/>
      <c r="P34" s="420"/>
      <c r="Q34" s="420"/>
      <c r="R34" s="420"/>
      <c r="S34" s="420"/>
      <c r="T34" s="420"/>
      <c r="U34" s="420"/>
      <c r="V34" s="420"/>
      <c r="W34" s="420"/>
      <c r="X34" s="420"/>
      <c r="Y34" s="420"/>
      <c r="Z34" s="420"/>
      <c r="AA34" s="420"/>
      <c r="AB34" s="420"/>
      <c r="AC34" s="421"/>
      <c r="AD34" s="421"/>
      <c r="AE34" s="421"/>
      <c r="AF34" s="421"/>
      <c r="AG34" s="421"/>
      <c r="AH34" s="421"/>
      <c r="AI34" s="422"/>
      <c r="AK34" s="451" t="s">
        <v>657</v>
      </c>
      <c r="AL34" s="416"/>
      <c r="AM34" s="416"/>
      <c r="AN34" s="416"/>
      <c r="AO34" s="416"/>
      <c r="AP34" s="416"/>
      <c r="AQ34" s="56"/>
      <c r="AR34" s="48"/>
      <c r="AS34" s="532"/>
      <c r="AT34" s="532"/>
      <c r="AU34" s="439"/>
      <c r="AV34" s="439"/>
      <c r="AW34" s="439"/>
      <c r="AY34" s="413" t="s">
        <v>658</v>
      </c>
      <c r="AZ34" s="413"/>
      <c r="BA34" s="412"/>
      <c r="BB34" s="412"/>
    </row>
    <row r="35" spans="1:80" ht="18" customHeight="1" thickBot="1">
      <c r="A35" s="57"/>
      <c r="B35" s="547" t="s">
        <v>659</v>
      </c>
      <c r="C35" s="547"/>
      <c r="D35" s="547"/>
      <c r="E35" s="547"/>
      <c r="F35" s="389" t="s">
        <v>660</v>
      </c>
      <c r="G35" s="389"/>
      <c r="H35" s="389"/>
      <c r="I35" s="389"/>
      <c r="J35" s="389"/>
      <c r="K35" s="389"/>
      <c r="L35" s="389"/>
      <c r="M35" s="389"/>
      <c r="N35" s="389"/>
      <c r="O35" s="389"/>
      <c r="P35" s="389"/>
      <c r="Q35" s="389"/>
      <c r="R35" s="389"/>
      <c r="S35" s="389"/>
      <c r="T35" s="389"/>
      <c r="U35" s="389"/>
      <c r="V35" s="389"/>
      <c r="W35" s="390" t="s">
        <v>661</v>
      </c>
      <c r="X35" s="391"/>
      <c r="Y35" s="391"/>
      <c r="Z35" s="391"/>
      <c r="AA35" s="391"/>
      <c r="AB35" s="391"/>
      <c r="AC35" s="392" t="s">
        <v>662</v>
      </c>
      <c r="AD35" s="393"/>
      <c r="AE35" s="393"/>
      <c r="AF35" s="393"/>
      <c r="AG35" s="393"/>
      <c r="AH35" s="393"/>
      <c r="AI35" s="394"/>
      <c r="AK35" s="531"/>
      <c r="AL35" s="531"/>
      <c r="AM35" s="531"/>
      <c r="AN35" s="531"/>
      <c r="AO35" s="531"/>
      <c r="AP35" s="531"/>
      <c r="AQ35" s="61"/>
      <c r="AR35" s="48"/>
      <c r="AS35" s="532"/>
      <c r="AT35" s="532"/>
      <c r="AU35" s="439"/>
      <c r="AV35" s="439"/>
      <c r="AW35" s="439"/>
      <c r="AY35" s="413" t="s">
        <v>663</v>
      </c>
      <c r="AZ35" s="413"/>
      <c r="BA35" s="412"/>
      <c r="BB35" s="412"/>
    </row>
    <row r="36" spans="1:80" ht="18" customHeight="1" thickBot="1">
      <c r="A36" s="492" t="s">
        <v>664</v>
      </c>
      <c r="B36" s="493"/>
      <c r="C36" s="493"/>
      <c r="D36" s="493"/>
      <c r="E36" s="493"/>
      <c r="F36" s="498">
        <v>4.1666666666666664E-2</v>
      </c>
      <c r="G36" s="439"/>
      <c r="H36" s="439"/>
      <c r="I36" s="439"/>
      <c r="J36" s="439"/>
      <c r="K36" s="439"/>
      <c r="L36" s="499" t="s">
        <v>665</v>
      </c>
      <c r="M36" s="489"/>
      <c r="N36" s="489"/>
      <c r="O36" s="500"/>
      <c r="P36" s="410" t="s">
        <v>68</v>
      </c>
      <c r="Q36" s="410"/>
      <c r="R36" s="410"/>
      <c r="S36" s="55" t="s">
        <v>666</v>
      </c>
      <c r="T36" s="410" t="s">
        <v>43</v>
      </c>
      <c r="U36" s="410"/>
      <c r="V36" s="530"/>
      <c r="W36" s="489" t="s">
        <v>667</v>
      </c>
      <c r="X36" s="489"/>
      <c r="Y36" s="489"/>
      <c r="Z36" s="489"/>
      <c r="AA36" s="489"/>
      <c r="AB36" s="489"/>
      <c r="AC36" s="490" t="s">
        <v>722</v>
      </c>
      <c r="AD36" s="487"/>
      <c r="AE36" s="487"/>
      <c r="AF36" s="487"/>
      <c r="AG36" s="487"/>
      <c r="AH36" s="487"/>
      <c r="AI36" s="488"/>
      <c r="AK36" s="525" t="s">
        <v>668</v>
      </c>
      <c r="AL36" s="526"/>
      <c r="AM36" s="526"/>
      <c r="AN36" s="526"/>
      <c r="AO36" s="526"/>
      <c r="AP36" s="526"/>
      <c r="AQ36" s="117"/>
      <c r="AR36" s="48"/>
      <c r="AS36" s="532"/>
      <c r="AT36" s="532"/>
      <c r="AU36" s="439"/>
      <c r="AV36" s="439"/>
      <c r="AW36" s="439"/>
      <c r="BH36" s="50"/>
      <c r="BI36" s="51"/>
    </row>
    <row r="37" spans="1:80" ht="18" customHeight="1" thickBot="1">
      <c r="A37" s="494" t="s">
        <v>669</v>
      </c>
      <c r="B37" s="495"/>
      <c r="C37" s="495"/>
      <c r="D37" s="495"/>
      <c r="E37" s="495"/>
      <c r="F37" s="487"/>
      <c r="G37" s="487"/>
      <c r="H37" s="487"/>
      <c r="I37" s="487"/>
      <c r="J37" s="487"/>
      <c r="K37" s="487"/>
      <c r="L37" s="487"/>
      <c r="M37" s="487"/>
      <c r="N37" s="487"/>
      <c r="O37" s="487"/>
      <c r="P37" s="487"/>
      <c r="Q37" s="487"/>
      <c r="R37" s="487"/>
      <c r="S37" s="487"/>
      <c r="T37" s="487"/>
      <c r="U37" s="487"/>
      <c r="V37" s="487"/>
      <c r="W37" s="487"/>
      <c r="X37" s="487"/>
      <c r="Y37" s="487"/>
      <c r="Z37" s="487"/>
      <c r="AA37" s="487"/>
      <c r="AB37" s="487"/>
      <c r="AC37" s="487"/>
      <c r="AD37" s="487"/>
      <c r="AE37" s="487"/>
      <c r="AF37" s="487"/>
      <c r="AG37" s="487"/>
      <c r="AH37" s="487"/>
      <c r="AI37" s="488"/>
      <c r="AK37" s="544" t="s">
        <v>240</v>
      </c>
      <c r="AL37" s="545"/>
      <c r="AM37" s="545"/>
      <c r="AN37" s="545"/>
      <c r="AO37" s="545"/>
      <c r="AP37" s="545"/>
      <c r="AQ37" s="122"/>
      <c r="AR37" s="48"/>
      <c r="AS37" s="532"/>
      <c r="AT37" s="532"/>
      <c r="AU37" s="439"/>
      <c r="AV37" s="439"/>
      <c r="AW37" s="439"/>
      <c r="BH37" s="50"/>
      <c r="BI37" s="51"/>
    </row>
    <row r="38" spans="1:80" ht="18" customHeight="1" thickBot="1">
      <c r="A38" s="496" t="s">
        <v>670</v>
      </c>
      <c r="B38" s="497"/>
      <c r="C38" s="497"/>
      <c r="D38" s="497"/>
      <c r="E38" s="497"/>
      <c r="F38" s="416" t="s">
        <v>667</v>
      </c>
      <c r="G38" s="416"/>
      <c r="H38" s="416"/>
      <c r="I38" s="416"/>
      <c r="J38" s="416"/>
      <c r="K38" s="416"/>
      <c r="L38" s="424" t="s">
        <v>722</v>
      </c>
      <c r="M38" s="424"/>
      <c r="N38" s="424"/>
      <c r="O38" s="424"/>
      <c r="P38" s="416" t="s">
        <v>671</v>
      </c>
      <c r="Q38" s="416"/>
      <c r="R38" s="416"/>
      <c r="S38" s="416"/>
      <c r="T38" s="416"/>
      <c r="U38" s="416"/>
      <c r="V38" s="416"/>
      <c r="W38" s="416" t="s">
        <v>667</v>
      </c>
      <c r="X38" s="416"/>
      <c r="Y38" s="416"/>
      <c r="Z38" s="416"/>
      <c r="AA38" s="416"/>
      <c r="AB38" s="416"/>
      <c r="AC38" s="424" t="s">
        <v>722</v>
      </c>
      <c r="AD38" s="424"/>
      <c r="AE38" s="424"/>
      <c r="AF38" s="424"/>
      <c r="AG38" s="424"/>
      <c r="AH38" s="424"/>
      <c r="AI38" s="491"/>
      <c r="AK38" s="543"/>
      <c r="AL38" s="543"/>
      <c r="AM38" s="543"/>
      <c r="AN38" s="543"/>
      <c r="AO38" s="543"/>
      <c r="AP38" s="543"/>
      <c r="AQ38" s="59"/>
      <c r="AR38" s="48"/>
      <c r="BC38" s="50"/>
      <c r="BD38" s="51"/>
    </row>
    <row r="39" spans="1:80" ht="18" customHeight="1">
      <c r="A39" s="452" t="s">
        <v>672</v>
      </c>
      <c r="B39" s="453"/>
      <c r="C39" s="453"/>
      <c r="D39" s="453"/>
      <c r="E39" s="453"/>
      <c r="F39" s="453"/>
      <c r="G39" s="453"/>
      <c r="H39" s="453"/>
      <c r="I39" s="453"/>
      <c r="J39" s="453"/>
      <c r="K39" s="453"/>
      <c r="L39" s="453"/>
      <c r="M39" s="453"/>
      <c r="N39" s="453"/>
      <c r="O39" s="453"/>
      <c r="P39" s="453"/>
      <c r="Q39" s="453"/>
      <c r="R39" s="453"/>
      <c r="S39" s="453"/>
      <c r="T39" s="453"/>
      <c r="U39" s="453"/>
      <c r="V39" s="453"/>
      <c r="W39" s="453"/>
      <c r="X39" s="453"/>
      <c r="Y39" s="453"/>
      <c r="Z39" s="453"/>
      <c r="AA39" s="453"/>
      <c r="AB39" s="453"/>
      <c r="AC39" s="453"/>
      <c r="AD39" s="453"/>
      <c r="AE39" s="453"/>
      <c r="AF39" s="453"/>
      <c r="AG39" s="453"/>
      <c r="AH39" s="453"/>
      <c r="AI39" s="454"/>
      <c r="AK39" s="444" t="s">
        <v>673</v>
      </c>
      <c r="AL39" s="444"/>
      <c r="AM39" s="444"/>
      <c r="AN39" s="444"/>
      <c r="AO39" s="444"/>
      <c r="AP39" s="444"/>
      <c r="AQ39" s="42"/>
      <c r="AR39" s="48"/>
      <c r="AS39" s="423" t="s">
        <v>526</v>
      </c>
      <c r="AT39" s="423"/>
      <c r="AU39" s="148">
        <v>20</v>
      </c>
      <c r="AV39" s="423" t="s">
        <v>528</v>
      </c>
      <c r="AW39" s="423"/>
      <c r="BC39" s="50"/>
      <c r="BD39" s="51"/>
    </row>
    <row r="40" spans="1:80" ht="18" customHeight="1">
      <c r="A40" s="464" t="s">
        <v>674</v>
      </c>
      <c r="B40" s="459"/>
      <c r="C40" s="459"/>
      <c r="D40" s="459"/>
      <c r="E40" s="470" t="s">
        <v>675</v>
      </c>
      <c r="F40" s="471"/>
      <c r="G40" s="471"/>
      <c r="H40" s="471"/>
      <c r="I40" s="471"/>
      <c r="J40" s="471"/>
      <c r="K40" s="472"/>
      <c r="L40" s="458" t="s">
        <v>676</v>
      </c>
      <c r="M40" s="459"/>
      <c r="N40" s="459"/>
      <c r="O40" s="459"/>
      <c r="P40" s="459"/>
      <c r="Q40" s="459"/>
      <c r="R40" s="460"/>
      <c r="S40" s="458" t="s">
        <v>677</v>
      </c>
      <c r="T40" s="459"/>
      <c r="U40" s="459"/>
      <c r="V40" s="459"/>
      <c r="W40" s="470" t="s">
        <v>675</v>
      </c>
      <c r="X40" s="471"/>
      <c r="Y40" s="471"/>
      <c r="Z40" s="471"/>
      <c r="AA40" s="471"/>
      <c r="AB40" s="471"/>
      <c r="AC40" s="472"/>
      <c r="AD40" s="458" t="s">
        <v>678</v>
      </c>
      <c r="AE40" s="459"/>
      <c r="AF40" s="459"/>
      <c r="AG40" s="459"/>
      <c r="AH40" s="459"/>
      <c r="AI40" s="463"/>
      <c r="AK40" s="444" t="s">
        <v>679</v>
      </c>
      <c r="AL40" s="444"/>
      <c r="AM40" s="444"/>
      <c r="AN40" s="444"/>
      <c r="AO40" s="444"/>
      <c r="AP40" s="444"/>
      <c r="AQ40" s="42"/>
      <c r="AR40" s="48"/>
      <c r="AS40" s="423" t="s">
        <v>527</v>
      </c>
      <c r="AT40" s="423"/>
      <c r="AU40" s="148">
        <v>21</v>
      </c>
      <c r="AV40" s="560">
        <v>0.5</v>
      </c>
      <c r="AW40" s="560"/>
      <c r="BC40" s="50"/>
      <c r="BD40" s="51"/>
    </row>
    <row r="41" spans="1:80" ht="18" customHeight="1">
      <c r="A41" s="464" t="s">
        <v>16</v>
      </c>
      <c r="B41" s="459"/>
      <c r="C41" s="459"/>
      <c r="D41" s="459"/>
      <c r="E41" s="469">
        <f>AX10</f>
        <v>0.33333333333333331</v>
      </c>
      <c r="F41" s="456"/>
      <c r="G41" s="456"/>
      <c r="H41" s="144" t="s">
        <v>680</v>
      </c>
      <c r="I41" s="456">
        <f>AY10</f>
        <v>0.83333333333333337</v>
      </c>
      <c r="J41" s="456"/>
      <c r="K41" s="457"/>
      <c r="L41" s="458" t="str">
        <f>AU10</f>
        <v>藤井隆幸</v>
      </c>
      <c r="M41" s="459"/>
      <c r="N41" s="459"/>
      <c r="O41" s="459"/>
      <c r="P41" s="459"/>
      <c r="Q41" s="459"/>
      <c r="R41" s="460"/>
      <c r="S41" s="409" t="s">
        <v>31</v>
      </c>
      <c r="T41" s="410"/>
      <c r="U41" s="410"/>
      <c r="V41" s="410"/>
      <c r="W41" s="414">
        <v>0.39583333333333331</v>
      </c>
      <c r="X41" s="415"/>
      <c r="Y41" s="415"/>
      <c r="Z41" s="40" t="s">
        <v>680</v>
      </c>
      <c r="AA41" s="415">
        <v>0.77083333333333337</v>
      </c>
      <c r="AB41" s="415"/>
      <c r="AC41" s="461"/>
      <c r="AD41" s="409" t="str">
        <f>AU14</f>
        <v>三角龍彦</v>
      </c>
      <c r="AE41" s="410"/>
      <c r="AF41" s="410"/>
      <c r="AG41" s="410"/>
      <c r="AH41" s="410"/>
      <c r="AI41" s="462"/>
      <c r="AK41" s="444" t="s">
        <v>681</v>
      </c>
      <c r="AL41" s="444"/>
      <c r="AM41" s="444"/>
      <c r="AN41" s="444"/>
      <c r="AO41" s="444"/>
      <c r="AP41" s="444"/>
      <c r="AQ41" s="42"/>
      <c r="AR41" s="48"/>
      <c r="BC41" s="50"/>
      <c r="BD41" s="51"/>
    </row>
    <row r="42" spans="1:80" ht="18" customHeight="1">
      <c r="A42" s="464" t="s">
        <v>24</v>
      </c>
      <c r="B42" s="459"/>
      <c r="C42" s="459"/>
      <c r="D42" s="459"/>
      <c r="E42" s="469">
        <f>AX13</f>
        <v>0.33333333333333331</v>
      </c>
      <c r="F42" s="456"/>
      <c r="G42" s="456"/>
      <c r="H42" s="144" t="s">
        <v>680</v>
      </c>
      <c r="I42" s="456">
        <f>AY12</f>
        <v>0.83333333333333337</v>
      </c>
      <c r="J42" s="456"/>
      <c r="K42" s="457"/>
      <c r="L42" s="458" t="str">
        <f>AU13</f>
        <v>木村重明</v>
      </c>
      <c r="M42" s="459"/>
      <c r="N42" s="459"/>
      <c r="O42" s="459"/>
      <c r="P42" s="459"/>
      <c r="Q42" s="459"/>
      <c r="R42" s="460"/>
      <c r="S42" s="409"/>
      <c r="T42" s="410"/>
      <c r="U42" s="410"/>
      <c r="V42" s="410"/>
      <c r="W42" s="414"/>
      <c r="X42" s="415"/>
      <c r="Y42" s="415"/>
      <c r="Z42" s="136"/>
      <c r="AA42" s="415"/>
      <c r="AB42" s="415"/>
      <c r="AC42" s="461"/>
      <c r="AD42" s="409">
        <f>AU15</f>
        <v>0</v>
      </c>
      <c r="AE42" s="410"/>
      <c r="AF42" s="410"/>
      <c r="AG42" s="410"/>
      <c r="AH42" s="410"/>
      <c r="AI42" s="462"/>
      <c r="AK42" s="445" t="s">
        <v>682</v>
      </c>
      <c r="AL42" s="445"/>
      <c r="AM42" s="445"/>
      <c r="AN42" s="445"/>
      <c r="AO42" s="445"/>
      <c r="AP42" s="445"/>
      <c r="AQ42" s="42"/>
      <c r="AR42" s="48"/>
      <c r="AS42" s="561" t="s">
        <v>683</v>
      </c>
      <c r="AT42" s="561"/>
      <c r="AU42" s="561"/>
      <c r="AV42" s="561"/>
      <c r="AW42" s="561"/>
      <c r="BC42" s="50"/>
      <c r="BD42" s="51"/>
    </row>
    <row r="43" spans="1:80" ht="18" customHeight="1">
      <c r="A43" s="464" t="s">
        <v>38</v>
      </c>
      <c r="B43" s="459"/>
      <c r="C43" s="459"/>
      <c r="D43" s="459"/>
      <c r="E43" s="469">
        <f>AX16</f>
        <v>0.83333333333333337</v>
      </c>
      <c r="F43" s="456"/>
      <c r="G43" s="456"/>
      <c r="H43" s="144" t="s">
        <v>680</v>
      </c>
      <c r="I43" s="456" t="str">
        <f>AY16</f>
        <v>翌8:00</v>
      </c>
      <c r="J43" s="456"/>
      <c r="K43" s="457"/>
      <c r="L43" s="458" t="str">
        <f>AU16</f>
        <v>石井忠志</v>
      </c>
      <c r="M43" s="459"/>
      <c r="N43" s="459"/>
      <c r="O43" s="459"/>
      <c r="P43" s="459"/>
      <c r="Q43" s="459"/>
      <c r="R43" s="460"/>
      <c r="S43" s="409"/>
      <c r="T43" s="410"/>
      <c r="U43" s="410"/>
      <c r="V43" s="410"/>
      <c r="W43" s="414"/>
      <c r="X43" s="415"/>
      <c r="Y43" s="415"/>
      <c r="Z43" s="136"/>
      <c r="AA43" s="415"/>
      <c r="AB43" s="415"/>
      <c r="AC43" s="461"/>
      <c r="AD43" s="486">
        <f>AU18</f>
        <v>0</v>
      </c>
      <c r="AE43" s="410"/>
      <c r="AF43" s="410"/>
      <c r="AG43" s="410"/>
      <c r="AH43" s="410"/>
      <c r="AI43" s="462"/>
      <c r="AK43" s="444" t="s">
        <v>684</v>
      </c>
      <c r="AL43" s="444"/>
      <c r="AM43" s="444"/>
      <c r="AN43" s="444"/>
      <c r="AO43" s="444"/>
      <c r="AP43" s="444"/>
      <c r="AQ43" s="42"/>
      <c r="AR43" s="43"/>
      <c r="AW43"/>
      <c r="AX43"/>
      <c r="AY43"/>
      <c r="AZ43"/>
      <c r="BA43"/>
      <c r="BB43"/>
      <c r="BC43" s="50"/>
      <c r="BD43" s="51"/>
      <c r="BE43"/>
      <c r="BF43"/>
      <c r="BG43"/>
      <c r="BH43"/>
      <c r="BI43"/>
      <c r="BJ43"/>
      <c r="BK43"/>
      <c r="BL43"/>
      <c r="BM43"/>
      <c r="BN43"/>
      <c r="BO43"/>
      <c r="BP43"/>
      <c r="BQ43"/>
      <c r="BR43"/>
      <c r="BS43"/>
      <c r="BT43"/>
      <c r="BU43"/>
      <c r="BV43"/>
      <c r="BW43"/>
      <c r="BX43"/>
      <c r="BY43"/>
      <c r="BZ43"/>
      <c r="CA43"/>
      <c r="CB43"/>
    </row>
    <row r="44" spans="1:80" ht="18" customHeight="1" thickBot="1">
      <c r="A44" s="473" t="s">
        <v>45</v>
      </c>
      <c r="B44" s="474"/>
      <c r="C44" s="474"/>
      <c r="D44" s="474"/>
      <c r="E44" s="475">
        <f>AX17</f>
        <v>0.83333333333333337</v>
      </c>
      <c r="F44" s="476"/>
      <c r="G44" s="476"/>
      <c r="H44" s="145" t="s">
        <v>680</v>
      </c>
      <c r="I44" s="476" t="str">
        <f>AY17</f>
        <v>翌8:00</v>
      </c>
      <c r="J44" s="476"/>
      <c r="K44" s="477"/>
      <c r="L44" s="478" t="str">
        <f>AU17</f>
        <v>山本喜久</v>
      </c>
      <c r="M44" s="478"/>
      <c r="N44" s="478"/>
      <c r="O44" s="478"/>
      <c r="P44" s="478"/>
      <c r="Q44" s="478"/>
      <c r="R44" s="478"/>
      <c r="S44" s="479"/>
      <c r="T44" s="480"/>
      <c r="U44" s="480"/>
      <c r="V44" s="480"/>
      <c r="W44" s="481"/>
      <c r="X44" s="482"/>
      <c r="Y44" s="482"/>
      <c r="Z44" s="137"/>
      <c r="AA44" s="482"/>
      <c r="AB44" s="482"/>
      <c r="AC44" s="483"/>
      <c r="AD44" s="484">
        <f>AU19</f>
        <v>0</v>
      </c>
      <c r="AE44" s="480"/>
      <c r="AF44" s="480"/>
      <c r="AG44" s="480"/>
      <c r="AH44" s="480"/>
      <c r="AI44" s="485"/>
      <c r="AK44" s="446" t="s">
        <v>685</v>
      </c>
      <c r="AL44" s="446"/>
      <c r="AM44" s="446"/>
      <c r="AN44" s="446"/>
      <c r="AO44" s="446"/>
      <c r="AP44" s="446"/>
      <c r="AQ44" s="42"/>
      <c r="AR44" s="43"/>
      <c r="BC44" s="50"/>
      <c r="BD44" s="51"/>
    </row>
    <row r="45" spans="1:80" ht="18" customHeight="1" thickBot="1">
      <c r="A45" s="27"/>
      <c r="B45" s="27"/>
      <c r="C45" s="27"/>
      <c r="D45" s="27"/>
      <c r="E45" s="27"/>
      <c r="F45" s="27"/>
      <c r="G45" s="27"/>
      <c r="H45" s="27"/>
      <c r="I45" s="27"/>
      <c r="R45" s="307">
        <f>A7</f>
        <v>46196</v>
      </c>
      <c r="S45" s="308"/>
      <c r="T45" s="308"/>
      <c r="U45" s="308"/>
      <c r="V45" s="23" t="s">
        <v>169</v>
      </c>
      <c r="W45" s="309">
        <f>G7</f>
        <v>46196</v>
      </c>
      <c r="X45" s="308"/>
      <c r="Y45" s="23" t="s">
        <v>170</v>
      </c>
      <c r="Z45" s="310">
        <f>K7</f>
        <v>46196</v>
      </c>
      <c r="AA45" s="308"/>
      <c r="AB45" s="23" t="s">
        <v>3</v>
      </c>
      <c r="AC45" s="455">
        <f>O7</f>
        <v>46196</v>
      </c>
      <c r="AD45" s="308"/>
      <c r="AE45" s="308" t="s">
        <v>292</v>
      </c>
      <c r="AF45" s="308"/>
      <c r="AK45" s="425" t="s">
        <v>686</v>
      </c>
      <c r="AL45" s="425"/>
      <c r="AM45" s="425"/>
      <c r="AN45" s="425"/>
      <c r="AO45" s="425"/>
      <c r="AP45" s="425"/>
      <c r="AQ45" s="42"/>
      <c r="AR45" s="43"/>
      <c r="BC45" s="50"/>
      <c r="BD45" s="51"/>
    </row>
    <row r="46" spans="1:80" customFormat="1" ht="18" customHeight="1">
      <c r="A46" s="452" t="s">
        <v>598</v>
      </c>
      <c r="B46" s="453"/>
      <c r="C46" s="453"/>
      <c r="D46" s="453"/>
      <c r="E46" s="453"/>
      <c r="F46" s="453"/>
      <c r="G46" s="453"/>
      <c r="H46" s="453"/>
      <c r="I46" s="453"/>
      <c r="J46" s="453"/>
      <c r="K46" s="453"/>
      <c r="L46" s="453"/>
      <c r="M46" s="453"/>
      <c r="N46" s="453"/>
      <c r="O46" s="453"/>
      <c r="P46" s="453"/>
      <c r="Q46" s="453"/>
      <c r="R46" s="453"/>
      <c r="S46" s="453"/>
      <c r="T46" s="453"/>
      <c r="U46" s="453"/>
      <c r="V46" s="453"/>
      <c r="W46" s="453"/>
      <c r="X46" s="453"/>
      <c r="Y46" s="453"/>
      <c r="Z46" s="453"/>
      <c r="AA46" s="453"/>
      <c r="AB46" s="453"/>
      <c r="AC46" s="453"/>
      <c r="AD46" s="453"/>
      <c r="AE46" s="453"/>
      <c r="AF46" s="453"/>
      <c r="AG46" s="453"/>
      <c r="AH46" s="453"/>
      <c r="AI46" s="454"/>
      <c r="AK46" s="425" t="s">
        <v>687</v>
      </c>
      <c r="AL46" s="425"/>
      <c r="AM46" s="425"/>
      <c r="AN46" s="425"/>
      <c r="AO46" s="425"/>
      <c r="AP46" s="425"/>
      <c r="AQ46" s="42"/>
      <c r="AR46" s="43"/>
      <c r="AW46" s="23"/>
      <c r="AX46" s="23"/>
      <c r="AY46" s="23"/>
      <c r="AZ46" s="23"/>
      <c r="BA46" s="23"/>
      <c r="BB46" s="23"/>
      <c r="BC46" s="50"/>
      <c r="BD46" s="51"/>
      <c r="BE46" s="23"/>
      <c r="BF46" s="23"/>
      <c r="BG46" s="23"/>
      <c r="BH46" s="23"/>
      <c r="BI46" s="23"/>
      <c r="BJ46" s="23"/>
      <c r="BK46" s="23"/>
      <c r="BL46" s="23"/>
      <c r="BM46" s="23"/>
      <c r="BN46" s="23"/>
      <c r="BO46" s="23"/>
      <c r="BP46" s="23"/>
      <c r="BQ46" s="23"/>
      <c r="BR46" s="23"/>
      <c r="BS46" s="23"/>
      <c r="BT46" s="23"/>
      <c r="BU46" s="23"/>
      <c r="BV46" s="23"/>
      <c r="BW46" s="23"/>
      <c r="BX46" s="23"/>
      <c r="BY46" s="23"/>
      <c r="BZ46" s="23"/>
      <c r="CA46" s="23"/>
      <c r="CB46" s="23"/>
    </row>
    <row r="47" spans="1:80" ht="18" customHeight="1">
      <c r="A47" s="36"/>
      <c r="B47" s="404"/>
      <c r="C47" s="404"/>
      <c r="D47" s="404"/>
      <c r="E47" s="404"/>
      <c r="F47" s="288"/>
      <c r="G47" s="288"/>
      <c r="H47" s="288"/>
      <c r="I47" s="288"/>
      <c r="J47" s="288"/>
      <c r="K47" s="288"/>
      <c r="L47" s="288"/>
      <c r="M47" s="288"/>
      <c r="N47" s="288"/>
      <c r="O47" s="288"/>
      <c r="P47" s="288"/>
      <c r="Q47" s="288"/>
      <c r="R47" s="288"/>
      <c r="S47" s="288"/>
      <c r="T47" s="288"/>
      <c r="U47" s="288"/>
      <c r="V47" s="288"/>
      <c r="W47" s="288"/>
      <c r="X47" s="288"/>
      <c r="Y47" s="288"/>
      <c r="Z47" s="288"/>
      <c r="AA47" s="288"/>
      <c r="AB47" s="288"/>
      <c r="AC47" s="288"/>
      <c r="AD47" s="288"/>
      <c r="AE47" s="288"/>
      <c r="AF47" s="288"/>
      <c r="AG47" s="288"/>
      <c r="AH47" s="288"/>
      <c r="AI47" s="289"/>
      <c r="AK47" s="425" t="s">
        <v>688</v>
      </c>
      <c r="AL47" s="425"/>
      <c r="AM47" s="425"/>
      <c r="AN47" s="425"/>
      <c r="AO47" s="425"/>
      <c r="AP47" s="425"/>
      <c r="AQ47" s="42"/>
      <c r="AR47" s="43"/>
      <c r="AS47" s="120" t="s">
        <v>189</v>
      </c>
      <c r="AT47" s="43" t="s">
        <v>689</v>
      </c>
      <c r="AU47" s="43"/>
      <c r="BC47" s="50"/>
      <c r="BD47" s="51"/>
    </row>
    <row r="48" spans="1:80" ht="18" customHeight="1">
      <c r="A48" s="36"/>
      <c r="B48" s="404"/>
      <c r="C48" s="404"/>
      <c r="D48" s="404"/>
      <c r="E48" s="404"/>
      <c r="F48" s="288"/>
      <c r="G48" s="288"/>
      <c r="H48" s="288"/>
      <c r="I48" s="288"/>
      <c r="J48" s="288"/>
      <c r="K48" s="288"/>
      <c r="L48" s="288"/>
      <c r="M48" s="288"/>
      <c r="N48" s="288"/>
      <c r="O48" s="288"/>
      <c r="P48" s="288"/>
      <c r="Q48" s="288"/>
      <c r="R48" s="288"/>
      <c r="S48" s="288"/>
      <c r="T48" s="288"/>
      <c r="U48" s="288"/>
      <c r="V48" s="288"/>
      <c r="W48" s="288"/>
      <c r="X48" s="288"/>
      <c r="Y48" s="288"/>
      <c r="Z48" s="288"/>
      <c r="AA48" s="288"/>
      <c r="AB48" s="288"/>
      <c r="AC48" s="288"/>
      <c r="AD48" s="288"/>
      <c r="AE48" s="288"/>
      <c r="AF48" s="288"/>
      <c r="AG48" s="288"/>
      <c r="AH48" s="288"/>
      <c r="AI48" s="289"/>
      <c r="AK48" s="425" t="s">
        <v>690</v>
      </c>
      <c r="AL48" s="425"/>
      <c r="AM48" s="425"/>
      <c r="AN48" s="425"/>
      <c r="AO48" s="425"/>
      <c r="AP48" s="425"/>
      <c r="AQ48" s="42"/>
      <c r="AR48" s="43"/>
      <c r="AS48" s="43"/>
      <c r="AT48" s="43"/>
      <c r="AU48" s="43"/>
      <c r="BC48" s="50"/>
      <c r="BD48" s="51"/>
    </row>
    <row r="49" spans="1:61" ht="18" customHeight="1">
      <c r="A49" s="36"/>
      <c r="B49" s="404"/>
      <c r="C49" s="404"/>
      <c r="D49" s="404"/>
      <c r="E49" s="404"/>
      <c r="F49" s="288"/>
      <c r="G49" s="288"/>
      <c r="H49" s="288"/>
      <c r="I49" s="288"/>
      <c r="J49" s="288"/>
      <c r="K49" s="288"/>
      <c r="L49" s="288"/>
      <c r="M49" s="288"/>
      <c r="N49" s="288"/>
      <c r="O49" s="288"/>
      <c r="P49" s="288"/>
      <c r="Q49" s="288"/>
      <c r="R49" s="288"/>
      <c r="S49" s="288"/>
      <c r="T49" s="288"/>
      <c r="U49" s="288"/>
      <c r="V49" s="288"/>
      <c r="W49" s="288"/>
      <c r="X49" s="288"/>
      <c r="Y49" s="288"/>
      <c r="Z49" s="288"/>
      <c r="AA49" s="288"/>
      <c r="AB49" s="288"/>
      <c r="AC49" s="288"/>
      <c r="AD49" s="288"/>
      <c r="AE49" s="288"/>
      <c r="AF49" s="288"/>
      <c r="AG49" s="288"/>
      <c r="AH49" s="288"/>
      <c r="AI49" s="289"/>
      <c r="AK49" s="425" t="s">
        <v>691</v>
      </c>
      <c r="AL49" s="425"/>
      <c r="AM49" s="425"/>
      <c r="AN49" s="425"/>
      <c r="AO49" s="425"/>
      <c r="AP49" s="425"/>
      <c r="AQ49" s="42"/>
      <c r="AR49" s="43"/>
      <c r="AS49" s="43"/>
      <c r="AT49" s="43"/>
      <c r="AU49" s="43"/>
      <c r="BC49" s="50"/>
      <c r="BD49" s="51"/>
    </row>
    <row r="50" spans="1:61" ht="18" customHeight="1">
      <c r="A50" s="36"/>
      <c r="B50" s="404"/>
      <c r="C50" s="404"/>
      <c r="D50" s="404"/>
      <c r="E50" s="404"/>
      <c r="F50" s="288"/>
      <c r="G50" s="288"/>
      <c r="H50" s="288"/>
      <c r="I50" s="288"/>
      <c r="J50" s="288"/>
      <c r="K50" s="288"/>
      <c r="L50" s="288"/>
      <c r="M50" s="288"/>
      <c r="N50" s="288"/>
      <c r="O50" s="288"/>
      <c r="P50" s="288"/>
      <c r="Q50" s="288"/>
      <c r="R50" s="288"/>
      <c r="S50" s="288"/>
      <c r="T50" s="288"/>
      <c r="U50" s="288"/>
      <c r="V50" s="288"/>
      <c r="W50" s="288"/>
      <c r="X50" s="288"/>
      <c r="Y50" s="288"/>
      <c r="Z50" s="288"/>
      <c r="AA50" s="288"/>
      <c r="AB50" s="288"/>
      <c r="AC50" s="288"/>
      <c r="AD50" s="288"/>
      <c r="AE50" s="288"/>
      <c r="AF50" s="288"/>
      <c r="AG50" s="288"/>
      <c r="AH50" s="288"/>
      <c r="AI50" s="289"/>
      <c r="AK50" s="425" t="s">
        <v>692</v>
      </c>
      <c r="AL50" s="425"/>
      <c r="AM50" s="425"/>
      <c r="AN50" s="425"/>
      <c r="AO50" s="425"/>
      <c r="AP50" s="425"/>
      <c r="AQ50" s="42"/>
      <c r="AR50" s="43"/>
      <c r="AS50" s="43"/>
      <c r="AT50" s="43"/>
      <c r="AU50" s="43"/>
      <c r="BC50" s="50"/>
      <c r="BD50" s="51"/>
    </row>
    <row r="51" spans="1:61" ht="18" customHeight="1">
      <c r="A51" s="36"/>
      <c r="B51" s="404"/>
      <c r="C51" s="404"/>
      <c r="D51" s="404"/>
      <c r="E51" s="404"/>
      <c r="F51" s="288"/>
      <c r="G51" s="288"/>
      <c r="H51" s="288"/>
      <c r="I51" s="288"/>
      <c r="J51" s="288"/>
      <c r="K51" s="288"/>
      <c r="L51" s="288"/>
      <c r="M51" s="288"/>
      <c r="N51" s="288"/>
      <c r="O51" s="288"/>
      <c r="P51" s="288"/>
      <c r="Q51" s="288"/>
      <c r="R51" s="288"/>
      <c r="S51" s="288"/>
      <c r="T51" s="288"/>
      <c r="U51" s="288"/>
      <c r="V51" s="288"/>
      <c r="W51" s="288"/>
      <c r="X51" s="288"/>
      <c r="Y51" s="288"/>
      <c r="Z51" s="288"/>
      <c r="AA51" s="288"/>
      <c r="AB51" s="288"/>
      <c r="AC51" s="288"/>
      <c r="AD51" s="288"/>
      <c r="AE51" s="288"/>
      <c r="AF51" s="288"/>
      <c r="AG51" s="288"/>
      <c r="AH51" s="288"/>
      <c r="AI51" s="289"/>
      <c r="AK51" s="425" t="s">
        <v>693</v>
      </c>
      <c r="AL51" s="425"/>
      <c r="AM51" s="425"/>
      <c r="AN51" s="425"/>
      <c r="AO51" s="425"/>
      <c r="AP51" s="425"/>
      <c r="AQ51" s="42"/>
      <c r="AR51" s="43"/>
      <c r="AS51" s="43"/>
      <c r="AT51" s="43"/>
      <c r="AU51" s="43"/>
      <c r="BC51" s="50"/>
      <c r="BD51" s="51"/>
    </row>
    <row r="52" spans="1:61" ht="18" customHeight="1">
      <c r="A52" s="36"/>
      <c r="B52" s="404"/>
      <c r="C52" s="404"/>
      <c r="D52" s="404"/>
      <c r="E52" s="404"/>
      <c r="F52" s="288"/>
      <c r="G52" s="288"/>
      <c r="H52" s="288"/>
      <c r="I52" s="288"/>
      <c r="J52" s="288"/>
      <c r="K52" s="288"/>
      <c r="L52" s="288"/>
      <c r="M52" s="288"/>
      <c r="N52" s="288"/>
      <c r="O52" s="288"/>
      <c r="P52" s="288"/>
      <c r="Q52" s="288"/>
      <c r="R52" s="288"/>
      <c r="S52" s="288"/>
      <c r="T52" s="288"/>
      <c r="U52" s="288"/>
      <c r="V52" s="288"/>
      <c r="W52" s="288"/>
      <c r="X52" s="288"/>
      <c r="Y52" s="288"/>
      <c r="Z52" s="288"/>
      <c r="AA52" s="288"/>
      <c r="AB52" s="288"/>
      <c r="AC52" s="288"/>
      <c r="AD52" s="288"/>
      <c r="AE52" s="288"/>
      <c r="AF52" s="288"/>
      <c r="AG52" s="288"/>
      <c r="AH52" s="288"/>
      <c r="AI52" s="289"/>
      <c r="AK52" s="425" t="s">
        <v>694</v>
      </c>
      <c r="AL52" s="425"/>
      <c r="AM52" s="425"/>
      <c r="AN52" s="425"/>
      <c r="AO52" s="425"/>
      <c r="AP52" s="425"/>
      <c r="AQ52" s="42"/>
      <c r="AR52" s="43"/>
      <c r="AS52" s="43"/>
      <c r="AV52" s="43"/>
      <c r="AW52" s="43"/>
      <c r="AX52" s="43"/>
      <c r="AY52" s="43"/>
      <c r="AZ52" s="43"/>
      <c r="BA52" s="43"/>
      <c r="BH52" s="52"/>
      <c r="BI52" s="51"/>
    </row>
    <row r="53" spans="1:61" ht="18" customHeight="1">
      <c r="A53" s="36"/>
      <c r="B53" s="404"/>
      <c r="C53" s="404"/>
      <c r="D53" s="404"/>
      <c r="E53" s="404"/>
      <c r="F53" s="288"/>
      <c r="G53" s="288"/>
      <c r="H53" s="288"/>
      <c r="I53" s="288"/>
      <c r="J53" s="288"/>
      <c r="K53" s="288"/>
      <c r="L53" s="288"/>
      <c r="M53" s="288"/>
      <c r="N53" s="288"/>
      <c r="O53" s="288"/>
      <c r="P53" s="288"/>
      <c r="Q53" s="288"/>
      <c r="R53" s="288"/>
      <c r="S53" s="288"/>
      <c r="T53" s="288"/>
      <c r="U53" s="288"/>
      <c r="V53" s="288"/>
      <c r="W53" s="288"/>
      <c r="X53" s="288"/>
      <c r="Y53" s="288"/>
      <c r="Z53" s="288"/>
      <c r="AA53" s="288"/>
      <c r="AB53" s="288"/>
      <c r="AC53" s="288"/>
      <c r="AD53" s="288"/>
      <c r="AE53" s="288"/>
      <c r="AF53" s="288"/>
      <c r="AG53" s="288"/>
      <c r="AH53" s="288"/>
      <c r="AI53" s="289"/>
      <c r="AK53" s="425" t="s">
        <v>695</v>
      </c>
      <c r="AL53" s="425"/>
      <c r="AM53" s="425"/>
      <c r="AN53" s="425"/>
      <c r="AO53" s="425"/>
      <c r="AP53" s="425"/>
      <c r="AQ53" s="42"/>
      <c r="AR53" s="43"/>
      <c r="AS53" s="43"/>
      <c r="AT53" s="43"/>
      <c r="AU53" s="43"/>
      <c r="AV53" s="43"/>
      <c r="AW53" s="43"/>
      <c r="AX53" s="43"/>
      <c r="AY53" s="43"/>
      <c r="AZ53" s="43"/>
      <c r="BH53" s="50"/>
      <c r="BI53" s="51"/>
    </row>
    <row r="54" spans="1:61" ht="18" customHeight="1">
      <c r="A54" s="36"/>
      <c r="B54" s="404"/>
      <c r="C54" s="404"/>
      <c r="D54" s="404"/>
      <c r="E54" s="404"/>
      <c r="F54" s="288"/>
      <c r="G54" s="288"/>
      <c r="H54" s="288"/>
      <c r="I54" s="288"/>
      <c r="J54" s="288"/>
      <c r="K54" s="288"/>
      <c r="L54" s="288"/>
      <c r="M54" s="288"/>
      <c r="N54" s="288"/>
      <c r="O54" s="288"/>
      <c r="P54" s="288"/>
      <c r="Q54" s="288"/>
      <c r="R54" s="288"/>
      <c r="S54" s="288"/>
      <c r="T54" s="288"/>
      <c r="U54" s="288"/>
      <c r="V54" s="288"/>
      <c r="W54" s="288"/>
      <c r="X54" s="288"/>
      <c r="Y54" s="288"/>
      <c r="Z54" s="288"/>
      <c r="AA54" s="288"/>
      <c r="AB54" s="288"/>
      <c r="AC54" s="288"/>
      <c r="AD54" s="288"/>
      <c r="AE54" s="288"/>
      <c r="AF54" s="288"/>
      <c r="AG54" s="288"/>
      <c r="AH54" s="288"/>
      <c r="AI54" s="289"/>
      <c r="AK54" s="425" t="s">
        <v>696</v>
      </c>
      <c r="AL54" s="425"/>
      <c r="AM54" s="425"/>
      <c r="AN54" s="425"/>
      <c r="AO54" s="425"/>
      <c r="AP54" s="425"/>
      <c r="AQ54" s="42"/>
      <c r="AR54" s="43"/>
      <c r="AS54" s="43"/>
      <c r="AT54" s="43"/>
      <c r="AU54" s="43"/>
      <c r="AV54" s="43"/>
      <c r="AW54" s="43"/>
      <c r="AX54" s="43"/>
      <c r="AY54" s="43"/>
      <c r="AZ54" s="43"/>
      <c r="BH54" s="50"/>
      <c r="BI54" s="51"/>
    </row>
    <row r="55" spans="1:61" ht="18" customHeight="1">
      <c r="A55" s="36"/>
      <c r="B55" s="404"/>
      <c r="C55" s="404"/>
      <c r="D55" s="404"/>
      <c r="E55" s="404"/>
      <c r="F55" s="288"/>
      <c r="G55" s="288"/>
      <c r="H55" s="288"/>
      <c r="I55" s="288"/>
      <c r="J55" s="288"/>
      <c r="K55" s="288"/>
      <c r="L55" s="288"/>
      <c r="M55" s="288"/>
      <c r="N55" s="288"/>
      <c r="O55" s="288"/>
      <c r="P55" s="288"/>
      <c r="Q55" s="288"/>
      <c r="R55" s="288"/>
      <c r="S55" s="288"/>
      <c r="T55" s="288"/>
      <c r="U55" s="288"/>
      <c r="V55" s="288"/>
      <c r="W55" s="288"/>
      <c r="X55" s="288"/>
      <c r="Y55" s="288"/>
      <c r="Z55" s="288"/>
      <c r="AA55" s="288"/>
      <c r="AB55" s="288"/>
      <c r="AC55" s="288"/>
      <c r="AD55" s="288"/>
      <c r="AE55" s="288"/>
      <c r="AF55" s="288"/>
      <c r="AG55" s="288"/>
      <c r="AH55" s="288"/>
      <c r="AI55" s="289"/>
      <c r="AK55" s="425" t="s">
        <v>697</v>
      </c>
      <c r="AL55" s="425"/>
      <c r="AM55" s="425"/>
      <c r="AN55" s="425"/>
      <c r="AO55" s="425"/>
      <c r="AP55" s="425"/>
      <c r="AQ55" s="42"/>
      <c r="AR55" s="43"/>
      <c r="AS55" s="43"/>
      <c r="AT55" s="43"/>
      <c r="AU55" s="43"/>
      <c r="AV55" s="43"/>
      <c r="AW55" s="43"/>
      <c r="AX55" s="43"/>
      <c r="AY55" s="43"/>
      <c r="AZ55" s="43"/>
      <c r="BH55" s="50"/>
      <c r="BI55" s="51"/>
    </row>
    <row r="56" spans="1:61" ht="18" customHeight="1">
      <c r="A56" s="36"/>
      <c r="B56" s="404"/>
      <c r="C56" s="404"/>
      <c r="D56" s="404"/>
      <c r="E56" s="404"/>
      <c r="F56" s="288"/>
      <c r="G56" s="288"/>
      <c r="H56" s="288"/>
      <c r="I56" s="288"/>
      <c r="J56" s="288"/>
      <c r="K56" s="288"/>
      <c r="L56" s="288"/>
      <c r="M56" s="288"/>
      <c r="N56" s="288"/>
      <c r="O56" s="288"/>
      <c r="P56" s="288"/>
      <c r="Q56" s="288"/>
      <c r="R56" s="288"/>
      <c r="S56" s="288"/>
      <c r="T56" s="288"/>
      <c r="U56" s="288"/>
      <c r="V56" s="288"/>
      <c r="W56" s="288"/>
      <c r="X56" s="288"/>
      <c r="Y56" s="288"/>
      <c r="Z56" s="288"/>
      <c r="AA56" s="288"/>
      <c r="AB56" s="288"/>
      <c r="AC56" s="288"/>
      <c r="AD56" s="288"/>
      <c r="AE56" s="288"/>
      <c r="AF56" s="288"/>
      <c r="AG56" s="288"/>
      <c r="AH56" s="288"/>
      <c r="AI56" s="289"/>
      <c r="AK56" s="425" t="s">
        <v>698</v>
      </c>
      <c r="AL56" s="425"/>
      <c r="AM56" s="425"/>
      <c r="AN56" s="425"/>
      <c r="AO56" s="425"/>
      <c r="AP56" s="425"/>
      <c r="AQ56" s="42"/>
      <c r="AR56" s="43"/>
      <c r="AS56" s="43"/>
      <c r="AT56" s="43"/>
      <c r="AU56" s="43"/>
      <c r="AV56" s="43"/>
      <c r="AW56" s="43"/>
      <c r="AX56" s="43"/>
      <c r="AY56" s="43"/>
      <c r="AZ56" s="43"/>
      <c r="BH56" s="52"/>
      <c r="BI56" s="51"/>
    </row>
    <row r="57" spans="1:61" ht="18" customHeight="1">
      <c r="A57" s="36"/>
      <c r="B57" s="404"/>
      <c r="C57" s="404"/>
      <c r="D57" s="404"/>
      <c r="E57" s="404"/>
      <c r="F57" s="288"/>
      <c r="G57" s="288"/>
      <c r="H57" s="288"/>
      <c r="I57" s="288"/>
      <c r="J57" s="288"/>
      <c r="K57" s="288"/>
      <c r="L57" s="288"/>
      <c r="M57" s="288"/>
      <c r="N57" s="288"/>
      <c r="O57" s="288"/>
      <c r="P57" s="288"/>
      <c r="Q57" s="288"/>
      <c r="R57" s="288"/>
      <c r="S57" s="288"/>
      <c r="T57" s="288"/>
      <c r="U57" s="288"/>
      <c r="V57" s="288"/>
      <c r="W57" s="288"/>
      <c r="X57" s="288"/>
      <c r="Y57" s="288"/>
      <c r="Z57" s="288"/>
      <c r="AA57" s="288"/>
      <c r="AB57" s="288"/>
      <c r="AC57" s="288"/>
      <c r="AD57" s="288"/>
      <c r="AE57" s="288"/>
      <c r="AF57" s="288"/>
      <c r="AG57" s="288"/>
      <c r="AH57" s="288"/>
      <c r="AI57" s="289"/>
      <c r="AK57" s="425" t="s">
        <v>699</v>
      </c>
      <c r="AL57" s="425"/>
      <c r="AM57" s="425"/>
      <c r="AN57" s="425"/>
      <c r="AO57" s="425"/>
      <c r="AP57" s="425"/>
      <c r="AQ57" s="42"/>
      <c r="AR57" s="43"/>
      <c r="AS57" s="43"/>
      <c r="AT57" s="43"/>
      <c r="AU57" s="43"/>
      <c r="AV57" s="43"/>
      <c r="AW57" s="43"/>
      <c r="AX57" s="43"/>
      <c r="AY57" s="43"/>
      <c r="AZ57" s="43"/>
      <c r="BH57" s="50"/>
      <c r="BI57" s="51"/>
    </row>
    <row r="58" spans="1:61" ht="18" customHeight="1">
      <c r="A58" s="36"/>
      <c r="B58" s="404"/>
      <c r="C58" s="404"/>
      <c r="D58" s="404"/>
      <c r="E58" s="404"/>
      <c r="F58" s="288"/>
      <c r="G58" s="288"/>
      <c r="H58" s="288"/>
      <c r="I58" s="288"/>
      <c r="J58" s="288"/>
      <c r="K58" s="288"/>
      <c r="L58" s="288"/>
      <c r="M58" s="288"/>
      <c r="N58" s="288"/>
      <c r="O58" s="288"/>
      <c r="P58" s="288"/>
      <c r="Q58" s="288"/>
      <c r="R58" s="288"/>
      <c r="S58" s="288"/>
      <c r="T58" s="288"/>
      <c r="U58" s="288"/>
      <c r="V58" s="288"/>
      <c r="W58" s="288"/>
      <c r="X58" s="288"/>
      <c r="Y58" s="288"/>
      <c r="Z58" s="288"/>
      <c r="AA58" s="288"/>
      <c r="AB58" s="288"/>
      <c r="AC58" s="288"/>
      <c r="AD58" s="288"/>
      <c r="AE58" s="288"/>
      <c r="AF58" s="288"/>
      <c r="AG58" s="288"/>
      <c r="AH58" s="288"/>
      <c r="AI58" s="289"/>
      <c r="AK58" s="425" t="s">
        <v>700</v>
      </c>
      <c r="AL58" s="425"/>
      <c r="AM58" s="425"/>
      <c r="AN58" s="425"/>
      <c r="AO58" s="425"/>
      <c r="AP58" s="425"/>
      <c r="AQ58" s="42"/>
      <c r="AR58" s="43"/>
      <c r="AS58" s="43"/>
      <c r="AT58" s="43"/>
      <c r="AU58" s="43"/>
      <c r="AV58" s="43"/>
      <c r="AW58" s="43"/>
      <c r="AX58" s="43"/>
      <c r="AY58" s="43"/>
      <c r="AZ58" s="43"/>
      <c r="BH58" s="50"/>
      <c r="BI58" s="51"/>
    </row>
    <row r="59" spans="1:61" ht="18" customHeight="1">
      <c r="A59" s="36"/>
      <c r="B59" s="404"/>
      <c r="C59" s="404"/>
      <c r="D59" s="404"/>
      <c r="E59" s="404"/>
      <c r="F59" s="288"/>
      <c r="G59" s="288"/>
      <c r="H59" s="288"/>
      <c r="I59" s="288"/>
      <c r="J59" s="288"/>
      <c r="K59" s="288"/>
      <c r="L59" s="288"/>
      <c r="M59" s="288"/>
      <c r="N59" s="288"/>
      <c r="O59" s="288"/>
      <c r="P59" s="288"/>
      <c r="Q59" s="288"/>
      <c r="R59" s="288"/>
      <c r="S59" s="288"/>
      <c r="T59" s="288"/>
      <c r="U59" s="288"/>
      <c r="V59" s="288"/>
      <c r="W59" s="288"/>
      <c r="X59" s="288"/>
      <c r="Y59" s="288"/>
      <c r="Z59" s="288"/>
      <c r="AA59" s="288"/>
      <c r="AB59" s="288"/>
      <c r="AC59" s="288"/>
      <c r="AD59" s="288"/>
      <c r="AE59" s="288"/>
      <c r="AF59" s="288"/>
      <c r="AG59" s="288"/>
      <c r="AH59" s="288"/>
      <c r="AI59" s="289"/>
      <c r="AK59" s="425" t="s">
        <v>701</v>
      </c>
      <c r="AL59" s="425"/>
      <c r="AM59" s="425"/>
      <c r="AN59" s="425"/>
      <c r="AO59" s="425"/>
      <c r="AP59" s="425"/>
      <c r="AQ59" s="42"/>
      <c r="AR59" s="43"/>
      <c r="AS59" s="43"/>
      <c r="AT59" s="43"/>
      <c r="AU59" s="43"/>
      <c r="AV59" s="43"/>
      <c r="AW59" s="43"/>
      <c r="AX59" s="43"/>
      <c r="AY59" s="43"/>
      <c r="AZ59" s="43"/>
      <c r="BH59" s="50"/>
      <c r="BI59" s="51"/>
    </row>
    <row r="60" spans="1:61" ht="18" customHeight="1">
      <c r="A60" s="36"/>
      <c r="B60" s="404"/>
      <c r="C60" s="404"/>
      <c r="D60" s="404"/>
      <c r="E60" s="404"/>
      <c r="F60" s="288"/>
      <c r="G60" s="288"/>
      <c r="H60" s="288"/>
      <c r="I60" s="288"/>
      <c r="J60" s="288"/>
      <c r="K60" s="288"/>
      <c r="L60" s="288"/>
      <c r="M60" s="288"/>
      <c r="N60" s="288"/>
      <c r="O60" s="288"/>
      <c r="P60" s="288"/>
      <c r="Q60" s="288"/>
      <c r="R60" s="288"/>
      <c r="S60" s="288"/>
      <c r="T60" s="288"/>
      <c r="U60" s="288"/>
      <c r="V60" s="288"/>
      <c r="W60" s="288"/>
      <c r="X60" s="288"/>
      <c r="Y60" s="288"/>
      <c r="Z60" s="288"/>
      <c r="AA60" s="288"/>
      <c r="AB60" s="288"/>
      <c r="AC60" s="288"/>
      <c r="AD60" s="288"/>
      <c r="AE60" s="288"/>
      <c r="AF60" s="288"/>
      <c r="AG60" s="288"/>
      <c r="AH60" s="288"/>
      <c r="AI60" s="289"/>
      <c r="AK60" s="425" t="s">
        <v>702</v>
      </c>
      <c r="AL60" s="425"/>
      <c r="AM60" s="425"/>
      <c r="AN60" s="425"/>
      <c r="AO60" s="425"/>
      <c r="AP60" s="425"/>
      <c r="AQ60" s="42"/>
      <c r="AR60" s="43"/>
      <c r="AS60" s="43"/>
      <c r="AT60" s="43"/>
      <c r="AU60" s="43"/>
      <c r="AV60" s="43"/>
      <c r="AW60" s="43"/>
      <c r="AX60" s="43"/>
      <c r="AY60" s="43"/>
      <c r="AZ60" s="43"/>
      <c r="BH60" s="52"/>
      <c r="BI60" s="51"/>
    </row>
    <row r="61" spans="1:61" ht="18" customHeight="1">
      <c r="A61" s="36"/>
      <c r="B61" s="404"/>
      <c r="C61" s="404"/>
      <c r="D61" s="404"/>
      <c r="E61" s="404"/>
      <c r="F61" s="288"/>
      <c r="G61" s="288"/>
      <c r="H61" s="288"/>
      <c r="I61" s="288"/>
      <c r="J61" s="288"/>
      <c r="K61" s="288"/>
      <c r="L61" s="288"/>
      <c r="M61" s="288"/>
      <c r="N61" s="288"/>
      <c r="O61" s="288"/>
      <c r="P61" s="288"/>
      <c r="Q61" s="288"/>
      <c r="R61" s="288"/>
      <c r="S61" s="288"/>
      <c r="T61" s="288"/>
      <c r="U61" s="288"/>
      <c r="V61" s="288"/>
      <c r="W61" s="288"/>
      <c r="X61" s="288"/>
      <c r="Y61" s="288"/>
      <c r="Z61" s="288"/>
      <c r="AA61" s="288"/>
      <c r="AB61" s="288"/>
      <c r="AC61" s="288"/>
      <c r="AD61" s="288"/>
      <c r="AE61" s="288"/>
      <c r="AF61" s="288"/>
      <c r="AG61" s="288"/>
      <c r="AH61" s="288"/>
      <c r="AI61" s="289"/>
      <c r="AK61" s="425" t="s">
        <v>703</v>
      </c>
      <c r="AL61" s="425"/>
      <c r="AM61" s="425"/>
      <c r="AN61" s="425"/>
      <c r="AO61" s="425"/>
      <c r="AP61" s="425"/>
      <c r="AQ61" s="42"/>
      <c r="AR61" s="43"/>
      <c r="AS61" s="43"/>
      <c r="AT61" s="43"/>
      <c r="AU61" s="43"/>
      <c r="AV61" s="43"/>
      <c r="AW61" s="43"/>
      <c r="AX61" s="43"/>
      <c r="AY61" s="43"/>
      <c r="AZ61" s="43"/>
      <c r="BH61" s="50"/>
      <c r="BI61" s="51"/>
    </row>
    <row r="62" spans="1:61" ht="18" customHeight="1">
      <c r="A62" s="36"/>
      <c r="B62" s="404"/>
      <c r="C62" s="404"/>
      <c r="D62" s="404"/>
      <c r="E62" s="404"/>
      <c r="F62" s="288"/>
      <c r="G62" s="288"/>
      <c r="H62" s="288"/>
      <c r="I62" s="288"/>
      <c r="J62" s="288"/>
      <c r="K62" s="288"/>
      <c r="L62" s="288"/>
      <c r="M62" s="288"/>
      <c r="N62" s="288"/>
      <c r="O62" s="288"/>
      <c r="P62" s="288"/>
      <c r="Q62" s="288"/>
      <c r="R62" s="288"/>
      <c r="S62" s="288"/>
      <c r="T62" s="288"/>
      <c r="U62" s="288"/>
      <c r="V62" s="288"/>
      <c r="W62" s="288"/>
      <c r="X62" s="288"/>
      <c r="Y62" s="288"/>
      <c r="Z62" s="288"/>
      <c r="AA62" s="288"/>
      <c r="AB62" s="288"/>
      <c r="AC62" s="288"/>
      <c r="AD62" s="288"/>
      <c r="AE62" s="288"/>
      <c r="AF62" s="288"/>
      <c r="AG62" s="288"/>
      <c r="AH62" s="288"/>
      <c r="AI62" s="289"/>
      <c r="AK62" s="425"/>
      <c r="AL62" s="425"/>
      <c r="AM62" s="425"/>
      <c r="AN62" s="425"/>
      <c r="AO62" s="425"/>
      <c r="AP62" s="425"/>
      <c r="AQ62" s="42"/>
      <c r="AR62" s="43"/>
      <c r="AS62" s="43"/>
      <c r="AT62" s="43"/>
      <c r="AU62" s="43"/>
      <c r="AV62" s="43"/>
      <c r="AW62" s="43"/>
      <c r="AX62" s="43"/>
      <c r="AY62" s="43"/>
      <c r="AZ62" s="43"/>
      <c r="BH62" s="50"/>
      <c r="BI62" s="51"/>
    </row>
    <row r="63" spans="1:61" ht="18" customHeight="1">
      <c r="A63" s="36"/>
      <c r="B63" s="404"/>
      <c r="C63" s="404"/>
      <c r="D63" s="404"/>
      <c r="E63" s="404"/>
      <c r="F63" s="288"/>
      <c r="G63" s="288"/>
      <c r="H63" s="288"/>
      <c r="I63" s="288"/>
      <c r="J63" s="288"/>
      <c r="K63" s="288"/>
      <c r="L63" s="288"/>
      <c r="M63" s="288"/>
      <c r="N63" s="288"/>
      <c r="O63" s="288"/>
      <c r="P63" s="288"/>
      <c r="Q63" s="288"/>
      <c r="R63" s="288"/>
      <c r="S63" s="288"/>
      <c r="T63" s="288"/>
      <c r="U63" s="288"/>
      <c r="V63" s="288"/>
      <c r="W63" s="288"/>
      <c r="X63" s="288"/>
      <c r="Y63" s="288"/>
      <c r="Z63" s="288"/>
      <c r="AA63" s="288"/>
      <c r="AB63" s="288"/>
      <c r="AC63" s="288"/>
      <c r="AD63" s="288"/>
      <c r="AE63" s="288"/>
      <c r="AF63" s="288"/>
      <c r="AG63" s="288"/>
      <c r="AH63" s="288"/>
      <c r="AI63" s="289"/>
      <c r="AK63" s="425"/>
      <c r="AL63" s="425"/>
      <c r="AM63" s="425"/>
      <c r="AN63" s="425"/>
      <c r="AO63" s="425"/>
      <c r="AP63" s="425"/>
      <c r="AQ63" s="42"/>
      <c r="AR63" s="43"/>
      <c r="AS63" s="43"/>
      <c r="AT63" s="43"/>
      <c r="AU63" s="43"/>
      <c r="AV63" s="43"/>
      <c r="AW63" s="43"/>
      <c r="AX63" s="43"/>
      <c r="AY63" s="43"/>
      <c r="AZ63" s="43"/>
      <c r="BH63" s="52"/>
      <c r="BI63" s="51"/>
    </row>
    <row r="64" spans="1:61" ht="18" customHeight="1">
      <c r="A64" s="36"/>
      <c r="B64" s="404"/>
      <c r="C64" s="404"/>
      <c r="D64" s="404"/>
      <c r="E64" s="404"/>
      <c r="F64" s="288"/>
      <c r="G64" s="288"/>
      <c r="H64" s="288"/>
      <c r="I64" s="288"/>
      <c r="J64" s="288"/>
      <c r="K64" s="288"/>
      <c r="L64" s="288"/>
      <c r="M64" s="288"/>
      <c r="N64" s="288"/>
      <c r="O64" s="288"/>
      <c r="P64" s="288"/>
      <c r="Q64" s="288"/>
      <c r="R64" s="288"/>
      <c r="S64" s="288"/>
      <c r="T64" s="288"/>
      <c r="U64" s="288"/>
      <c r="V64" s="288"/>
      <c r="W64" s="288"/>
      <c r="X64" s="288"/>
      <c r="Y64" s="288"/>
      <c r="Z64" s="288"/>
      <c r="AA64" s="288"/>
      <c r="AB64" s="288"/>
      <c r="AC64" s="288"/>
      <c r="AD64" s="288"/>
      <c r="AE64" s="288"/>
      <c r="AF64" s="288"/>
      <c r="AG64" s="288"/>
      <c r="AH64" s="288"/>
      <c r="AI64" s="289"/>
      <c r="AK64" s="425"/>
      <c r="AL64" s="425"/>
      <c r="AM64" s="425"/>
      <c r="AN64" s="425"/>
      <c r="AO64" s="425"/>
      <c r="AP64" s="425"/>
      <c r="AQ64" s="42"/>
      <c r="AR64" s="43"/>
      <c r="AS64" s="43"/>
      <c r="AT64" s="43"/>
      <c r="AU64" s="43"/>
      <c r="AV64" s="43"/>
      <c r="AW64" s="43"/>
      <c r="AX64" s="43"/>
      <c r="AY64" s="43"/>
      <c r="AZ64" s="43"/>
      <c r="BH64" s="52"/>
      <c r="BI64" s="51"/>
    </row>
    <row r="65" spans="1:61" ht="18" customHeight="1">
      <c r="A65" s="36"/>
      <c r="B65" s="404"/>
      <c r="C65" s="404"/>
      <c r="D65" s="404"/>
      <c r="E65" s="404"/>
      <c r="F65" s="288"/>
      <c r="G65" s="288"/>
      <c r="H65" s="288"/>
      <c r="I65" s="288"/>
      <c r="J65" s="288"/>
      <c r="K65" s="288"/>
      <c r="L65" s="288"/>
      <c r="M65" s="288"/>
      <c r="N65" s="288"/>
      <c r="O65" s="288"/>
      <c r="P65" s="288"/>
      <c r="Q65" s="288"/>
      <c r="R65" s="288"/>
      <c r="S65" s="288"/>
      <c r="T65" s="288"/>
      <c r="U65" s="288"/>
      <c r="V65" s="288"/>
      <c r="W65" s="288"/>
      <c r="X65" s="288"/>
      <c r="Y65" s="288"/>
      <c r="Z65" s="288"/>
      <c r="AA65" s="288"/>
      <c r="AB65" s="288"/>
      <c r="AC65" s="288"/>
      <c r="AD65" s="288"/>
      <c r="AE65" s="288"/>
      <c r="AF65" s="288"/>
      <c r="AG65" s="288"/>
      <c r="AH65" s="288"/>
      <c r="AI65" s="289"/>
      <c r="AK65" s="425"/>
      <c r="AL65" s="425"/>
      <c r="AM65" s="425"/>
      <c r="AN65" s="425"/>
      <c r="AO65" s="425"/>
      <c r="AP65" s="425"/>
      <c r="AQ65" s="42"/>
      <c r="AR65" s="43"/>
      <c r="AS65" s="43"/>
      <c r="AT65" s="43"/>
      <c r="AU65" s="43"/>
      <c r="AV65" s="43"/>
      <c r="AW65" s="43"/>
      <c r="AX65" s="43"/>
      <c r="AY65" s="43"/>
      <c r="AZ65" s="43"/>
      <c r="BH65" s="50"/>
      <c r="BI65" s="51"/>
    </row>
    <row r="66" spans="1:61" ht="18" customHeight="1">
      <c r="A66" s="36"/>
      <c r="B66" s="404"/>
      <c r="C66" s="404"/>
      <c r="D66" s="404"/>
      <c r="E66" s="404"/>
      <c r="F66" s="288"/>
      <c r="G66" s="288"/>
      <c r="H66" s="288"/>
      <c r="I66" s="288"/>
      <c r="J66" s="288"/>
      <c r="K66" s="288"/>
      <c r="L66" s="288"/>
      <c r="M66" s="288"/>
      <c r="N66" s="288"/>
      <c r="O66" s="288"/>
      <c r="P66" s="288"/>
      <c r="Q66" s="288"/>
      <c r="R66" s="288"/>
      <c r="S66" s="288"/>
      <c r="T66" s="288"/>
      <c r="U66" s="288"/>
      <c r="V66" s="288"/>
      <c r="W66" s="288"/>
      <c r="X66" s="288"/>
      <c r="Y66" s="288"/>
      <c r="Z66" s="288"/>
      <c r="AA66" s="288"/>
      <c r="AB66" s="288"/>
      <c r="AC66" s="288"/>
      <c r="AD66" s="288"/>
      <c r="AE66" s="288"/>
      <c r="AF66" s="288"/>
      <c r="AG66" s="288"/>
      <c r="AH66" s="288"/>
      <c r="AI66" s="289"/>
      <c r="AK66" s="425"/>
      <c r="AL66" s="425"/>
      <c r="AM66" s="425"/>
      <c r="AN66" s="425"/>
      <c r="AO66" s="425"/>
      <c r="AP66" s="425"/>
      <c r="AQ66" s="42"/>
      <c r="AR66" s="43"/>
      <c r="AS66" s="43"/>
      <c r="AT66" s="43"/>
      <c r="AU66" s="43"/>
      <c r="AV66" s="43"/>
      <c r="AW66" s="43"/>
      <c r="AX66" s="43"/>
      <c r="AY66" s="43"/>
      <c r="AZ66" s="43"/>
      <c r="BH66" s="50"/>
      <c r="BI66" s="51"/>
    </row>
    <row r="67" spans="1:61" ht="18" customHeight="1">
      <c r="A67" s="36"/>
      <c r="B67" s="404"/>
      <c r="C67" s="404"/>
      <c r="D67" s="404"/>
      <c r="E67" s="404"/>
      <c r="F67" s="288"/>
      <c r="G67" s="288"/>
      <c r="H67" s="288"/>
      <c r="I67" s="288"/>
      <c r="J67" s="288"/>
      <c r="K67" s="288"/>
      <c r="L67" s="288"/>
      <c r="M67" s="288"/>
      <c r="N67" s="288"/>
      <c r="O67" s="288"/>
      <c r="P67" s="288"/>
      <c r="Q67" s="288"/>
      <c r="R67" s="288"/>
      <c r="S67" s="288"/>
      <c r="T67" s="288"/>
      <c r="U67" s="288"/>
      <c r="V67" s="288"/>
      <c r="W67" s="288"/>
      <c r="X67" s="288"/>
      <c r="Y67" s="288"/>
      <c r="Z67" s="288"/>
      <c r="AA67" s="288"/>
      <c r="AB67" s="288"/>
      <c r="AC67" s="288"/>
      <c r="AD67" s="288"/>
      <c r="AE67" s="288"/>
      <c r="AF67" s="288"/>
      <c r="AG67" s="288"/>
      <c r="AH67" s="288"/>
      <c r="AI67" s="289"/>
      <c r="AK67" s="425"/>
      <c r="AL67" s="425"/>
      <c r="AM67" s="425"/>
      <c r="AN67" s="425"/>
      <c r="AO67" s="425"/>
      <c r="AP67" s="425"/>
      <c r="AQ67" s="67"/>
      <c r="AR67" s="43"/>
      <c r="AS67" s="43"/>
      <c r="AT67" s="43"/>
      <c r="AU67" s="43"/>
      <c r="AV67" s="43"/>
      <c r="AW67" s="43"/>
      <c r="AX67" s="43"/>
      <c r="AY67" s="43"/>
      <c r="AZ67" s="43"/>
      <c r="BH67" s="50"/>
      <c r="BI67" s="51"/>
    </row>
    <row r="68" spans="1:61" ht="18" customHeight="1">
      <c r="A68" s="36"/>
      <c r="B68" s="404"/>
      <c r="C68" s="404"/>
      <c r="D68" s="404"/>
      <c r="E68" s="404"/>
      <c r="F68" s="288"/>
      <c r="G68" s="288"/>
      <c r="H68" s="288"/>
      <c r="I68" s="288"/>
      <c r="J68" s="288"/>
      <c r="K68" s="288"/>
      <c r="L68" s="288"/>
      <c r="M68" s="288"/>
      <c r="N68" s="288"/>
      <c r="O68" s="288"/>
      <c r="P68" s="288"/>
      <c r="Q68" s="288"/>
      <c r="R68" s="288"/>
      <c r="S68" s="288"/>
      <c r="T68" s="288"/>
      <c r="U68" s="288"/>
      <c r="V68" s="288"/>
      <c r="W68" s="288"/>
      <c r="X68" s="288"/>
      <c r="Y68" s="288"/>
      <c r="Z68" s="288"/>
      <c r="AA68" s="288"/>
      <c r="AB68" s="288"/>
      <c r="AC68" s="288"/>
      <c r="AD68" s="288"/>
      <c r="AE68" s="288"/>
      <c r="AF68" s="288"/>
      <c r="AG68" s="288"/>
      <c r="AH68" s="288"/>
      <c r="AI68" s="289"/>
      <c r="AK68" s="425"/>
      <c r="AL68" s="425"/>
      <c r="AM68" s="425"/>
      <c r="AN68" s="425"/>
      <c r="AO68" s="425"/>
      <c r="AP68" s="425"/>
      <c r="AQ68" s="67"/>
      <c r="AR68" s="43"/>
      <c r="AS68" s="43"/>
      <c r="AT68" s="43"/>
      <c r="AU68" s="43"/>
      <c r="AV68" s="43"/>
      <c r="AW68" s="43"/>
      <c r="AX68" s="43"/>
      <c r="AY68" s="43"/>
      <c r="AZ68" s="43"/>
      <c r="BH68" s="50"/>
      <c r="BI68" s="51"/>
    </row>
    <row r="69" spans="1:61" ht="18" customHeight="1">
      <c r="A69" s="36"/>
      <c r="B69" s="404"/>
      <c r="C69" s="404"/>
      <c r="D69" s="404"/>
      <c r="E69" s="404"/>
      <c r="F69" s="288"/>
      <c r="G69" s="288"/>
      <c r="H69" s="288"/>
      <c r="I69" s="288"/>
      <c r="J69" s="288"/>
      <c r="K69" s="288"/>
      <c r="L69" s="288"/>
      <c r="M69" s="288"/>
      <c r="N69" s="288"/>
      <c r="O69" s="288"/>
      <c r="P69" s="288"/>
      <c r="Q69" s="288"/>
      <c r="R69" s="288"/>
      <c r="S69" s="288"/>
      <c r="T69" s="288"/>
      <c r="U69" s="288"/>
      <c r="V69" s="288"/>
      <c r="W69" s="288"/>
      <c r="X69" s="288"/>
      <c r="Y69" s="288"/>
      <c r="Z69" s="288"/>
      <c r="AA69" s="288"/>
      <c r="AB69" s="288"/>
      <c r="AC69" s="288"/>
      <c r="AD69" s="288"/>
      <c r="AE69" s="288"/>
      <c r="AF69" s="288"/>
      <c r="AG69" s="288"/>
      <c r="AH69" s="288"/>
      <c r="AI69" s="289"/>
      <c r="AK69" s="425"/>
      <c r="AL69" s="425"/>
      <c r="AM69" s="425"/>
      <c r="AN69" s="425"/>
      <c r="AO69" s="425"/>
      <c r="AP69" s="425"/>
      <c r="AQ69" s="42"/>
      <c r="AR69" s="43"/>
      <c r="AS69" s="43"/>
      <c r="AT69" s="43"/>
      <c r="AU69" s="43"/>
      <c r="AV69" s="43"/>
      <c r="AW69" s="43"/>
      <c r="AX69" s="43"/>
      <c r="AY69" s="43"/>
      <c r="AZ69" s="43"/>
      <c r="BH69" s="50"/>
      <c r="BI69" s="51"/>
    </row>
    <row r="70" spans="1:61" ht="18" customHeight="1">
      <c r="A70" s="36"/>
      <c r="B70" s="404"/>
      <c r="C70" s="404"/>
      <c r="D70" s="404"/>
      <c r="E70" s="404"/>
      <c r="F70" s="288"/>
      <c r="G70" s="288"/>
      <c r="H70" s="288"/>
      <c r="I70" s="288"/>
      <c r="J70" s="288"/>
      <c r="K70" s="288"/>
      <c r="L70" s="288"/>
      <c r="M70" s="288"/>
      <c r="N70" s="288"/>
      <c r="O70" s="288"/>
      <c r="P70" s="288"/>
      <c r="Q70" s="288"/>
      <c r="R70" s="288"/>
      <c r="S70" s="288"/>
      <c r="T70" s="288"/>
      <c r="U70" s="288"/>
      <c r="V70" s="288"/>
      <c r="W70" s="288"/>
      <c r="X70" s="288"/>
      <c r="Y70" s="288"/>
      <c r="Z70" s="288"/>
      <c r="AA70" s="288"/>
      <c r="AB70" s="288"/>
      <c r="AC70" s="288"/>
      <c r="AD70" s="288"/>
      <c r="AE70" s="288"/>
      <c r="AF70" s="288"/>
      <c r="AG70" s="288"/>
      <c r="AH70" s="288"/>
      <c r="AI70" s="289"/>
      <c r="AK70" s="425"/>
      <c r="AL70" s="425"/>
      <c r="AM70" s="425"/>
      <c r="AN70" s="425"/>
      <c r="AO70" s="425"/>
      <c r="AP70" s="425"/>
      <c r="AQ70" s="42"/>
      <c r="AR70" s="43"/>
      <c r="AS70" s="43"/>
      <c r="AT70" s="43"/>
      <c r="AU70" s="43"/>
      <c r="AV70" s="43"/>
      <c r="AW70" s="43"/>
      <c r="AX70" s="43"/>
      <c r="AY70" s="43"/>
      <c r="AZ70" s="43"/>
      <c r="BH70" s="50"/>
      <c r="BI70" s="51"/>
    </row>
    <row r="71" spans="1:61" ht="18" customHeight="1">
      <c r="A71" s="36"/>
      <c r="B71" s="404"/>
      <c r="C71" s="404"/>
      <c r="D71" s="404"/>
      <c r="E71" s="404"/>
      <c r="F71" s="288"/>
      <c r="G71" s="288"/>
      <c r="H71" s="288"/>
      <c r="I71" s="288"/>
      <c r="J71" s="288"/>
      <c r="K71" s="288"/>
      <c r="L71" s="288"/>
      <c r="M71" s="288"/>
      <c r="N71" s="288"/>
      <c r="O71" s="288"/>
      <c r="P71" s="288"/>
      <c r="Q71" s="288"/>
      <c r="R71" s="288"/>
      <c r="S71" s="288"/>
      <c r="T71" s="288"/>
      <c r="U71" s="288"/>
      <c r="V71" s="288"/>
      <c r="W71" s="288"/>
      <c r="X71" s="288"/>
      <c r="Y71" s="288"/>
      <c r="Z71" s="288"/>
      <c r="AA71" s="288"/>
      <c r="AB71" s="288"/>
      <c r="AC71" s="288"/>
      <c r="AD71" s="288"/>
      <c r="AE71" s="288"/>
      <c r="AF71" s="288"/>
      <c r="AG71" s="288"/>
      <c r="AH71" s="288"/>
      <c r="AI71" s="289"/>
      <c r="AK71" s="425"/>
      <c r="AL71" s="425"/>
      <c r="AM71" s="425"/>
      <c r="AN71" s="425"/>
      <c r="AO71" s="425"/>
      <c r="AP71" s="425"/>
      <c r="AQ71" s="42"/>
      <c r="AR71" s="43"/>
      <c r="AS71" s="43"/>
      <c r="AT71" s="43"/>
      <c r="AU71" s="43"/>
      <c r="AV71" s="43"/>
      <c r="AW71" s="43"/>
      <c r="AX71" s="43"/>
      <c r="AY71" s="43"/>
      <c r="AZ71" s="43"/>
      <c r="BH71" s="52"/>
      <c r="BI71" s="51"/>
    </row>
    <row r="72" spans="1:61" ht="18" customHeight="1">
      <c r="A72" s="36"/>
      <c r="B72" s="404"/>
      <c r="C72" s="404"/>
      <c r="D72" s="404"/>
      <c r="E72" s="404"/>
      <c r="F72" s="288"/>
      <c r="G72" s="288"/>
      <c r="H72" s="288"/>
      <c r="I72" s="288"/>
      <c r="J72" s="288"/>
      <c r="K72" s="288"/>
      <c r="L72" s="288"/>
      <c r="M72" s="288"/>
      <c r="N72" s="288"/>
      <c r="O72" s="288"/>
      <c r="P72" s="288"/>
      <c r="Q72" s="288"/>
      <c r="R72" s="288"/>
      <c r="S72" s="288"/>
      <c r="T72" s="288"/>
      <c r="U72" s="288"/>
      <c r="V72" s="288"/>
      <c r="W72" s="288"/>
      <c r="X72" s="288"/>
      <c r="Y72" s="288"/>
      <c r="Z72" s="288"/>
      <c r="AA72" s="288"/>
      <c r="AB72" s="288"/>
      <c r="AC72" s="288"/>
      <c r="AD72" s="288"/>
      <c r="AE72" s="288"/>
      <c r="AF72" s="288"/>
      <c r="AG72" s="288"/>
      <c r="AH72" s="288"/>
      <c r="AI72" s="289"/>
      <c r="AK72" s="425"/>
      <c r="AL72" s="425"/>
      <c r="AM72" s="425"/>
      <c r="AN72" s="425"/>
      <c r="AO72" s="425"/>
      <c r="AP72" s="425"/>
      <c r="AQ72" s="42"/>
      <c r="AR72" s="43"/>
      <c r="AS72" s="43"/>
      <c r="AT72" s="43"/>
      <c r="AU72" s="43"/>
      <c r="AV72" s="43"/>
      <c r="AW72" s="43"/>
      <c r="AX72" s="43"/>
      <c r="AY72" s="43"/>
      <c r="AZ72" s="43"/>
      <c r="BH72" s="53"/>
      <c r="BI72" s="51"/>
    </row>
    <row r="73" spans="1:61" ht="18" customHeight="1">
      <c r="A73" s="36"/>
      <c r="B73" s="404"/>
      <c r="C73" s="404"/>
      <c r="D73" s="404"/>
      <c r="E73" s="404"/>
      <c r="F73" s="288"/>
      <c r="G73" s="288"/>
      <c r="H73" s="288"/>
      <c r="I73" s="288"/>
      <c r="J73" s="288"/>
      <c r="K73" s="288"/>
      <c r="L73" s="288"/>
      <c r="M73" s="288"/>
      <c r="N73" s="288"/>
      <c r="O73" s="288"/>
      <c r="P73" s="288"/>
      <c r="Q73" s="288"/>
      <c r="R73" s="288"/>
      <c r="S73" s="288"/>
      <c r="T73" s="288"/>
      <c r="U73" s="288"/>
      <c r="V73" s="288"/>
      <c r="W73" s="288"/>
      <c r="X73" s="288"/>
      <c r="Y73" s="288"/>
      <c r="Z73" s="288"/>
      <c r="AA73" s="288"/>
      <c r="AB73" s="288"/>
      <c r="AC73" s="288"/>
      <c r="AD73" s="288"/>
      <c r="AE73" s="288"/>
      <c r="AF73" s="288"/>
      <c r="AG73" s="288"/>
      <c r="AH73" s="288"/>
      <c r="AI73" s="289"/>
      <c r="AK73" s="425"/>
      <c r="AL73" s="425"/>
      <c r="AM73" s="425"/>
      <c r="AN73" s="425"/>
      <c r="AO73" s="425"/>
      <c r="AP73" s="425"/>
      <c r="AQ73" s="42"/>
      <c r="AR73" s="43"/>
      <c r="AS73" s="43"/>
      <c r="AT73" s="43"/>
      <c r="AU73" s="43"/>
      <c r="AV73" s="43"/>
      <c r="AW73" s="43"/>
      <c r="AX73" s="43"/>
      <c r="AY73" s="43"/>
      <c r="AZ73" s="43"/>
      <c r="BH73" s="54"/>
      <c r="BI73" s="51"/>
    </row>
    <row r="74" spans="1:61" ht="18" customHeight="1">
      <c r="A74" s="36"/>
      <c r="B74" s="404"/>
      <c r="C74" s="404"/>
      <c r="D74" s="404"/>
      <c r="E74" s="404"/>
      <c r="F74" s="288"/>
      <c r="G74" s="288"/>
      <c r="H74" s="288"/>
      <c r="I74" s="288"/>
      <c r="J74" s="288"/>
      <c r="K74" s="288"/>
      <c r="L74" s="288"/>
      <c r="M74" s="288"/>
      <c r="N74" s="288"/>
      <c r="O74" s="288"/>
      <c r="P74" s="288"/>
      <c r="Q74" s="288"/>
      <c r="R74" s="288"/>
      <c r="S74" s="288"/>
      <c r="T74" s="288"/>
      <c r="U74" s="288"/>
      <c r="V74" s="288"/>
      <c r="W74" s="288"/>
      <c r="X74" s="288"/>
      <c r="Y74" s="288"/>
      <c r="Z74" s="288"/>
      <c r="AA74" s="288"/>
      <c r="AB74" s="288"/>
      <c r="AC74" s="288"/>
      <c r="AD74" s="288"/>
      <c r="AE74" s="288"/>
      <c r="AF74" s="288"/>
      <c r="AG74" s="288"/>
      <c r="AH74" s="288"/>
      <c r="AI74" s="289"/>
      <c r="AK74" s="425"/>
      <c r="AL74" s="425"/>
      <c r="AM74" s="425"/>
      <c r="AN74" s="425"/>
      <c r="AO74" s="425"/>
      <c r="AP74" s="425"/>
      <c r="AQ74" s="42"/>
      <c r="AR74" s="43"/>
      <c r="AS74" s="43"/>
      <c r="AT74" s="43"/>
      <c r="AU74" s="43"/>
      <c r="AV74" s="43"/>
      <c r="AW74" s="43"/>
      <c r="AX74" s="43"/>
      <c r="AY74" s="43"/>
      <c r="AZ74" s="43"/>
      <c r="BH74" s="54"/>
      <c r="BI74" s="51"/>
    </row>
    <row r="75" spans="1:61" ht="18" customHeight="1">
      <c r="A75" s="36"/>
      <c r="B75" s="404"/>
      <c r="C75" s="404"/>
      <c r="D75" s="404"/>
      <c r="E75" s="404"/>
      <c r="F75" s="288"/>
      <c r="G75" s="288"/>
      <c r="H75" s="288"/>
      <c r="I75" s="288"/>
      <c r="J75" s="288"/>
      <c r="K75" s="288"/>
      <c r="L75" s="288"/>
      <c r="M75" s="288"/>
      <c r="N75" s="288"/>
      <c r="O75" s="288"/>
      <c r="P75" s="288"/>
      <c r="Q75" s="288"/>
      <c r="R75" s="288"/>
      <c r="S75" s="288"/>
      <c r="T75" s="288"/>
      <c r="U75" s="288"/>
      <c r="V75" s="288"/>
      <c r="W75" s="288"/>
      <c r="X75" s="288"/>
      <c r="Y75" s="288"/>
      <c r="Z75" s="288"/>
      <c r="AA75" s="288"/>
      <c r="AB75" s="288"/>
      <c r="AC75" s="288"/>
      <c r="AD75" s="288"/>
      <c r="AE75" s="288"/>
      <c r="AF75" s="288"/>
      <c r="AG75" s="288"/>
      <c r="AH75" s="288"/>
      <c r="AI75" s="289"/>
      <c r="AK75" s="425"/>
      <c r="AL75" s="425"/>
      <c r="AM75" s="425"/>
      <c r="AN75" s="425"/>
      <c r="AO75" s="425"/>
      <c r="AP75" s="425"/>
      <c r="AQ75" s="42"/>
      <c r="AR75" s="43"/>
      <c r="AS75" s="43"/>
      <c r="AT75" s="43"/>
      <c r="AU75" s="43"/>
      <c r="AV75" s="43"/>
      <c r="AW75" s="43"/>
      <c r="AX75" s="43"/>
      <c r="AY75" s="43"/>
      <c r="AZ75" s="43"/>
      <c r="BH75" s="53"/>
      <c r="BI75" s="51"/>
    </row>
    <row r="76" spans="1:61" ht="18" customHeight="1">
      <c r="A76" s="36"/>
      <c r="B76" s="404"/>
      <c r="C76" s="404"/>
      <c r="D76" s="404"/>
      <c r="E76" s="404"/>
      <c r="F76" s="288"/>
      <c r="G76" s="288"/>
      <c r="H76" s="288"/>
      <c r="I76" s="288"/>
      <c r="J76" s="288"/>
      <c r="K76" s="288"/>
      <c r="L76" s="288"/>
      <c r="M76" s="288"/>
      <c r="N76" s="288"/>
      <c r="O76" s="288"/>
      <c r="P76" s="288"/>
      <c r="Q76" s="288"/>
      <c r="R76" s="288"/>
      <c r="S76" s="288"/>
      <c r="T76" s="288"/>
      <c r="U76" s="288"/>
      <c r="V76" s="288"/>
      <c r="W76" s="288"/>
      <c r="X76" s="288"/>
      <c r="Y76" s="288"/>
      <c r="Z76" s="288"/>
      <c r="AA76" s="288"/>
      <c r="AB76" s="288"/>
      <c r="AC76" s="288"/>
      <c r="AD76" s="288"/>
      <c r="AE76" s="288"/>
      <c r="AF76" s="288"/>
      <c r="AG76" s="288"/>
      <c r="AH76" s="288"/>
      <c r="AI76" s="289"/>
      <c r="AK76" s="425"/>
      <c r="AL76" s="425"/>
      <c r="AM76" s="425"/>
      <c r="AN76" s="425"/>
      <c r="AO76" s="425"/>
      <c r="AP76" s="425"/>
      <c r="AQ76" s="42"/>
      <c r="AR76" s="43"/>
      <c r="AS76" s="43"/>
      <c r="AT76" s="43"/>
      <c r="AU76" s="43"/>
      <c r="AV76" s="43"/>
      <c r="AW76" s="43"/>
      <c r="AX76" s="43"/>
      <c r="AY76" s="43"/>
      <c r="AZ76" s="43"/>
      <c r="BH76" s="53"/>
      <c r="BI76" s="51"/>
    </row>
    <row r="77" spans="1:61" ht="18" customHeight="1">
      <c r="A77" s="36"/>
      <c r="B77" s="404"/>
      <c r="C77" s="404"/>
      <c r="D77" s="404"/>
      <c r="E77" s="404"/>
      <c r="F77" s="288"/>
      <c r="G77" s="288"/>
      <c r="H77" s="288"/>
      <c r="I77" s="288"/>
      <c r="J77" s="288"/>
      <c r="K77" s="288"/>
      <c r="L77" s="288"/>
      <c r="M77" s="288"/>
      <c r="N77" s="288"/>
      <c r="O77" s="288"/>
      <c r="P77" s="288"/>
      <c r="Q77" s="288"/>
      <c r="R77" s="288"/>
      <c r="S77" s="288"/>
      <c r="T77" s="288"/>
      <c r="U77" s="288"/>
      <c r="V77" s="288"/>
      <c r="W77" s="288"/>
      <c r="X77" s="288"/>
      <c r="Y77" s="288"/>
      <c r="Z77" s="288"/>
      <c r="AA77" s="288"/>
      <c r="AB77" s="288"/>
      <c r="AC77" s="288"/>
      <c r="AD77" s="288"/>
      <c r="AE77" s="288"/>
      <c r="AF77" s="288"/>
      <c r="AG77" s="288"/>
      <c r="AH77" s="288"/>
      <c r="AI77" s="289"/>
      <c r="AK77" s="425"/>
      <c r="AL77" s="425"/>
      <c r="AM77" s="425"/>
      <c r="AN77" s="425"/>
      <c r="AO77" s="425"/>
      <c r="AP77" s="425"/>
      <c r="AQ77" s="42"/>
      <c r="AR77" s="43"/>
      <c r="AS77" s="43"/>
      <c r="AT77" s="43"/>
      <c r="AU77" s="43"/>
      <c r="AV77" s="43"/>
      <c r="AW77" s="43"/>
      <c r="AX77" s="43"/>
      <c r="AY77" s="43"/>
      <c r="AZ77" s="43"/>
      <c r="BH77" s="54"/>
      <c r="BI77" s="51"/>
    </row>
    <row r="78" spans="1:61" ht="18" customHeight="1">
      <c r="A78" s="36"/>
      <c r="B78" s="404"/>
      <c r="C78" s="404"/>
      <c r="D78" s="404"/>
      <c r="E78" s="404"/>
      <c r="F78" s="288"/>
      <c r="G78" s="288"/>
      <c r="H78" s="288"/>
      <c r="I78" s="288"/>
      <c r="J78" s="288"/>
      <c r="K78" s="288"/>
      <c r="L78" s="288"/>
      <c r="M78" s="288"/>
      <c r="N78" s="288"/>
      <c r="O78" s="288"/>
      <c r="P78" s="288"/>
      <c r="Q78" s="288"/>
      <c r="R78" s="288"/>
      <c r="S78" s="288"/>
      <c r="T78" s="288"/>
      <c r="U78" s="288"/>
      <c r="V78" s="288"/>
      <c r="W78" s="288"/>
      <c r="X78" s="288"/>
      <c r="Y78" s="288"/>
      <c r="Z78" s="288"/>
      <c r="AA78" s="288"/>
      <c r="AB78" s="288"/>
      <c r="AC78" s="288"/>
      <c r="AD78" s="288"/>
      <c r="AE78" s="288"/>
      <c r="AF78" s="288"/>
      <c r="AG78" s="288"/>
      <c r="AH78" s="288"/>
      <c r="AI78" s="289"/>
      <c r="AK78" s="425"/>
      <c r="AL78" s="425"/>
      <c r="AM78" s="425"/>
      <c r="AN78" s="425"/>
      <c r="AO78" s="425"/>
      <c r="AP78" s="425"/>
      <c r="AQ78" s="42"/>
      <c r="AR78" s="43"/>
      <c r="AS78" s="43"/>
      <c r="AT78" s="43"/>
      <c r="AU78" s="43"/>
      <c r="AV78" s="43"/>
      <c r="AW78" s="43"/>
      <c r="AX78" s="43"/>
      <c r="AY78" s="43"/>
      <c r="AZ78" s="43"/>
      <c r="BH78" s="54"/>
      <c r="BI78" s="51"/>
    </row>
    <row r="79" spans="1:61" ht="18" customHeight="1">
      <c r="A79" s="36"/>
      <c r="B79" s="404"/>
      <c r="C79" s="404"/>
      <c r="D79" s="404"/>
      <c r="E79" s="404"/>
      <c r="F79" s="288"/>
      <c r="G79" s="288"/>
      <c r="H79" s="288"/>
      <c r="I79" s="288"/>
      <c r="J79" s="288"/>
      <c r="K79" s="288"/>
      <c r="L79" s="288"/>
      <c r="M79" s="288"/>
      <c r="N79" s="288"/>
      <c r="O79" s="288"/>
      <c r="P79" s="288"/>
      <c r="Q79" s="288"/>
      <c r="R79" s="288"/>
      <c r="S79" s="288"/>
      <c r="T79" s="288"/>
      <c r="U79" s="288"/>
      <c r="V79" s="288"/>
      <c r="W79" s="288"/>
      <c r="X79" s="288"/>
      <c r="Y79" s="288"/>
      <c r="Z79" s="288"/>
      <c r="AA79" s="288"/>
      <c r="AB79" s="288"/>
      <c r="AC79" s="288"/>
      <c r="AD79" s="288"/>
      <c r="AE79" s="288"/>
      <c r="AF79" s="288"/>
      <c r="AG79" s="288"/>
      <c r="AH79" s="288"/>
      <c r="AI79" s="289"/>
      <c r="AK79" s="425"/>
      <c r="AL79" s="425"/>
      <c r="AM79" s="425"/>
      <c r="AN79" s="425"/>
      <c r="AO79" s="425"/>
      <c r="AP79" s="425"/>
      <c r="AQ79" s="42"/>
      <c r="AR79" s="43"/>
      <c r="AS79" s="43"/>
      <c r="AT79" s="43"/>
      <c r="AU79" s="43"/>
      <c r="AV79" s="43"/>
      <c r="AW79" s="43"/>
      <c r="AX79" s="43"/>
      <c r="AY79" s="43"/>
      <c r="AZ79" s="43"/>
      <c r="BH79" s="54"/>
      <c r="BI79" s="51"/>
    </row>
    <row r="80" spans="1:61" ht="18" customHeight="1">
      <c r="A80" s="37"/>
      <c r="B80" s="466"/>
      <c r="C80" s="466"/>
      <c r="D80" s="466"/>
      <c r="E80" s="466"/>
      <c r="F80" s="467"/>
      <c r="G80" s="467"/>
      <c r="H80" s="467"/>
      <c r="I80" s="467"/>
      <c r="J80" s="467"/>
      <c r="K80" s="467"/>
      <c r="L80" s="467"/>
      <c r="M80" s="467"/>
      <c r="N80" s="467"/>
      <c r="O80" s="467"/>
      <c r="P80" s="467"/>
      <c r="Q80" s="467"/>
      <c r="R80" s="467"/>
      <c r="S80" s="467"/>
      <c r="T80" s="467"/>
      <c r="U80" s="467"/>
      <c r="V80" s="467"/>
      <c r="W80" s="467"/>
      <c r="X80" s="467"/>
      <c r="Y80" s="467"/>
      <c r="Z80" s="467"/>
      <c r="AA80" s="467"/>
      <c r="AB80" s="467"/>
      <c r="AC80" s="467"/>
      <c r="AD80" s="467"/>
      <c r="AE80" s="467"/>
      <c r="AF80" s="467"/>
      <c r="AG80" s="467"/>
      <c r="AH80" s="467"/>
      <c r="AI80" s="468"/>
      <c r="AK80" s="425"/>
      <c r="AL80" s="425"/>
      <c r="AM80" s="425"/>
      <c r="AN80" s="425"/>
      <c r="AO80" s="425"/>
      <c r="AP80" s="425"/>
      <c r="AQ80" s="42"/>
      <c r="AR80" s="43"/>
      <c r="AS80" s="43"/>
      <c r="AT80" s="43"/>
      <c r="AU80" s="43"/>
      <c r="AV80" s="43"/>
      <c r="AW80" s="43"/>
      <c r="AX80" s="43"/>
      <c r="AY80" s="43"/>
      <c r="AZ80" s="43"/>
      <c r="BH80" s="54"/>
      <c r="BI80" s="51"/>
    </row>
    <row r="81" spans="1:61" ht="18" customHeight="1">
      <c r="A81" s="406" t="s">
        <v>704</v>
      </c>
      <c r="B81" s="407"/>
      <c r="C81" s="407"/>
      <c r="D81" s="407"/>
      <c r="E81" s="407"/>
      <c r="F81" s="407"/>
      <c r="G81" s="407"/>
      <c r="H81" s="407"/>
      <c r="I81" s="407"/>
      <c r="J81" s="407"/>
      <c r="K81" s="407"/>
      <c r="L81" s="407"/>
      <c r="M81" s="407"/>
      <c r="N81" s="407"/>
      <c r="O81" s="407"/>
      <c r="P81" s="407"/>
      <c r="Q81" s="407"/>
      <c r="R81" s="407"/>
      <c r="S81" s="407"/>
      <c r="T81" s="407"/>
      <c r="U81" s="407"/>
      <c r="V81" s="407"/>
      <c r="W81" s="407"/>
      <c r="X81" s="407"/>
      <c r="Y81" s="407"/>
      <c r="Z81" s="407"/>
      <c r="AA81" s="407"/>
      <c r="AB81" s="407"/>
      <c r="AC81" s="407"/>
      <c r="AD81" s="407"/>
      <c r="AE81" s="407"/>
      <c r="AF81" s="407"/>
      <c r="AG81" s="407"/>
      <c r="AH81" s="407"/>
      <c r="AI81" s="408"/>
      <c r="AK81" s="425"/>
      <c r="AL81" s="425"/>
      <c r="AM81" s="425"/>
      <c r="AN81" s="425"/>
      <c r="AO81" s="425"/>
      <c r="AP81" s="425"/>
      <c r="AQ81" s="42"/>
      <c r="AR81" s="43"/>
      <c r="AS81" s="43"/>
      <c r="AT81" s="43"/>
      <c r="AU81" s="43"/>
      <c r="AV81" s="43"/>
      <c r="AW81" s="43"/>
      <c r="AX81" s="43"/>
      <c r="AY81" s="43"/>
      <c r="AZ81" s="43"/>
      <c r="BH81" s="53"/>
      <c r="BI81" s="51"/>
    </row>
    <row r="82" spans="1:61" ht="18" customHeight="1">
      <c r="A82" s="38"/>
      <c r="B82" s="465">
        <v>45644</v>
      </c>
      <c r="C82" s="465"/>
      <c r="D82" s="465"/>
      <c r="E82" s="465"/>
      <c r="F82" s="288" t="s">
        <v>837</v>
      </c>
      <c r="G82" s="288"/>
      <c r="H82" s="288"/>
      <c r="I82" s="288"/>
      <c r="J82" s="288"/>
      <c r="K82" s="288"/>
      <c r="L82" s="288"/>
      <c r="M82" s="288"/>
      <c r="N82" s="288"/>
      <c r="O82" s="288"/>
      <c r="P82" s="288"/>
      <c r="Q82" s="288"/>
      <c r="R82" s="288"/>
      <c r="S82" s="288"/>
      <c r="T82" s="288"/>
      <c r="U82" s="288"/>
      <c r="V82" s="288"/>
      <c r="W82" s="288"/>
      <c r="X82" s="288"/>
      <c r="Y82" s="288"/>
      <c r="Z82" s="288"/>
      <c r="AA82" s="288"/>
      <c r="AB82" s="288"/>
      <c r="AC82" s="288"/>
      <c r="AD82" s="288"/>
      <c r="AE82" s="288"/>
      <c r="AF82" s="288"/>
      <c r="AG82" s="288"/>
      <c r="AH82" s="288"/>
      <c r="AI82" s="289"/>
      <c r="AK82" s="425"/>
      <c r="AL82" s="425"/>
      <c r="AM82" s="425"/>
      <c r="AN82" s="425"/>
      <c r="AO82" s="425"/>
      <c r="AP82" s="425"/>
      <c r="AQ82" s="42"/>
      <c r="AR82" s="43"/>
      <c r="AS82" s="43"/>
      <c r="AT82" s="43"/>
      <c r="AU82" s="43"/>
      <c r="AV82" s="43"/>
      <c r="AW82" s="43"/>
      <c r="AX82" s="43"/>
      <c r="AY82" s="43"/>
      <c r="AZ82" s="43"/>
      <c r="BH82" s="53"/>
      <c r="BI82" s="51"/>
    </row>
    <row r="83" spans="1:61" ht="18" customHeight="1">
      <c r="A83" s="38"/>
      <c r="B83" s="465">
        <v>46160</v>
      </c>
      <c r="C83" s="465"/>
      <c r="D83" s="465"/>
      <c r="E83" s="465"/>
      <c r="F83" s="288" t="s">
        <v>838</v>
      </c>
      <c r="G83" s="288"/>
      <c r="H83" s="288"/>
      <c r="I83" s="288"/>
      <c r="J83" s="288"/>
      <c r="K83" s="288"/>
      <c r="L83" s="288"/>
      <c r="M83" s="288"/>
      <c r="N83" s="288"/>
      <c r="O83" s="288"/>
      <c r="P83" s="288"/>
      <c r="Q83" s="288"/>
      <c r="R83" s="288"/>
      <c r="S83" s="288"/>
      <c r="T83" s="288"/>
      <c r="U83" s="288"/>
      <c r="V83" s="288"/>
      <c r="W83" s="288"/>
      <c r="X83" s="288"/>
      <c r="Y83" s="288"/>
      <c r="Z83" s="288"/>
      <c r="AA83" s="288"/>
      <c r="AB83" s="288"/>
      <c r="AC83" s="288"/>
      <c r="AD83" s="288"/>
      <c r="AE83" s="288"/>
      <c r="AF83" s="288"/>
      <c r="AG83" s="288"/>
      <c r="AH83" s="288"/>
      <c r="AI83" s="289"/>
      <c r="AK83" s="425"/>
      <c r="AL83" s="425"/>
      <c r="AM83" s="425"/>
      <c r="AN83" s="425"/>
      <c r="AO83" s="425"/>
      <c r="AP83" s="425"/>
      <c r="AQ83" s="42"/>
      <c r="AR83" s="43"/>
      <c r="AS83" s="43"/>
      <c r="AT83" s="43"/>
      <c r="AU83" s="43"/>
      <c r="AV83" s="43"/>
      <c r="AW83" s="43"/>
      <c r="AX83" s="43"/>
      <c r="AY83" s="43"/>
      <c r="AZ83" s="43"/>
      <c r="BH83" s="53"/>
      <c r="BI83" s="51"/>
    </row>
    <row r="84" spans="1:61" ht="18" customHeight="1">
      <c r="A84" s="38"/>
      <c r="B84" s="465"/>
      <c r="C84" s="465"/>
      <c r="D84" s="465"/>
      <c r="E84" s="465"/>
      <c r="F84" s="288"/>
      <c r="G84" s="288"/>
      <c r="H84" s="288"/>
      <c r="I84" s="288"/>
      <c r="J84" s="288"/>
      <c r="K84" s="288"/>
      <c r="L84" s="288"/>
      <c r="M84" s="288"/>
      <c r="N84" s="288"/>
      <c r="O84" s="288"/>
      <c r="P84" s="288"/>
      <c r="Q84" s="288"/>
      <c r="R84" s="288"/>
      <c r="S84" s="288"/>
      <c r="T84" s="288"/>
      <c r="U84" s="288"/>
      <c r="V84" s="288"/>
      <c r="W84" s="288"/>
      <c r="X84" s="288"/>
      <c r="Y84" s="288"/>
      <c r="Z84" s="288"/>
      <c r="AA84" s="288"/>
      <c r="AB84" s="288"/>
      <c r="AC84" s="288"/>
      <c r="AD84" s="288"/>
      <c r="AE84" s="288"/>
      <c r="AF84" s="288"/>
      <c r="AG84" s="288"/>
      <c r="AH84" s="288"/>
      <c r="AI84" s="289"/>
      <c r="AK84" s="425"/>
      <c r="AL84" s="425"/>
      <c r="AM84" s="425"/>
      <c r="AN84" s="425"/>
      <c r="AO84" s="425"/>
      <c r="AP84" s="425"/>
      <c r="AQ84" s="42"/>
      <c r="AR84" s="43"/>
      <c r="AS84" s="43"/>
      <c r="AT84" s="43"/>
      <c r="AU84" s="43"/>
      <c r="AV84" s="43"/>
      <c r="AW84" s="43"/>
      <c r="AX84" s="43"/>
      <c r="AY84" s="43"/>
      <c r="AZ84" s="43"/>
    </row>
    <row r="85" spans="1:61" ht="18" customHeight="1">
      <c r="A85" s="38"/>
      <c r="B85" s="465"/>
      <c r="C85" s="465"/>
      <c r="D85" s="465"/>
      <c r="E85" s="465"/>
      <c r="F85" s="288"/>
      <c r="G85" s="288"/>
      <c r="H85" s="288"/>
      <c r="I85" s="288"/>
      <c r="J85" s="288"/>
      <c r="K85" s="288"/>
      <c r="L85" s="288"/>
      <c r="M85" s="288"/>
      <c r="N85" s="288"/>
      <c r="O85" s="288"/>
      <c r="P85" s="288"/>
      <c r="Q85" s="288"/>
      <c r="R85" s="288"/>
      <c r="S85" s="288"/>
      <c r="T85" s="288"/>
      <c r="U85" s="288"/>
      <c r="V85" s="288"/>
      <c r="W85" s="288"/>
      <c r="X85" s="288"/>
      <c r="Y85" s="288"/>
      <c r="Z85" s="288"/>
      <c r="AA85" s="288"/>
      <c r="AB85" s="288"/>
      <c r="AC85" s="288"/>
      <c r="AD85" s="288"/>
      <c r="AE85" s="288"/>
      <c r="AF85" s="288"/>
      <c r="AG85" s="288"/>
      <c r="AH85" s="288"/>
      <c r="AI85" s="289"/>
      <c r="AK85" s="425"/>
      <c r="AL85" s="425"/>
      <c r="AM85" s="425"/>
      <c r="AN85" s="425"/>
      <c r="AO85" s="425"/>
      <c r="AP85" s="425"/>
      <c r="AQ85" s="42"/>
      <c r="AR85" s="43"/>
      <c r="AS85" s="43"/>
      <c r="AT85" s="43"/>
      <c r="AU85" s="43"/>
      <c r="AV85" s="43"/>
      <c r="AW85" s="43"/>
      <c r="AX85" s="43"/>
      <c r="AY85" s="43"/>
      <c r="AZ85" s="43"/>
    </row>
    <row r="86" spans="1:61" ht="18" customHeight="1" thickBot="1">
      <c r="A86" s="41"/>
      <c r="B86" s="540"/>
      <c r="C86" s="540"/>
      <c r="D86" s="540"/>
      <c r="E86" s="540"/>
      <c r="F86" s="541"/>
      <c r="G86" s="541"/>
      <c r="H86" s="541"/>
      <c r="I86" s="541"/>
      <c r="J86" s="541"/>
      <c r="K86" s="541"/>
      <c r="L86" s="541"/>
      <c r="M86" s="541"/>
      <c r="N86" s="541"/>
      <c r="O86" s="541"/>
      <c r="P86" s="541"/>
      <c r="Q86" s="541"/>
      <c r="R86" s="541"/>
      <c r="S86" s="541"/>
      <c r="T86" s="541"/>
      <c r="U86" s="541"/>
      <c r="V86" s="541"/>
      <c r="W86" s="541"/>
      <c r="X86" s="541"/>
      <c r="Y86" s="541"/>
      <c r="Z86" s="541"/>
      <c r="AA86" s="541"/>
      <c r="AB86" s="541"/>
      <c r="AC86" s="541"/>
      <c r="AD86" s="541"/>
      <c r="AE86" s="541"/>
      <c r="AF86" s="541"/>
      <c r="AG86" s="541"/>
      <c r="AH86" s="541"/>
      <c r="AI86" s="542"/>
      <c r="AK86" s="425"/>
      <c r="AL86" s="425"/>
      <c r="AM86" s="425"/>
      <c r="AN86" s="425"/>
      <c r="AO86" s="425"/>
      <c r="AP86" s="425"/>
      <c r="AQ86" s="42"/>
      <c r="AR86" s="43"/>
      <c r="AS86" s="43"/>
      <c r="AT86" s="43"/>
      <c r="AU86" s="43"/>
      <c r="AV86" s="43"/>
      <c r="AW86" s="43"/>
      <c r="AX86" s="43"/>
      <c r="AY86" s="43"/>
      <c r="AZ86" s="43"/>
    </row>
    <row r="87" spans="1:61" ht="14.1" customHeight="1">
      <c r="AK87" s="438"/>
      <c r="AL87" s="438"/>
      <c r="AM87" s="438"/>
      <c r="AN87" s="438"/>
      <c r="AO87" s="438"/>
      <c r="AP87" s="438"/>
      <c r="AQ87" s="119"/>
    </row>
    <row r="88" spans="1:61" ht="14.1" customHeight="1">
      <c r="AK88" s="437"/>
      <c r="AL88" s="437"/>
      <c r="AM88" s="437"/>
      <c r="AN88" s="437"/>
      <c r="AO88" s="437"/>
      <c r="AP88" s="437"/>
      <c r="AQ88" s="120"/>
    </row>
    <row r="89" spans="1:61" ht="14.1" customHeight="1">
      <c r="AK89" s="437"/>
      <c r="AL89" s="437"/>
      <c r="AM89" s="437"/>
      <c r="AN89" s="437"/>
      <c r="AO89" s="437"/>
      <c r="AP89" s="437"/>
      <c r="AQ89" s="120"/>
    </row>
    <row r="90" spans="1:61" ht="14.1" customHeight="1"/>
    <row r="91" spans="1:61" ht="14.1" customHeight="1"/>
    <row r="92" spans="1:61" ht="14.1" customHeight="1"/>
    <row r="93" spans="1:61" ht="14.1" customHeight="1"/>
    <row r="94" spans="1:61" ht="14.1" customHeight="1"/>
    <row r="95" spans="1:61" ht="14.1" customHeight="1"/>
    <row r="96" spans="1:61" ht="14.1" customHeight="1"/>
    <row r="97" ht="14.1" customHeight="1"/>
    <row r="98" ht="14.1" customHeight="1"/>
    <row r="99" ht="14.1" customHeight="1"/>
    <row r="100" ht="14.1" customHeight="1"/>
    <row r="101" ht="14.1" customHeight="1"/>
    <row r="102" ht="14.1" customHeight="1"/>
    <row r="103" ht="14.1" customHeight="1"/>
    <row r="104" ht="14.1" customHeight="1"/>
    <row r="105" ht="14.1" customHeight="1"/>
    <row r="106" ht="14.1" customHeight="1"/>
    <row r="107" ht="14.1" customHeight="1"/>
    <row r="108" ht="14.1" customHeight="1"/>
    <row r="109" ht="14.1" customHeight="1"/>
    <row r="110" ht="14.1" customHeight="1"/>
    <row r="111" ht="14.1" customHeight="1"/>
    <row r="112" ht="14.1" customHeight="1"/>
    <row r="113" ht="14.1" customHeight="1"/>
    <row r="114" ht="14.1" customHeight="1"/>
    <row r="115" ht="14.1" customHeight="1"/>
    <row r="116" ht="14.1" customHeight="1"/>
    <row r="117" ht="14.1" customHeight="1"/>
    <row r="118" ht="14.1" customHeight="1"/>
    <row r="119" ht="14.1" customHeight="1"/>
    <row r="120" ht="14.1" customHeight="1"/>
    <row r="121" ht="14.1" customHeight="1"/>
    <row r="122" ht="14.1" customHeight="1"/>
    <row r="123" ht="14.1" customHeight="1"/>
    <row r="124" ht="14.1" customHeight="1"/>
    <row r="125" ht="14.1" customHeight="1"/>
    <row r="126" ht="14.1" customHeight="1"/>
    <row r="127" ht="14.1" customHeight="1"/>
    <row r="128" ht="14.1" customHeight="1"/>
    <row r="129" ht="14.1" customHeight="1"/>
    <row r="130" ht="14.1" customHeight="1"/>
    <row r="131" ht="14.1" customHeight="1"/>
    <row r="132" ht="14.1" customHeight="1"/>
    <row r="133" ht="14.1" customHeight="1"/>
    <row r="134" ht="14.1" customHeight="1"/>
    <row r="135" ht="14.1" customHeight="1"/>
    <row r="136" ht="14.1" customHeight="1"/>
    <row r="137" ht="14.1" customHeight="1"/>
    <row r="138" ht="14.1" customHeight="1"/>
    <row r="139" ht="14.1" customHeight="1"/>
    <row r="140" ht="14.1" customHeight="1"/>
    <row r="141" ht="14.1" customHeight="1"/>
    <row r="142" ht="14.1" customHeight="1"/>
    <row r="143" ht="14.1" customHeight="1"/>
    <row r="144" ht="14.1" customHeight="1"/>
    <row r="145" ht="14.1" customHeight="1"/>
    <row r="146" ht="14.1" customHeight="1"/>
    <row r="147" ht="14.1" customHeight="1"/>
    <row r="148" ht="14.1" customHeight="1"/>
    <row r="149" ht="14.1" customHeight="1"/>
    <row r="150" ht="14.1" customHeight="1"/>
    <row r="151" ht="14.1" customHeight="1"/>
    <row r="152" ht="14.1" customHeight="1"/>
    <row r="153" ht="14.1" customHeight="1"/>
    <row r="154" ht="14.1" customHeight="1"/>
    <row r="155" ht="14.1" customHeight="1"/>
    <row r="156" ht="14.1" customHeight="1"/>
    <row r="157" ht="14.1" customHeight="1"/>
    <row r="158" ht="14.1" customHeight="1"/>
    <row r="159" ht="14.1" customHeight="1"/>
    <row r="160" ht="14.1" customHeight="1"/>
    <row r="161" ht="14.1" customHeight="1"/>
    <row r="162" ht="14.1" customHeight="1"/>
    <row r="163" ht="14.1" customHeight="1"/>
    <row r="164" ht="14.1" customHeight="1"/>
    <row r="165" ht="14.1" customHeight="1"/>
    <row r="166" ht="14.1" customHeight="1"/>
    <row r="167" ht="14.1" customHeight="1"/>
    <row r="168" ht="14.1" customHeight="1"/>
    <row r="169" ht="14.1" customHeight="1"/>
    <row r="170" ht="14.1" customHeight="1"/>
    <row r="171" ht="14.1" customHeight="1"/>
    <row r="172" ht="14.1" customHeight="1"/>
    <row r="173" ht="14.1" customHeight="1"/>
    <row r="174" ht="14.1" customHeight="1"/>
    <row r="175" ht="14.1" customHeight="1"/>
    <row r="176" ht="14.1" customHeight="1"/>
    <row r="177" ht="14.1" customHeight="1"/>
    <row r="178" ht="14.1" customHeight="1"/>
    <row r="179" ht="14.1" customHeight="1"/>
    <row r="180" ht="14.1" customHeight="1"/>
    <row r="181" ht="14.1" customHeight="1"/>
    <row r="182" ht="14.1" customHeight="1"/>
    <row r="183" ht="14.1" customHeight="1"/>
    <row r="184" ht="14.1" customHeight="1"/>
    <row r="185" ht="14.1" customHeight="1"/>
    <row r="186" ht="14.1" customHeight="1"/>
    <row r="187" ht="14.1" customHeight="1"/>
    <row r="188" ht="14.1" customHeight="1"/>
    <row r="189" ht="14.1" customHeight="1"/>
    <row r="190" ht="14.1" customHeight="1"/>
    <row r="191" ht="14.1" customHeight="1"/>
    <row r="192" ht="14.1" customHeight="1"/>
    <row r="193" ht="14.1" customHeight="1"/>
    <row r="194" ht="14.1" customHeight="1"/>
    <row r="195" ht="14.1" customHeight="1"/>
    <row r="196" ht="14.1" customHeight="1"/>
    <row r="197" ht="14.1" customHeight="1"/>
    <row r="198" ht="14.1" customHeight="1"/>
    <row r="199" ht="14.1" customHeight="1"/>
    <row r="200" ht="14.1" customHeight="1"/>
    <row r="201" ht="14.1" customHeight="1"/>
    <row r="202" ht="14.1" customHeight="1"/>
    <row r="203" ht="14.1" customHeight="1"/>
    <row r="204" ht="14.1" customHeight="1"/>
    <row r="205" ht="14.1" customHeight="1"/>
    <row r="206" ht="14.1" customHeight="1"/>
    <row r="207" ht="14.1" customHeight="1"/>
    <row r="208" ht="14.1" customHeight="1"/>
    <row r="209" ht="14.1" customHeight="1"/>
    <row r="210" ht="14.1" customHeight="1"/>
    <row r="211" ht="14.1" customHeight="1"/>
    <row r="212" ht="14.1" customHeight="1"/>
    <row r="213" ht="14.1" customHeight="1"/>
    <row r="214" ht="14.1" customHeight="1"/>
    <row r="215" ht="14.1" customHeight="1"/>
    <row r="216" ht="14.1" customHeight="1"/>
    <row r="217" ht="14.1" customHeight="1"/>
    <row r="218" ht="14.1" customHeight="1"/>
    <row r="219" ht="14.1" customHeight="1"/>
    <row r="220" ht="14.1" customHeight="1"/>
    <row r="221" ht="14.1" customHeight="1"/>
    <row r="222" ht="14.1" customHeight="1"/>
    <row r="223" ht="14.1" customHeight="1"/>
    <row r="224" ht="14.1" customHeight="1"/>
    <row r="225" ht="14.1" customHeight="1"/>
    <row r="226" ht="14.1" customHeight="1"/>
    <row r="227" ht="14.1" customHeight="1"/>
    <row r="228" ht="14.1" customHeight="1"/>
    <row r="229" ht="14.1" customHeight="1"/>
    <row r="230" ht="14.1" customHeight="1"/>
    <row r="231" ht="14.1" customHeight="1"/>
    <row r="232" ht="14.1" customHeight="1"/>
    <row r="233" ht="14.1" customHeight="1"/>
    <row r="234" ht="14.1" customHeight="1"/>
    <row r="235" ht="14.1" customHeight="1"/>
    <row r="236" ht="14.1" customHeight="1"/>
    <row r="237" ht="14.1" customHeight="1"/>
    <row r="238" ht="14.1" customHeight="1"/>
    <row r="239" ht="14.1" customHeight="1"/>
    <row r="240" ht="14.1" customHeight="1"/>
    <row r="241" ht="14.1" customHeight="1"/>
    <row r="242" ht="14.1" customHeight="1"/>
    <row r="243" ht="14.1" customHeight="1"/>
    <row r="244" ht="14.1" customHeight="1"/>
    <row r="245" ht="14.1" customHeight="1"/>
    <row r="246" ht="14.1" customHeight="1"/>
    <row r="247" ht="14.1" customHeight="1"/>
    <row r="248" ht="14.1" customHeight="1"/>
    <row r="249" ht="14.1" customHeight="1"/>
    <row r="250" ht="14.1" customHeight="1"/>
    <row r="251" ht="14.1" customHeight="1"/>
    <row r="252" ht="14.1" customHeight="1"/>
    <row r="253" ht="14.1" customHeight="1"/>
    <row r="254" ht="14.1" customHeight="1"/>
    <row r="255" ht="14.1" customHeight="1"/>
    <row r="256" ht="14.1" customHeight="1"/>
    <row r="257" ht="14.1" customHeight="1"/>
    <row r="258" ht="14.1" customHeight="1"/>
    <row r="259" ht="14.1" customHeight="1"/>
    <row r="260" ht="14.1" customHeight="1"/>
    <row r="261" ht="14.1" customHeight="1"/>
    <row r="262" ht="14.1" customHeight="1"/>
    <row r="263" ht="14.1" customHeight="1"/>
    <row r="264" ht="14.1" customHeight="1"/>
    <row r="265" ht="14.1" customHeight="1"/>
    <row r="266" ht="14.1" customHeight="1"/>
  </sheetData>
  <sheetProtection algorithmName="SHA-512" hashValue="0loLJCJhL4ad+e9W1BFBlntzNt2hf75qC+V2eugpQkoXMOcFlTwiL5DSpVRXAf1cyQ/kgBnOXO/4cSPzCUKn4A==" saltValue="4etb9yyOEqZ9UduJqdtb6g==" spinCount="100000" sheet="1" autoFilter="0"/>
  <mergeCells count="381">
    <mergeCell ref="A1:S3"/>
    <mergeCell ref="T1:Z3"/>
    <mergeCell ref="AD1:AI1"/>
    <mergeCell ref="AD2:AF4"/>
    <mergeCell ref="AG2:AI4"/>
    <mergeCell ref="A4:S5"/>
    <mergeCell ref="AK7:AP8"/>
    <mergeCell ref="AQ7:AQ8"/>
    <mergeCell ref="V8:X8"/>
    <mergeCell ref="A9:AI9"/>
    <mergeCell ref="AK9:AP9"/>
    <mergeCell ref="A10:H10"/>
    <mergeCell ref="I10:J10"/>
    <mergeCell ref="K10:L10"/>
    <mergeCell ref="M10:T10"/>
    <mergeCell ref="U10:V10"/>
    <mergeCell ref="O7:P8"/>
    <mergeCell ref="Q7:R8"/>
    <mergeCell ref="S7:T8"/>
    <mergeCell ref="V7:X7"/>
    <mergeCell ref="Y7:AA8"/>
    <mergeCell ref="AB7:AI8"/>
    <mergeCell ref="A7:E8"/>
    <mergeCell ref="F7:F8"/>
    <mergeCell ref="G7:I8"/>
    <mergeCell ref="J7:J8"/>
    <mergeCell ref="K7:M8"/>
    <mergeCell ref="N7:N8"/>
    <mergeCell ref="W10:X10"/>
    <mergeCell ref="Y10:AF10"/>
    <mergeCell ref="AG10:AH10"/>
    <mergeCell ref="AK10:AP10"/>
    <mergeCell ref="A11:H11"/>
    <mergeCell ref="I11:J11"/>
    <mergeCell ref="K11:L11"/>
    <mergeCell ref="M11:T11"/>
    <mergeCell ref="U11:V11"/>
    <mergeCell ref="W11:X11"/>
    <mergeCell ref="Y11:AF11"/>
    <mergeCell ref="AG11:AH11"/>
    <mergeCell ref="AK11:AP11"/>
    <mergeCell ref="A12:H12"/>
    <mergeCell ref="I12:J12"/>
    <mergeCell ref="K12:L12"/>
    <mergeCell ref="M12:T12"/>
    <mergeCell ref="U12:V12"/>
    <mergeCell ref="W12:X12"/>
    <mergeCell ref="Y12:AF12"/>
    <mergeCell ref="AG12:AH12"/>
    <mergeCell ref="AK12:AP12"/>
    <mergeCell ref="A13:H13"/>
    <mergeCell ref="I13:J13"/>
    <mergeCell ref="K13:L13"/>
    <mergeCell ref="M13:T13"/>
    <mergeCell ref="U13:V13"/>
    <mergeCell ref="W13:X13"/>
    <mergeCell ref="Y13:AF13"/>
    <mergeCell ref="AG13:AH13"/>
    <mergeCell ref="AK13:AP13"/>
    <mergeCell ref="A14:AI14"/>
    <mergeCell ref="AK14:AP14"/>
    <mergeCell ref="B15:I15"/>
    <mergeCell ref="J15:L15"/>
    <mergeCell ref="M15:N15"/>
    <mergeCell ref="O15:V15"/>
    <mergeCell ref="W15:Y15"/>
    <mergeCell ref="Z15:AA15"/>
    <mergeCell ref="AB15:AG15"/>
    <mergeCell ref="A18:E18"/>
    <mergeCell ref="F18:AI18"/>
    <mergeCell ref="AK18:AP18"/>
    <mergeCell ref="B19:E19"/>
    <mergeCell ref="F19:AI19"/>
    <mergeCell ref="AK19:AP19"/>
    <mergeCell ref="AH15:AI15"/>
    <mergeCell ref="AK15:AP15"/>
    <mergeCell ref="A16:AI16"/>
    <mergeCell ref="AK16:AP16"/>
    <mergeCell ref="A17:E17"/>
    <mergeCell ref="F17:AI17"/>
    <mergeCell ref="AK17:AP17"/>
    <mergeCell ref="B20:E20"/>
    <mergeCell ref="F20:AI20"/>
    <mergeCell ref="AK20:AP20"/>
    <mergeCell ref="AR20:AR23"/>
    <mergeCell ref="B21:E21"/>
    <mergeCell ref="F21:AI21"/>
    <mergeCell ref="AK21:AP21"/>
    <mergeCell ref="B22:E22"/>
    <mergeCell ref="F22:AI22"/>
    <mergeCell ref="AK22:AP22"/>
    <mergeCell ref="BA23:BB23"/>
    <mergeCell ref="B24:E24"/>
    <mergeCell ref="F24:AI24"/>
    <mergeCell ref="AK24:AP24"/>
    <mergeCell ref="AY24:AZ24"/>
    <mergeCell ref="BA24:BB24"/>
    <mergeCell ref="AS22:AT22"/>
    <mergeCell ref="AU22:AV22"/>
    <mergeCell ref="AY22:AZ22"/>
    <mergeCell ref="BA22:BB22"/>
    <mergeCell ref="B23:E23"/>
    <mergeCell ref="F23:AI23"/>
    <mergeCell ref="AK23:AP23"/>
    <mergeCell ref="AS23:AT23"/>
    <mergeCell ref="AU23:AV23"/>
    <mergeCell ref="AY23:AZ23"/>
    <mergeCell ref="B27:E27"/>
    <mergeCell ref="F27:AI27"/>
    <mergeCell ref="AK27:AP27"/>
    <mergeCell ref="AS27:AT27"/>
    <mergeCell ref="AU27:AW27"/>
    <mergeCell ref="AY27:BB27"/>
    <mergeCell ref="B25:E25"/>
    <mergeCell ref="F25:AI25"/>
    <mergeCell ref="AK25:AP25"/>
    <mergeCell ref="AY25:AZ25"/>
    <mergeCell ref="BA25:BB25"/>
    <mergeCell ref="B26:E26"/>
    <mergeCell ref="F26:AI26"/>
    <mergeCell ref="AK26:AP26"/>
    <mergeCell ref="AS26:AW26"/>
    <mergeCell ref="BA28:BB28"/>
    <mergeCell ref="B29:E29"/>
    <mergeCell ref="F29:AI29"/>
    <mergeCell ref="AK29:AP29"/>
    <mergeCell ref="AS29:AT29"/>
    <mergeCell ref="AU29:AW29"/>
    <mergeCell ref="AY29:AZ29"/>
    <mergeCell ref="BA29:BB29"/>
    <mergeCell ref="B28:E28"/>
    <mergeCell ref="F28:AI28"/>
    <mergeCell ref="AK28:AP28"/>
    <mergeCell ref="AS28:AT28"/>
    <mergeCell ref="AU28:AW28"/>
    <mergeCell ref="AY28:AZ28"/>
    <mergeCell ref="A32:AI32"/>
    <mergeCell ref="AK32:AP32"/>
    <mergeCell ref="AS32:AT32"/>
    <mergeCell ref="AU32:AW32"/>
    <mergeCell ref="AY32:AZ32"/>
    <mergeCell ref="BA32:BB32"/>
    <mergeCell ref="BA30:BB30"/>
    <mergeCell ref="B31:E31"/>
    <mergeCell ref="F31:AI31"/>
    <mergeCell ref="AK31:AP31"/>
    <mergeCell ref="AS31:AT31"/>
    <mergeCell ref="AU31:AW31"/>
    <mergeCell ref="AY31:AZ31"/>
    <mergeCell ref="BA31:BB31"/>
    <mergeCell ref="B30:E30"/>
    <mergeCell ref="F30:AI30"/>
    <mergeCell ref="AK30:AP30"/>
    <mergeCell ref="AS30:AT30"/>
    <mergeCell ref="AU30:AW30"/>
    <mergeCell ref="AY30:AZ30"/>
    <mergeCell ref="BA33:BB33"/>
    <mergeCell ref="B34:E34"/>
    <mergeCell ref="F34:AI34"/>
    <mergeCell ref="AK34:AP34"/>
    <mergeCell ref="AS34:AT34"/>
    <mergeCell ref="AU34:AW34"/>
    <mergeCell ref="AY34:AZ34"/>
    <mergeCell ref="BA34:BB34"/>
    <mergeCell ref="B33:E33"/>
    <mergeCell ref="F33:AI33"/>
    <mergeCell ref="AK33:AP33"/>
    <mergeCell ref="AS33:AT33"/>
    <mergeCell ref="AU33:AW33"/>
    <mergeCell ref="AY33:AZ33"/>
    <mergeCell ref="AY35:AZ35"/>
    <mergeCell ref="BA35:BB35"/>
    <mergeCell ref="A36:E36"/>
    <mergeCell ref="F36:K36"/>
    <mergeCell ref="L36:O36"/>
    <mergeCell ref="P36:R36"/>
    <mergeCell ref="T36:V36"/>
    <mergeCell ref="W36:AB36"/>
    <mergeCell ref="AC36:AI36"/>
    <mergeCell ref="B35:E35"/>
    <mergeCell ref="F35:V35"/>
    <mergeCell ref="W35:AB35"/>
    <mergeCell ref="AC35:AI35"/>
    <mergeCell ref="AK35:AP35"/>
    <mergeCell ref="AS35:AT35"/>
    <mergeCell ref="AK36:AP36"/>
    <mergeCell ref="AS36:AT36"/>
    <mergeCell ref="AU36:AW36"/>
    <mergeCell ref="AU35:AW35"/>
    <mergeCell ref="A39:AI39"/>
    <mergeCell ref="AK39:AP39"/>
    <mergeCell ref="AS39:AT39"/>
    <mergeCell ref="AV39:AW39"/>
    <mergeCell ref="A38:E38"/>
    <mergeCell ref="F38:K38"/>
    <mergeCell ref="L38:O38"/>
    <mergeCell ref="P38:V38"/>
    <mergeCell ref="W38:AB38"/>
    <mergeCell ref="AC38:AI38"/>
    <mergeCell ref="AD40:AI40"/>
    <mergeCell ref="A37:E37"/>
    <mergeCell ref="F37:AI37"/>
    <mergeCell ref="AK40:AP40"/>
    <mergeCell ref="AS40:AT40"/>
    <mergeCell ref="AV40:AW40"/>
    <mergeCell ref="A41:D41"/>
    <mergeCell ref="E41:G41"/>
    <mergeCell ref="I41:K41"/>
    <mergeCell ref="L41:R41"/>
    <mergeCell ref="S41:V41"/>
    <mergeCell ref="W41:Y41"/>
    <mergeCell ref="AA41:AC41"/>
    <mergeCell ref="AD41:AI41"/>
    <mergeCell ref="AK41:AP41"/>
    <mergeCell ref="A40:D40"/>
    <mergeCell ref="E40:K40"/>
    <mergeCell ref="L40:R40"/>
    <mergeCell ref="S40:V40"/>
    <mergeCell ref="W40:AC40"/>
    <mergeCell ref="AK37:AP37"/>
    <mergeCell ref="AS37:AT37"/>
    <mergeCell ref="AU37:AW37"/>
    <mergeCell ref="AK38:AP38"/>
    <mergeCell ref="A42:D42"/>
    <mergeCell ref="E42:G42"/>
    <mergeCell ref="I42:K42"/>
    <mergeCell ref="L42:R42"/>
    <mergeCell ref="S42:V42"/>
    <mergeCell ref="W42:Y42"/>
    <mergeCell ref="AA42:AC42"/>
    <mergeCell ref="AK42:AP42"/>
    <mergeCell ref="AS42:AW42"/>
    <mergeCell ref="A43:D43"/>
    <mergeCell ref="E43:G43"/>
    <mergeCell ref="I43:K43"/>
    <mergeCell ref="L43:R43"/>
    <mergeCell ref="S43:V43"/>
    <mergeCell ref="W43:Y43"/>
    <mergeCell ref="AA43:AC43"/>
    <mergeCell ref="A44:D44"/>
    <mergeCell ref="E44:G44"/>
    <mergeCell ref="I44:K44"/>
    <mergeCell ref="L44:R44"/>
    <mergeCell ref="S44:V44"/>
    <mergeCell ref="W44:Y44"/>
    <mergeCell ref="AA44:AC44"/>
    <mergeCell ref="AD44:AI44"/>
    <mergeCell ref="AD42:AI42"/>
    <mergeCell ref="AK44:AP44"/>
    <mergeCell ref="R45:U45"/>
    <mergeCell ref="W45:X45"/>
    <mergeCell ref="Z45:AA45"/>
    <mergeCell ref="AC45:AD45"/>
    <mergeCell ref="AE45:AF45"/>
    <mergeCell ref="AK45:AP45"/>
    <mergeCell ref="AD43:AI43"/>
    <mergeCell ref="AK43:AP43"/>
    <mergeCell ref="B49:E49"/>
    <mergeCell ref="F49:AI49"/>
    <mergeCell ref="AK49:AP49"/>
    <mergeCell ref="B50:E50"/>
    <mergeCell ref="F50:AI50"/>
    <mergeCell ref="AK50:AP50"/>
    <mergeCell ref="A46:AI46"/>
    <mergeCell ref="AK46:AP46"/>
    <mergeCell ref="B47:E47"/>
    <mergeCell ref="F47:AI47"/>
    <mergeCell ref="AK47:AP47"/>
    <mergeCell ref="B48:E48"/>
    <mergeCell ref="F48:AI48"/>
    <mergeCell ref="AK48:AP48"/>
    <mergeCell ref="B53:E53"/>
    <mergeCell ref="F53:AI53"/>
    <mergeCell ref="AK53:AP53"/>
    <mergeCell ref="B54:E54"/>
    <mergeCell ref="F54:AI54"/>
    <mergeCell ref="AK54:AP54"/>
    <mergeCell ref="B51:E51"/>
    <mergeCell ref="F51:AI51"/>
    <mergeCell ref="AK51:AP51"/>
    <mergeCell ref="B52:E52"/>
    <mergeCell ref="F52:AI52"/>
    <mergeCell ref="AK52:AP52"/>
    <mergeCell ref="B57:E57"/>
    <mergeCell ref="F57:AI57"/>
    <mergeCell ref="AK57:AP57"/>
    <mergeCell ref="B58:E58"/>
    <mergeCell ref="F58:AI58"/>
    <mergeCell ref="AK58:AP58"/>
    <mergeCell ref="B55:E55"/>
    <mergeCell ref="F55:AI55"/>
    <mergeCell ref="AK55:AP55"/>
    <mergeCell ref="B56:E56"/>
    <mergeCell ref="F56:AI56"/>
    <mergeCell ref="AK56:AP56"/>
    <mergeCell ref="B61:E61"/>
    <mergeCell ref="F61:AI61"/>
    <mergeCell ref="AK61:AP61"/>
    <mergeCell ref="B62:E62"/>
    <mergeCell ref="F62:AI62"/>
    <mergeCell ref="AK62:AP62"/>
    <mergeCell ref="B59:E59"/>
    <mergeCell ref="F59:AI59"/>
    <mergeCell ref="AK59:AP59"/>
    <mergeCell ref="B60:E60"/>
    <mergeCell ref="F60:AI60"/>
    <mergeCell ref="AK60:AP60"/>
    <mergeCell ref="B65:E65"/>
    <mergeCell ref="F65:AI65"/>
    <mergeCell ref="AK65:AP65"/>
    <mergeCell ref="B66:E66"/>
    <mergeCell ref="F66:AI66"/>
    <mergeCell ref="AK66:AP66"/>
    <mergeCell ref="B63:E63"/>
    <mergeCell ref="F63:AI63"/>
    <mergeCell ref="AK63:AP63"/>
    <mergeCell ref="B64:E64"/>
    <mergeCell ref="F64:AI64"/>
    <mergeCell ref="AK64:AP64"/>
    <mergeCell ref="B69:E69"/>
    <mergeCell ref="F69:AI69"/>
    <mergeCell ref="AK69:AP69"/>
    <mergeCell ref="B70:E70"/>
    <mergeCell ref="F70:AI70"/>
    <mergeCell ref="AK70:AP70"/>
    <mergeCell ref="B67:E67"/>
    <mergeCell ref="F67:AI67"/>
    <mergeCell ref="AK67:AP67"/>
    <mergeCell ref="B68:E68"/>
    <mergeCell ref="F68:AI68"/>
    <mergeCell ref="AK68:AP68"/>
    <mergeCell ref="B73:E73"/>
    <mergeCell ref="F73:AI73"/>
    <mergeCell ref="AK73:AP73"/>
    <mergeCell ref="B74:E74"/>
    <mergeCell ref="F74:AI74"/>
    <mergeCell ref="AK74:AP74"/>
    <mergeCell ref="B71:E71"/>
    <mergeCell ref="F71:AI71"/>
    <mergeCell ref="AK71:AP71"/>
    <mergeCell ref="B72:E72"/>
    <mergeCell ref="F72:AI72"/>
    <mergeCell ref="AK72:AP72"/>
    <mergeCell ref="B77:E77"/>
    <mergeCell ref="F77:AI77"/>
    <mergeCell ref="AK77:AP77"/>
    <mergeCell ref="B78:E78"/>
    <mergeCell ref="F78:AI78"/>
    <mergeCell ref="AK78:AP78"/>
    <mergeCell ref="B75:E75"/>
    <mergeCell ref="F75:AI75"/>
    <mergeCell ref="AK75:AP75"/>
    <mergeCell ref="B76:E76"/>
    <mergeCell ref="F76:AI76"/>
    <mergeCell ref="AK76:AP76"/>
    <mergeCell ref="A81:AI81"/>
    <mergeCell ref="AK81:AP81"/>
    <mergeCell ref="B82:E82"/>
    <mergeCell ref="F82:AI82"/>
    <mergeCell ref="AK82:AP82"/>
    <mergeCell ref="B83:E83"/>
    <mergeCell ref="F83:AI83"/>
    <mergeCell ref="AK83:AP83"/>
    <mergeCell ref="B79:E79"/>
    <mergeCell ref="F79:AI79"/>
    <mergeCell ref="AK79:AP79"/>
    <mergeCell ref="B80:E80"/>
    <mergeCell ref="F80:AI80"/>
    <mergeCell ref="AK80:AP80"/>
    <mergeCell ref="B86:E86"/>
    <mergeCell ref="F86:AI86"/>
    <mergeCell ref="AK86:AP86"/>
    <mergeCell ref="AK87:AP87"/>
    <mergeCell ref="AK88:AP88"/>
    <mergeCell ref="AK89:AP89"/>
    <mergeCell ref="B84:E84"/>
    <mergeCell ref="F84:AI84"/>
    <mergeCell ref="AK84:AP84"/>
    <mergeCell ref="B85:E85"/>
    <mergeCell ref="F85:AI85"/>
    <mergeCell ref="AK85:AP85"/>
  </mergeCells>
  <phoneticPr fontId="2"/>
  <conditionalFormatting sqref="AQ20:AQ28 AQ30:AQ31 AQ9 AQ11:AQ12 AQ14 AQ33:AQ34">
    <cfRule type="containsBlanks" dxfId="95" priority="12">
      <formula>LEN(TRIM(AQ9))=0</formula>
    </cfRule>
  </conditionalFormatting>
  <conditionalFormatting sqref="BC11:CF11">
    <cfRule type="containsText" dxfId="94" priority="8" operator="containsText" text="青">
      <formula>NOT(ISERROR(SEARCH("青",BC11)))</formula>
    </cfRule>
    <cfRule type="containsText" dxfId="93" priority="9" operator="containsText" text="緑">
      <formula>NOT(ISERROR(SEARCH("緑",BC11)))</formula>
    </cfRule>
    <cfRule type="containsText" dxfId="92" priority="10" operator="containsText" text="黄">
      <formula>NOT(ISERROR(SEARCH("黄",BC11)))</formula>
    </cfRule>
    <cfRule type="containsText" dxfId="91" priority="11" operator="containsText" text="赤">
      <formula>NOT(ISERROR(SEARCH("赤",BC11)))</formula>
    </cfRule>
  </conditionalFormatting>
  <conditionalFormatting sqref="V7:X8">
    <cfRule type="containsBlanks" dxfId="90" priority="7">
      <formula>LEN(TRIM(V7))=0</formula>
    </cfRule>
  </conditionalFormatting>
  <conditionalFormatting sqref="AB7:AI8">
    <cfRule type="containsBlanks" dxfId="89" priority="6">
      <formula>LEN(TRIM(AB7))=0</formula>
    </cfRule>
  </conditionalFormatting>
  <conditionalFormatting sqref="A7:E8 G7:I8 K7:M8 O7:P8">
    <cfRule type="containsBlanks" dxfId="88" priority="5">
      <formula>LEN(TRIM(A7))=0</formula>
    </cfRule>
  </conditionalFormatting>
  <conditionalFormatting sqref="W15:Y15 AH15:AI15 J15:L15">
    <cfRule type="containsBlanks" dxfId="87" priority="4">
      <formula>LEN(TRIM(J15))=0</formula>
    </cfRule>
  </conditionalFormatting>
  <conditionalFormatting sqref="L41:R44">
    <cfRule type="cellIs" dxfId="86" priority="1" operator="equal">
      <formula>0</formula>
    </cfRule>
  </conditionalFormatting>
  <conditionalFormatting sqref="P36:R36 T36:V36 L38:O38 AC38:AI38 AC36:AI36">
    <cfRule type="containsBlanks" dxfId="85" priority="3">
      <formula>LEN(TRIM(L36))=0</formula>
    </cfRule>
  </conditionalFormatting>
  <conditionalFormatting sqref="W41:Y44 AA41:AI44">
    <cfRule type="cellIs" dxfId="84" priority="2" operator="equal">
      <formula>0</formula>
    </cfRule>
  </conditionalFormatting>
  <printOptions horizontalCentered="1" verticalCentered="1"/>
  <pageMargins left="0.70866141732283472" right="0.59055118110236227" top="0.55118110236220474" bottom="0.55118110236220474" header="0.31496062992125984" footer="0.31496062992125984"/>
  <pageSetup paperSize="9" orientation="portrait" horizontalDpi="300" verticalDpi="300" r:id="rId1"/>
  <headerFooter scaleWithDoc="0" alignWithMargins="0">
    <oddFooter>&amp;C&amp;P&amp;Rヒトトヒト株式会社</oddFooter>
  </headerFooter>
  <rowBreaks count="1" manualBreakCount="1">
    <brk id="44" max="34" man="1"/>
  </rowBreaks>
  <drawing r:id="rId2"/>
  <extLst>
    <ext xmlns:x14="http://schemas.microsoft.com/office/spreadsheetml/2009/9/main" uri="{CCE6A557-97BC-4b89-ADB6-D9C93CAAB3DF}">
      <x14:dataValidations xmlns:xm="http://schemas.microsoft.com/office/excel/2006/main" count="6">
        <x14:dataValidation type="list" allowBlank="1" showInputMessage="1" showErrorMessage="1" xr:uid="{7D80E2CE-E914-47E1-A1F0-082C6A3F8D1C}">
          <x14:formula1>
            <xm:f>初期値!$C$12:$C$27</xm:f>
          </x14:formula1>
          <xm:sqref>P36:R36 T36:V36</xm:sqref>
        </x14:dataValidation>
        <x14:dataValidation type="list" allowBlank="1" showInputMessage="1" showErrorMessage="1" xr:uid="{6A78FC7B-9B86-4289-8B5D-02D4F17F3D05}">
          <x14:formula1>
            <xm:f>初期値!$G$12:$G$24</xm:f>
          </x14:formula1>
          <xm:sqref>V7:X8</xm:sqref>
        </x14:dataValidation>
        <x14:dataValidation type="list" allowBlank="1" showInputMessage="1" showErrorMessage="1" xr:uid="{AEEFFC01-EFCE-4B9C-B6DF-70CA94E52E3F}">
          <x14:formula1>
            <xm:f>初期値!$E$12:$E$13</xm:f>
          </x14:formula1>
          <xm:sqref>L38:O38 AC38:AI38 AC36:AI36</xm:sqref>
        </x14:dataValidation>
        <x14:dataValidation type="list" allowBlank="1" showInputMessage="1" showErrorMessage="1" xr:uid="{54CF41CF-B2CF-4783-A816-519451D97026}">
          <x14:formula1>
            <xm:f>初期値!$N$22:$N$23</xm:f>
          </x14:formula1>
          <xm:sqref>AW23</xm:sqref>
        </x14:dataValidation>
        <x14:dataValidation type="list" allowBlank="1" showInputMessage="1" showErrorMessage="1" xr:uid="{0CD171BB-56FE-4E69-9405-B1112328FCEF}">
          <x14:formula1>
            <xm:f>初期値!$P$12:$P$27</xm:f>
          </x14:formula1>
          <xm:sqref>BA24:BB24 BA22:BB22 BA28:BB28 BA30:BB30 BA32:BB32 BA34:BB34</xm:sqref>
        </x14:dataValidation>
        <x14:dataValidation type="list" allowBlank="1" showInputMessage="1" showErrorMessage="1" xr:uid="{033071AC-63BF-4B60-8F31-A4F49485A8C1}">
          <x14:formula1>
            <xm:f>初期値!$N$12:$N$19</xm:f>
          </x14:formula1>
          <xm:sqref>AU22:AV22</xm:sqref>
        </x14:dataValidation>
      </x14:dataValidations>
    </ext>
  </extLst>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E3AF91D-4A58-481F-B685-5DD0A1C331C2}">
  <sheetPr codeName="Sheet31"/>
  <dimension ref="A1:CG266"/>
  <sheetViews>
    <sheetView topLeftCell="A32" zoomScaleNormal="100" zoomScaleSheetLayoutView="100" workbookViewId="0">
      <selection activeCell="F30" sqref="F30:AI30"/>
    </sheetView>
  </sheetViews>
  <sheetFormatPr defaultColWidth="8.875" defaultRowHeight="13.5"/>
  <cols>
    <col min="1" max="42" width="2.25" style="23" customWidth="1"/>
    <col min="43" max="43" width="6" style="23" bestFit="1" customWidth="1"/>
    <col min="44" max="44" width="4.5" style="23" bestFit="1" customWidth="1"/>
    <col min="45" max="45" width="6" style="23" bestFit="1" customWidth="1"/>
    <col min="46" max="46" width="4.5" style="23" bestFit="1" customWidth="1"/>
    <col min="47" max="47" width="9" style="23" bestFit="1" customWidth="1"/>
    <col min="48" max="48" width="8.5" style="23" bestFit="1" customWidth="1"/>
    <col min="49" max="49" width="7.5" style="23" bestFit="1" customWidth="1"/>
    <col min="50" max="50" width="6.5" style="23" bestFit="1" customWidth="1"/>
    <col min="51" max="51" width="7.5" style="23" bestFit="1" customWidth="1"/>
    <col min="52" max="52" width="2.125" style="23" customWidth="1"/>
    <col min="53" max="54" width="7.375" style="23" customWidth="1"/>
    <col min="55" max="63" width="3.625" style="23" bestFit="1" customWidth="1"/>
    <col min="64" max="84" width="4" style="23" bestFit="1" customWidth="1"/>
    <col min="85" max="16384" width="8.875" style="23"/>
  </cols>
  <sheetData>
    <row r="1" spans="1:85" ht="14.1" customHeight="1">
      <c r="A1" s="510" t="s">
        <v>551</v>
      </c>
      <c r="B1" s="510"/>
      <c r="C1" s="510"/>
      <c r="D1" s="510"/>
      <c r="E1" s="510"/>
      <c r="F1" s="510"/>
      <c r="G1" s="510"/>
      <c r="H1" s="510"/>
      <c r="I1" s="510"/>
      <c r="J1" s="510"/>
      <c r="K1" s="510"/>
      <c r="L1" s="510"/>
      <c r="M1" s="510"/>
      <c r="N1" s="510"/>
      <c r="O1" s="510"/>
      <c r="P1" s="510"/>
      <c r="Q1" s="510"/>
      <c r="R1" s="510"/>
      <c r="S1" s="510"/>
      <c r="T1" s="388"/>
      <c r="U1" s="388"/>
      <c r="V1" s="388"/>
      <c r="W1" s="388"/>
      <c r="X1" s="388"/>
      <c r="Y1" s="388"/>
      <c r="Z1" s="388"/>
      <c r="AA1" s="24"/>
      <c r="AB1" s="32"/>
      <c r="AD1" s="252" t="s">
        <v>167</v>
      </c>
      <c r="AE1" s="252"/>
      <c r="AF1" s="252"/>
      <c r="AG1" s="252"/>
      <c r="AH1" s="252"/>
      <c r="AI1" s="252"/>
      <c r="AM1" s="123">
        <v>24</v>
      </c>
      <c r="BB1"/>
    </row>
    <row r="2" spans="1:85" ht="14.1" customHeight="1">
      <c r="A2" s="510"/>
      <c r="B2" s="510"/>
      <c r="C2" s="510"/>
      <c r="D2" s="510"/>
      <c r="E2" s="510"/>
      <c r="F2" s="510"/>
      <c r="G2" s="510"/>
      <c r="H2" s="510"/>
      <c r="I2" s="510"/>
      <c r="J2" s="510"/>
      <c r="K2" s="510"/>
      <c r="L2" s="510"/>
      <c r="M2" s="510"/>
      <c r="N2" s="510"/>
      <c r="O2" s="510"/>
      <c r="P2" s="510"/>
      <c r="Q2" s="510"/>
      <c r="R2" s="510"/>
      <c r="S2" s="510"/>
      <c r="T2" s="388"/>
      <c r="U2" s="388"/>
      <c r="V2" s="388"/>
      <c r="W2" s="388"/>
      <c r="X2" s="388"/>
      <c r="Y2" s="388"/>
      <c r="Z2" s="388"/>
      <c r="AA2" s="25"/>
      <c r="AB2" s="31"/>
      <c r="AD2" s="253"/>
      <c r="AE2" s="253"/>
      <c r="AF2" s="253"/>
      <c r="AG2" s="253"/>
      <c r="AH2" s="253"/>
      <c r="AI2" s="253"/>
      <c r="BA2"/>
    </row>
    <row r="3" spans="1:85" ht="14.1" customHeight="1">
      <c r="A3" s="510"/>
      <c r="B3" s="510"/>
      <c r="C3" s="510"/>
      <c r="D3" s="510"/>
      <c r="E3" s="510"/>
      <c r="F3" s="510"/>
      <c r="G3" s="510"/>
      <c r="H3" s="510"/>
      <c r="I3" s="510"/>
      <c r="J3" s="510"/>
      <c r="K3" s="510"/>
      <c r="L3" s="510"/>
      <c r="M3" s="510"/>
      <c r="N3" s="510"/>
      <c r="O3" s="510"/>
      <c r="P3" s="510"/>
      <c r="Q3" s="510"/>
      <c r="R3" s="510"/>
      <c r="S3" s="510"/>
      <c r="T3" s="388"/>
      <c r="U3" s="388"/>
      <c r="V3" s="388"/>
      <c r="W3" s="388"/>
      <c r="X3" s="388"/>
      <c r="Y3" s="388"/>
      <c r="Z3" s="388"/>
      <c r="AA3" s="25"/>
      <c r="AB3" s="31"/>
      <c r="AD3" s="253"/>
      <c r="AE3" s="253"/>
      <c r="AF3" s="253"/>
      <c r="AG3" s="253"/>
      <c r="AH3" s="253"/>
      <c r="AI3" s="253"/>
      <c r="BA3"/>
    </row>
    <row r="4" spans="1:85" ht="14.1" customHeight="1">
      <c r="A4" s="395" t="s">
        <v>552</v>
      </c>
      <c r="B4" s="395"/>
      <c r="C4" s="395"/>
      <c r="D4" s="395"/>
      <c r="E4" s="395"/>
      <c r="F4" s="395"/>
      <c r="G4" s="395"/>
      <c r="H4" s="395"/>
      <c r="I4" s="395"/>
      <c r="J4" s="395"/>
      <c r="K4" s="395"/>
      <c r="L4" s="395"/>
      <c r="M4" s="395"/>
      <c r="N4" s="395"/>
      <c r="O4" s="395"/>
      <c r="P4" s="395"/>
      <c r="Q4" s="395"/>
      <c r="R4" s="395"/>
      <c r="S4" s="395"/>
      <c r="T4" s="155"/>
      <c r="U4" s="155"/>
      <c r="V4" s="155"/>
      <c r="W4" s="155"/>
      <c r="X4" s="155"/>
      <c r="Y4" s="155"/>
      <c r="Z4" s="155"/>
      <c r="AA4" s="26"/>
      <c r="AB4" s="31"/>
      <c r="AD4" s="253"/>
      <c r="AE4" s="253"/>
      <c r="AF4" s="253"/>
      <c r="AG4" s="253"/>
      <c r="AH4" s="253"/>
      <c r="AI4" s="253"/>
      <c r="BA4"/>
    </row>
    <row r="5" spans="1:85" ht="14.1" customHeight="1">
      <c r="A5" s="395"/>
      <c r="B5" s="395"/>
      <c r="C5" s="395"/>
      <c r="D5" s="395"/>
      <c r="E5" s="395"/>
      <c r="F5" s="395"/>
      <c r="G5" s="395"/>
      <c r="H5" s="395"/>
      <c r="I5" s="395"/>
      <c r="J5" s="395"/>
      <c r="K5" s="395"/>
      <c r="L5" s="395"/>
      <c r="M5" s="395"/>
      <c r="N5" s="395"/>
      <c r="O5" s="395"/>
      <c r="P5" s="395"/>
      <c r="Q5" s="395"/>
      <c r="R5" s="395"/>
      <c r="S5" s="395"/>
      <c r="T5" s="155"/>
      <c r="U5" s="155"/>
      <c r="V5" s="155"/>
      <c r="W5" s="155"/>
      <c r="X5" s="155"/>
      <c r="Y5" s="155"/>
      <c r="Z5" s="155"/>
      <c r="AA5" s="26"/>
      <c r="AB5" s="31"/>
      <c r="AC5" s="31"/>
      <c r="AD5" s="31"/>
      <c r="AE5" s="31"/>
      <c r="AF5" s="31"/>
      <c r="AG5" s="31"/>
      <c r="AH5" s="31"/>
      <c r="AI5" s="31"/>
      <c r="BA5"/>
    </row>
    <row r="6" spans="1:85" ht="14.1" customHeight="1" thickBot="1">
      <c r="A6" s="27"/>
      <c r="B6" s="27"/>
      <c r="C6" s="27"/>
      <c r="D6" s="27"/>
      <c r="E6" s="27"/>
      <c r="F6" s="27"/>
      <c r="G6" s="27"/>
      <c r="H6" s="27"/>
      <c r="I6" s="27"/>
      <c r="BA6"/>
    </row>
    <row r="7" spans="1:85" ht="12" customHeight="1">
      <c r="A7" s="255">
        <f>DATE(初期値!A2,初期値!A3,AM1)</f>
        <v>46197</v>
      </c>
      <c r="B7" s="256"/>
      <c r="C7" s="256"/>
      <c r="D7" s="256"/>
      <c r="E7" s="256"/>
      <c r="F7" s="259" t="s">
        <v>169</v>
      </c>
      <c r="G7" s="236">
        <f>$A$7</f>
        <v>46197</v>
      </c>
      <c r="H7" s="236"/>
      <c r="I7" s="236"/>
      <c r="J7" s="239" t="s">
        <v>170</v>
      </c>
      <c r="K7" s="261">
        <f>$A$7</f>
        <v>46197</v>
      </c>
      <c r="L7" s="261"/>
      <c r="M7" s="261"/>
      <c r="N7" s="239" t="s">
        <v>3</v>
      </c>
      <c r="O7" s="520">
        <f>$A$7</f>
        <v>46197</v>
      </c>
      <c r="P7" s="520"/>
      <c r="Q7" s="239" t="s">
        <v>292</v>
      </c>
      <c r="R7" s="240"/>
      <c r="S7" s="522" t="s">
        <v>553</v>
      </c>
      <c r="T7" s="244"/>
      <c r="U7" s="29" t="s">
        <v>554</v>
      </c>
      <c r="V7" s="518" t="s">
        <v>23</v>
      </c>
      <c r="W7" s="518"/>
      <c r="X7" s="518"/>
      <c r="Y7" s="511" t="s">
        <v>555</v>
      </c>
      <c r="Z7" s="512"/>
      <c r="AA7" s="513"/>
      <c r="AB7" s="244" t="str">
        <f>L43</f>
        <v>山本喜久</v>
      </c>
      <c r="AC7" s="244"/>
      <c r="AD7" s="244"/>
      <c r="AE7" s="244"/>
      <c r="AF7" s="244"/>
      <c r="AG7" s="244"/>
      <c r="AH7" s="244"/>
      <c r="AI7" s="245"/>
      <c r="AK7" s="425" t="s">
        <v>556</v>
      </c>
      <c r="AL7" s="425"/>
      <c r="AM7" s="425"/>
      <c r="AN7" s="425"/>
      <c r="AO7" s="425"/>
      <c r="AP7" s="425"/>
      <c r="AQ7" s="439" t="s">
        <v>557</v>
      </c>
      <c r="AR7" s="43"/>
      <c r="AS7" s="43"/>
      <c r="AT7" s="43"/>
      <c r="AU7" s="43"/>
      <c r="AV7" s="43"/>
      <c r="AW7" s="43"/>
      <c r="AX7" s="43"/>
      <c r="AY7" s="43"/>
      <c r="AZ7" s="43"/>
      <c r="BA7"/>
    </row>
    <row r="8" spans="1:85" ht="12" customHeight="1" thickBot="1">
      <c r="A8" s="257"/>
      <c r="B8" s="258"/>
      <c r="C8" s="258"/>
      <c r="D8" s="258"/>
      <c r="E8" s="258"/>
      <c r="F8" s="260"/>
      <c r="G8" s="237"/>
      <c r="H8" s="237"/>
      <c r="I8" s="237"/>
      <c r="J8" s="242"/>
      <c r="K8" s="262"/>
      <c r="L8" s="262"/>
      <c r="M8" s="262"/>
      <c r="N8" s="242"/>
      <c r="O8" s="521"/>
      <c r="P8" s="521"/>
      <c r="Q8" s="242"/>
      <c r="R8" s="243"/>
      <c r="S8" s="523"/>
      <c r="T8" s="246"/>
      <c r="U8" s="33" t="s">
        <v>558</v>
      </c>
      <c r="V8" s="519" t="s">
        <v>37</v>
      </c>
      <c r="W8" s="519"/>
      <c r="X8" s="519"/>
      <c r="Y8" s="514"/>
      <c r="Z8" s="515"/>
      <c r="AA8" s="516"/>
      <c r="AB8" s="246"/>
      <c r="AC8" s="246"/>
      <c r="AD8" s="246"/>
      <c r="AE8" s="246"/>
      <c r="AF8" s="246"/>
      <c r="AG8" s="246"/>
      <c r="AH8" s="246"/>
      <c r="AI8" s="247"/>
      <c r="AK8" s="425"/>
      <c r="AL8" s="425"/>
      <c r="AM8" s="425"/>
      <c r="AN8" s="425"/>
      <c r="AO8" s="425"/>
      <c r="AP8" s="425"/>
      <c r="AQ8" s="439"/>
      <c r="AR8" s="43"/>
      <c r="AS8" s="43"/>
      <c r="AT8" s="43"/>
      <c r="AU8" s="43"/>
      <c r="AV8" s="43"/>
      <c r="AW8" s="43"/>
      <c r="AX8" s="43"/>
      <c r="AY8" s="43"/>
      <c r="AZ8" s="43"/>
      <c r="BA8"/>
    </row>
    <row r="9" spans="1:85" ht="18" customHeight="1">
      <c r="A9" s="507" t="s">
        <v>559</v>
      </c>
      <c r="B9" s="508"/>
      <c r="C9" s="508"/>
      <c r="D9" s="508"/>
      <c r="E9" s="508"/>
      <c r="F9" s="508"/>
      <c r="G9" s="508"/>
      <c r="H9" s="508"/>
      <c r="I9" s="508"/>
      <c r="J9" s="508"/>
      <c r="K9" s="508"/>
      <c r="L9" s="508"/>
      <c r="M9" s="508"/>
      <c r="N9" s="508"/>
      <c r="O9" s="508"/>
      <c r="P9" s="508"/>
      <c r="Q9" s="508"/>
      <c r="R9" s="508"/>
      <c r="S9" s="508"/>
      <c r="T9" s="508"/>
      <c r="U9" s="508"/>
      <c r="V9" s="508"/>
      <c r="W9" s="508"/>
      <c r="X9" s="508"/>
      <c r="Y9" s="508"/>
      <c r="Z9" s="508"/>
      <c r="AA9" s="508"/>
      <c r="AB9" s="508"/>
      <c r="AC9" s="508"/>
      <c r="AD9" s="508"/>
      <c r="AE9" s="508"/>
      <c r="AF9" s="508"/>
      <c r="AG9" s="508"/>
      <c r="AH9" s="508"/>
      <c r="AI9" s="509"/>
      <c r="AK9" s="440" t="s">
        <v>560</v>
      </c>
      <c r="AL9" s="440"/>
      <c r="AM9" s="440"/>
      <c r="AN9" s="440"/>
      <c r="AO9" s="440"/>
      <c r="AP9" s="440"/>
      <c r="AQ9" s="42">
        <v>35</v>
      </c>
      <c r="AR9" s="43"/>
      <c r="AS9" s="44" t="s">
        <v>561</v>
      </c>
      <c r="AT9" s="44" t="s">
        <v>562</v>
      </c>
      <c r="AU9" s="44" t="s">
        <v>563</v>
      </c>
      <c r="AV9" s="44" t="s">
        <v>564</v>
      </c>
      <c r="AW9" s="45" t="s">
        <v>565</v>
      </c>
      <c r="AX9" s="45" t="s">
        <v>566</v>
      </c>
      <c r="AY9" s="44" t="s">
        <v>567</v>
      </c>
      <c r="AZ9" s="43"/>
      <c r="BB9" s="49" t="s">
        <v>568</v>
      </c>
      <c r="BC9" s="43"/>
      <c r="BD9" s="43"/>
      <c r="BE9" s="43"/>
      <c r="BF9" s="43"/>
      <c r="BG9" s="43"/>
      <c r="BH9" s="43"/>
      <c r="BI9" s="43"/>
      <c r="BJ9" s="43"/>
      <c r="BK9" s="43"/>
      <c r="BL9" s="43"/>
      <c r="BM9" s="43"/>
      <c r="BN9" s="43"/>
      <c r="BO9" s="43"/>
      <c r="BP9" s="43"/>
      <c r="BQ9" s="43"/>
      <c r="BR9" s="43"/>
      <c r="BS9" s="43"/>
      <c r="BT9" s="43"/>
      <c r="BU9" s="43"/>
      <c r="BV9" s="43"/>
      <c r="BW9" s="43"/>
      <c r="BX9" s="43"/>
      <c r="BY9" s="43"/>
      <c r="BZ9" s="43"/>
      <c r="CA9" s="43"/>
      <c r="CB9" s="43"/>
      <c r="CC9" s="43"/>
      <c r="CD9" s="43"/>
      <c r="CE9" s="43"/>
      <c r="CF9" s="43"/>
      <c r="CG9" s="43"/>
    </row>
    <row r="10" spans="1:85" ht="18" customHeight="1">
      <c r="A10" s="265" t="s">
        <v>569</v>
      </c>
      <c r="B10" s="266"/>
      <c r="C10" s="266"/>
      <c r="D10" s="266"/>
      <c r="E10" s="266"/>
      <c r="F10" s="266"/>
      <c r="G10" s="266"/>
      <c r="H10" s="266"/>
      <c r="I10" s="264">
        <f>AQ14</f>
        <v>0</v>
      </c>
      <c r="J10" s="264"/>
      <c r="K10" s="267" t="s">
        <v>176</v>
      </c>
      <c r="L10" s="268"/>
      <c r="M10" s="269" t="s">
        <v>570</v>
      </c>
      <c r="N10" s="266"/>
      <c r="O10" s="266"/>
      <c r="P10" s="266"/>
      <c r="Q10" s="266"/>
      <c r="R10" s="266"/>
      <c r="S10" s="266"/>
      <c r="T10" s="266"/>
      <c r="U10" s="264">
        <f>AQ37</f>
        <v>0</v>
      </c>
      <c r="V10" s="264"/>
      <c r="W10" s="267" t="s">
        <v>176</v>
      </c>
      <c r="X10" s="268"/>
      <c r="Y10" s="269" t="s">
        <v>571</v>
      </c>
      <c r="Z10" s="266"/>
      <c r="AA10" s="266"/>
      <c r="AB10" s="266"/>
      <c r="AC10" s="266"/>
      <c r="AD10" s="266"/>
      <c r="AE10" s="266"/>
      <c r="AF10" s="266"/>
      <c r="AG10" s="264">
        <f>AQ26+AQ25</f>
        <v>0</v>
      </c>
      <c r="AH10" s="264"/>
      <c r="AI10" s="28" t="s">
        <v>176</v>
      </c>
      <c r="AK10" s="440" t="s">
        <v>572</v>
      </c>
      <c r="AL10" s="440"/>
      <c r="AM10" s="440"/>
      <c r="AN10" s="440"/>
      <c r="AO10" s="440"/>
      <c r="AP10" s="440"/>
      <c r="AQ10" s="42"/>
      <c r="AR10" s="43"/>
      <c r="AS10" s="46">
        <v>1</v>
      </c>
      <c r="AT10" s="46"/>
      <c r="AU10" s="46" t="s">
        <v>20</v>
      </c>
      <c r="AV10" s="47" t="s">
        <v>573</v>
      </c>
      <c r="AW10" s="47" t="s">
        <v>574</v>
      </c>
      <c r="AX10" s="47">
        <v>0.33333333333333331</v>
      </c>
      <c r="AY10" s="47">
        <v>0.83333333333333337</v>
      </c>
      <c r="AZ10" s="43"/>
      <c r="BB10" s="49" t="s">
        <v>95</v>
      </c>
      <c r="BC10" s="120">
        <v>1</v>
      </c>
      <c r="BD10" s="120">
        <v>2</v>
      </c>
      <c r="BE10" s="120">
        <v>3</v>
      </c>
      <c r="BF10" s="120">
        <v>4</v>
      </c>
      <c r="BG10" s="120">
        <v>5</v>
      </c>
      <c r="BH10" s="120">
        <v>6</v>
      </c>
      <c r="BI10" s="120">
        <v>7</v>
      </c>
      <c r="BJ10" s="120">
        <v>8</v>
      </c>
      <c r="BK10" s="120">
        <v>9</v>
      </c>
      <c r="BL10" s="120">
        <v>10</v>
      </c>
      <c r="BM10" s="120">
        <v>11</v>
      </c>
      <c r="BN10" s="120">
        <v>12</v>
      </c>
      <c r="BO10" s="120">
        <v>13</v>
      </c>
      <c r="BP10" s="120">
        <v>14</v>
      </c>
      <c r="BQ10" s="120">
        <v>15</v>
      </c>
      <c r="BR10" s="120">
        <v>16</v>
      </c>
      <c r="BS10" s="120">
        <v>17</v>
      </c>
      <c r="BT10" s="120">
        <v>18</v>
      </c>
      <c r="BU10" s="120">
        <v>19</v>
      </c>
      <c r="BV10" s="120">
        <v>20</v>
      </c>
      <c r="BW10" s="120">
        <v>21</v>
      </c>
      <c r="BX10" s="120">
        <v>22</v>
      </c>
      <c r="BY10" s="120">
        <v>23</v>
      </c>
      <c r="BZ10" s="120">
        <v>24</v>
      </c>
      <c r="CA10" s="120">
        <v>25</v>
      </c>
      <c r="CB10" s="120">
        <v>26</v>
      </c>
      <c r="CC10" s="120">
        <v>27</v>
      </c>
      <c r="CD10" s="120">
        <v>28</v>
      </c>
      <c r="CE10" s="120">
        <v>29</v>
      </c>
      <c r="CF10" s="120">
        <v>30</v>
      </c>
      <c r="CG10" s="43"/>
    </row>
    <row r="11" spans="1:85" ht="18" customHeight="1">
      <c r="A11" s="265" t="s">
        <v>575</v>
      </c>
      <c r="B11" s="266"/>
      <c r="C11" s="266"/>
      <c r="D11" s="266"/>
      <c r="E11" s="266"/>
      <c r="F11" s="266"/>
      <c r="G11" s="266"/>
      <c r="H11" s="266"/>
      <c r="I11" s="264">
        <f>AQ27</f>
        <v>0</v>
      </c>
      <c r="J11" s="264"/>
      <c r="K11" s="267" t="s">
        <v>176</v>
      </c>
      <c r="L11" s="268"/>
      <c r="M11" s="269" t="s">
        <v>576</v>
      </c>
      <c r="N11" s="266"/>
      <c r="O11" s="266"/>
      <c r="P11" s="266"/>
      <c r="Q11" s="266"/>
      <c r="R11" s="266"/>
      <c r="S11" s="266"/>
      <c r="T11" s="266"/>
      <c r="U11" s="264">
        <f>AQ36</f>
        <v>0</v>
      </c>
      <c r="V11" s="264"/>
      <c r="W11" s="267" t="s">
        <v>176</v>
      </c>
      <c r="X11" s="268"/>
      <c r="Y11" s="269" t="s">
        <v>577</v>
      </c>
      <c r="Z11" s="266"/>
      <c r="AA11" s="266"/>
      <c r="AB11" s="266"/>
      <c r="AC11" s="266"/>
      <c r="AD11" s="266"/>
      <c r="AE11" s="266"/>
      <c r="AF11" s="266"/>
      <c r="AG11" s="264">
        <f>AQ34</f>
        <v>0</v>
      </c>
      <c r="AH11" s="264"/>
      <c r="AI11" s="28" t="s">
        <v>176</v>
      </c>
      <c r="AK11" s="441" t="s">
        <v>578</v>
      </c>
      <c r="AL11" s="442"/>
      <c r="AM11" s="442"/>
      <c r="AN11" s="442"/>
      <c r="AO11" s="442"/>
      <c r="AP11" s="443"/>
      <c r="AQ11" s="42">
        <v>24</v>
      </c>
      <c r="AR11" s="43"/>
      <c r="AS11" s="46">
        <v>2</v>
      </c>
      <c r="AT11" s="46"/>
      <c r="AU11" s="46"/>
      <c r="AV11" s="47" t="s">
        <v>579</v>
      </c>
      <c r="AW11" s="47" t="s">
        <v>580</v>
      </c>
      <c r="AX11" s="47">
        <v>0.33333333333333331</v>
      </c>
      <c r="AY11" s="47">
        <v>0.58333333333333337</v>
      </c>
      <c r="AZ11" s="43"/>
      <c r="BB11" s="121" t="s">
        <v>581</v>
      </c>
      <c r="BC11" s="138" t="s">
        <v>582</v>
      </c>
      <c r="BD11" s="138" t="s">
        <v>583</v>
      </c>
      <c r="BE11" s="138" t="s">
        <v>584</v>
      </c>
      <c r="BF11" s="138" t="s">
        <v>585</v>
      </c>
      <c r="BG11" s="139" t="s">
        <v>584</v>
      </c>
      <c r="BH11" s="138" t="s">
        <v>582</v>
      </c>
      <c r="BI11" s="138" t="s">
        <v>585</v>
      </c>
      <c r="BJ11" s="138" t="s">
        <v>583</v>
      </c>
      <c r="BK11" s="138" t="s">
        <v>584</v>
      </c>
      <c r="BL11" s="138" t="s">
        <v>583</v>
      </c>
      <c r="BM11" s="138" t="s">
        <v>585</v>
      </c>
      <c r="BN11" s="138" t="s">
        <v>582</v>
      </c>
      <c r="BO11" s="138" t="s">
        <v>584</v>
      </c>
      <c r="BP11" s="138" t="s">
        <v>585</v>
      </c>
      <c r="BQ11" s="138" t="s">
        <v>583</v>
      </c>
      <c r="BR11" s="138" t="s">
        <v>585</v>
      </c>
      <c r="BS11" s="138" t="s">
        <v>584</v>
      </c>
      <c r="BT11" s="138" t="s">
        <v>582</v>
      </c>
      <c r="BU11" s="138" t="s">
        <v>583</v>
      </c>
      <c r="BV11" s="138" t="s">
        <v>585</v>
      </c>
      <c r="BW11" s="138" t="s">
        <v>582</v>
      </c>
      <c r="BX11" s="138" t="s">
        <v>584</v>
      </c>
      <c r="BY11" s="138" t="s">
        <v>585</v>
      </c>
      <c r="BZ11" s="138" t="s">
        <v>583</v>
      </c>
      <c r="CA11" s="138" t="s">
        <v>582</v>
      </c>
      <c r="CB11" s="138" t="s">
        <v>585</v>
      </c>
      <c r="CC11" s="138" t="s">
        <v>584</v>
      </c>
      <c r="CD11" s="138" t="s">
        <v>582</v>
      </c>
      <c r="CE11" s="138" t="s">
        <v>585</v>
      </c>
      <c r="CF11" s="138" t="s">
        <v>583</v>
      </c>
      <c r="CG11" s="43"/>
    </row>
    <row r="12" spans="1:85" ht="18" customHeight="1">
      <c r="A12" s="265" t="s">
        <v>586</v>
      </c>
      <c r="B12" s="266"/>
      <c r="C12" s="266"/>
      <c r="D12" s="266"/>
      <c r="E12" s="266"/>
      <c r="F12" s="266"/>
      <c r="G12" s="266"/>
      <c r="H12" s="266"/>
      <c r="I12" s="264">
        <f>AQ33</f>
        <v>0</v>
      </c>
      <c r="J12" s="264"/>
      <c r="K12" s="267" t="s">
        <v>176</v>
      </c>
      <c r="L12" s="268"/>
      <c r="M12" s="269" t="s">
        <v>587</v>
      </c>
      <c r="N12" s="266"/>
      <c r="O12" s="266"/>
      <c r="P12" s="266"/>
      <c r="Q12" s="266"/>
      <c r="R12" s="266"/>
      <c r="S12" s="266"/>
      <c r="T12" s="266"/>
      <c r="U12" s="264">
        <f>AQ24</f>
        <v>0</v>
      </c>
      <c r="V12" s="264"/>
      <c r="W12" s="267" t="s">
        <v>176</v>
      </c>
      <c r="X12" s="268"/>
      <c r="Y12" s="269" t="s">
        <v>588</v>
      </c>
      <c r="Z12" s="266"/>
      <c r="AA12" s="266"/>
      <c r="AB12" s="266"/>
      <c r="AC12" s="266"/>
      <c r="AD12" s="266"/>
      <c r="AE12" s="266"/>
      <c r="AF12" s="266"/>
      <c r="AG12" s="264">
        <f>AQ20+AQ21+AQ22+AQ23</f>
        <v>1</v>
      </c>
      <c r="AH12" s="264"/>
      <c r="AI12" s="28" t="s">
        <v>176</v>
      </c>
      <c r="AK12" s="441" t="s">
        <v>589</v>
      </c>
      <c r="AL12" s="442"/>
      <c r="AM12" s="442"/>
      <c r="AN12" s="442"/>
      <c r="AO12" s="442"/>
      <c r="AP12" s="443"/>
      <c r="AQ12" s="42">
        <v>6</v>
      </c>
      <c r="AR12" s="43"/>
      <c r="AS12" s="46">
        <v>3</v>
      </c>
      <c r="AT12" s="46"/>
      <c r="AU12" s="46"/>
      <c r="AV12" s="47" t="s">
        <v>590</v>
      </c>
      <c r="AW12" s="47" t="s">
        <v>574</v>
      </c>
      <c r="AX12" s="47">
        <v>0.58333333333333337</v>
      </c>
      <c r="AY12" s="47">
        <v>0.83333333333333337</v>
      </c>
      <c r="AZ12" s="43"/>
      <c r="BB12" s="49"/>
      <c r="BC12" s="43"/>
      <c r="BD12" s="43"/>
      <c r="BE12" s="43"/>
      <c r="BF12" s="43"/>
      <c r="BG12" s="43"/>
      <c r="BH12" s="43"/>
      <c r="BI12" s="43"/>
      <c r="BJ12" s="43"/>
      <c r="BK12" s="43"/>
      <c r="BL12" s="43"/>
      <c r="BM12" s="43"/>
      <c r="BN12" s="43"/>
      <c r="BO12" s="43"/>
      <c r="BP12" s="43"/>
      <c r="BQ12" s="43"/>
      <c r="BR12" s="43"/>
      <c r="BS12" s="43"/>
      <c r="BT12" s="43"/>
      <c r="BU12" s="43"/>
      <c r="BV12" s="43"/>
      <c r="BW12" s="43"/>
      <c r="BX12" s="43"/>
      <c r="BY12" s="43"/>
      <c r="BZ12" s="43"/>
      <c r="CA12" s="43"/>
      <c r="CB12" s="43"/>
      <c r="CC12" s="43"/>
      <c r="CD12" s="43"/>
      <c r="CE12" s="43"/>
      <c r="CF12" s="43"/>
      <c r="CG12" s="43"/>
    </row>
    <row r="13" spans="1:85" ht="18" customHeight="1" thickBot="1">
      <c r="A13" s="517" t="s">
        <v>591</v>
      </c>
      <c r="B13" s="277"/>
      <c r="C13" s="277"/>
      <c r="D13" s="277"/>
      <c r="E13" s="277"/>
      <c r="F13" s="277"/>
      <c r="G13" s="277"/>
      <c r="H13" s="277"/>
      <c r="I13" s="272">
        <f>AQ30+AQ31</f>
        <v>0</v>
      </c>
      <c r="J13" s="272"/>
      <c r="K13" s="273" t="s">
        <v>176</v>
      </c>
      <c r="L13" s="274"/>
      <c r="M13" s="276" t="s">
        <v>592</v>
      </c>
      <c r="N13" s="277"/>
      <c r="O13" s="277"/>
      <c r="P13" s="277"/>
      <c r="Q13" s="277"/>
      <c r="R13" s="277"/>
      <c r="S13" s="277"/>
      <c r="T13" s="277"/>
      <c r="U13" s="272">
        <f>AQ28</f>
        <v>0</v>
      </c>
      <c r="V13" s="272"/>
      <c r="W13" s="273" t="s">
        <v>176</v>
      </c>
      <c r="X13" s="274"/>
      <c r="Y13" s="276" t="s">
        <v>593</v>
      </c>
      <c r="Z13" s="277"/>
      <c r="AA13" s="277"/>
      <c r="AB13" s="277"/>
      <c r="AC13" s="277"/>
      <c r="AD13" s="277"/>
      <c r="AE13" s="277"/>
      <c r="AF13" s="277"/>
      <c r="AG13" s="272">
        <f>AQ13</f>
        <v>3</v>
      </c>
      <c r="AH13" s="272"/>
      <c r="AI13" s="34" t="s">
        <v>176</v>
      </c>
      <c r="AK13" s="425" t="s">
        <v>594</v>
      </c>
      <c r="AL13" s="425"/>
      <c r="AM13" s="425"/>
      <c r="AN13" s="425"/>
      <c r="AO13" s="425"/>
      <c r="AP13" s="425"/>
      <c r="AQ13" s="42">
        <v>3</v>
      </c>
      <c r="AR13" s="43"/>
      <c r="AS13" s="46">
        <v>4</v>
      </c>
      <c r="AT13" s="46"/>
      <c r="AU13" s="46" t="s">
        <v>28</v>
      </c>
      <c r="AV13" s="47" t="s">
        <v>595</v>
      </c>
      <c r="AW13" s="47" t="s">
        <v>596</v>
      </c>
      <c r="AX13" s="47">
        <v>0.33333333333333331</v>
      </c>
      <c r="AY13" s="47">
        <v>0.83333333333333337</v>
      </c>
      <c r="AZ13" s="43"/>
      <c r="BB13" s="121" t="s">
        <v>597</v>
      </c>
      <c r="BC13" s="140" t="s">
        <v>20</v>
      </c>
      <c r="BD13" s="140" t="s">
        <v>119</v>
      </c>
      <c r="BE13" s="140" t="s">
        <v>20</v>
      </c>
      <c r="BF13" s="140" t="s">
        <v>20</v>
      </c>
      <c r="BG13" s="140" t="s">
        <v>20</v>
      </c>
      <c r="BH13" s="140" t="s">
        <v>20</v>
      </c>
      <c r="BI13" s="140" t="s">
        <v>80</v>
      </c>
      <c r="BJ13" s="140" t="s">
        <v>20</v>
      </c>
      <c r="BK13" s="140" t="s">
        <v>20</v>
      </c>
      <c r="BL13" s="140" t="s">
        <v>20</v>
      </c>
      <c r="BM13" s="140" t="s">
        <v>20</v>
      </c>
      <c r="BN13" s="140" t="s">
        <v>20</v>
      </c>
      <c r="BO13" s="140" t="s">
        <v>119</v>
      </c>
      <c r="BP13" s="140" t="s">
        <v>119</v>
      </c>
      <c r="BQ13" s="140" t="s">
        <v>20</v>
      </c>
      <c r="BR13" s="140" t="s">
        <v>119</v>
      </c>
      <c r="BS13" s="140" t="s">
        <v>20</v>
      </c>
      <c r="BT13" s="140" t="s">
        <v>20</v>
      </c>
      <c r="BU13" s="140" t="s">
        <v>20</v>
      </c>
      <c r="BV13" s="140" t="s">
        <v>119</v>
      </c>
      <c r="BW13" s="140" t="s">
        <v>119</v>
      </c>
      <c r="BX13" s="140" t="s">
        <v>20</v>
      </c>
      <c r="BY13" s="140" t="s">
        <v>119</v>
      </c>
      <c r="BZ13" s="140" t="s">
        <v>20</v>
      </c>
      <c r="CA13" s="140" t="s">
        <v>119</v>
      </c>
      <c r="CB13" s="140" t="s">
        <v>20</v>
      </c>
      <c r="CC13" s="140" t="s">
        <v>20</v>
      </c>
      <c r="CD13" s="140" t="s">
        <v>119</v>
      </c>
      <c r="CE13" s="140" t="s">
        <v>20</v>
      </c>
      <c r="CF13" s="140" t="s">
        <v>119</v>
      </c>
      <c r="CG13" s="43"/>
    </row>
    <row r="14" spans="1:85" ht="18" customHeight="1" thickBot="1">
      <c r="A14" s="452" t="s">
        <v>598</v>
      </c>
      <c r="B14" s="453"/>
      <c r="C14" s="453"/>
      <c r="D14" s="453"/>
      <c r="E14" s="453"/>
      <c r="F14" s="453"/>
      <c r="G14" s="453"/>
      <c r="H14" s="453"/>
      <c r="I14" s="453"/>
      <c r="J14" s="453"/>
      <c r="K14" s="453"/>
      <c r="L14" s="453"/>
      <c r="M14" s="453"/>
      <c r="N14" s="453"/>
      <c r="O14" s="453"/>
      <c r="P14" s="453"/>
      <c r="Q14" s="453"/>
      <c r="R14" s="453"/>
      <c r="S14" s="453"/>
      <c r="T14" s="453"/>
      <c r="U14" s="453"/>
      <c r="V14" s="453"/>
      <c r="W14" s="453"/>
      <c r="X14" s="453"/>
      <c r="Y14" s="453"/>
      <c r="Z14" s="453"/>
      <c r="AA14" s="453"/>
      <c r="AB14" s="453"/>
      <c r="AC14" s="453"/>
      <c r="AD14" s="453"/>
      <c r="AE14" s="453"/>
      <c r="AF14" s="453"/>
      <c r="AG14" s="453"/>
      <c r="AH14" s="453"/>
      <c r="AI14" s="454"/>
      <c r="AK14" s="440" t="s">
        <v>599</v>
      </c>
      <c r="AL14" s="440"/>
      <c r="AM14" s="440"/>
      <c r="AN14" s="440"/>
      <c r="AO14" s="440"/>
      <c r="AP14" s="440"/>
      <c r="AQ14" s="42"/>
      <c r="AR14" s="43"/>
      <c r="AS14" s="46">
        <v>5</v>
      </c>
      <c r="AT14" s="46"/>
      <c r="AU14" s="46" t="s">
        <v>602</v>
      </c>
      <c r="AV14" s="47" t="s">
        <v>600</v>
      </c>
      <c r="AW14" s="47" t="s">
        <v>596</v>
      </c>
      <c r="AX14" s="47">
        <v>0.33333333333333331</v>
      </c>
      <c r="AY14" s="47">
        <v>0.83333333333333337</v>
      </c>
      <c r="AZ14" s="43"/>
      <c r="BB14" s="121" t="s">
        <v>601</v>
      </c>
      <c r="BC14" s="162" t="s">
        <v>28</v>
      </c>
      <c r="BD14" s="162" t="s">
        <v>602</v>
      </c>
      <c r="BE14" s="162" t="s">
        <v>602</v>
      </c>
      <c r="BF14" s="162" t="s">
        <v>28</v>
      </c>
      <c r="BG14" s="162" t="s">
        <v>602</v>
      </c>
      <c r="BH14" s="162" t="s">
        <v>602</v>
      </c>
      <c r="BI14" s="162" t="s">
        <v>28</v>
      </c>
      <c r="BJ14" s="162" t="s">
        <v>28</v>
      </c>
      <c r="BK14" s="162" t="s">
        <v>602</v>
      </c>
      <c r="BL14" s="162" t="s">
        <v>28</v>
      </c>
      <c r="BM14" s="162" t="s">
        <v>602</v>
      </c>
      <c r="BN14" s="162" t="s">
        <v>28</v>
      </c>
      <c r="BO14" s="162" t="s">
        <v>28</v>
      </c>
      <c r="BP14" s="162" t="s">
        <v>76</v>
      </c>
      <c r="BQ14" s="162" t="s">
        <v>28</v>
      </c>
      <c r="BR14" s="162" t="s">
        <v>602</v>
      </c>
      <c r="BS14" s="162" t="s">
        <v>28</v>
      </c>
      <c r="BT14" s="162" t="s">
        <v>602</v>
      </c>
      <c r="BU14" s="162" t="s">
        <v>28</v>
      </c>
      <c r="BV14" s="162" t="s">
        <v>602</v>
      </c>
      <c r="BW14" s="162" t="s">
        <v>28</v>
      </c>
      <c r="BX14" s="162" t="s">
        <v>28</v>
      </c>
      <c r="BY14" s="162" t="s">
        <v>602</v>
      </c>
      <c r="BZ14" s="162" t="s">
        <v>28</v>
      </c>
      <c r="CA14" s="162" t="s">
        <v>602</v>
      </c>
      <c r="CB14" s="162" t="s">
        <v>28</v>
      </c>
      <c r="CC14" s="162" t="s">
        <v>28</v>
      </c>
      <c r="CD14" s="162" t="s">
        <v>76</v>
      </c>
      <c r="CE14" s="162" t="s">
        <v>28</v>
      </c>
      <c r="CF14" s="162" t="s">
        <v>602</v>
      </c>
      <c r="CG14" s="43"/>
    </row>
    <row r="15" spans="1:85" ht="18" customHeight="1" thickBot="1">
      <c r="A15" s="30" t="s">
        <v>189</v>
      </c>
      <c r="B15" s="264" t="s">
        <v>603</v>
      </c>
      <c r="C15" s="264"/>
      <c r="D15" s="264"/>
      <c r="E15" s="264"/>
      <c r="F15" s="264"/>
      <c r="G15" s="264"/>
      <c r="H15" s="264"/>
      <c r="I15" s="264"/>
      <c r="J15" s="278">
        <f>AQ9+AQ10</f>
        <v>35</v>
      </c>
      <c r="K15" s="278"/>
      <c r="L15" s="278"/>
      <c r="M15" s="264" t="s">
        <v>176</v>
      </c>
      <c r="N15" s="264"/>
      <c r="O15" s="264" t="s">
        <v>604</v>
      </c>
      <c r="P15" s="264"/>
      <c r="Q15" s="264"/>
      <c r="R15" s="264"/>
      <c r="S15" s="264"/>
      <c r="T15" s="264"/>
      <c r="U15" s="264"/>
      <c r="V15" s="264"/>
      <c r="W15" s="278">
        <f>AQ11+AQ12</f>
        <v>30</v>
      </c>
      <c r="X15" s="278"/>
      <c r="Y15" s="278"/>
      <c r="Z15" s="264" t="s">
        <v>176</v>
      </c>
      <c r="AA15" s="264"/>
      <c r="AB15" s="503" t="s">
        <v>605</v>
      </c>
      <c r="AC15" s="503"/>
      <c r="AD15" s="503"/>
      <c r="AE15" s="503"/>
      <c r="AF15" s="503"/>
      <c r="AG15" s="503"/>
      <c r="AH15" s="281" t="s">
        <v>583</v>
      </c>
      <c r="AI15" s="282"/>
      <c r="AK15" s="425" t="s">
        <v>606</v>
      </c>
      <c r="AL15" s="425"/>
      <c r="AM15" s="425"/>
      <c r="AN15" s="425"/>
      <c r="AO15" s="425"/>
      <c r="AP15" s="425"/>
      <c r="AQ15" s="42"/>
      <c r="AR15" s="43"/>
      <c r="AS15" s="46">
        <v>6</v>
      </c>
      <c r="AT15" s="46"/>
      <c r="AU15" s="46"/>
      <c r="AV15" s="47" t="s">
        <v>607</v>
      </c>
      <c r="AW15" s="47" t="s">
        <v>596</v>
      </c>
      <c r="AX15" s="47">
        <v>0.33333333333333331</v>
      </c>
      <c r="AY15" s="47">
        <v>0.83333333333333337</v>
      </c>
      <c r="AZ15" s="43"/>
      <c r="BB15" s="121" t="s">
        <v>31</v>
      </c>
      <c r="BC15" s="163" t="s">
        <v>119</v>
      </c>
      <c r="BD15" s="164"/>
      <c r="BE15" s="165" t="s">
        <v>28</v>
      </c>
      <c r="BF15" s="165" t="s">
        <v>119</v>
      </c>
      <c r="BG15" s="164"/>
      <c r="BH15" s="164"/>
      <c r="BI15" s="164"/>
      <c r="BJ15" s="164"/>
      <c r="BK15" s="165" t="s">
        <v>119</v>
      </c>
      <c r="BL15" s="165" t="s">
        <v>602</v>
      </c>
      <c r="BM15" s="165" t="s">
        <v>119</v>
      </c>
      <c r="BN15" s="165" t="s">
        <v>602</v>
      </c>
      <c r="BO15" s="164"/>
      <c r="BP15" s="164"/>
      <c r="BQ15" s="165" t="s">
        <v>608</v>
      </c>
      <c r="BR15" s="165" t="s">
        <v>20</v>
      </c>
      <c r="BS15" s="165" t="s">
        <v>602</v>
      </c>
      <c r="BT15" s="165" t="s">
        <v>119</v>
      </c>
      <c r="BU15" s="165" t="s">
        <v>602</v>
      </c>
      <c r="BV15" s="164"/>
      <c r="BW15" s="164"/>
      <c r="BX15" s="165" t="s">
        <v>119</v>
      </c>
      <c r="BY15" s="165" t="s">
        <v>20</v>
      </c>
      <c r="BZ15" s="165" t="s">
        <v>602</v>
      </c>
      <c r="CA15" s="165" t="s">
        <v>20</v>
      </c>
      <c r="CB15" s="165" t="s">
        <v>602</v>
      </c>
      <c r="CC15" s="165" t="s">
        <v>602</v>
      </c>
      <c r="CD15" s="164"/>
      <c r="CE15" s="165" t="s">
        <v>119</v>
      </c>
      <c r="CF15" s="165" t="s">
        <v>20</v>
      </c>
      <c r="CG15" s="43"/>
    </row>
    <row r="16" spans="1:85" ht="18" customHeight="1">
      <c r="A16" s="504" t="s">
        <v>609</v>
      </c>
      <c r="B16" s="505"/>
      <c r="C16" s="505"/>
      <c r="D16" s="505"/>
      <c r="E16" s="505"/>
      <c r="F16" s="505"/>
      <c r="G16" s="505"/>
      <c r="H16" s="505"/>
      <c r="I16" s="505"/>
      <c r="J16" s="505"/>
      <c r="K16" s="505"/>
      <c r="L16" s="505"/>
      <c r="M16" s="505"/>
      <c r="N16" s="505"/>
      <c r="O16" s="505"/>
      <c r="P16" s="505"/>
      <c r="Q16" s="505"/>
      <c r="R16" s="505"/>
      <c r="S16" s="505"/>
      <c r="T16" s="505"/>
      <c r="U16" s="505"/>
      <c r="V16" s="505"/>
      <c r="W16" s="505"/>
      <c r="X16" s="505"/>
      <c r="Y16" s="505"/>
      <c r="Z16" s="505"/>
      <c r="AA16" s="505"/>
      <c r="AB16" s="505"/>
      <c r="AC16" s="505"/>
      <c r="AD16" s="505"/>
      <c r="AE16" s="505"/>
      <c r="AF16" s="505"/>
      <c r="AG16" s="505"/>
      <c r="AH16" s="505"/>
      <c r="AI16" s="506"/>
      <c r="AK16" s="425" t="s">
        <v>610</v>
      </c>
      <c r="AL16" s="425"/>
      <c r="AM16" s="425"/>
      <c r="AN16" s="425"/>
      <c r="AO16" s="425"/>
      <c r="AP16" s="425"/>
      <c r="AQ16" s="42"/>
      <c r="AR16" s="43"/>
      <c r="AS16" s="46">
        <v>7</v>
      </c>
      <c r="AT16" s="46"/>
      <c r="AU16" s="46" t="s">
        <v>42</v>
      </c>
      <c r="AV16" s="47" t="s">
        <v>611</v>
      </c>
      <c r="AW16" s="47" t="s">
        <v>612</v>
      </c>
      <c r="AX16" s="47">
        <v>0.83333333333333337</v>
      </c>
      <c r="AY16" s="47" t="s">
        <v>613</v>
      </c>
      <c r="AZ16" s="43"/>
      <c r="BB16" s="121" t="s">
        <v>614</v>
      </c>
      <c r="BC16" s="142" t="s">
        <v>20</v>
      </c>
      <c r="BD16" s="140" t="s">
        <v>67</v>
      </c>
      <c r="BE16" s="142" t="s">
        <v>42</v>
      </c>
      <c r="BF16" s="142" t="s">
        <v>20</v>
      </c>
      <c r="BG16" s="142" t="s">
        <v>42</v>
      </c>
      <c r="BH16" s="142" t="s">
        <v>61</v>
      </c>
      <c r="BI16" s="142" t="s">
        <v>67</v>
      </c>
      <c r="BJ16" s="142" t="s">
        <v>67</v>
      </c>
      <c r="BK16" s="142" t="s">
        <v>42</v>
      </c>
      <c r="BL16" s="142" t="s">
        <v>42</v>
      </c>
      <c r="BM16" s="142" t="s">
        <v>67</v>
      </c>
      <c r="BN16" s="142" t="s">
        <v>67</v>
      </c>
      <c r="BO16" s="142" t="s">
        <v>42</v>
      </c>
      <c r="BP16" s="142" t="s">
        <v>67</v>
      </c>
      <c r="BQ16" s="142" t="s">
        <v>20</v>
      </c>
      <c r="BR16" s="142" t="s">
        <v>71</v>
      </c>
      <c r="BS16" s="142" t="s">
        <v>67</v>
      </c>
      <c r="BT16" s="142" t="s">
        <v>67</v>
      </c>
      <c r="BU16" s="142" t="s">
        <v>61</v>
      </c>
      <c r="BV16" s="142" t="s">
        <v>42</v>
      </c>
      <c r="BW16" s="142" t="s">
        <v>49</v>
      </c>
      <c r="BX16" s="142" t="s">
        <v>20</v>
      </c>
      <c r="BY16" s="142" t="s">
        <v>71</v>
      </c>
      <c r="BZ16" s="142" t="s">
        <v>42</v>
      </c>
      <c r="CA16" s="142" t="s">
        <v>20</v>
      </c>
      <c r="CB16" s="142" t="s">
        <v>61</v>
      </c>
      <c r="CC16" s="142" t="s">
        <v>42</v>
      </c>
      <c r="CD16" s="142" t="s">
        <v>49</v>
      </c>
      <c r="CE16" s="142" t="s">
        <v>20</v>
      </c>
      <c r="CF16" s="143" t="s">
        <v>71</v>
      </c>
      <c r="CG16" s="43"/>
    </row>
    <row r="17" spans="1:85" ht="18" customHeight="1">
      <c r="A17" s="396" t="s">
        <v>615</v>
      </c>
      <c r="B17" s="397"/>
      <c r="C17" s="397"/>
      <c r="D17" s="397"/>
      <c r="E17" s="397"/>
      <c r="F17" s="398" t="s">
        <v>616</v>
      </c>
      <c r="G17" s="398"/>
      <c r="H17" s="398"/>
      <c r="I17" s="398"/>
      <c r="J17" s="398"/>
      <c r="K17" s="398"/>
      <c r="L17" s="398"/>
      <c r="M17" s="398"/>
      <c r="N17" s="398"/>
      <c r="O17" s="398"/>
      <c r="P17" s="398"/>
      <c r="Q17" s="398"/>
      <c r="R17" s="398"/>
      <c r="S17" s="398"/>
      <c r="T17" s="398"/>
      <c r="U17" s="398"/>
      <c r="V17" s="398"/>
      <c r="W17" s="398"/>
      <c r="X17" s="398"/>
      <c r="Y17" s="398"/>
      <c r="Z17" s="398"/>
      <c r="AA17" s="398"/>
      <c r="AB17" s="398"/>
      <c r="AC17" s="398"/>
      <c r="AD17" s="398"/>
      <c r="AE17" s="398"/>
      <c r="AF17" s="398"/>
      <c r="AG17" s="398"/>
      <c r="AH17" s="398"/>
      <c r="AI17" s="399"/>
      <c r="AK17" s="425" t="s">
        <v>617</v>
      </c>
      <c r="AL17" s="425"/>
      <c r="AM17" s="425"/>
      <c r="AN17" s="425"/>
      <c r="AO17" s="425"/>
      <c r="AP17" s="425"/>
      <c r="AQ17" s="42"/>
      <c r="AR17" s="43"/>
      <c r="AS17" s="46">
        <v>8</v>
      </c>
      <c r="AT17" s="46"/>
      <c r="AU17" s="46" t="s">
        <v>67</v>
      </c>
      <c r="AV17" s="47" t="s">
        <v>618</v>
      </c>
      <c r="AW17" s="47" t="s">
        <v>612</v>
      </c>
      <c r="AX17" s="47">
        <v>0.83333333333333337</v>
      </c>
      <c r="AY17" s="47" t="s">
        <v>613</v>
      </c>
      <c r="AZ17" s="43"/>
      <c r="BB17" s="121" t="s">
        <v>619</v>
      </c>
      <c r="BC17" s="141" t="s">
        <v>67</v>
      </c>
      <c r="BD17" s="140" t="s">
        <v>42</v>
      </c>
      <c r="BE17" s="141" t="s">
        <v>71</v>
      </c>
      <c r="BF17" s="140" t="s">
        <v>67</v>
      </c>
      <c r="BG17" s="140" t="s">
        <v>61</v>
      </c>
      <c r="BH17" s="140" t="s">
        <v>42</v>
      </c>
      <c r="BI17" s="140" t="s">
        <v>49</v>
      </c>
      <c r="BJ17" s="140" t="s">
        <v>61</v>
      </c>
      <c r="BK17" s="140" t="s">
        <v>71</v>
      </c>
      <c r="BL17" s="140" t="s">
        <v>67</v>
      </c>
      <c r="BM17" s="140" t="s">
        <v>49</v>
      </c>
      <c r="BN17" s="140" t="s">
        <v>49</v>
      </c>
      <c r="BO17" s="140" t="s">
        <v>61</v>
      </c>
      <c r="BP17" s="140" t="s">
        <v>49</v>
      </c>
      <c r="BQ17" s="140" t="s">
        <v>67</v>
      </c>
      <c r="BR17" s="140" t="s">
        <v>42</v>
      </c>
      <c r="BS17" s="140" t="s">
        <v>42</v>
      </c>
      <c r="BT17" s="140" t="s">
        <v>49</v>
      </c>
      <c r="BU17" s="140" t="s">
        <v>42</v>
      </c>
      <c r="BV17" s="140" t="s">
        <v>61</v>
      </c>
      <c r="BW17" s="140" t="s">
        <v>71</v>
      </c>
      <c r="BX17" s="140" t="s">
        <v>67</v>
      </c>
      <c r="BY17" s="140" t="s">
        <v>42</v>
      </c>
      <c r="BZ17" s="140" t="s">
        <v>67</v>
      </c>
      <c r="CA17" s="140" t="s">
        <v>67</v>
      </c>
      <c r="CB17" s="140" t="s">
        <v>49</v>
      </c>
      <c r="CC17" s="140" t="s">
        <v>61</v>
      </c>
      <c r="CD17" s="140" t="s">
        <v>71</v>
      </c>
      <c r="CE17" s="140" t="s">
        <v>67</v>
      </c>
      <c r="CF17" s="140" t="s">
        <v>42</v>
      </c>
      <c r="CG17" s="43"/>
    </row>
    <row r="18" spans="1:85" ht="18" customHeight="1">
      <c r="A18" s="501" t="s">
        <v>620</v>
      </c>
      <c r="B18" s="502"/>
      <c r="C18" s="502"/>
      <c r="D18" s="502"/>
      <c r="E18" s="502"/>
      <c r="F18" s="400" t="s">
        <v>616</v>
      </c>
      <c r="G18" s="400"/>
      <c r="H18" s="400"/>
      <c r="I18" s="400"/>
      <c r="J18" s="400"/>
      <c r="K18" s="400"/>
      <c r="L18" s="400"/>
      <c r="M18" s="400"/>
      <c r="N18" s="400"/>
      <c r="O18" s="400"/>
      <c r="P18" s="400"/>
      <c r="Q18" s="400"/>
      <c r="R18" s="400"/>
      <c r="S18" s="400"/>
      <c r="T18" s="400"/>
      <c r="U18" s="400"/>
      <c r="V18" s="400"/>
      <c r="W18" s="400"/>
      <c r="X18" s="400"/>
      <c r="Y18" s="400"/>
      <c r="Z18" s="400"/>
      <c r="AA18" s="400"/>
      <c r="AB18" s="400"/>
      <c r="AC18" s="400"/>
      <c r="AD18" s="400"/>
      <c r="AE18" s="400"/>
      <c r="AF18" s="400"/>
      <c r="AG18" s="400"/>
      <c r="AH18" s="400"/>
      <c r="AI18" s="401"/>
      <c r="AK18" s="425" t="s">
        <v>621</v>
      </c>
      <c r="AL18" s="425"/>
      <c r="AM18" s="425"/>
      <c r="AN18" s="425"/>
      <c r="AO18" s="425"/>
      <c r="AP18" s="425"/>
      <c r="AQ18" s="42"/>
      <c r="AR18" s="43"/>
      <c r="AS18" s="46">
        <v>9</v>
      </c>
      <c r="AT18" s="46"/>
      <c r="AU18" s="46"/>
      <c r="AV18" s="47" t="s">
        <v>622</v>
      </c>
      <c r="AW18" s="47" t="s">
        <v>612</v>
      </c>
      <c r="AX18" s="47">
        <v>0.83333333333333337</v>
      </c>
      <c r="AY18" s="47" t="s">
        <v>613</v>
      </c>
      <c r="AZ18" s="43"/>
    </row>
    <row r="19" spans="1:85" ht="18" customHeight="1" thickBot="1">
      <c r="A19" s="35" t="s">
        <v>189</v>
      </c>
      <c r="B19" s="405">
        <v>0.39583333333333331</v>
      </c>
      <c r="C19" s="405"/>
      <c r="D19" s="405"/>
      <c r="E19" s="405"/>
      <c r="F19" s="402" t="s">
        <v>974</v>
      </c>
      <c r="G19" s="402"/>
      <c r="H19" s="402"/>
      <c r="I19" s="402"/>
      <c r="J19" s="402"/>
      <c r="K19" s="402"/>
      <c r="L19" s="402"/>
      <c r="M19" s="402"/>
      <c r="N19" s="402"/>
      <c r="O19" s="402"/>
      <c r="P19" s="402"/>
      <c r="Q19" s="402"/>
      <c r="R19" s="402"/>
      <c r="S19" s="402"/>
      <c r="T19" s="402"/>
      <c r="U19" s="402"/>
      <c r="V19" s="402"/>
      <c r="W19" s="402"/>
      <c r="X19" s="402"/>
      <c r="Y19" s="402"/>
      <c r="Z19" s="402"/>
      <c r="AA19" s="402"/>
      <c r="AB19" s="402"/>
      <c r="AC19" s="402"/>
      <c r="AD19" s="402"/>
      <c r="AE19" s="402"/>
      <c r="AF19" s="402"/>
      <c r="AG19" s="402"/>
      <c r="AH19" s="402"/>
      <c r="AI19" s="403"/>
      <c r="AK19" s="524" t="s">
        <v>623</v>
      </c>
      <c r="AL19" s="524"/>
      <c r="AM19" s="524"/>
      <c r="AN19" s="524"/>
      <c r="AO19" s="524"/>
      <c r="AP19" s="524"/>
      <c r="AQ19" s="58"/>
      <c r="AR19" s="43"/>
      <c r="AS19" s="46">
        <v>10</v>
      </c>
      <c r="AT19" s="46"/>
      <c r="AU19" s="46"/>
      <c r="AV19" s="47" t="s">
        <v>111</v>
      </c>
      <c r="AW19" s="47" t="s">
        <v>612</v>
      </c>
      <c r="AX19" s="47">
        <v>0.83333333333333337</v>
      </c>
      <c r="AY19" s="47" t="s">
        <v>613</v>
      </c>
      <c r="AZ19" s="43"/>
    </row>
    <row r="20" spans="1:85" ht="18" customHeight="1">
      <c r="A20" s="36" t="s">
        <v>189</v>
      </c>
      <c r="B20" s="404">
        <v>0.56944444444444442</v>
      </c>
      <c r="C20" s="404"/>
      <c r="D20" s="404"/>
      <c r="E20" s="404"/>
      <c r="F20" s="288" t="s">
        <v>975</v>
      </c>
      <c r="G20" s="288"/>
      <c r="H20" s="288"/>
      <c r="I20" s="288"/>
      <c r="J20" s="288"/>
      <c r="K20" s="288"/>
      <c r="L20" s="288"/>
      <c r="M20" s="288"/>
      <c r="N20" s="288"/>
      <c r="O20" s="288"/>
      <c r="P20" s="288"/>
      <c r="Q20" s="288"/>
      <c r="R20" s="288"/>
      <c r="S20" s="288"/>
      <c r="T20" s="288"/>
      <c r="U20" s="288"/>
      <c r="V20" s="288"/>
      <c r="W20" s="288"/>
      <c r="X20" s="288"/>
      <c r="Y20" s="288"/>
      <c r="Z20" s="288"/>
      <c r="AA20" s="288"/>
      <c r="AB20" s="288"/>
      <c r="AC20" s="288"/>
      <c r="AD20" s="288"/>
      <c r="AE20" s="288"/>
      <c r="AF20" s="288"/>
      <c r="AG20" s="288"/>
      <c r="AH20" s="288"/>
      <c r="AI20" s="289"/>
      <c r="AK20" s="447" t="s">
        <v>624</v>
      </c>
      <c r="AL20" s="448"/>
      <c r="AM20" s="448"/>
      <c r="AN20" s="448"/>
      <c r="AO20" s="448"/>
      <c r="AP20" s="448"/>
      <c r="AQ20" s="62"/>
      <c r="AR20" s="426" t="s">
        <v>625</v>
      </c>
      <c r="AS20" s="146">
        <v>11</v>
      </c>
      <c r="AT20" s="46"/>
      <c r="AU20" s="46"/>
      <c r="AV20" s="47" t="s">
        <v>111</v>
      </c>
      <c r="AW20" s="47" t="s">
        <v>612</v>
      </c>
      <c r="AX20" s="47">
        <v>0.83333333333333337</v>
      </c>
      <c r="AY20" s="47" t="s">
        <v>613</v>
      </c>
      <c r="AZ20" s="43"/>
    </row>
    <row r="21" spans="1:85" ht="18" customHeight="1" thickBot="1">
      <c r="A21" s="36" t="s">
        <v>189</v>
      </c>
      <c r="B21" s="404">
        <v>0.625</v>
      </c>
      <c r="C21" s="404"/>
      <c r="D21" s="404"/>
      <c r="E21" s="404"/>
      <c r="F21" s="288" t="s">
        <v>976</v>
      </c>
      <c r="G21" s="288"/>
      <c r="H21" s="288"/>
      <c r="I21" s="288"/>
      <c r="J21" s="288"/>
      <c r="K21" s="288"/>
      <c r="L21" s="288"/>
      <c r="M21" s="288"/>
      <c r="N21" s="288"/>
      <c r="O21" s="288"/>
      <c r="P21" s="288"/>
      <c r="Q21" s="288"/>
      <c r="R21" s="288"/>
      <c r="S21" s="288"/>
      <c r="T21" s="288"/>
      <c r="U21" s="288"/>
      <c r="V21" s="288"/>
      <c r="W21" s="288"/>
      <c r="X21" s="288"/>
      <c r="Y21" s="288"/>
      <c r="Z21" s="288"/>
      <c r="AA21" s="288"/>
      <c r="AB21" s="288"/>
      <c r="AC21" s="288"/>
      <c r="AD21" s="288"/>
      <c r="AE21" s="288"/>
      <c r="AF21" s="288"/>
      <c r="AG21" s="288"/>
      <c r="AH21" s="288"/>
      <c r="AI21" s="289"/>
      <c r="AK21" s="429" t="s">
        <v>626</v>
      </c>
      <c r="AL21" s="430"/>
      <c r="AM21" s="430"/>
      <c r="AN21" s="430"/>
      <c r="AO21" s="430"/>
      <c r="AP21" s="430"/>
      <c r="AQ21" s="63"/>
      <c r="AR21" s="427"/>
      <c r="AW21" s="43"/>
      <c r="AX21" s="43"/>
      <c r="AY21" s="43"/>
      <c r="AZ21" s="43"/>
    </row>
    <row r="22" spans="1:85" ht="18" customHeight="1">
      <c r="A22" s="36"/>
      <c r="B22" s="404"/>
      <c r="C22" s="404"/>
      <c r="D22" s="404"/>
      <c r="E22" s="404"/>
      <c r="F22" s="288" t="s">
        <v>977</v>
      </c>
      <c r="G22" s="288"/>
      <c r="H22" s="288"/>
      <c r="I22" s="288"/>
      <c r="J22" s="288"/>
      <c r="K22" s="288"/>
      <c r="L22" s="288"/>
      <c r="M22" s="288"/>
      <c r="N22" s="288"/>
      <c r="O22" s="288"/>
      <c r="P22" s="288"/>
      <c r="Q22" s="288"/>
      <c r="R22" s="288"/>
      <c r="S22" s="288"/>
      <c r="T22" s="288"/>
      <c r="U22" s="288"/>
      <c r="V22" s="288"/>
      <c r="W22" s="288"/>
      <c r="X22" s="288"/>
      <c r="Y22" s="288"/>
      <c r="Z22" s="288"/>
      <c r="AA22" s="288"/>
      <c r="AB22" s="288"/>
      <c r="AC22" s="288"/>
      <c r="AD22" s="288"/>
      <c r="AE22" s="288"/>
      <c r="AF22" s="288"/>
      <c r="AG22" s="288"/>
      <c r="AH22" s="288"/>
      <c r="AI22" s="289"/>
      <c r="AK22" s="429" t="s">
        <v>627</v>
      </c>
      <c r="AL22" s="430"/>
      <c r="AM22" s="430"/>
      <c r="AN22" s="430"/>
      <c r="AO22" s="430"/>
      <c r="AP22" s="430"/>
      <c r="AQ22" s="63">
        <v>1</v>
      </c>
      <c r="AR22" s="427"/>
      <c r="AS22" s="433" t="s">
        <v>628</v>
      </c>
      <c r="AT22" s="434"/>
      <c r="AU22" s="435"/>
      <c r="AV22" s="435"/>
      <c r="AW22" s="60" t="s">
        <v>74</v>
      </c>
      <c r="AY22" s="413" t="s">
        <v>629</v>
      </c>
      <c r="AZ22" s="413"/>
      <c r="BA22" s="412"/>
      <c r="BB22" s="412"/>
    </row>
    <row r="23" spans="1:85" ht="18" customHeight="1" thickBot="1">
      <c r="A23" s="36" t="s">
        <v>189</v>
      </c>
      <c r="B23" s="404">
        <v>0.77847222222222223</v>
      </c>
      <c r="C23" s="404"/>
      <c r="D23" s="404"/>
      <c r="E23" s="404"/>
      <c r="F23" s="288" t="s">
        <v>978</v>
      </c>
      <c r="G23" s="288"/>
      <c r="H23" s="288"/>
      <c r="I23" s="288"/>
      <c r="J23" s="288"/>
      <c r="K23" s="288"/>
      <c r="L23" s="288"/>
      <c r="M23" s="288"/>
      <c r="N23" s="288"/>
      <c r="O23" s="288"/>
      <c r="P23" s="288"/>
      <c r="Q23" s="288"/>
      <c r="R23" s="288"/>
      <c r="S23" s="288"/>
      <c r="T23" s="288"/>
      <c r="U23" s="288"/>
      <c r="V23" s="288"/>
      <c r="W23" s="288"/>
      <c r="X23" s="288"/>
      <c r="Y23" s="288"/>
      <c r="Z23" s="288"/>
      <c r="AA23" s="288"/>
      <c r="AB23" s="288"/>
      <c r="AC23" s="288"/>
      <c r="AD23" s="288"/>
      <c r="AE23" s="288"/>
      <c r="AF23" s="288"/>
      <c r="AG23" s="288"/>
      <c r="AH23" s="288"/>
      <c r="AI23" s="289"/>
      <c r="AK23" s="431" t="s">
        <v>630</v>
      </c>
      <c r="AL23" s="432"/>
      <c r="AM23" s="432"/>
      <c r="AN23" s="432"/>
      <c r="AO23" s="432"/>
      <c r="AP23" s="432"/>
      <c r="AQ23" s="64"/>
      <c r="AR23" s="428"/>
      <c r="AS23" s="536" t="s">
        <v>631</v>
      </c>
      <c r="AT23" s="246"/>
      <c r="AU23" s="537"/>
      <c r="AV23" s="537"/>
      <c r="AW23" s="56" t="s">
        <v>632</v>
      </c>
      <c r="AY23" s="413" t="s">
        <v>633</v>
      </c>
      <c r="AZ23" s="413"/>
      <c r="BA23" s="412"/>
      <c r="BB23" s="412"/>
    </row>
    <row r="24" spans="1:85" ht="18" customHeight="1" thickBot="1">
      <c r="A24" s="36"/>
      <c r="B24" s="404"/>
      <c r="C24" s="404"/>
      <c r="D24" s="404"/>
      <c r="E24" s="404"/>
      <c r="F24" s="288" t="s">
        <v>979</v>
      </c>
      <c r="G24" s="288"/>
      <c r="H24" s="288"/>
      <c r="I24" s="288"/>
      <c r="J24" s="288"/>
      <c r="K24" s="288"/>
      <c r="L24" s="288"/>
      <c r="M24" s="288"/>
      <c r="N24" s="288"/>
      <c r="O24" s="288"/>
      <c r="P24" s="288"/>
      <c r="Q24" s="288"/>
      <c r="R24" s="288"/>
      <c r="S24" s="288"/>
      <c r="T24" s="288"/>
      <c r="U24" s="288"/>
      <c r="V24" s="288"/>
      <c r="W24" s="288"/>
      <c r="X24" s="288"/>
      <c r="Y24" s="288"/>
      <c r="Z24" s="288"/>
      <c r="AA24" s="288"/>
      <c r="AB24" s="288"/>
      <c r="AC24" s="288"/>
      <c r="AD24" s="288"/>
      <c r="AE24" s="288"/>
      <c r="AF24" s="288"/>
      <c r="AG24" s="288"/>
      <c r="AH24" s="288"/>
      <c r="AI24" s="289"/>
      <c r="AK24" s="527" t="s">
        <v>634</v>
      </c>
      <c r="AL24" s="528"/>
      <c r="AM24" s="528"/>
      <c r="AN24" s="528"/>
      <c r="AO24" s="528"/>
      <c r="AP24" s="528"/>
      <c r="AQ24" s="65"/>
      <c r="AR24" s="43"/>
      <c r="AY24" s="413" t="s">
        <v>635</v>
      </c>
      <c r="AZ24" s="413"/>
      <c r="BA24" s="412"/>
      <c r="BB24" s="412"/>
    </row>
    <row r="25" spans="1:85" ht="18" customHeight="1">
      <c r="A25" s="36"/>
      <c r="B25" s="404">
        <v>0.78055555555555556</v>
      </c>
      <c r="C25" s="404"/>
      <c r="D25" s="404"/>
      <c r="E25" s="404"/>
      <c r="F25" s="288" t="s">
        <v>980</v>
      </c>
      <c r="G25" s="288"/>
      <c r="H25" s="288"/>
      <c r="I25" s="288"/>
      <c r="J25" s="288"/>
      <c r="K25" s="288"/>
      <c r="L25" s="288"/>
      <c r="M25" s="288"/>
      <c r="N25" s="288"/>
      <c r="O25" s="288"/>
      <c r="P25" s="288"/>
      <c r="Q25" s="288"/>
      <c r="R25" s="288"/>
      <c r="S25" s="288"/>
      <c r="T25" s="288"/>
      <c r="U25" s="288"/>
      <c r="V25" s="288"/>
      <c r="W25" s="288"/>
      <c r="X25" s="288"/>
      <c r="Y25" s="288"/>
      <c r="Z25" s="288"/>
      <c r="AA25" s="288"/>
      <c r="AB25" s="288"/>
      <c r="AC25" s="288"/>
      <c r="AD25" s="288"/>
      <c r="AE25" s="288"/>
      <c r="AF25" s="288"/>
      <c r="AG25" s="288"/>
      <c r="AH25" s="288"/>
      <c r="AI25" s="289"/>
      <c r="AK25" s="529" t="s">
        <v>636</v>
      </c>
      <c r="AL25" s="529"/>
      <c r="AM25" s="529"/>
      <c r="AN25" s="529"/>
      <c r="AO25" s="529"/>
      <c r="AP25" s="529"/>
      <c r="AQ25" s="66"/>
      <c r="AR25" s="43"/>
      <c r="AY25" s="413" t="s">
        <v>637</v>
      </c>
      <c r="AZ25" s="413"/>
      <c r="BA25" s="412"/>
      <c r="BB25" s="412"/>
    </row>
    <row r="26" spans="1:85" ht="18" customHeight="1">
      <c r="A26" s="36" t="s">
        <v>189</v>
      </c>
      <c r="B26" s="404">
        <v>0.89722222222222225</v>
      </c>
      <c r="C26" s="404"/>
      <c r="D26" s="404"/>
      <c r="E26" s="404"/>
      <c r="F26" s="288" t="s">
        <v>973</v>
      </c>
      <c r="G26" s="288"/>
      <c r="H26" s="288"/>
      <c r="I26" s="288"/>
      <c r="J26" s="288"/>
      <c r="K26" s="288"/>
      <c r="L26" s="288"/>
      <c r="M26" s="288"/>
      <c r="N26" s="288"/>
      <c r="O26" s="288"/>
      <c r="P26" s="288"/>
      <c r="Q26" s="288"/>
      <c r="R26" s="288"/>
      <c r="S26" s="288"/>
      <c r="T26" s="288"/>
      <c r="U26" s="288"/>
      <c r="V26" s="288"/>
      <c r="W26" s="288"/>
      <c r="X26" s="288"/>
      <c r="Y26" s="288"/>
      <c r="Z26" s="288"/>
      <c r="AA26" s="288"/>
      <c r="AB26" s="288"/>
      <c r="AC26" s="288"/>
      <c r="AD26" s="288"/>
      <c r="AE26" s="288"/>
      <c r="AF26" s="288"/>
      <c r="AG26" s="288"/>
      <c r="AH26" s="288"/>
      <c r="AI26" s="289"/>
      <c r="AK26" s="436" t="s">
        <v>638</v>
      </c>
      <c r="AL26" s="436"/>
      <c r="AM26" s="436"/>
      <c r="AN26" s="436"/>
      <c r="AO26" s="436"/>
      <c r="AP26" s="436"/>
      <c r="AQ26" s="67"/>
      <c r="AR26" s="43"/>
      <c r="AS26" s="548" t="s">
        <v>639</v>
      </c>
      <c r="AT26" s="549"/>
      <c r="AU26" s="549"/>
      <c r="AV26" s="549"/>
      <c r="AW26" s="550"/>
      <c r="AY26" s="147"/>
      <c r="AZ26" s="147"/>
      <c r="BA26" s="147"/>
      <c r="BB26" s="147"/>
    </row>
    <row r="27" spans="1:85" ht="18" customHeight="1">
      <c r="A27" s="36" t="s">
        <v>189</v>
      </c>
      <c r="B27" s="404">
        <v>0.29236111111111113</v>
      </c>
      <c r="C27" s="404"/>
      <c r="D27" s="404"/>
      <c r="E27" s="404"/>
      <c r="F27" s="288" t="s">
        <v>689</v>
      </c>
      <c r="G27" s="288"/>
      <c r="H27" s="288"/>
      <c r="I27" s="288"/>
      <c r="J27" s="288"/>
      <c r="K27" s="288"/>
      <c r="L27" s="288"/>
      <c r="M27" s="288"/>
      <c r="N27" s="288"/>
      <c r="O27" s="288"/>
      <c r="P27" s="288"/>
      <c r="Q27" s="288"/>
      <c r="R27" s="288"/>
      <c r="S27" s="288"/>
      <c r="T27" s="288"/>
      <c r="U27" s="288"/>
      <c r="V27" s="288"/>
      <c r="W27" s="288"/>
      <c r="X27" s="288"/>
      <c r="Y27" s="288"/>
      <c r="Z27" s="288"/>
      <c r="AA27" s="288"/>
      <c r="AB27" s="288"/>
      <c r="AC27" s="288"/>
      <c r="AD27" s="288"/>
      <c r="AE27" s="288"/>
      <c r="AF27" s="288"/>
      <c r="AG27" s="288"/>
      <c r="AH27" s="288"/>
      <c r="AI27" s="289"/>
      <c r="AK27" s="436" t="s">
        <v>640</v>
      </c>
      <c r="AL27" s="436"/>
      <c r="AM27" s="436"/>
      <c r="AN27" s="436"/>
      <c r="AO27" s="436"/>
      <c r="AP27" s="436"/>
      <c r="AQ27" s="67"/>
      <c r="AR27" s="43"/>
      <c r="AS27" s="458" t="s">
        <v>641</v>
      </c>
      <c r="AT27" s="460"/>
      <c r="AU27" s="458" t="s">
        <v>642</v>
      </c>
      <c r="AV27" s="459"/>
      <c r="AW27" s="460"/>
      <c r="AY27" s="411" t="s">
        <v>643</v>
      </c>
      <c r="AZ27" s="411"/>
      <c r="BA27" s="411"/>
      <c r="BB27" s="411"/>
    </row>
    <row r="28" spans="1:85" ht="18" customHeight="1" thickBot="1">
      <c r="A28" s="36" t="s">
        <v>189</v>
      </c>
      <c r="B28" s="404">
        <v>0.3125</v>
      </c>
      <c r="C28" s="404"/>
      <c r="D28" s="404"/>
      <c r="E28" s="404"/>
      <c r="F28" s="288" t="s">
        <v>981</v>
      </c>
      <c r="G28" s="288"/>
      <c r="H28" s="288"/>
      <c r="I28" s="288"/>
      <c r="J28" s="288"/>
      <c r="K28" s="288"/>
      <c r="L28" s="288"/>
      <c r="M28" s="288"/>
      <c r="N28" s="288"/>
      <c r="O28" s="288"/>
      <c r="P28" s="288"/>
      <c r="Q28" s="288"/>
      <c r="R28" s="288"/>
      <c r="S28" s="288"/>
      <c r="T28" s="288"/>
      <c r="U28" s="288"/>
      <c r="V28" s="288"/>
      <c r="W28" s="288"/>
      <c r="X28" s="288"/>
      <c r="Y28" s="288"/>
      <c r="Z28" s="288"/>
      <c r="AA28" s="288"/>
      <c r="AB28" s="288"/>
      <c r="AC28" s="288"/>
      <c r="AD28" s="288"/>
      <c r="AE28" s="288"/>
      <c r="AF28" s="288"/>
      <c r="AG28" s="288"/>
      <c r="AH28" s="288"/>
      <c r="AI28" s="289"/>
      <c r="AK28" s="436" t="s">
        <v>644</v>
      </c>
      <c r="AL28" s="436"/>
      <c r="AM28" s="436"/>
      <c r="AN28" s="436"/>
      <c r="AO28" s="436"/>
      <c r="AP28" s="436"/>
      <c r="AQ28" s="67"/>
      <c r="AR28" s="43"/>
      <c r="AS28" s="538" t="s">
        <v>645</v>
      </c>
      <c r="AT28" s="539"/>
      <c r="AU28" s="533" t="s">
        <v>646</v>
      </c>
      <c r="AV28" s="534"/>
      <c r="AW28" s="535"/>
      <c r="AY28" s="413" t="s">
        <v>647</v>
      </c>
      <c r="AZ28" s="413"/>
      <c r="BA28" s="412"/>
      <c r="BB28" s="412"/>
    </row>
    <row r="29" spans="1:85" ht="18" customHeight="1" thickBot="1">
      <c r="A29" s="36"/>
      <c r="B29" s="404"/>
      <c r="C29" s="404"/>
      <c r="D29" s="404"/>
      <c r="E29" s="404"/>
      <c r="F29" s="288"/>
      <c r="G29" s="288"/>
      <c r="H29" s="288"/>
      <c r="I29" s="288"/>
      <c r="J29" s="288"/>
      <c r="K29" s="288"/>
      <c r="L29" s="288"/>
      <c r="M29" s="288"/>
      <c r="N29" s="288"/>
      <c r="O29" s="288"/>
      <c r="P29" s="288"/>
      <c r="Q29" s="288"/>
      <c r="R29" s="288"/>
      <c r="S29" s="288"/>
      <c r="T29" s="288"/>
      <c r="U29" s="288"/>
      <c r="V29" s="288"/>
      <c r="W29" s="288"/>
      <c r="X29" s="288"/>
      <c r="Y29" s="288"/>
      <c r="Z29" s="288"/>
      <c r="AA29" s="288"/>
      <c r="AB29" s="288"/>
      <c r="AC29" s="288"/>
      <c r="AD29" s="288"/>
      <c r="AE29" s="288"/>
      <c r="AF29" s="288"/>
      <c r="AG29" s="288"/>
      <c r="AH29" s="288"/>
      <c r="AI29" s="289"/>
      <c r="AK29" s="524"/>
      <c r="AL29" s="524"/>
      <c r="AM29" s="524"/>
      <c r="AN29" s="524"/>
      <c r="AO29" s="524"/>
      <c r="AP29" s="524"/>
      <c r="AQ29" s="58"/>
      <c r="AR29" s="43"/>
      <c r="AS29" s="551">
        <v>1.2777777777777777</v>
      </c>
      <c r="AT29" s="552"/>
      <c r="AU29" s="434" t="s">
        <v>752</v>
      </c>
      <c r="AV29" s="434"/>
      <c r="AW29" s="553"/>
      <c r="AY29" s="413" t="s">
        <v>633</v>
      </c>
      <c r="AZ29" s="413"/>
      <c r="BA29" s="412"/>
      <c r="BB29" s="412"/>
    </row>
    <row r="30" spans="1:85" ht="18" customHeight="1">
      <c r="A30" s="36"/>
      <c r="B30" s="404"/>
      <c r="C30" s="404"/>
      <c r="D30" s="404"/>
      <c r="E30" s="404"/>
      <c r="F30" s="288"/>
      <c r="G30" s="288"/>
      <c r="H30" s="288"/>
      <c r="I30" s="288"/>
      <c r="J30" s="288"/>
      <c r="K30" s="288"/>
      <c r="L30" s="288"/>
      <c r="M30" s="288"/>
      <c r="N30" s="288"/>
      <c r="O30" s="288"/>
      <c r="P30" s="288"/>
      <c r="Q30" s="288"/>
      <c r="R30" s="288"/>
      <c r="S30" s="288"/>
      <c r="T30" s="288"/>
      <c r="U30" s="288"/>
      <c r="V30" s="288"/>
      <c r="W30" s="288"/>
      <c r="X30" s="288"/>
      <c r="Y30" s="288"/>
      <c r="Z30" s="288"/>
      <c r="AA30" s="288"/>
      <c r="AB30" s="288"/>
      <c r="AC30" s="288"/>
      <c r="AD30" s="288"/>
      <c r="AE30" s="288"/>
      <c r="AF30" s="288"/>
      <c r="AG30" s="288"/>
      <c r="AH30" s="288"/>
      <c r="AI30" s="289"/>
      <c r="AK30" s="449" t="s">
        <v>648</v>
      </c>
      <c r="AL30" s="450"/>
      <c r="AM30" s="450"/>
      <c r="AN30" s="450"/>
      <c r="AO30" s="450"/>
      <c r="AP30" s="450"/>
      <c r="AQ30" s="62"/>
      <c r="AR30" s="43"/>
      <c r="AS30" s="554">
        <v>1.2777777777777777</v>
      </c>
      <c r="AT30" s="532"/>
      <c r="AU30" s="439" t="s">
        <v>836</v>
      </c>
      <c r="AV30" s="439"/>
      <c r="AW30" s="555"/>
      <c r="AY30" s="413" t="s">
        <v>649</v>
      </c>
      <c r="AZ30" s="413"/>
      <c r="BA30" s="412"/>
      <c r="BB30" s="412"/>
    </row>
    <row r="31" spans="1:85" ht="18" customHeight="1" thickBot="1">
      <c r="A31" s="37"/>
      <c r="B31" s="466"/>
      <c r="C31" s="466"/>
      <c r="D31" s="466"/>
      <c r="E31" s="466"/>
      <c r="F31" s="467"/>
      <c r="G31" s="467"/>
      <c r="H31" s="467"/>
      <c r="I31" s="467"/>
      <c r="J31" s="467"/>
      <c r="K31" s="467"/>
      <c r="L31" s="467"/>
      <c r="M31" s="467"/>
      <c r="N31" s="467"/>
      <c r="O31" s="467"/>
      <c r="P31" s="467"/>
      <c r="Q31" s="467"/>
      <c r="R31" s="467"/>
      <c r="S31" s="467"/>
      <c r="T31" s="467"/>
      <c r="U31" s="467"/>
      <c r="V31" s="467"/>
      <c r="W31" s="467"/>
      <c r="X31" s="467"/>
      <c r="Y31" s="467"/>
      <c r="Z31" s="467"/>
      <c r="AA31" s="467"/>
      <c r="AB31" s="467"/>
      <c r="AC31" s="467"/>
      <c r="AD31" s="467"/>
      <c r="AE31" s="467"/>
      <c r="AF31" s="467"/>
      <c r="AG31" s="467"/>
      <c r="AH31" s="467"/>
      <c r="AI31" s="468"/>
      <c r="AK31" s="451" t="s">
        <v>650</v>
      </c>
      <c r="AL31" s="416"/>
      <c r="AM31" s="416"/>
      <c r="AN31" s="416"/>
      <c r="AO31" s="416"/>
      <c r="AP31" s="416"/>
      <c r="AQ31" s="64"/>
      <c r="AR31" s="48"/>
      <c r="AS31" s="556"/>
      <c r="AT31" s="557"/>
      <c r="AU31" s="424"/>
      <c r="AV31" s="424"/>
      <c r="AW31" s="491"/>
      <c r="AY31" s="413" t="s">
        <v>637</v>
      </c>
      <c r="AZ31" s="413"/>
      <c r="BA31" s="412"/>
      <c r="BB31" s="412"/>
    </row>
    <row r="32" spans="1:85" ht="18" customHeight="1" thickBot="1">
      <c r="A32" s="406" t="s">
        <v>651</v>
      </c>
      <c r="B32" s="407"/>
      <c r="C32" s="407"/>
      <c r="D32" s="407"/>
      <c r="E32" s="407"/>
      <c r="F32" s="407"/>
      <c r="G32" s="407"/>
      <c r="H32" s="407"/>
      <c r="I32" s="407"/>
      <c r="J32" s="407"/>
      <c r="K32" s="407"/>
      <c r="L32" s="407"/>
      <c r="M32" s="407"/>
      <c r="N32" s="407"/>
      <c r="O32" s="407"/>
      <c r="P32" s="407"/>
      <c r="Q32" s="407"/>
      <c r="R32" s="407"/>
      <c r="S32" s="407"/>
      <c r="T32" s="407"/>
      <c r="U32" s="407"/>
      <c r="V32" s="407"/>
      <c r="W32" s="407"/>
      <c r="X32" s="407"/>
      <c r="Y32" s="407"/>
      <c r="Z32" s="407"/>
      <c r="AA32" s="407"/>
      <c r="AB32" s="407"/>
      <c r="AC32" s="407"/>
      <c r="AD32" s="407"/>
      <c r="AE32" s="407"/>
      <c r="AF32" s="407"/>
      <c r="AG32" s="407"/>
      <c r="AH32" s="407"/>
      <c r="AI32" s="408"/>
      <c r="AK32" s="531"/>
      <c r="AL32" s="531"/>
      <c r="AM32" s="531"/>
      <c r="AN32" s="531"/>
      <c r="AO32" s="531"/>
      <c r="AP32" s="531"/>
      <c r="AQ32" s="61"/>
      <c r="AR32" s="48"/>
      <c r="AS32" s="558"/>
      <c r="AT32" s="558"/>
      <c r="AU32" s="559"/>
      <c r="AV32" s="559"/>
      <c r="AW32" s="559"/>
      <c r="AY32" s="413" t="s">
        <v>652</v>
      </c>
      <c r="AZ32" s="413"/>
      <c r="BA32" s="412"/>
      <c r="BB32" s="412"/>
    </row>
    <row r="33" spans="1:80" ht="18" customHeight="1">
      <c r="A33" s="39"/>
      <c r="B33" s="546" t="s">
        <v>653</v>
      </c>
      <c r="C33" s="546"/>
      <c r="D33" s="546"/>
      <c r="E33" s="546"/>
      <c r="F33" s="417" t="str" cm="1">
        <f t="array" ref="F33">_xlfn.TEXTJOIN("/",TRUE,IF(AS29:AS31&lt;&gt;"",TEXT(AS29:AS31,"h:mm")&amp;" "&amp;AU29:AU31,""))</f>
        <v>6:40 45階ルーフトップテラス１/6:40 45階ルーフトップテラス２</v>
      </c>
      <c r="G33" s="418"/>
      <c r="H33" s="418"/>
      <c r="I33" s="418"/>
      <c r="J33" s="418"/>
      <c r="K33" s="418"/>
      <c r="L33" s="418"/>
      <c r="M33" s="418"/>
      <c r="N33" s="418"/>
      <c r="O33" s="418"/>
      <c r="P33" s="418"/>
      <c r="Q33" s="418"/>
      <c r="R33" s="418"/>
      <c r="S33" s="418"/>
      <c r="T33" s="418"/>
      <c r="U33" s="418"/>
      <c r="V33" s="418"/>
      <c r="W33" s="418"/>
      <c r="X33" s="418"/>
      <c r="Y33" s="418"/>
      <c r="Z33" s="418"/>
      <c r="AA33" s="418"/>
      <c r="AB33" s="418"/>
      <c r="AC33" s="418"/>
      <c r="AD33" s="418"/>
      <c r="AE33" s="418"/>
      <c r="AF33" s="418"/>
      <c r="AG33" s="418"/>
      <c r="AH33" s="418"/>
      <c r="AI33" s="419"/>
      <c r="AK33" s="449" t="s">
        <v>654</v>
      </c>
      <c r="AL33" s="450"/>
      <c r="AM33" s="450"/>
      <c r="AN33" s="450"/>
      <c r="AO33" s="450"/>
      <c r="AP33" s="450"/>
      <c r="AQ33" s="60"/>
      <c r="AR33" s="48"/>
      <c r="AS33" s="532"/>
      <c r="AT33" s="532"/>
      <c r="AU33" s="439"/>
      <c r="AV33" s="439"/>
      <c r="AW33" s="439"/>
      <c r="AY33" s="413" t="s">
        <v>655</v>
      </c>
      <c r="AZ33" s="413"/>
      <c r="BA33" s="412"/>
      <c r="BB33" s="412"/>
    </row>
    <row r="34" spans="1:80" ht="18" customHeight="1" thickBot="1">
      <c r="A34" s="39"/>
      <c r="B34" s="546" t="s">
        <v>656</v>
      </c>
      <c r="C34" s="546"/>
      <c r="D34" s="546"/>
      <c r="E34" s="546"/>
      <c r="F34" s="420" t="s">
        <v>79</v>
      </c>
      <c r="G34" s="420"/>
      <c r="H34" s="420"/>
      <c r="I34" s="420"/>
      <c r="J34" s="420"/>
      <c r="K34" s="420"/>
      <c r="L34" s="420"/>
      <c r="M34" s="420"/>
      <c r="N34" s="420"/>
      <c r="O34" s="420"/>
      <c r="P34" s="420"/>
      <c r="Q34" s="420"/>
      <c r="R34" s="420"/>
      <c r="S34" s="420"/>
      <c r="T34" s="420"/>
      <c r="U34" s="420"/>
      <c r="V34" s="420"/>
      <c r="W34" s="420"/>
      <c r="X34" s="420"/>
      <c r="Y34" s="420"/>
      <c r="Z34" s="420"/>
      <c r="AA34" s="420"/>
      <c r="AB34" s="420"/>
      <c r="AC34" s="421"/>
      <c r="AD34" s="421"/>
      <c r="AE34" s="421"/>
      <c r="AF34" s="421"/>
      <c r="AG34" s="421"/>
      <c r="AH34" s="421"/>
      <c r="AI34" s="422"/>
      <c r="AK34" s="451" t="s">
        <v>657</v>
      </c>
      <c r="AL34" s="416"/>
      <c r="AM34" s="416"/>
      <c r="AN34" s="416"/>
      <c r="AO34" s="416"/>
      <c r="AP34" s="416"/>
      <c r="AQ34" s="56"/>
      <c r="AR34" s="48"/>
      <c r="AS34" s="532"/>
      <c r="AT34" s="532"/>
      <c r="AU34" s="439"/>
      <c r="AV34" s="439"/>
      <c r="AW34" s="439"/>
      <c r="AY34" s="413" t="s">
        <v>658</v>
      </c>
      <c r="AZ34" s="413"/>
      <c r="BA34" s="412"/>
      <c r="BB34" s="412"/>
    </row>
    <row r="35" spans="1:80" ht="18" customHeight="1" thickBot="1">
      <c r="A35" s="57"/>
      <c r="B35" s="547" t="s">
        <v>659</v>
      </c>
      <c r="C35" s="547"/>
      <c r="D35" s="547"/>
      <c r="E35" s="547"/>
      <c r="F35" s="389" t="s">
        <v>660</v>
      </c>
      <c r="G35" s="389"/>
      <c r="H35" s="389"/>
      <c r="I35" s="389"/>
      <c r="J35" s="389"/>
      <c r="K35" s="389"/>
      <c r="L35" s="389"/>
      <c r="M35" s="389"/>
      <c r="N35" s="389"/>
      <c r="O35" s="389"/>
      <c r="P35" s="389"/>
      <c r="Q35" s="389"/>
      <c r="R35" s="389"/>
      <c r="S35" s="389"/>
      <c r="T35" s="389"/>
      <c r="U35" s="389"/>
      <c r="V35" s="389"/>
      <c r="W35" s="390" t="s">
        <v>661</v>
      </c>
      <c r="X35" s="391"/>
      <c r="Y35" s="391"/>
      <c r="Z35" s="391"/>
      <c r="AA35" s="391"/>
      <c r="AB35" s="391"/>
      <c r="AC35" s="392" t="s">
        <v>662</v>
      </c>
      <c r="AD35" s="393"/>
      <c r="AE35" s="393"/>
      <c r="AF35" s="393"/>
      <c r="AG35" s="393"/>
      <c r="AH35" s="393"/>
      <c r="AI35" s="394"/>
      <c r="AK35" s="531"/>
      <c r="AL35" s="531"/>
      <c r="AM35" s="531"/>
      <c r="AN35" s="531"/>
      <c r="AO35" s="531"/>
      <c r="AP35" s="531"/>
      <c r="AQ35" s="61"/>
      <c r="AR35" s="48"/>
      <c r="AS35" s="532"/>
      <c r="AT35" s="532"/>
      <c r="AU35" s="439"/>
      <c r="AV35" s="439"/>
      <c r="AW35" s="439"/>
      <c r="AY35" s="413" t="s">
        <v>663</v>
      </c>
      <c r="AZ35" s="413"/>
      <c r="BA35" s="412"/>
      <c r="BB35" s="412"/>
    </row>
    <row r="36" spans="1:80" ht="18" customHeight="1" thickBot="1">
      <c r="A36" s="492" t="s">
        <v>664</v>
      </c>
      <c r="B36" s="493"/>
      <c r="C36" s="493"/>
      <c r="D36" s="493"/>
      <c r="E36" s="493"/>
      <c r="F36" s="498">
        <v>4.1666666666666664E-2</v>
      </c>
      <c r="G36" s="439"/>
      <c r="H36" s="439"/>
      <c r="I36" s="439"/>
      <c r="J36" s="439"/>
      <c r="K36" s="439"/>
      <c r="L36" s="499" t="s">
        <v>665</v>
      </c>
      <c r="M36" s="489"/>
      <c r="N36" s="489"/>
      <c r="O36" s="500"/>
      <c r="P36" s="410" t="s">
        <v>43</v>
      </c>
      <c r="Q36" s="410"/>
      <c r="R36" s="410"/>
      <c r="S36" s="55" t="s">
        <v>666</v>
      </c>
      <c r="T36" s="410" t="s">
        <v>72</v>
      </c>
      <c r="U36" s="410"/>
      <c r="V36" s="530"/>
      <c r="W36" s="489" t="s">
        <v>667</v>
      </c>
      <c r="X36" s="489"/>
      <c r="Y36" s="489"/>
      <c r="Z36" s="489"/>
      <c r="AA36" s="489"/>
      <c r="AB36" s="489"/>
      <c r="AC36" s="490" t="s">
        <v>722</v>
      </c>
      <c r="AD36" s="487"/>
      <c r="AE36" s="487"/>
      <c r="AF36" s="487"/>
      <c r="AG36" s="487"/>
      <c r="AH36" s="487"/>
      <c r="AI36" s="488"/>
      <c r="AK36" s="525" t="s">
        <v>668</v>
      </c>
      <c r="AL36" s="526"/>
      <c r="AM36" s="526"/>
      <c r="AN36" s="526"/>
      <c r="AO36" s="526"/>
      <c r="AP36" s="526"/>
      <c r="AQ36" s="117"/>
      <c r="AR36" s="48"/>
      <c r="AS36" s="532"/>
      <c r="AT36" s="532"/>
      <c r="AU36" s="439"/>
      <c r="AV36" s="439"/>
      <c r="AW36" s="439"/>
      <c r="BH36" s="50"/>
      <c r="BI36" s="51"/>
    </row>
    <row r="37" spans="1:80" ht="18" customHeight="1" thickBot="1">
      <c r="A37" s="494" t="s">
        <v>669</v>
      </c>
      <c r="B37" s="495"/>
      <c r="C37" s="495"/>
      <c r="D37" s="495"/>
      <c r="E37" s="495"/>
      <c r="F37" s="487"/>
      <c r="G37" s="487"/>
      <c r="H37" s="487"/>
      <c r="I37" s="487"/>
      <c r="J37" s="487"/>
      <c r="K37" s="487"/>
      <c r="L37" s="487"/>
      <c r="M37" s="487"/>
      <c r="N37" s="487"/>
      <c r="O37" s="487"/>
      <c r="P37" s="487"/>
      <c r="Q37" s="487"/>
      <c r="R37" s="487"/>
      <c r="S37" s="487"/>
      <c r="T37" s="487"/>
      <c r="U37" s="487"/>
      <c r="V37" s="487"/>
      <c r="W37" s="487"/>
      <c r="X37" s="487"/>
      <c r="Y37" s="487"/>
      <c r="Z37" s="487"/>
      <c r="AA37" s="487"/>
      <c r="AB37" s="487"/>
      <c r="AC37" s="487"/>
      <c r="AD37" s="487"/>
      <c r="AE37" s="487"/>
      <c r="AF37" s="487"/>
      <c r="AG37" s="487"/>
      <c r="AH37" s="487"/>
      <c r="AI37" s="488"/>
      <c r="AK37" s="544" t="s">
        <v>240</v>
      </c>
      <c r="AL37" s="545"/>
      <c r="AM37" s="545"/>
      <c r="AN37" s="545"/>
      <c r="AO37" s="545"/>
      <c r="AP37" s="545"/>
      <c r="AQ37" s="122"/>
      <c r="AR37" s="48"/>
      <c r="AS37" s="532"/>
      <c r="AT37" s="532"/>
      <c r="AU37" s="439"/>
      <c r="AV37" s="439"/>
      <c r="AW37" s="439"/>
      <c r="BH37" s="50"/>
      <c r="BI37" s="51"/>
    </row>
    <row r="38" spans="1:80" ht="18" customHeight="1" thickBot="1">
      <c r="A38" s="496" t="s">
        <v>670</v>
      </c>
      <c r="B38" s="497"/>
      <c r="C38" s="497"/>
      <c r="D38" s="497"/>
      <c r="E38" s="497"/>
      <c r="F38" s="416" t="s">
        <v>667</v>
      </c>
      <c r="G38" s="416"/>
      <c r="H38" s="416"/>
      <c r="I38" s="416"/>
      <c r="J38" s="416"/>
      <c r="K38" s="416"/>
      <c r="L38" s="424" t="s">
        <v>722</v>
      </c>
      <c r="M38" s="424"/>
      <c r="N38" s="424"/>
      <c r="O38" s="424"/>
      <c r="P38" s="416" t="s">
        <v>671</v>
      </c>
      <c r="Q38" s="416"/>
      <c r="R38" s="416"/>
      <c r="S38" s="416"/>
      <c r="T38" s="416"/>
      <c r="U38" s="416"/>
      <c r="V38" s="416"/>
      <c r="W38" s="416" t="s">
        <v>667</v>
      </c>
      <c r="X38" s="416"/>
      <c r="Y38" s="416"/>
      <c r="Z38" s="416"/>
      <c r="AA38" s="416"/>
      <c r="AB38" s="416"/>
      <c r="AC38" s="424" t="s">
        <v>722</v>
      </c>
      <c r="AD38" s="424"/>
      <c r="AE38" s="424"/>
      <c r="AF38" s="424"/>
      <c r="AG38" s="424"/>
      <c r="AH38" s="424"/>
      <c r="AI38" s="491"/>
      <c r="AK38" s="543"/>
      <c r="AL38" s="543"/>
      <c r="AM38" s="543"/>
      <c r="AN38" s="543"/>
      <c r="AO38" s="543"/>
      <c r="AP38" s="543"/>
      <c r="AQ38" s="59"/>
      <c r="AR38" s="48"/>
      <c r="BC38" s="50"/>
      <c r="BD38" s="51"/>
    </row>
    <row r="39" spans="1:80" ht="18" customHeight="1">
      <c r="A39" s="452" t="s">
        <v>672</v>
      </c>
      <c r="B39" s="453"/>
      <c r="C39" s="453"/>
      <c r="D39" s="453"/>
      <c r="E39" s="453"/>
      <c r="F39" s="453"/>
      <c r="G39" s="453"/>
      <c r="H39" s="453"/>
      <c r="I39" s="453"/>
      <c r="J39" s="453"/>
      <c r="K39" s="453"/>
      <c r="L39" s="453"/>
      <c r="M39" s="453"/>
      <c r="N39" s="453"/>
      <c r="O39" s="453"/>
      <c r="P39" s="453"/>
      <c r="Q39" s="453"/>
      <c r="R39" s="453"/>
      <c r="S39" s="453"/>
      <c r="T39" s="453"/>
      <c r="U39" s="453"/>
      <c r="V39" s="453"/>
      <c r="W39" s="453"/>
      <c r="X39" s="453"/>
      <c r="Y39" s="453"/>
      <c r="Z39" s="453"/>
      <c r="AA39" s="453"/>
      <c r="AB39" s="453"/>
      <c r="AC39" s="453"/>
      <c r="AD39" s="453"/>
      <c r="AE39" s="453"/>
      <c r="AF39" s="453"/>
      <c r="AG39" s="453"/>
      <c r="AH39" s="453"/>
      <c r="AI39" s="454"/>
      <c r="AK39" s="444" t="s">
        <v>673</v>
      </c>
      <c r="AL39" s="444"/>
      <c r="AM39" s="444"/>
      <c r="AN39" s="444"/>
      <c r="AO39" s="444"/>
      <c r="AP39" s="444"/>
      <c r="AQ39" s="42">
        <v>1</v>
      </c>
      <c r="AR39" s="48"/>
      <c r="AS39" s="423" t="s">
        <v>526</v>
      </c>
      <c r="AT39" s="423"/>
      <c r="AU39" s="148">
        <v>15</v>
      </c>
      <c r="AV39" s="423" t="s">
        <v>528</v>
      </c>
      <c r="AW39" s="423"/>
      <c r="BC39" s="50"/>
      <c r="BD39" s="51"/>
    </row>
    <row r="40" spans="1:80" ht="18" customHeight="1">
      <c r="A40" s="464" t="s">
        <v>674</v>
      </c>
      <c r="B40" s="459"/>
      <c r="C40" s="459"/>
      <c r="D40" s="459"/>
      <c r="E40" s="470" t="s">
        <v>675</v>
      </c>
      <c r="F40" s="471"/>
      <c r="G40" s="471"/>
      <c r="H40" s="471"/>
      <c r="I40" s="471"/>
      <c r="J40" s="471"/>
      <c r="K40" s="472"/>
      <c r="L40" s="458" t="s">
        <v>676</v>
      </c>
      <c r="M40" s="459"/>
      <c r="N40" s="459"/>
      <c r="O40" s="459"/>
      <c r="P40" s="459"/>
      <c r="Q40" s="459"/>
      <c r="R40" s="460"/>
      <c r="S40" s="458" t="s">
        <v>677</v>
      </c>
      <c r="T40" s="459"/>
      <c r="U40" s="459"/>
      <c r="V40" s="459"/>
      <c r="W40" s="470" t="s">
        <v>675</v>
      </c>
      <c r="X40" s="471"/>
      <c r="Y40" s="471"/>
      <c r="Z40" s="471"/>
      <c r="AA40" s="471"/>
      <c r="AB40" s="471"/>
      <c r="AC40" s="472"/>
      <c r="AD40" s="458" t="s">
        <v>678</v>
      </c>
      <c r="AE40" s="459"/>
      <c r="AF40" s="459"/>
      <c r="AG40" s="459"/>
      <c r="AH40" s="459"/>
      <c r="AI40" s="463"/>
      <c r="AK40" s="444" t="s">
        <v>679</v>
      </c>
      <c r="AL40" s="444"/>
      <c r="AM40" s="444"/>
      <c r="AN40" s="444"/>
      <c r="AO40" s="444"/>
      <c r="AP40" s="444"/>
      <c r="AQ40" s="42"/>
      <c r="AR40" s="48"/>
      <c r="AS40" s="423" t="s">
        <v>527</v>
      </c>
      <c r="AT40" s="423"/>
      <c r="AU40" s="148">
        <v>22</v>
      </c>
      <c r="AV40" s="560">
        <v>0.44900000000000001</v>
      </c>
      <c r="AW40" s="560"/>
      <c r="BC40" s="50"/>
      <c r="BD40" s="51"/>
    </row>
    <row r="41" spans="1:80" ht="18" customHeight="1">
      <c r="A41" s="464" t="s">
        <v>16</v>
      </c>
      <c r="B41" s="459"/>
      <c r="C41" s="459"/>
      <c r="D41" s="459"/>
      <c r="E41" s="469">
        <f>AX10</f>
        <v>0.33333333333333331</v>
      </c>
      <c r="F41" s="456"/>
      <c r="G41" s="456"/>
      <c r="H41" s="144" t="s">
        <v>680</v>
      </c>
      <c r="I41" s="456">
        <f>AY10</f>
        <v>0.83333333333333337</v>
      </c>
      <c r="J41" s="456"/>
      <c r="K41" s="457"/>
      <c r="L41" s="458" t="str">
        <f>AU10</f>
        <v>三角龍彦</v>
      </c>
      <c r="M41" s="459"/>
      <c r="N41" s="459"/>
      <c r="O41" s="459"/>
      <c r="P41" s="459"/>
      <c r="Q41" s="459"/>
      <c r="R41" s="460"/>
      <c r="S41" s="409" t="s">
        <v>31</v>
      </c>
      <c r="T41" s="410"/>
      <c r="U41" s="410"/>
      <c r="V41" s="410"/>
      <c r="W41" s="414">
        <v>0.39583333333333331</v>
      </c>
      <c r="X41" s="415"/>
      <c r="Y41" s="415"/>
      <c r="Z41" s="40" t="s">
        <v>680</v>
      </c>
      <c r="AA41" s="415">
        <v>0.77083333333333337</v>
      </c>
      <c r="AB41" s="415"/>
      <c r="AC41" s="461"/>
      <c r="AD41" s="409" t="str">
        <f>AU14</f>
        <v>木村重明</v>
      </c>
      <c r="AE41" s="410"/>
      <c r="AF41" s="410"/>
      <c r="AG41" s="410"/>
      <c r="AH41" s="410"/>
      <c r="AI41" s="462"/>
      <c r="AK41" s="444" t="s">
        <v>681</v>
      </c>
      <c r="AL41" s="444"/>
      <c r="AM41" s="444"/>
      <c r="AN41" s="444"/>
      <c r="AO41" s="444"/>
      <c r="AP41" s="444"/>
      <c r="AQ41" s="42"/>
      <c r="AR41" s="48"/>
      <c r="BC41" s="50"/>
      <c r="BD41" s="51"/>
    </row>
    <row r="42" spans="1:80" ht="18" customHeight="1">
      <c r="A42" s="464" t="s">
        <v>24</v>
      </c>
      <c r="B42" s="459"/>
      <c r="C42" s="459"/>
      <c r="D42" s="459"/>
      <c r="E42" s="469">
        <f>AX13</f>
        <v>0.33333333333333331</v>
      </c>
      <c r="F42" s="456"/>
      <c r="G42" s="456"/>
      <c r="H42" s="144" t="s">
        <v>680</v>
      </c>
      <c r="I42" s="456">
        <f>AY12</f>
        <v>0.83333333333333337</v>
      </c>
      <c r="J42" s="456"/>
      <c r="K42" s="457"/>
      <c r="L42" s="458" t="str">
        <f>AU13</f>
        <v>松葉眞</v>
      </c>
      <c r="M42" s="459"/>
      <c r="N42" s="459"/>
      <c r="O42" s="459"/>
      <c r="P42" s="459"/>
      <c r="Q42" s="459"/>
      <c r="R42" s="460"/>
      <c r="S42" s="409"/>
      <c r="T42" s="410"/>
      <c r="U42" s="410"/>
      <c r="V42" s="410"/>
      <c r="W42" s="414"/>
      <c r="X42" s="415"/>
      <c r="Y42" s="415"/>
      <c r="Z42" s="136"/>
      <c r="AA42" s="415"/>
      <c r="AB42" s="415"/>
      <c r="AC42" s="461"/>
      <c r="AD42" s="409">
        <f>AU15</f>
        <v>0</v>
      </c>
      <c r="AE42" s="410"/>
      <c r="AF42" s="410"/>
      <c r="AG42" s="410"/>
      <c r="AH42" s="410"/>
      <c r="AI42" s="462"/>
      <c r="AK42" s="445" t="s">
        <v>682</v>
      </c>
      <c r="AL42" s="445"/>
      <c r="AM42" s="445"/>
      <c r="AN42" s="445"/>
      <c r="AO42" s="445"/>
      <c r="AP42" s="445"/>
      <c r="AQ42" s="42"/>
      <c r="AR42" s="48"/>
      <c r="AS42" s="561" t="s">
        <v>683</v>
      </c>
      <c r="AT42" s="561"/>
      <c r="AU42" s="561"/>
      <c r="AV42" s="561"/>
      <c r="AW42" s="561"/>
      <c r="BC42" s="50"/>
      <c r="BD42" s="51"/>
    </row>
    <row r="43" spans="1:80" ht="18" customHeight="1">
      <c r="A43" s="464" t="s">
        <v>38</v>
      </c>
      <c r="B43" s="459"/>
      <c r="C43" s="459"/>
      <c r="D43" s="459"/>
      <c r="E43" s="469">
        <f>AX16</f>
        <v>0.83333333333333337</v>
      </c>
      <c r="F43" s="456"/>
      <c r="G43" s="456"/>
      <c r="H43" s="144" t="s">
        <v>680</v>
      </c>
      <c r="I43" s="456" t="str">
        <f>AY16</f>
        <v>翌8:00</v>
      </c>
      <c r="J43" s="456"/>
      <c r="K43" s="457"/>
      <c r="L43" s="458" t="str">
        <f>AU16</f>
        <v>山本喜久</v>
      </c>
      <c r="M43" s="459"/>
      <c r="N43" s="459"/>
      <c r="O43" s="459"/>
      <c r="P43" s="459"/>
      <c r="Q43" s="459"/>
      <c r="R43" s="460"/>
      <c r="S43" s="409"/>
      <c r="T43" s="410"/>
      <c r="U43" s="410"/>
      <c r="V43" s="410"/>
      <c r="W43" s="414"/>
      <c r="X43" s="415"/>
      <c r="Y43" s="415"/>
      <c r="Z43" s="136"/>
      <c r="AA43" s="415"/>
      <c r="AB43" s="415"/>
      <c r="AC43" s="461"/>
      <c r="AD43" s="486">
        <f>AU18</f>
        <v>0</v>
      </c>
      <c r="AE43" s="410"/>
      <c r="AF43" s="410"/>
      <c r="AG43" s="410"/>
      <c r="AH43" s="410"/>
      <c r="AI43" s="462"/>
      <c r="AK43" s="444" t="s">
        <v>684</v>
      </c>
      <c r="AL43" s="444"/>
      <c r="AM43" s="444"/>
      <c r="AN43" s="444"/>
      <c r="AO43" s="444"/>
      <c r="AP43" s="444"/>
      <c r="AQ43" s="42"/>
      <c r="AR43" s="43"/>
      <c r="AW43"/>
      <c r="AX43"/>
      <c r="AY43"/>
      <c r="AZ43"/>
      <c r="BA43"/>
      <c r="BB43"/>
      <c r="BC43" s="50"/>
      <c r="BD43" s="51"/>
      <c r="BE43"/>
      <c r="BF43"/>
      <c r="BG43"/>
      <c r="BH43"/>
      <c r="BI43"/>
      <c r="BJ43"/>
      <c r="BK43"/>
      <c r="BL43"/>
      <c r="BM43"/>
      <c r="BN43"/>
      <c r="BO43"/>
      <c r="BP43"/>
      <c r="BQ43"/>
      <c r="BR43"/>
      <c r="BS43"/>
      <c r="BT43"/>
      <c r="BU43"/>
      <c r="BV43"/>
      <c r="BW43"/>
      <c r="BX43"/>
      <c r="BY43"/>
      <c r="BZ43"/>
      <c r="CA43"/>
      <c r="CB43"/>
    </row>
    <row r="44" spans="1:80" ht="18" customHeight="1" thickBot="1">
      <c r="A44" s="473" t="s">
        <v>45</v>
      </c>
      <c r="B44" s="474"/>
      <c r="C44" s="474"/>
      <c r="D44" s="474"/>
      <c r="E44" s="475">
        <f>AX17</f>
        <v>0.83333333333333337</v>
      </c>
      <c r="F44" s="476"/>
      <c r="G44" s="476"/>
      <c r="H44" s="145" t="s">
        <v>680</v>
      </c>
      <c r="I44" s="476" t="str">
        <f>AY17</f>
        <v>翌8:00</v>
      </c>
      <c r="J44" s="476"/>
      <c r="K44" s="477"/>
      <c r="L44" s="478" t="str">
        <f>AU17</f>
        <v>片山薫</v>
      </c>
      <c r="M44" s="478"/>
      <c r="N44" s="478"/>
      <c r="O44" s="478"/>
      <c r="P44" s="478"/>
      <c r="Q44" s="478"/>
      <c r="R44" s="478"/>
      <c r="S44" s="479"/>
      <c r="T44" s="480"/>
      <c r="U44" s="480"/>
      <c r="V44" s="480"/>
      <c r="W44" s="481"/>
      <c r="X44" s="482"/>
      <c r="Y44" s="482"/>
      <c r="Z44" s="137"/>
      <c r="AA44" s="482"/>
      <c r="AB44" s="482"/>
      <c r="AC44" s="483"/>
      <c r="AD44" s="484">
        <f>AU19</f>
        <v>0</v>
      </c>
      <c r="AE44" s="480"/>
      <c r="AF44" s="480"/>
      <c r="AG44" s="480"/>
      <c r="AH44" s="480"/>
      <c r="AI44" s="485"/>
      <c r="AK44" s="446" t="s">
        <v>685</v>
      </c>
      <c r="AL44" s="446"/>
      <c r="AM44" s="446"/>
      <c r="AN44" s="446"/>
      <c r="AO44" s="446"/>
      <c r="AP44" s="446"/>
      <c r="AQ44" s="42"/>
      <c r="AR44" s="43"/>
      <c r="BC44" s="50"/>
      <c r="BD44" s="51"/>
    </row>
    <row r="45" spans="1:80" ht="18" customHeight="1" thickBot="1">
      <c r="A45" s="27"/>
      <c r="B45" s="27"/>
      <c r="C45" s="27"/>
      <c r="D45" s="27"/>
      <c r="E45" s="27"/>
      <c r="F45" s="27"/>
      <c r="G45" s="27"/>
      <c r="H45" s="27"/>
      <c r="I45" s="27"/>
      <c r="R45" s="307">
        <f>A7</f>
        <v>46197</v>
      </c>
      <c r="S45" s="308"/>
      <c r="T45" s="308"/>
      <c r="U45" s="308"/>
      <c r="V45" s="23" t="s">
        <v>169</v>
      </c>
      <c r="W45" s="309">
        <f>G7</f>
        <v>46197</v>
      </c>
      <c r="X45" s="308"/>
      <c r="Y45" s="23" t="s">
        <v>170</v>
      </c>
      <c r="Z45" s="310">
        <f>K7</f>
        <v>46197</v>
      </c>
      <c r="AA45" s="308"/>
      <c r="AB45" s="23" t="s">
        <v>3</v>
      </c>
      <c r="AC45" s="455">
        <f>O7</f>
        <v>46197</v>
      </c>
      <c r="AD45" s="308"/>
      <c r="AE45" s="308" t="s">
        <v>292</v>
      </c>
      <c r="AF45" s="308"/>
      <c r="AK45" s="425" t="s">
        <v>686</v>
      </c>
      <c r="AL45" s="425"/>
      <c r="AM45" s="425"/>
      <c r="AN45" s="425"/>
      <c r="AO45" s="425"/>
      <c r="AP45" s="425"/>
      <c r="AQ45" s="42"/>
      <c r="AR45" s="43"/>
      <c r="BC45" s="50"/>
      <c r="BD45" s="51"/>
    </row>
    <row r="46" spans="1:80" customFormat="1" ht="18" customHeight="1">
      <c r="A46" s="452" t="s">
        <v>598</v>
      </c>
      <c r="B46" s="453"/>
      <c r="C46" s="453"/>
      <c r="D46" s="453"/>
      <c r="E46" s="453"/>
      <c r="F46" s="453"/>
      <c r="G46" s="453"/>
      <c r="H46" s="453"/>
      <c r="I46" s="453"/>
      <c r="J46" s="453"/>
      <c r="K46" s="453"/>
      <c r="L46" s="453"/>
      <c r="M46" s="453"/>
      <c r="N46" s="453"/>
      <c r="O46" s="453"/>
      <c r="P46" s="453"/>
      <c r="Q46" s="453"/>
      <c r="R46" s="453"/>
      <c r="S46" s="453"/>
      <c r="T46" s="453"/>
      <c r="U46" s="453"/>
      <c r="V46" s="453"/>
      <c r="W46" s="453"/>
      <c r="X46" s="453"/>
      <c r="Y46" s="453"/>
      <c r="Z46" s="453"/>
      <c r="AA46" s="453"/>
      <c r="AB46" s="453"/>
      <c r="AC46" s="453"/>
      <c r="AD46" s="453"/>
      <c r="AE46" s="453"/>
      <c r="AF46" s="453"/>
      <c r="AG46" s="453"/>
      <c r="AH46" s="453"/>
      <c r="AI46" s="454"/>
      <c r="AK46" s="425" t="s">
        <v>687</v>
      </c>
      <c r="AL46" s="425"/>
      <c r="AM46" s="425"/>
      <c r="AN46" s="425"/>
      <c r="AO46" s="425"/>
      <c r="AP46" s="425"/>
      <c r="AQ46" s="42"/>
      <c r="AR46" s="43"/>
      <c r="AW46" s="23"/>
      <c r="AX46" s="23"/>
      <c r="AY46" s="23"/>
      <c r="AZ46" s="23"/>
      <c r="BA46" s="23"/>
      <c r="BB46" s="23"/>
      <c r="BC46" s="50"/>
      <c r="BD46" s="51"/>
      <c r="BE46" s="23"/>
      <c r="BF46" s="23"/>
      <c r="BG46" s="23"/>
      <c r="BH46" s="23"/>
      <c r="BI46" s="23"/>
      <c r="BJ46" s="23"/>
      <c r="BK46" s="23"/>
      <c r="BL46" s="23"/>
      <c r="BM46" s="23"/>
      <c r="BN46" s="23"/>
      <c r="BO46" s="23"/>
      <c r="BP46" s="23"/>
      <c r="BQ46" s="23"/>
      <c r="BR46" s="23"/>
      <c r="BS46" s="23"/>
      <c r="BT46" s="23"/>
      <c r="BU46" s="23"/>
      <c r="BV46" s="23"/>
      <c r="BW46" s="23"/>
      <c r="BX46" s="23"/>
      <c r="BY46" s="23"/>
      <c r="BZ46" s="23"/>
      <c r="CA46" s="23"/>
      <c r="CB46" s="23"/>
    </row>
    <row r="47" spans="1:80" ht="18" customHeight="1">
      <c r="A47" s="36"/>
      <c r="B47" s="404"/>
      <c r="C47" s="404"/>
      <c r="D47" s="404"/>
      <c r="E47" s="404"/>
      <c r="F47" s="288"/>
      <c r="G47" s="288"/>
      <c r="H47" s="288"/>
      <c r="I47" s="288"/>
      <c r="J47" s="288"/>
      <c r="K47" s="288"/>
      <c r="L47" s="288"/>
      <c r="M47" s="288"/>
      <c r="N47" s="288"/>
      <c r="O47" s="288"/>
      <c r="P47" s="288"/>
      <c r="Q47" s="288"/>
      <c r="R47" s="288"/>
      <c r="S47" s="288"/>
      <c r="T47" s="288"/>
      <c r="U47" s="288"/>
      <c r="V47" s="288"/>
      <c r="W47" s="288"/>
      <c r="X47" s="288"/>
      <c r="Y47" s="288"/>
      <c r="Z47" s="288"/>
      <c r="AA47" s="288"/>
      <c r="AB47" s="288"/>
      <c r="AC47" s="288"/>
      <c r="AD47" s="288"/>
      <c r="AE47" s="288"/>
      <c r="AF47" s="288"/>
      <c r="AG47" s="288"/>
      <c r="AH47" s="288"/>
      <c r="AI47" s="289"/>
      <c r="AK47" s="425" t="s">
        <v>688</v>
      </c>
      <c r="AL47" s="425"/>
      <c r="AM47" s="425"/>
      <c r="AN47" s="425"/>
      <c r="AO47" s="425"/>
      <c r="AP47" s="425"/>
      <c r="AQ47" s="42"/>
      <c r="AR47" s="43"/>
      <c r="AS47" s="120" t="s">
        <v>189</v>
      </c>
      <c r="AT47" s="43" t="s">
        <v>728</v>
      </c>
      <c r="AU47" s="43"/>
      <c r="BC47" s="50"/>
      <c r="BD47" s="51"/>
    </row>
    <row r="48" spans="1:80" ht="18" customHeight="1">
      <c r="A48" s="36"/>
      <c r="B48" s="404"/>
      <c r="C48" s="404"/>
      <c r="D48" s="404"/>
      <c r="E48" s="404"/>
      <c r="F48" s="288"/>
      <c r="G48" s="288"/>
      <c r="H48" s="288"/>
      <c r="I48" s="288"/>
      <c r="J48" s="288"/>
      <c r="K48" s="288"/>
      <c r="L48" s="288"/>
      <c r="M48" s="288"/>
      <c r="N48" s="288"/>
      <c r="O48" s="288"/>
      <c r="P48" s="288"/>
      <c r="Q48" s="288"/>
      <c r="R48" s="288"/>
      <c r="S48" s="288"/>
      <c r="T48" s="288"/>
      <c r="U48" s="288"/>
      <c r="V48" s="288"/>
      <c r="W48" s="288"/>
      <c r="X48" s="288"/>
      <c r="Y48" s="288"/>
      <c r="Z48" s="288"/>
      <c r="AA48" s="288"/>
      <c r="AB48" s="288"/>
      <c r="AC48" s="288"/>
      <c r="AD48" s="288"/>
      <c r="AE48" s="288"/>
      <c r="AF48" s="288"/>
      <c r="AG48" s="288"/>
      <c r="AH48" s="288"/>
      <c r="AI48" s="289"/>
      <c r="AK48" s="425" t="s">
        <v>690</v>
      </c>
      <c r="AL48" s="425"/>
      <c r="AM48" s="425"/>
      <c r="AN48" s="425"/>
      <c r="AO48" s="425"/>
      <c r="AP48" s="425"/>
      <c r="AQ48" s="42"/>
      <c r="AR48" s="43"/>
      <c r="AS48" s="43"/>
      <c r="AT48" s="43"/>
      <c r="AU48" s="43"/>
      <c r="BC48" s="50"/>
      <c r="BD48" s="51"/>
    </row>
    <row r="49" spans="1:61" ht="18" customHeight="1">
      <c r="A49" s="36"/>
      <c r="B49" s="404"/>
      <c r="C49" s="404"/>
      <c r="D49" s="404"/>
      <c r="E49" s="404"/>
      <c r="F49" s="288"/>
      <c r="G49" s="288"/>
      <c r="H49" s="288"/>
      <c r="I49" s="288"/>
      <c r="J49" s="288"/>
      <c r="K49" s="288"/>
      <c r="L49" s="288"/>
      <c r="M49" s="288"/>
      <c r="N49" s="288"/>
      <c r="O49" s="288"/>
      <c r="P49" s="288"/>
      <c r="Q49" s="288"/>
      <c r="R49" s="288"/>
      <c r="S49" s="288"/>
      <c r="T49" s="288"/>
      <c r="U49" s="288"/>
      <c r="V49" s="288"/>
      <c r="W49" s="288"/>
      <c r="X49" s="288"/>
      <c r="Y49" s="288"/>
      <c r="Z49" s="288"/>
      <c r="AA49" s="288"/>
      <c r="AB49" s="288"/>
      <c r="AC49" s="288"/>
      <c r="AD49" s="288"/>
      <c r="AE49" s="288"/>
      <c r="AF49" s="288"/>
      <c r="AG49" s="288"/>
      <c r="AH49" s="288"/>
      <c r="AI49" s="289"/>
      <c r="AK49" s="425" t="s">
        <v>691</v>
      </c>
      <c r="AL49" s="425"/>
      <c r="AM49" s="425"/>
      <c r="AN49" s="425"/>
      <c r="AO49" s="425"/>
      <c r="AP49" s="425"/>
      <c r="AQ49" s="42"/>
      <c r="AR49" s="43"/>
      <c r="AS49" s="43"/>
      <c r="AT49" s="43"/>
      <c r="AU49" s="43"/>
      <c r="BC49" s="50"/>
      <c r="BD49" s="51"/>
    </row>
    <row r="50" spans="1:61" ht="18" customHeight="1">
      <c r="A50" s="36"/>
      <c r="B50" s="404"/>
      <c r="C50" s="404"/>
      <c r="D50" s="404"/>
      <c r="E50" s="404"/>
      <c r="F50" s="288"/>
      <c r="G50" s="288"/>
      <c r="H50" s="288"/>
      <c r="I50" s="288"/>
      <c r="J50" s="288"/>
      <c r="K50" s="288"/>
      <c r="L50" s="288"/>
      <c r="M50" s="288"/>
      <c r="N50" s="288"/>
      <c r="O50" s="288"/>
      <c r="P50" s="288"/>
      <c r="Q50" s="288"/>
      <c r="R50" s="288"/>
      <c r="S50" s="288"/>
      <c r="T50" s="288"/>
      <c r="U50" s="288"/>
      <c r="V50" s="288"/>
      <c r="W50" s="288"/>
      <c r="X50" s="288"/>
      <c r="Y50" s="288"/>
      <c r="Z50" s="288"/>
      <c r="AA50" s="288"/>
      <c r="AB50" s="288"/>
      <c r="AC50" s="288"/>
      <c r="AD50" s="288"/>
      <c r="AE50" s="288"/>
      <c r="AF50" s="288"/>
      <c r="AG50" s="288"/>
      <c r="AH50" s="288"/>
      <c r="AI50" s="289"/>
      <c r="AK50" s="425" t="s">
        <v>692</v>
      </c>
      <c r="AL50" s="425"/>
      <c r="AM50" s="425"/>
      <c r="AN50" s="425"/>
      <c r="AO50" s="425"/>
      <c r="AP50" s="425"/>
      <c r="AQ50" s="42"/>
      <c r="AR50" s="43"/>
      <c r="AS50" s="43"/>
      <c r="AT50" s="43"/>
      <c r="AU50" s="43"/>
      <c r="BC50" s="50"/>
      <c r="BD50" s="51"/>
    </row>
    <row r="51" spans="1:61" ht="18" customHeight="1">
      <c r="A51" s="36"/>
      <c r="B51" s="404"/>
      <c r="C51" s="404"/>
      <c r="D51" s="404"/>
      <c r="E51" s="404"/>
      <c r="F51" s="288"/>
      <c r="G51" s="288"/>
      <c r="H51" s="288"/>
      <c r="I51" s="288"/>
      <c r="J51" s="288"/>
      <c r="K51" s="288"/>
      <c r="L51" s="288"/>
      <c r="M51" s="288"/>
      <c r="N51" s="288"/>
      <c r="O51" s="288"/>
      <c r="P51" s="288"/>
      <c r="Q51" s="288"/>
      <c r="R51" s="288"/>
      <c r="S51" s="288"/>
      <c r="T51" s="288"/>
      <c r="U51" s="288"/>
      <c r="V51" s="288"/>
      <c r="W51" s="288"/>
      <c r="X51" s="288"/>
      <c r="Y51" s="288"/>
      <c r="Z51" s="288"/>
      <c r="AA51" s="288"/>
      <c r="AB51" s="288"/>
      <c r="AC51" s="288"/>
      <c r="AD51" s="288"/>
      <c r="AE51" s="288"/>
      <c r="AF51" s="288"/>
      <c r="AG51" s="288"/>
      <c r="AH51" s="288"/>
      <c r="AI51" s="289"/>
      <c r="AK51" s="425" t="s">
        <v>693</v>
      </c>
      <c r="AL51" s="425"/>
      <c r="AM51" s="425"/>
      <c r="AN51" s="425"/>
      <c r="AO51" s="425"/>
      <c r="AP51" s="425"/>
      <c r="AQ51" s="42"/>
      <c r="AR51" s="43"/>
      <c r="AS51" s="43"/>
      <c r="AT51" s="43"/>
      <c r="AU51" s="43"/>
      <c r="BC51" s="50"/>
      <c r="BD51" s="51"/>
    </row>
    <row r="52" spans="1:61" ht="18" customHeight="1">
      <c r="A52" s="36"/>
      <c r="B52" s="404"/>
      <c r="C52" s="404"/>
      <c r="D52" s="404"/>
      <c r="E52" s="404"/>
      <c r="F52" s="288"/>
      <c r="G52" s="288"/>
      <c r="H52" s="288"/>
      <c r="I52" s="288"/>
      <c r="J52" s="288"/>
      <c r="K52" s="288"/>
      <c r="L52" s="288"/>
      <c r="M52" s="288"/>
      <c r="N52" s="288"/>
      <c r="O52" s="288"/>
      <c r="P52" s="288"/>
      <c r="Q52" s="288"/>
      <c r="R52" s="288"/>
      <c r="S52" s="288"/>
      <c r="T52" s="288"/>
      <c r="U52" s="288"/>
      <c r="V52" s="288"/>
      <c r="W52" s="288"/>
      <c r="X52" s="288"/>
      <c r="Y52" s="288"/>
      <c r="Z52" s="288"/>
      <c r="AA52" s="288"/>
      <c r="AB52" s="288"/>
      <c r="AC52" s="288"/>
      <c r="AD52" s="288"/>
      <c r="AE52" s="288"/>
      <c r="AF52" s="288"/>
      <c r="AG52" s="288"/>
      <c r="AH52" s="288"/>
      <c r="AI52" s="289"/>
      <c r="AK52" s="425" t="s">
        <v>694</v>
      </c>
      <c r="AL52" s="425"/>
      <c r="AM52" s="425"/>
      <c r="AN52" s="425"/>
      <c r="AO52" s="425"/>
      <c r="AP52" s="425"/>
      <c r="AQ52" s="42"/>
      <c r="AR52" s="43"/>
      <c r="AS52" s="43"/>
      <c r="AV52" s="43"/>
      <c r="AW52" s="43"/>
      <c r="AX52" s="43"/>
      <c r="AY52" s="43"/>
      <c r="AZ52" s="43"/>
      <c r="BA52" s="43"/>
      <c r="BH52" s="52"/>
      <c r="BI52" s="51"/>
    </row>
    <row r="53" spans="1:61" ht="18" customHeight="1">
      <c r="A53" s="36"/>
      <c r="B53" s="404"/>
      <c r="C53" s="404"/>
      <c r="D53" s="404"/>
      <c r="E53" s="404"/>
      <c r="F53" s="288"/>
      <c r="G53" s="288"/>
      <c r="H53" s="288"/>
      <c r="I53" s="288"/>
      <c r="J53" s="288"/>
      <c r="K53" s="288"/>
      <c r="L53" s="288"/>
      <c r="M53" s="288"/>
      <c r="N53" s="288"/>
      <c r="O53" s="288"/>
      <c r="P53" s="288"/>
      <c r="Q53" s="288"/>
      <c r="R53" s="288"/>
      <c r="S53" s="288"/>
      <c r="T53" s="288"/>
      <c r="U53" s="288"/>
      <c r="V53" s="288"/>
      <c r="W53" s="288"/>
      <c r="X53" s="288"/>
      <c r="Y53" s="288"/>
      <c r="Z53" s="288"/>
      <c r="AA53" s="288"/>
      <c r="AB53" s="288"/>
      <c r="AC53" s="288"/>
      <c r="AD53" s="288"/>
      <c r="AE53" s="288"/>
      <c r="AF53" s="288"/>
      <c r="AG53" s="288"/>
      <c r="AH53" s="288"/>
      <c r="AI53" s="289"/>
      <c r="AK53" s="425" t="s">
        <v>695</v>
      </c>
      <c r="AL53" s="425"/>
      <c r="AM53" s="425"/>
      <c r="AN53" s="425"/>
      <c r="AO53" s="425"/>
      <c r="AP53" s="425"/>
      <c r="AQ53" s="42"/>
      <c r="AR53" s="43"/>
      <c r="AS53" s="43"/>
      <c r="AT53" s="43"/>
      <c r="AU53" s="43"/>
      <c r="AV53" s="43"/>
      <c r="AW53" s="43"/>
      <c r="AX53" s="43"/>
      <c r="AY53" s="43"/>
      <c r="AZ53" s="43"/>
      <c r="BH53" s="50"/>
      <c r="BI53" s="51"/>
    </row>
    <row r="54" spans="1:61" ht="18" customHeight="1">
      <c r="A54" s="36"/>
      <c r="B54" s="404"/>
      <c r="C54" s="404"/>
      <c r="D54" s="404"/>
      <c r="E54" s="404"/>
      <c r="F54" s="288"/>
      <c r="G54" s="288"/>
      <c r="H54" s="288"/>
      <c r="I54" s="288"/>
      <c r="J54" s="288"/>
      <c r="K54" s="288"/>
      <c r="L54" s="288"/>
      <c r="M54" s="288"/>
      <c r="N54" s="288"/>
      <c r="O54" s="288"/>
      <c r="P54" s="288"/>
      <c r="Q54" s="288"/>
      <c r="R54" s="288"/>
      <c r="S54" s="288"/>
      <c r="T54" s="288"/>
      <c r="U54" s="288"/>
      <c r="V54" s="288"/>
      <c r="W54" s="288"/>
      <c r="X54" s="288"/>
      <c r="Y54" s="288"/>
      <c r="Z54" s="288"/>
      <c r="AA54" s="288"/>
      <c r="AB54" s="288"/>
      <c r="AC54" s="288"/>
      <c r="AD54" s="288"/>
      <c r="AE54" s="288"/>
      <c r="AF54" s="288"/>
      <c r="AG54" s="288"/>
      <c r="AH54" s="288"/>
      <c r="AI54" s="289"/>
      <c r="AK54" s="425" t="s">
        <v>696</v>
      </c>
      <c r="AL54" s="425"/>
      <c r="AM54" s="425"/>
      <c r="AN54" s="425"/>
      <c r="AO54" s="425"/>
      <c r="AP54" s="425"/>
      <c r="AQ54" s="42"/>
      <c r="AR54" s="43"/>
      <c r="AS54" s="43"/>
      <c r="AT54" s="43"/>
      <c r="AU54" s="43"/>
      <c r="AV54" s="43"/>
      <c r="AW54" s="43"/>
      <c r="AX54" s="43"/>
      <c r="AY54" s="43"/>
      <c r="AZ54" s="43"/>
      <c r="BH54" s="50"/>
      <c r="BI54" s="51"/>
    </row>
    <row r="55" spans="1:61" ht="18" customHeight="1">
      <c r="A55" s="36"/>
      <c r="B55" s="404"/>
      <c r="C55" s="404"/>
      <c r="D55" s="404"/>
      <c r="E55" s="404"/>
      <c r="F55" s="288"/>
      <c r="G55" s="288"/>
      <c r="H55" s="288"/>
      <c r="I55" s="288"/>
      <c r="J55" s="288"/>
      <c r="K55" s="288"/>
      <c r="L55" s="288"/>
      <c r="M55" s="288"/>
      <c r="N55" s="288"/>
      <c r="O55" s="288"/>
      <c r="P55" s="288"/>
      <c r="Q55" s="288"/>
      <c r="R55" s="288"/>
      <c r="S55" s="288"/>
      <c r="T55" s="288"/>
      <c r="U55" s="288"/>
      <c r="V55" s="288"/>
      <c r="W55" s="288"/>
      <c r="X55" s="288"/>
      <c r="Y55" s="288"/>
      <c r="Z55" s="288"/>
      <c r="AA55" s="288"/>
      <c r="AB55" s="288"/>
      <c r="AC55" s="288"/>
      <c r="AD55" s="288"/>
      <c r="AE55" s="288"/>
      <c r="AF55" s="288"/>
      <c r="AG55" s="288"/>
      <c r="AH55" s="288"/>
      <c r="AI55" s="289"/>
      <c r="AK55" s="425" t="s">
        <v>697</v>
      </c>
      <c r="AL55" s="425"/>
      <c r="AM55" s="425"/>
      <c r="AN55" s="425"/>
      <c r="AO55" s="425"/>
      <c r="AP55" s="425"/>
      <c r="AQ55" s="42"/>
      <c r="AR55" s="43"/>
      <c r="AS55" s="43"/>
      <c r="AT55" s="43"/>
      <c r="AU55" s="43"/>
      <c r="AV55" s="43"/>
      <c r="AW55" s="43"/>
      <c r="AX55" s="43"/>
      <c r="AY55" s="43"/>
      <c r="AZ55" s="43"/>
      <c r="BH55" s="50"/>
      <c r="BI55" s="51"/>
    </row>
    <row r="56" spans="1:61" ht="18" customHeight="1">
      <c r="A56" s="36"/>
      <c r="B56" s="404"/>
      <c r="C56" s="404"/>
      <c r="D56" s="404"/>
      <c r="E56" s="404"/>
      <c r="F56" s="288"/>
      <c r="G56" s="288"/>
      <c r="H56" s="288"/>
      <c r="I56" s="288"/>
      <c r="J56" s="288"/>
      <c r="K56" s="288"/>
      <c r="L56" s="288"/>
      <c r="M56" s="288"/>
      <c r="N56" s="288"/>
      <c r="O56" s="288"/>
      <c r="P56" s="288"/>
      <c r="Q56" s="288"/>
      <c r="R56" s="288"/>
      <c r="S56" s="288"/>
      <c r="T56" s="288"/>
      <c r="U56" s="288"/>
      <c r="V56" s="288"/>
      <c r="W56" s="288"/>
      <c r="X56" s="288"/>
      <c r="Y56" s="288"/>
      <c r="Z56" s="288"/>
      <c r="AA56" s="288"/>
      <c r="AB56" s="288"/>
      <c r="AC56" s="288"/>
      <c r="AD56" s="288"/>
      <c r="AE56" s="288"/>
      <c r="AF56" s="288"/>
      <c r="AG56" s="288"/>
      <c r="AH56" s="288"/>
      <c r="AI56" s="289"/>
      <c r="AK56" s="425" t="s">
        <v>698</v>
      </c>
      <c r="AL56" s="425"/>
      <c r="AM56" s="425"/>
      <c r="AN56" s="425"/>
      <c r="AO56" s="425"/>
      <c r="AP56" s="425"/>
      <c r="AQ56" s="42"/>
      <c r="AR56" s="43"/>
      <c r="AS56" s="43"/>
      <c r="AT56" s="43"/>
      <c r="AU56" s="43"/>
      <c r="AV56" s="43"/>
      <c r="AW56" s="43"/>
      <c r="AX56" s="43"/>
      <c r="AY56" s="43"/>
      <c r="AZ56" s="43"/>
      <c r="BH56" s="52"/>
      <c r="BI56" s="51"/>
    </row>
    <row r="57" spans="1:61" ht="18" customHeight="1">
      <c r="A57" s="36"/>
      <c r="B57" s="404"/>
      <c r="C57" s="404"/>
      <c r="D57" s="404"/>
      <c r="E57" s="404"/>
      <c r="F57" s="288"/>
      <c r="G57" s="288"/>
      <c r="H57" s="288"/>
      <c r="I57" s="288"/>
      <c r="J57" s="288"/>
      <c r="K57" s="288"/>
      <c r="L57" s="288"/>
      <c r="M57" s="288"/>
      <c r="N57" s="288"/>
      <c r="O57" s="288"/>
      <c r="P57" s="288"/>
      <c r="Q57" s="288"/>
      <c r="R57" s="288"/>
      <c r="S57" s="288"/>
      <c r="T57" s="288"/>
      <c r="U57" s="288"/>
      <c r="V57" s="288"/>
      <c r="W57" s="288"/>
      <c r="X57" s="288"/>
      <c r="Y57" s="288"/>
      <c r="Z57" s="288"/>
      <c r="AA57" s="288"/>
      <c r="AB57" s="288"/>
      <c r="AC57" s="288"/>
      <c r="AD57" s="288"/>
      <c r="AE57" s="288"/>
      <c r="AF57" s="288"/>
      <c r="AG57" s="288"/>
      <c r="AH57" s="288"/>
      <c r="AI57" s="289"/>
      <c r="AK57" s="425" t="s">
        <v>699</v>
      </c>
      <c r="AL57" s="425"/>
      <c r="AM57" s="425"/>
      <c r="AN57" s="425"/>
      <c r="AO57" s="425"/>
      <c r="AP57" s="425"/>
      <c r="AQ57" s="42"/>
      <c r="AR57" s="43"/>
      <c r="AS57" s="43"/>
      <c r="AT57" s="43"/>
      <c r="AU57" s="43"/>
      <c r="AV57" s="43"/>
      <c r="AW57" s="43"/>
      <c r="AX57" s="43"/>
      <c r="AY57" s="43"/>
      <c r="AZ57" s="43"/>
      <c r="BH57" s="50"/>
      <c r="BI57" s="51"/>
    </row>
    <row r="58" spans="1:61" ht="18" customHeight="1">
      <c r="A58" s="36"/>
      <c r="B58" s="404"/>
      <c r="C58" s="404"/>
      <c r="D58" s="404"/>
      <c r="E58" s="404"/>
      <c r="F58" s="288"/>
      <c r="G58" s="288"/>
      <c r="H58" s="288"/>
      <c r="I58" s="288"/>
      <c r="J58" s="288"/>
      <c r="K58" s="288"/>
      <c r="L58" s="288"/>
      <c r="M58" s="288"/>
      <c r="N58" s="288"/>
      <c r="O58" s="288"/>
      <c r="P58" s="288"/>
      <c r="Q58" s="288"/>
      <c r="R58" s="288"/>
      <c r="S58" s="288"/>
      <c r="T58" s="288"/>
      <c r="U58" s="288"/>
      <c r="V58" s="288"/>
      <c r="W58" s="288"/>
      <c r="X58" s="288"/>
      <c r="Y58" s="288"/>
      <c r="Z58" s="288"/>
      <c r="AA58" s="288"/>
      <c r="AB58" s="288"/>
      <c r="AC58" s="288"/>
      <c r="AD58" s="288"/>
      <c r="AE58" s="288"/>
      <c r="AF58" s="288"/>
      <c r="AG58" s="288"/>
      <c r="AH58" s="288"/>
      <c r="AI58" s="289"/>
      <c r="AK58" s="425" t="s">
        <v>700</v>
      </c>
      <c r="AL58" s="425"/>
      <c r="AM58" s="425"/>
      <c r="AN58" s="425"/>
      <c r="AO58" s="425"/>
      <c r="AP58" s="425"/>
      <c r="AQ58" s="42"/>
      <c r="AR58" s="43"/>
      <c r="AS58" s="43"/>
      <c r="AT58" s="43"/>
      <c r="AU58" s="43"/>
      <c r="AV58" s="43"/>
      <c r="AW58" s="43"/>
      <c r="AX58" s="43"/>
      <c r="AY58" s="43"/>
      <c r="AZ58" s="43"/>
      <c r="BH58" s="50"/>
      <c r="BI58" s="51"/>
    </row>
    <row r="59" spans="1:61" ht="18" customHeight="1">
      <c r="A59" s="36"/>
      <c r="B59" s="404"/>
      <c r="C59" s="404"/>
      <c r="D59" s="404"/>
      <c r="E59" s="404"/>
      <c r="F59" s="288"/>
      <c r="G59" s="288"/>
      <c r="H59" s="288"/>
      <c r="I59" s="288"/>
      <c r="J59" s="288"/>
      <c r="K59" s="288"/>
      <c r="L59" s="288"/>
      <c r="M59" s="288"/>
      <c r="N59" s="288"/>
      <c r="O59" s="288"/>
      <c r="P59" s="288"/>
      <c r="Q59" s="288"/>
      <c r="R59" s="288"/>
      <c r="S59" s="288"/>
      <c r="T59" s="288"/>
      <c r="U59" s="288"/>
      <c r="V59" s="288"/>
      <c r="W59" s="288"/>
      <c r="X59" s="288"/>
      <c r="Y59" s="288"/>
      <c r="Z59" s="288"/>
      <c r="AA59" s="288"/>
      <c r="AB59" s="288"/>
      <c r="AC59" s="288"/>
      <c r="AD59" s="288"/>
      <c r="AE59" s="288"/>
      <c r="AF59" s="288"/>
      <c r="AG59" s="288"/>
      <c r="AH59" s="288"/>
      <c r="AI59" s="289"/>
      <c r="AK59" s="425" t="s">
        <v>701</v>
      </c>
      <c r="AL59" s="425"/>
      <c r="AM59" s="425"/>
      <c r="AN59" s="425"/>
      <c r="AO59" s="425"/>
      <c r="AP59" s="425"/>
      <c r="AQ59" s="42"/>
      <c r="AR59" s="43"/>
      <c r="AS59" s="43"/>
      <c r="AT59" s="43"/>
      <c r="AU59" s="43"/>
      <c r="AV59" s="43"/>
      <c r="AW59" s="43"/>
      <c r="AX59" s="43"/>
      <c r="AY59" s="43"/>
      <c r="AZ59" s="43"/>
      <c r="BH59" s="50"/>
      <c r="BI59" s="51"/>
    </row>
    <row r="60" spans="1:61" ht="18" customHeight="1">
      <c r="A60" s="36"/>
      <c r="B60" s="404"/>
      <c r="C60" s="404"/>
      <c r="D60" s="404"/>
      <c r="E60" s="404"/>
      <c r="F60" s="288"/>
      <c r="G60" s="288"/>
      <c r="H60" s="288"/>
      <c r="I60" s="288"/>
      <c r="J60" s="288"/>
      <c r="K60" s="288"/>
      <c r="L60" s="288"/>
      <c r="M60" s="288"/>
      <c r="N60" s="288"/>
      <c r="O60" s="288"/>
      <c r="P60" s="288"/>
      <c r="Q60" s="288"/>
      <c r="R60" s="288"/>
      <c r="S60" s="288"/>
      <c r="T60" s="288"/>
      <c r="U60" s="288"/>
      <c r="V60" s="288"/>
      <c r="W60" s="288"/>
      <c r="X60" s="288"/>
      <c r="Y60" s="288"/>
      <c r="Z60" s="288"/>
      <c r="AA60" s="288"/>
      <c r="AB60" s="288"/>
      <c r="AC60" s="288"/>
      <c r="AD60" s="288"/>
      <c r="AE60" s="288"/>
      <c r="AF60" s="288"/>
      <c r="AG60" s="288"/>
      <c r="AH60" s="288"/>
      <c r="AI60" s="289"/>
      <c r="AK60" s="425" t="s">
        <v>702</v>
      </c>
      <c r="AL60" s="425"/>
      <c r="AM60" s="425"/>
      <c r="AN60" s="425"/>
      <c r="AO60" s="425"/>
      <c r="AP60" s="425"/>
      <c r="AQ60" s="42"/>
      <c r="AR60" s="43"/>
      <c r="AS60" s="43"/>
      <c r="AT60" s="43"/>
      <c r="AU60" s="43"/>
      <c r="AV60" s="43"/>
      <c r="AW60" s="43"/>
      <c r="AX60" s="43"/>
      <c r="AY60" s="43"/>
      <c r="AZ60" s="43"/>
      <c r="BH60" s="52"/>
      <c r="BI60" s="51"/>
    </row>
    <row r="61" spans="1:61" ht="18" customHeight="1">
      <c r="A61" s="36"/>
      <c r="B61" s="404"/>
      <c r="C61" s="404"/>
      <c r="D61" s="404"/>
      <c r="E61" s="404"/>
      <c r="F61" s="288"/>
      <c r="G61" s="288"/>
      <c r="H61" s="288"/>
      <c r="I61" s="288"/>
      <c r="J61" s="288"/>
      <c r="K61" s="288"/>
      <c r="L61" s="288"/>
      <c r="M61" s="288"/>
      <c r="N61" s="288"/>
      <c r="O61" s="288"/>
      <c r="P61" s="288"/>
      <c r="Q61" s="288"/>
      <c r="R61" s="288"/>
      <c r="S61" s="288"/>
      <c r="T61" s="288"/>
      <c r="U61" s="288"/>
      <c r="V61" s="288"/>
      <c r="W61" s="288"/>
      <c r="X61" s="288"/>
      <c r="Y61" s="288"/>
      <c r="Z61" s="288"/>
      <c r="AA61" s="288"/>
      <c r="AB61" s="288"/>
      <c r="AC61" s="288"/>
      <c r="AD61" s="288"/>
      <c r="AE61" s="288"/>
      <c r="AF61" s="288"/>
      <c r="AG61" s="288"/>
      <c r="AH61" s="288"/>
      <c r="AI61" s="289"/>
      <c r="AK61" s="425" t="s">
        <v>703</v>
      </c>
      <c r="AL61" s="425"/>
      <c r="AM61" s="425"/>
      <c r="AN61" s="425"/>
      <c r="AO61" s="425"/>
      <c r="AP61" s="425"/>
      <c r="AQ61" s="42"/>
      <c r="AR61" s="43"/>
      <c r="AS61" s="43"/>
      <c r="AT61" s="43"/>
      <c r="AU61" s="43"/>
      <c r="AV61" s="43"/>
      <c r="AW61" s="43"/>
      <c r="AX61" s="43"/>
      <c r="AY61" s="43"/>
      <c r="AZ61" s="43"/>
      <c r="BH61" s="50"/>
      <c r="BI61" s="51"/>
    </row>
    <row r="62" spans="1:61" ht="18" customHeight="1">
      <c r="A62" s="36"/>
      <c r="B62" s="404"/>
      <c r="C62" s="404"/>
      <c r="D62" s="404"/>
      <c r="E62" s="404"/>
      <c r="F62" s="288"/>
      <c r="G62" s="288"/>
      <c r="H62" s="288"/>
      <c r="I62" s="288"/>
      <c r="J62" s="288"/>
      <c r="K62" s="288"/>
      <c r="L62" s="288"/>
      <c r="M62" s="288"/>
      <c r="N62" s="288"/>
      <c r="O62" s="288"/>
      <c r="P62" s="288"/>
      <c r="Q62" s="288"/>
      <c r="R62" s="288"/>
      <c r="S62" s="288"/>
      <c r="T62" s="288"/>
      <c r="U62" s="288"/>
      <c r="V62" s="288"/>
      <c r="W62" s="288"/>
      <c r="X62" s="288"/>
      <c r="Y62" s="288"/>
      <c r="Z62" s="288"/>
      <c r="AA62" s="288"/>
      <c r="AB62" s="288"/>
      <c r="AC62" s="288"/>
      <c r="AD62" s="288"/>
      <c r="AE62" s="288"/>
      <c r="AF62" s="288"/>
      <c r="AG62" s="288"/>
      <c r="AH62" s="288"/>
      <c r="AI62" s="289"/>
      <c r="AK62" s="425"/>
      <c r="AL62" s="425"/>
      <c r="AM62" s="425"/>
      <c r="AN62" s="425"/>
      <c r="AO62" s="425"/>
      <c r="AP62" s="425"/>
      <c r="AQ62" s="42"/>
      <c r="AR62" s="43"/>
      <c r="AS62" s="43"/>
      <c r="AT62" s="43"/>
      <c r="AU62" s="43"/>
      <c r="AV62" s="43"/>
      <c r="AW62" s="43"/>
      <c r="AX62" s="43"/>
      <c r="AY62" s="43"/>
      <c r="AZ62" s="43"/>
      <c r="BH62" s="50"/>
      <c r="BI62" s="51"/>
    </row>
    <row r="63" spans="1:61" ht="18" customHeight="1">
      <c r="A63" s="36"/>
      <c r="B63" s="404"/>
      <c r="C63" s="404"/>
      <c r="D63" s="404"/>
      <c r="E63" s="404"/>
      <c r="F63" s="288"/>
      <c r="G63" s="288"/>
      <c r="H63" s="288"/>
      <c r="I63" s="288"/>
      <c r="J63" s="288"/>
      <c r="K63" s="288"/>
      <c r="L63" s="288"/>
      <c r="M63" s="288"/>
      <c r="N63" s="288"/>
      <c r="O63" s="288"/>
      <c r="P63" s="288"/>
      <c r="Q63" s="288"/>
      <c r="R63" s="288"/>
      <c r="S63" s="288"/>
      <c r="T63" s="288"/>
      <c r="U63" s="288"/>
      <c r="V63" s="288"/>
      <c r="W63" s="288"/>
      <c r="X63" s="288"/>
      <c r="Y63" s="288"/>
      <c r="Z63" s="288"/>
      <c r="AA63" s="288"/>
      <c r="AB63" s="288"/>
      <c r="AC63" s="288"/>
      <c r="AD63" s="288"/>
      <c r="AE63" s="288"/>
      <c r="AF63" s="288"/>
      <c r="AG63" s="288"/>
      <c r="AH63" s="288"/>
      <c r="AI63" s="289"/>
      <c r="AK63" s="425"/>
      <c r="AL63" s="425"/>
      <c r="AM63" s="425"/>
      <c r="AN63" s="425"/>
      <c r="AO63" s="425"/>
      <c r="AP63" s="425"/>
      <c r="AQ63" s="42"/>
      <c r="AR63" s="43"/>
      <c r="AS63" s="43"/>
      <c r="AT63" s="43"/>
      <c r="AU63" s="43"/>
      <c r="AV63" s="43"/>
      <c r="AW63" s="43"/>
      <c r="AX63" s="43"/>
      <c r="AY63" s="43"/>
      <c r="AZ63" s="43"/>
      <c r="BH63" s="52"/>
      <c r="BI63" s="51"/>
    </row>
    <row r="64" spans="1:61" ht="18" customHeight="1">
      <c r="A64" s="36"/>
      <c r="B64" s="404"/>
      <c r="C64" s="404"/>
      <c r="D64" s="404"/>
      <c r="E64" s="404"/>
      <c r="F64" s="288"/>
      <c r="G64" s="288"/>
      <c r="H64" s="288"/>
      <c r="I64" s="288"/>
      <c r="J64" s="288"/>
      <c r="K64" s="288"/>
      <c r="L64" s="288"/>
      <c r="M64" s="288"/>
      <c r="N64" s="288"/>
      <c r="O64" s="288"/>
      <c r="P64" s="288"/>
      <c r="Q64" s="288"/>
      <c r="R64" s="288"/>
      <c r="S64" s="288"/>
      <c r="T64" s="288"/>
      <c r="U64" s="288"/>
      <c r="V64" s="288"/>
      <c r="W64" s="288"/>
      <c r="X64" s="288"/>
      <c r="Y64" s="288"/>
      <c r="Z64" s="288"/>
      <c r="AA64" s="288"/>
      <c r="AB64" s="288"/>
      <c r="AC64" s="288"/>
      <c r="AD64" s="288"/>
      <c r="AE64" s="288"/>
      <c r="AF64" s="288"/>
      <c r="AG64" s="288"/>
      <c r="AH64" s="288"/>
      <c r="AI64" s="289"/>
      <c r="AK64" s="425"/>
      <c r="AL64" s="425"/>
      <c r="AM64" s="425"/>
      <c r="AN64" s="425"/>
      <c r="AO64" s="425"/>
      <c r="AP64" s="425"/>
      <c r="AQ64" s="42"/>
      <c r="AR64" s="43"/>
      <c r="AS64" s="43"/>
      <c r="AT64" s="43"/>
      <c r="AU64" s="43"/>
      <c r="AV64" s="43"/>
      <c r="AW64" s="43"/>
      <c r="AX64" s="43"/>
      <c r="AY64" s="43"/>
      <c r="AZ64" s="43"/>
      <c r="BH64" s="52"/>
      <c r="BI64" s="51"/>
    </row>
    <row r="65" spans="1:61" ht="18" customHeight="1">
      <c r="A65" s="36"/>
      <c r="B65" s="404"/>
      <c r="C65" s="404"/>
      <c r="D65" s="404"/>
      <c r="E65" s="404"/>
      <c r="F65" s="288"/>
      <c r="G65" s="288"/>
      <c r="H65" s="288"/>
      <c r="I65" s="288"/>
      <c r="J65" s="288"/>
      <c r="K65" s="288"/>
      <c r="L65" s="288"/>
      <c r="M65" s="288"/>
      <c r="N65" s="288"/>
      <c r="O65" s="288"/>
      <c r="P65" s="288"/>
      <c r="Q65" s="288"/>
      <c r="R65" s="288"/>
      <c r="S65" s="288"/>
      <c r="T65" s="288"/>
      <c r="U65" s="288"/>
      <c r="V65" s="288"/>
      <c r="W65" s="288"/>
      <c r="X65" s="288"/>
      <c r="Y65" s="288"/>
      <c r="Z65" s="288"/>
      <c r="AA65" s="288"/>
      <c r="AB65" s="288"/>
      <c r="AC65" s="288"/>
      <c r="AD65" s="288"/>
      <c r="AE65" s="288"/>
      <c r="AF65" s="288"/>
      <c r="AG65" s="288"/>
      <c r="AH65" s="288"/>
      <c r="AI65" s="289"/>
      <c r="AK65" s="425"/>
      <c r="AL65" s="425"/>
      <c r="AM65" s="425"/>
      <c r="AN65" s="425"/>
      <c r="AO65" s="425"/>
      <c r="AP65" s="425"/>
      <c r="AQ65" s="42"/>
      <c r="AR65" s="43"/>
      <c r="AS65" s="43"/>
      <c r="AT65" s="43"/>
      <c r="AU65" s="43"/>
      <c r="AV65" s="43"/>
      <c r="AW65" s="43"/>
      <c r="AX65" s="43"/>
      <c r="AY65" s="43"/>
      <c r="AZ65" s="43"/>
      <c r="BH65" s="50"/>
      <c r="BI65" s="51"/>
    </row>
    <row r="66" spans="1:61" ht="18" customHeight="1">
      <c r="A66" s="36"/>
      <c r="B66" s="404"/>
      <c r="C66" s="404"/>
      <c r="D66" s="404"/>
      <c r="E66" s="404"/>
      <c r="F66" s="288"/>
      <c r="G66" s="288"/>
      <c r="H66" s="288"/>
      <c r="I66" s="288"/>
      <c r="J66" s="288"/>
      <c r="K66" s="288"/>
      <c r="L66" s="288"/>
      <c r="M66" s="288"/>
      <c r="N66" s="288"/>
      <c r="O66" s="288"/>
      <c r="P66" s="288"/>
      <c r="Q66" s="288"/>
      <c r="R66" s="288"/>
      <c r="S66" s="288"/>
      <c r="T66" s="288"/>
      <c r="U66" s="288"/>
      <c r="V66" s="288"/>
      <c r="W66" s="288"/>
      <c r="X66" s="288"/>
      <c r="Y66" s="288"/>
      <c r="Z66" s="288"/>
      <c r="AA66" s="288"/>
      <c r="AB66" s="288"/>
      <c r="AC66" s="288"/>
      <c r="AD66" s="288"/>
      <c r="AE66" s="288"/>
      <c r="AF66" s="288"/>
      <c r="AG66" s="288"/>
      <c r="AH66" s="288"/>
      <c r="AI66" s="289"/>
      <c r="AK66" s="425"/>
      <c r="AL66" s="425"/>
      <c r="AM66" s="425"/>
      <c r="AN66" s="425"/>
      <c r="AO66" s="425"/>
      <c r="AP66" s="425"/>
      <c r="AQ66" s="42"/>
      <c r="AR66" s="43"/>
      <c r="AS66" s="43"/>
      <c r="AT66" s="43"/>
      <c r="AU66" s="43"/>
      <c r="AV66" s="43"/>
      <c r="AW66" s="43"/>
      <c r="AX66" s="43"/>
      <c r="AY66" s="43"/>
      <c r="AZ66" s="43"/>
      <c r="BH66" s="50"/>
      <c r="BI66" s="51"/>
    </row>
    <row r="67" spans="1:61" ht="18" customHeight="1">
      <c r="A67" s="36"/>
      <c r="B67" s="404"/>
      <c r="C67" s="404"/>
      <c r="D67" s="404"/>
      <c r="E67" s="404"/>
      <c r="F67" s="288"/>
      <c r="G67" s="288"/>
      <c r="H67" s="288"/>
      <c r="I67" s="288"/>
      <c r="J67" s="288"/>
      <c r="K67" s="288"/>
      <c r="L67" s="288"/>
      <c r="M67" s="288"/>
      <c r="N67" s="288"/>
      <c r="O67" s="288"/>
      <c r="P67" s="288"/>
      <c r="Q67" s="288"/>
      <c r="R67" s="288"/>
      <c r="S67" s="288"/>
      <c r="T67" s="288"/>
      <c r="U67" s="288"/>
      <c r="V67" s="288"/>
      <c r="W67" s="288"/>
      <c r="X67" s="288"/>
      <c r="Y67" s="288"/>
      <c r="Z67" s="288"/>
      <c r="AA67" s="288"/>
      <c r="AB67" s="288"/>
      <c r="AC67" s="288"/>
      <c r="AD67" s="288"/>
      <c r="AE67" s="288"/>
      <c r="AF67" s="288"/>
      <c r="AG67" s="288"/>
      <c r="AH67" s="288"/>
      <c r="AI67" s="289"/>
      <c r="AK67" s="425"/>
      <c r="AL67" s="425"/>
      <c r="AM67" s="425"/>
      <c r="AN67" s="425"/>
      <c r="AO67" s="425"/>
      <c r="AP67" s="425"/>
      <c r="AQ67" s="67"/>
      <c r="AR67" s="43"/>
      <c r="AS67" s="43"/>
      <c r="AT67" s="43"/>
      <c r="AU67" s="43"/>
      <c r="AV67" s="43"/>
      <c r="AW67" s="43"/>
      <c r="AX67" s="43"/>
      <c r="AY67" s="43"/>
      <c r="AZ67" s="43"/>
      <c r="BH67" s="50"/>
      <c r="BI67" s="51"/>
    </row>
    <row r="68" spans="1:61" ht="18" customHeight="1">
      <c r="A68" s="36"/>
      <c r="B68" s="404"/>
      <c r="C68" s="404"/>
      <c r="D68" s="404"/>
      <c r="E68" s="404"/>
      <c r="F68" s="288"/>
      <c r="G68" s="288"/>
      <c r="H68" s="288"/>
      <c r="I68" s="288"/>
      <c r="J68" s="288"/>
      <c r="K68" s="288"/>
      <c r="L68" s="288"/>
      <c r="M68" s="288"/>
      <c r="N68" s="288"/>
      <c r="O68" s="288"/>
      <c r="P68" s="288"/>
      <c r="Q68" s="288"/>
      <c r="R68" s="288"/>
      <c r="S68" s="288"/>
      <c r="T68" s="288"/>
      <c r="U68" s="288"/>
      <c r="V68" s="288"/>
      <c r="W68" s="288"/>
      <c r="X68" s="288"/>
      <c r="Y68" s="288"/>
      <c r="Z68" s="288"/>
      <c r="AA68" s="288"/>
      <c r="AB68" s="288"/>
      <c r="AC68" s="288"/>
      <c r="AD68" s="288"/>
      <c r="AE68" s="288"/>
      <c r="AF68" s="288"/>
      <c r="AG68" s="288"/>
      <c r="AH68" s="288"/>
      <c r="AI68" s="289"/>
      <c r="AK68" s="425"/>
      <c r="AL68" s="425"/>
      <c r="AM68" s="425"/>
      <c r="AN68" s="425"/>
      <c r="AO68" s="425"/>
      <c r="AP68" s="425"/>
      <c r="AQ68" s="67"/>
      <c r="AR68" s="43"/>
      <c r="AS68" s="43"/>
      <c r="AT68" s="43"/>
      <c r="AU68" s="43"/>
      <c r="AV68" s="43"/>
      <c r="AW68" s="43"/>
      <c r="AX68" s="43"/>
      <c r="AY68" s="43"/>
      <c r="AZ68" s="43"/>
      <c r="BH68" s="50"/>
      <c r="BI68" s="51"/>
    </row>
    <row r="69" spans="1:61" ht="18" customHeight="1">
      <c r="A69" s="36"/>
      <c r="B69" s="404"/>
      <c r="C69" s="404"/>
      <c r="D69" s="404"/>
      <c r="E69" s="404"/>
      <c r="F69" s="288"/>
      <c r="G69" s="288"/>
      <c r="H69" s="288"/>
      <c r="I69" s="288"/>
      <c r="J69" s="288"/>
      <c r="K69" s="288"/>
      <c r="L69" s="288"/>
      <c r="M69" s="288"/>
      <c r="N69" s="288"/>
      <c r="O69" s="288"/>
      <c r="P69" s="288"/>
      <c r="Q69" s="288"/>
      <c r="R69" s="288"/>
      <c r="S69" s="288"/>
      <c r="T69" s="288"/>
      <c r="U69" s="288"/>
      <c r="V69" s="288"/>
      <c r="W69" s="288"/>
      <c r="X69" s="288"/>
      <c r="Y69" s="288"/>
      <c r="Z69" s="288"/>
      <c r="AA69" s="288"/>
      <c r="AB69" s="288"/>
      <c r="AC69" s="288"/>
      <c r="AD69" s="288"/>
      <c r="AE69" s="288"/>
      <c r="AF69" s="288"/>
      <c r="AG69" s="288"/>
      <c r="AH69" s="288"/>
      <c r="AI69" s="289"/>
      <c r="AK69" s="425"/>
      <c r="AL69" s="425"/>
      <c r="AM69" s="425"/>
      <c r="AN69" s="425"/>
      <c r="AO69" s="425"/>
      <c r="AP69" s="425"/>
      <c r="AQ69" s="42"/>
      <c r="AR69" s="43"/>
      <c r="AS69" s="43"/>
      <c r="AT69" s="43"/>
      <c r="AU69" s="43"/>
      <c r="AV69" s="43"/>
      <c r="AW69" s="43"/>
      <c r="AX69" s="43"/>
      <c r="AY69" s="43"/>
      <c r="AZ69" s="43"/>
      <c r="BH69" s="50"/>
      <c r="BI69" s="51"/>
    </row>
    <row r="70" spans="1:61" ht="18" customHeight="1">
      <c r="A70" s="36"/>
      <c r="B70" s="404"/>
      <c r="C70" s="404"/>
      <c r="D70" s="404"/>
      <c r="E70" s="404"/>
      <c r="F70" s="288"/>
      <c r="G70" s="288"/>
      <c r="H70" s="288"/>
      <c r="I70" s="288"/>
      <c r="J70" s="288"/>
      <c r="K70" s="288"/>
      <c r="L70" s="288"/>
      <c r="M70" s="288"/>
      <c r="N70" s="288"/>
      <c r="O70" s="288"/>
      <c r="P70" s="288"/>
      <c r="Q70" s="288"/>
      <c r="R70" s="288"/>
      <c r="S70" s="288"/>
      <c r="T70" s="288"/>
      <c r="U70" s="288"/>
      <c r="V70" s="288"/>
      <c r="W70" s="288"/>
      <c r="X70" s="288"/>
      <c r="Y70" s="288"/>
      <c r="Z70" s="288"/>
      <c r="AA70" s="288"/>
      <c r="AB70" s="288"/>
      <c r="AC70" s="288"/>
      <c r="AD70" s="288"/>
      <c r="AE70" s="288"/>
      <c r="AF70" s="288"/>
      <c r="AG70" s="288"/>
      <c r="AH70" s="288"/>
      <c r="AI70" s="289"/>
      <c r="AK70" s="425"/>
      <c r="AL70" s="425"/>
      <c r="AM70" s="425"/>
      <c r="AN70" s="425"/>
      <c r="AO70" s="425"/>
      <c r="AP70" s="425"/>
      <c r="AQ70" s="42"/>
      <c r="AR70" s="43"/>
      <c r="AS70" s="43"/>
      <c r="AT70" s="43"/>
      <c r="AU70" s="43"/>
      <c r="AV70" s="43"/>
      <c r="AW70" s="43"/>
      <c r="AX70" s="43"/>
      <c r="AY70" s="43"/>
      <c r="AZ70" s="43"/>
      <c r="BH70" s="50"/>
      <c r="BI70" s="51"/>
    </row>
    <row r="71" spans="1:61" ht="18" customHeight="1">
      <c r="A71" s="36"/>
      <c r="B71" s="404"/>
      <c r="C71" s="404"/>
      <c r="D71" s="404"/>
      <c r="E71" s="404"/>
      <c r="F71" s="288"/>
      <c r="G71" s="288"/>
      <c r="H71" s="288"/>
      <c r="I71" s="288"/>
      <c r="J71" s="288"/>
      <c r="K71" s="288"/>
      <c r="L71" s="288"/>
      <c r="M71" s="288"/>
      <c r="N71" s="288"/>
      <c r="O71" s="288"/>
      <c r="P71" s="288"/>
      <c r="Q71" s="288"/>
      <c r="R71" s="288"/>
      <c r="S71" s="288"/>
      <c r="T71" s="288"/>
      <c r="U71" s="288"/>
      <c r="V71" s="288"/>
      <c r="W71" s="288"/>
      <c r="X71" s="288"/>
      <c r="Y71" s="288"/>
      <c r="Z71" s="288"/>
      <c r="AA71" s="288"/>
      <c r="AB71" s="288"/>
      <c r="AC71" s="288"/>
      <c r="AD71" s="288"/>
      <c r="AE71" s="288"/>
      <c r="AF71" s="288"/>
      <c r="AG71" s="288"/>
      <c r="AH71" s="288"/>
      <c r="AI71" s="289"/>
      <c r="AK71" s="425"/>
      <c r="AL71" s="425"/>
      <c r="AM71" s="425"/>
      <c r="AN71" s="425"/>
      <c r="AO71" s="425"/>
      <c r="AP71" s="425"/>
      <c r="AQ71" s="42"/>
      <c r="AR71" s="43"/>
      <c r="AS71" s="43"/>
      <c r="AT71" s="43"/>
      <c r="AU71" s="43"/>
      <c r="AV71" s="43"/>
      <c r="AW71" s="43"/>
      <c r="AX71" s="43"/>
      <c r="AY71" s="43"/>
      <c r="AZ71" s="43"/>
      <c r="BH71" s="52"/>
      <c r="BI71" s="51"/>
    </row>
    <row r="72" spans="1:61" ht="18" customHeight="1">
      <c r="A72" s="36"/>
      <c r="B72" s="404"/>
      <c r="C72" s="404"/>
      <c r="D72" s="404"/>
      <c r="E72" s="404"/>
      <c r="F72" s="288"/>
      <c r="G72" s="288"/>
      <c r="H72" s="288"/>
      <c r="I72" s="288"/>
      <c r="J72" s="288"/>
      <c r="K72" s="288"/>
      <c r="L72" s="288"/>
      <c r="M72" s="288"/>
      <c r="N72" s="288"/>
      <c r="O72" s="288"/>
      <c r="P72" s="288"/>
      <c r="Q72" s="288"/>
      <c r="R72" s="288"/>
      <c r="S72" s="288"/>
      <c r="T72" s="288"/>
      <c r="U72" s="288"/>
      <c r="V72" s="288"/>
      <c r="W72" s="288"/>
      <c r="X72" s="288"/>
      <c r="Y72" s="288"/>
      <c r="Z72" s="288"/>
      <c r="AA72" s="288"/>
      <c r="AB72" s="288"/>
      <c r="AC72" s="288"/>
      <c r="AD72" s="288"/>
      <c r="AE72" s="288"/>
      <c r="AF72" s="288"/>
      <c r="AG72" s="288"/>
      <c r="AH72" s="288"/>
      <c r="AI72" s="289"/>
      <c r="AK72" s="425"/>
      <c r="AL72" s="425"/>
      <c r="AM72" s="425"/>
      <c r="AN72" s="425"/>
      <c r="AO72" s="425"/>
      <c r="AP72" s="425"/>
      <c r="AQ72" s="42"/>
      <c r="AR72" s="43"/>
      <c r="AS72" s="43"/>
      <c r="AT72" s="43"/>
      <c r="AU72" s="43"/>
      <c r="AV72" s="43"/>
      <c r="AW72" s="43"/>
      <c r="AX72" s="43"/>
      <c r="AY72" s="43"/>
      <c r="AZ72" s="43"/>
      <c r="BH72" s="53"/>
      <c r="BI72" s="51"/>
    </row>
    <row r="73" spans="1:61" ht="18" customHeight="1">
      <c r="A73" s="36"/>
      <c r="B73" s="404"/>
      <c r="C73" s="404"/>
      <c r="D73" s="404"/>
      <c r="E73" s="404"/>
      <c r="F73" s="288"/>
      <c r="G73" s="288"/>
      <c r="H73" s="288"/>
      <c r="I73" s="288"/>
      <c r="J73" s="288"/>
      <c r="K73" s="288"/>
      <c r="L73" s="288"/>
      <c r="M73" s="288"/>
      <c r="N73" s="288"/>
      <c r="O73" s="288"/>
      <c r="P73" s="288"/>
      <c r="Q73" s="288"/>
      <c r="R73" s="288"/>
      <c r="S73" s="288"/>
      <c r="T73" s="288"/>
      <c r="U73" s="288"/>
      <c r="V73" s="288"/>
      <c r="W73" s="288"/>
      <c r="X73" s="288"/>
      <c r="Y73" s="288"/>
      <c r="Z73" s="288"/>
      <c r="AA73" s="288"/>
      <c r="AB73" s="288"/>
      <c r="AC73" s="288"/>
      <c r="AD73" s="288"/>
      <c r="AE73" s="288"/>
      <c r="AF73" s="288"/>
      <c r="AG73" s="288"/>
      <c r="AH73" s="288"/>
      <c r="AI73" s="289"/>
      <c r="AK73" s="425"/>
      <c r="AL73" s="425"/>
      <c r="AM73" s="425"/>
      <c r="AN73" s="425"/>
      <c r="AO73" s="425"/>
      <c r="AP73" s="425"/>
      <c r="AQ73" s="42"/>
      <c r="AR73" s="43"/>
      <c r="AS73" s="43"/>
      <c r="AT73" s="43"/>
      <c r="AU73" s="43"/>
      <c r="AV73" s="43"/>
      <c r="AW73" s="43"/>
      <c r="AX73" s="43"/>
      <c r="AY73" s="43"/>
      <c r="AZ73" s="43"/>
      <c r="BH73" s="54"/>
      <c r="BI73" s="51"/>
    </row>
    <row r="74" spans="1:61" ht="18" customHeight="1">
      <c r="A74" s="36"/>
      <c r="B74" s="404"/>
      <c r="C74" s="404"/>
      <c r="D74" s="404"/>
      <c r="E74" s="404"/>
      <c r="F74" s="288"/>
      <c r="G74" s="288"/>
      <c r="H74" s="288"/>
      <c r="I74" s="288"/>
      <c r="J74" s="288"/>
      <c r="K74" s="288"/>
      <c r="L74" s="288"/>
      <c r="M74" s="288"/>
      <c r="N74" s="288"/>
      <c r="O74" s="288"/>
      <c r="P74" s="288"/>
      <c r="Q74" s="288"/>
      <c r="R74" s="288"/>
      <c r="S74" s="288"/>
      <c r="T74" s="288"/>
      <c r="U74" s="288"/>
      <c r="V74" s="288"/>
      <c r="W74" s="288"/>
      <c r="X74" s="288"/>
      <c r="Y74" s="288"/>
      <c r="Z74" s="288"/>
      <c r="AA74" s="288"/>
      <c r="AB74" s="288"/>
      <c r="AC74" s="288"/>
      <c r="AD74" s="288"/>
      <c r="AE74" s="288"/>
      <c r="AF74" s="288"/>
      <c r="AG74" s="288"/>
      <c r="AH74" s="288"/>
      <c r="AI74" s="289"/>
      <c r="AK74" s="425"/>
      <c r="AL74" s="425"/>
      <c r="AM74" s="425"/>
      <c r="AN74" s="425"/>
      <c r="AO74" s="425"/>
      <c r="AP74" s="425"/>
      <c r="AQ74" s="42"/>
      <c r="AR74" s="43"/>
      <c r="AS74" s="43"/>
      <c r="AT74" s="43"/>
      <c r="AU74" s="43"/>
      <c r="AV74" s="43"/>
      <c r="AW74" s="43"/>
      <c r="AX74" s="43"/>
      <c r="AY74" s="43"/>
      <c r="AZ74" s="43"/>
      <c r="BH74" s="54"/>
      <c r="BI74" s="51"/>
    </row>
    <row r="75" spans="1:61" ht="18" customHeight="1">
      <c r="A75" s="36"/>
      <c r="B75" s="404"/>
      <c r="C75" s="404"/>
      <c r="D75" s="404"/>
      <c r="E75" s="404"/>
      <c r="F75" s="288"/>
      <c r="G75" s="288"/>
      <c r="H75" s="288"/>
      <c r="I75" s="288"/>
      <c r="J75" s="288"/>
      <c r="K75" s="288"/>
      <c r="L75" s="288"/>
      <c r="M75" s="288"/>
      <c r="N75" s="288"/>
      <c r="O75" s="288"/>
      <c r="P75" s="288"/>
      <c r="Q75" s="288"/>
      <c r="R75" s="288"/>
      <c r="S75" s="288"/>
      <c r="T75" s="288"/>
      <c r="U75" s="288"/>
      <c r="V75" s="288"/>
      <c r="W75" s="288"/>
      <c r="X75" s="288"/>
      <c r="Y75" s="288"/>
      <c r="Z75" s="288"/>
      <c r="AA75" s="288"/>
      <c r="AB75" s="288"/>
      <c r="AC75" s="288"/>
      <c r="AD75" s="288"/>
      <c r="AE75" s="288"/>
      <c r="AF75" s="288"/>
      <c r="AG75" s="288"/>
      <c r="AH75" s="288"/>
      <c r="AI75" s="289"/>
      <c r="AK75" s="425"/>
      <c r="AL75" s="425"/>
      <c r="AM75" s="425"/>
      <c r="AN75" s="425"/>
      <c r="AO75" s="425"/>
      <c r="AP75" s="425"/>
      <c r="AQ75" s="42"/>
      <c r="AR75" s="43"/>
      <c r="AS75" s="43"/>
      <c r="AT75" s="43"/>
      <c r="AU75" s="43"/>
      <c r="AV75" s="43"/>
      <c r="AW75" s="43"/>
      <c r="AX75" s="43"/>
      <c r="AY75" s="43"/>
      <c r="AZ75" s="43"/>
      <c r="BH75" s="53"/>
      <c r="BI75" s="51"/>
    </row>
    <row r="76" spans="1:61" ht="18" customHeight="1">
      <c r="A76" s="36"/>
      <c r="B76" s="404"/>
      <c r="C76" s="404"/>
      <c r="D76" s="404"/>
      <c r="E76" s="404"/>
      <c r="F76" s="288"/>
      <c r="G76" s="288"/>
      <c r="H76" s="288"/>
      <c r="I76" s="288"/>
      <c r="J76" s="288"/>
      <c r="K76" s="288"/>
      <c r="L76" s="288"/>
      <c r="M76" s="288"/>
      <c r="N76" s="288"/>
      <c r="O76" s="288"/>
      <c r="P76" s="288"/>
      <c r="Q76" s="288"/>
      <c r="R76" s="288"/>
      <c r="S76" s="288"/>
      <c r="T76" s="288"/>
      <c r="U76" s="288"/>
      <c r="V76" s="288"/>
      <c r="W76" s="288"/>
      <c r="X76" s="288"/>
      <c r="Y76" s="288"/>
      <c r="Z76" s="288"/>
      <c r="AA76" s="288"/>
      <c r="AB76" s="288"/>
      <c r="AC76" s="288"/>
      <c r="AD76" s="288"/>
      <c r="AE76" s="288"/>
      <c r="AF76" s="288"/>
      <c r="AG76" s="288"/>
      <c r="AH76" s="288"/>
      <c r="AI76" s="289"/>
      <c r="AK76" s="425"/>
      <c r="AL76" s="425"/>
      <c r="AM76" s="425"/>
      <c r="AN76" s="425"/>
      <c r="AO76" s="425"/>
      <c r="AP76" s="425"/>
      <c r="AQ76" s="42"/>
      <c r="AR76" s="43"/>
      <c r="AS76" s="43"/>
      <c r="AT76" s="43"/>
      <c r="AU76" s="43"/>
      <c r="AV76" s="43"/>
      <c r="AW76" s="43"/>
      <c r="AX76" s="43"/>
      <c r="AY76" s="43"/>
      <c r="AZ76" s="43"/>
      <c r="BH76" s="53"/>
      <c r="BI76" s="51"/>
    </row>
    <row r="77" spans="1:61" ht="18" customHeight="1">
      <c r="A77" s="36"/>
      <c r="B77" s="404"/>
      <c r="C77" s="404"/>
      <c r="D77" s="404"/>
      <c r="E77" s="404"/>
      <c r="F77" s="288"/>
      <c r="G77" s="288"/>
      <c r="H77" s="288"/>
      <c r="I77" s="288"/>
      <c r="J77" s="288"/>
      <c r="K77" s="288"/>
      <c r="L77" s="288"/>
      <c r="M77" s="288"/>
      <c r="N77" s="288"/>
      <c r="O77" s="288"/>
      <c r="P77" s="288"/>
      <c r="Q77" s="288"/>
      <c r="R77" s="288"/>
      <c r="S77" s="288"/>
      <c r="T77" s="288"/>
      <c r="U77" s="288"/>
      <c r="V77" s="288"/>
      <c r="W77" s="288"/>
      <c r="X77" s="288"/>
      <c r="Y77" s="288"/>
      <c r="Z77" s="288"/>
      <c r="AA77" s="288"/>
      <c r="AB77" s="288"/>
      <c r="AC77" s="288"/>
      <c r="AD77" s="288"/>
      <c r="AE77" s="288"/>
      <c r="AF77" s="288"/>
      <c r="AG77" s="288"/>
      <c r="AH77" s="288"/>
      <c r="AI77" s="289"/>
      <c r="AK77" s="425"/>
      <c r="AL77" s="425"/>
      <c r="AM77" s="425"/>
      <c r="AN77" s="425"/>
      <c r="AO77" s="425"/>
      <c r="AP77" s="425"/>
      <c r="AQ77" s="42"/>
      <c r="AR77" s="43"/>
      <c r="AS77" s="43"/>
      <c r="AT77" s="43"/>
      <c r="AU77" s="43"/>
      <c r="AV77" s="43"/>
      <c r="AW77" s="43"/>
      <c r="AX77" s="43"/>
      <c r="AY77" s="43"/>
      <c r="AZ77" s="43"/>
      <c r="BH77" s="54"/>
      <c r="BI77" s="51"/>
    </row>
    <row r="78" spans="1:61" ht="18" customHeight="1">
      <c r="A78" s="36"/>
      <c r="B78" s="404"/>
      <c r="C78" s="404"/>
      <c r="D78" s="404"/>
      <c r="E78" s="404"/>
      <c r="F78" s="288"/>
      <c r="G78" s="288"/>
      <c r="H78" s="288"/>
      <c r="I78" s="288"/>
      <c r="J78" s="288"/>
      <c r="K78" s="288"/>
      <c r="L78" s="288"/>
      <c r="M78" s="288"/>
      <c r="N78" s="288"/>
      <c r="O78" s="288"/>
      <c r="P78" s="288"/>
      <c r="Q78" s="288"/>
      <c r="R78" s="288"/>
      <c r="S78" s="288"/>
      <c r="T78" s="288"/>
      <c r="U78" s="288"/>
      <c r="V78" s="288"/>
      <c r="W78" s="288"/>
      <c r="X78" s="288"/>
      <c r="Y78" s="288"/>
      <c r="Z78" s="288"/>
      <c r="AA78" s="288"/>
      <c r="AB78" s="288"/>
      <c r="AC78" s="288"/>
      <c r="AD78" s="288"/>
      <c r="AE78" s="288"/>
      <c r="AF78" s="288"/>
      <c r="AG78" s="288"/>
      <c r="AH78" s="288"/>
      <c r="AI78" s="289"/>
      <c r="AK78" s="425"/>
      <c r="AL78" s="425"/>
      <c r="AM78" s="425"/>
      <c r="AN78" s="425"/>
      <c r="AO78" s="425"/>
      <c r="AP78" s="425"/>
      <c r="AQ78" s="42"/>
      <c r="AR78" s="43"/>
      <c r="AS78" s="43"/>
      <c r="AT78" s="43"/>
      <c r="AU78" s="43"/>
      <c r="AV78" s="43"/>
      <c r="AW78" s="43"/>
      <c r="AX78" s="43"/>
      <c r="AY78" s="43"/>
      <c r="AZ78" s="43"/>
      <c r="BH78" s="54"/>
      <c r="BI78" s="51"/>
    </row>
    <row r="79" spans="1:61" ht="18" customHeight="1">
      <c r="A79" s="36"/>
      <c r="B79" s="404"/>
      <c r="C79" s="404"/>
      <c r="D79" s="404"/>
      <c r="E79" s="404"/>
      <c r="F79" s="288"/>
      <c r="G79" s="288"/>
      <c r="H79" s="288"/>
      <c r="I79" s="288"/>
      <c r="J79" s="288"/>
      <c r="K79" s="288"/>
      <c r="L79" s="288"/>
      <c r="M79" s="288"/>
      <c r="N79" s="288"/>
      <c r="O79" s="288"/>
      <c r="P79" s="288"/>
      <c r="Q79" s="288"/>
      <c r="R79" s="288"/>
      <c r="S79" s="288"/>
      <c r="T79" s="288"/>
      <c r="U79" s="288"/>
      <c r="V79" s="288"/>
      <c r="W79" s="288"/>
      <c r="X79" s="288"/>
      <c r="Y79" s="288"/>
      <c r="Z79" s="288"/>
      <c r="AA79" s="288"/>
      <c r="AB79" s="288"/>
      <c r="AC79" s="288"/>
      <c r="AD79" s="288"/>
      <c r="AE79" s="288"/>
      <c r="AF79" s="288"/>
      <c r="AG79" s="288"/>
      <c r="AH79" s="288"/>
      <c r="AI79" s="289"/>
      <c r="AK79" s="425"/>
      <c r="AL79" s="425"/>
      <c r="AM79" s="425"/>
      <c r="AN79" s="425"/>
      <c r="AO79" s="425"/>
      <c r="AP79" s="425"/>
      <c r="AQ79" s="42"/>
      <c r="AR79" s="43"/>
      <c r="AS79" s="43"/>
      <c r="AT79" s="43"/>
      <c r="AU79" s="43"/>
      <c r="AV79" s="43"/>
      <c r="AW79" s="43"/>
      <c r="AX79" s="43"/>
      <c r="AY79" s="43"/>
      <c r="AZ79" s="43"/>
      <c r="BH79" s="54"/>
      <c r="BI79" s="51"/>
    </row>
    <row r="80" spans="1:61" ht="18" customHeight="1">
      <c r="A80" s="37"/>
      <c r="B80" s="466"/>
      <c r="C80" s="466"/>
      <c r="D80" s="466"/>
      <c r="E80" s="466"/>
      <c r="F80" s="467"/>
      <c r="G80" s="467"/>
      <c r="H80" s="467"/>
      <c r="I80" s="467"/>
      <c r="J80" s="467"/>
      <c r="K80" s="467"/>
      <c r="L80" s="467"/>
      <c r="M80" s="467"/>
      <c r="N80" s="467"/>
      <c r="O80" s="467"/>
      <c r="P80" s="467"/>
      <c r="Q80" s="467"/>
      <c r="R80" s="467"/>
      <c r="S80" s="467"/>
      <c r="T80" s="467"/>
      <c r="U80" s="467"/>
      <c r="V80" s="467"/>
      <c r="W80" s="467"/>
      <c r="X80" s="467"/>
      <c r="Y80" s="467"/>
      <c r="Z80" s="467"/>
      <c r="AA80" s="467"/>
      <c r="AB80" s="467"/>
      <c r="AC80" s="467"/>
      <c r="AD80" s="467"/>
      <c r="AE80" s="467"/>
      <c r="AF80" s="467"/>
      <c r="AG80" s="467"/>
      <c r="AH80" s="467"/>
      <c r="AI80" s="468"/>
      <c r="AK80" s="425"/>
      <c r="AL80" s="425"/>
      <c r="AM80" s="425"/>
      <c r="AN80" s="425"/>
      <c r="AO80" s="425"/>
      <c r="AP80" s="425"/>
      <c r="AQ80" s="42"/>
      <c r="AR80" s="43"/>
      <c r="AS80" s="43"/>
      <c r="AT80" s="43"/>
      <c r="AU80" s="43"/>
      <c r="AV80" s="43"/>
      <c r="AW80" s="43"/>
      <c r="AX80" s="43"/>
      <c r="AY80" s="43"/>
      <c r="AZ80" s="43"/>
      <c r="BH80" s="54"/>
      <c r="BI80" s="51"/>
    </row>
    <row r="81" spans="1:61" ht="18" customHeight="1">
      <c r="A81" s="406" t="s">
        <v>704</v>
      </c>
      <c r="B81" s="407"/>
      <c r="C81" s="407"/>
      <c r="D81" s="407"/>
      <c r="E81" s="407"/>
      <c r="F81" s="407"/>
      <c r="G81" s="407"/>
      <c r="H81" s="407"/>
      <c r="I81" s="407"/>
      <c r="J81" s="407"/>
      <c r="K81" s="407"/>
      <c r="L81" s="407"/>
      <c r="M81" s="407"/>
      <c r="N81" s="407"/>
      <c r="O81" s="407"/>
      <c r="P81" s="407"/>
      <c r="Q81" s="407"/>
      <c r="R81" s="407"/>
      <c r="S81" s="407"/>
      <c r="T81" s="407"/>
      <c r="U81" s="407"/>
      <c r="V81" s="407"/>
      <c r="W81" s="407"/>
      <c r="X81" s="407"/>
      <c r="Y81" s="407"/>
      <c r="Z81" s="407"/>
      <c r="AA81" s="407"/>
      <c r="AB81" s="407"/>
      <c r="AC81" s="407"/>
      <c r="AD81" s="407"/>
      <c r="AE81" s="407"/>
      <c r="AF81" s="407"/>
      <c r="AG81" s="407"/>
      <c r="AH81" s="407"/>
      <c r="AI81" s="408"/>
      <c r="AK81" s="425"/>
      <c r="AL81" s="425"/>
      <c r="AM81" s="425"/>
      <c r="AN81" s="425"/>
      <c r="AO81" s="425"/>
      <c r="AP81" s="425"/>
      <c r="AQ81" s="42"/>
      <c r="AR81" s="43"/>
      <c r="AS81" s="43"/>
      <c r="AT81" s="43"/>
      <c r="AU81" s="43"/>
      <c r="AV81" s="43"/>
      <c r="AW81" s="43"/>
      <c r="AX81" s="43"/>
      <c r="AY81" s="43"/>
      <c r="AZ81" s="43"/>
      <c r="BH81" s="53"/>
      <c r="BI81" s="51"/>
    </row>
    <row r="82" spans="1:61" ht="18" customHeight="1">
      <c r="A82" s="38"/>
      <c r="B82" s="465">
        <v>45644</v>
      </c>
      <c r="C82" s="465"/>
      <c r="D82" s="465"/>
      <c r="E82" s="465"/>
      <c r="F82" s="288" t="s">
        <v>837</v>
      </c>
      <c r="G82" s="288"/>
      <c r="H82" s="288"/>
      <c r="I82" s="288"/>
      <c r="J82" s="288"/>
      <c r="K82" s="288"/>
      <c r="L82" s="288"/>
      <c r="M82" s="288"/>
      <c r="N82" s="288"/>
      <c r="O82" s="288"/>
      <c r="P82" s="288"/>
      <c r="Q82" s="288"/>
      <c r="R82" s="288"/>
      <c r="S82" s="288"/>
      <c r="T82" s="288"/>
      <c r="U82" s="288"/>
      <c r="V82" s="288"/>
      <c r="W82" s="288"/>
      <c r="X82" s="288"/>
      <c r="Y82" s="288"/>
      <c r="Z82" s="288"/>
      <c r="AA82" s="288"/>
      <c r="AB82" s="288"/>
      <c r="AC82" s="288"/>
      <c r="AD82" s="288"/>
      <c r="AE82" s="288"/>
      <c r="AF82" s="288"/>
      <c r="AG82" s="288"/>
      <c r="AH82" s="288"/>
      <c r="AI82" s="289"/>
      <c r="AK82" s="425"/>
      <c r="AL82" s="425"/>
      <c r="AM82" s="425"/>
      <c r="AN82" s="425"/>
      <c r="AO82" s="425"/>
      <c r="AP82" s="425"/>
      <c r="AQ82" s="42"/>
      <c r="AR82" s="43"/>
      <c r="AS82" s="43"/>
      <c r="AT82" s="43"/>
      <c r="AU82" s="43"/>
      <c r="AV82" s="43"/>
      <c r="AW82" s="43"/>
      <c r="AX82" s="43"/>
      <c r="AY82" s="43"/>
      <c r="AZ82" s="43"/>
      <c r="BH82" s="53"/>
      <c r="BI82" s="51"/>
    </row>
    <row r="83" spans="1:61" ht="18" customHeight="1">
      <c r="A83" s="38"/>
      <c r="B83" s="465">
        <v>46160</v>
      </c>
      <c r="C83" s="465"/>
      <c r="D83" s="465"/>
      <c r="E83" s="465"/>
      <c r="F83" s="288" t="s">
        <v>838</v>
      </c>
      <c r="G83" s="288"/>
      <c r="H83" s="288"/>
      <c r="I83" s="288"/>
      <c r="J83" s="288"/>
      <c r="K83" s="288"/>
      <c r="L83" s="288"/>
      <c r="M83" s="288"/>
      <c r="N83" s="288"/>
      <c r="O83" s="288"/>
      <c r="P83" s="288"/>
      <c r="Q83" s="288"/>
      <c r="R83" s="288"/>
      <c r="S83" s="288"/>
      <c r="T83" s="288"/>
      <c r="U83" s="288"/>
      <c r="V83" s="288"/>
      <c r="W83" s="288"/>
      <c r="X83" s="288"/>
      <c r="Y83" s="288"/>
      <c r="Z83" s="288"/>
      <c r="AA83" s="288"/>
      <c r="AB83" s="288"/>
      <c r="AC83" s="288"/>
      <c r="AD83" s="288"/>
      <c r="AE83" s="288"/>
      <c r="AF83" s="288"/>
      <c r="AG83" s="288"/>
      <c r="AH83" s="288"/>
      <c r="AI83" s="289"/>
      <c r="AK83" s="425"/>
      <c r="AL83" s="425"/>
      <c r="AM83" s="425"/>
      <c r="AN83" s="425"/>
      <c r="AO83" s="425"/>
      <c r="AP83" s="425"/>
      <c r="AQ83" s="42"/>
      <c r="AR83" s="43"/>
      <c r="AS83" s="43"/>
      <c r="AT83" s="43"/>
      <c r="AU83" s="43"/>
      <c r="AV83" s="43"/>
      <c r="AW83" s="43"/>
      <c r="AX83" s="43"/>
      <c r="AY83" s="43"/>
      <c r="AZ83" s="43"/>
      <c r="BH83" s="53"/>
      <c r="BI83" s="51"/>
    </row>
    <row r="84" spans="1:61" ht="18" customHeight="1">
      <c r="A84" s="38"/>
      <c r="B84" s="465"/>
      <c r="C84" s="465"/>
      <c r="D84" s="465"/>
      <c r="E84" s="465"/>
      <c r="F84" s="288"/>
      <c r="G84" s="288"/>
      <c r="H84" s="288"/>
      <c r="I84" s="288"/>
      <c r="J84" s="288"/>
      <c r="K84" s="288"/>
      <c r="L84" s="288"/>
      <c r="M84" s="288"/>
      <c r="N84" s="288"/>
      <c r="O84" s="288"/>
      <c r="P84" s="288"/>
      <c r="Q84" s="288"/>
      <c r="R84" s="288"/>
      <c r="S84" s="288"/>
      <c r="T84" s="288"/>
      <c r="U84" s="288"/>
      <c r="V84" s="288"/>
      <c r="W84" s="288"/>
      <c r="X84" s="288"/>
      <c r="Y84" s="288"/>
      <c r="Z84" s="288"/>
      <c r="AA84" s="288"/>
      <c r="AB84" s="288"/>
      <c r="AC84" s="288"/>
      <c r="AD84" s="288"/>
      <c r="AE84" s="288"/>
      <c r="AF84" s="288"/>
      <c r="AG84" s="288"/>
      <c r="AH84" s="288"/>
      <c r="AI84" s="289"/>
      <c r="AK84" s="425"/>
      <c r="AL84" s="425"/>
      <c r="AM84" s="425"/>
      <c r="AN84" s="425"/>
      <c r="AO84" s="425"/>
      <c r="AP84" s="425"/>
      <c r="AQ84" s="42"/>
      <c r="AR84" s="43"/>
      <c r="AS84" s="43"/>
      <c r="AT84" s="43"/>
      <c r="AU84" s="43"/>
      <c r="AV84" s="43"/>
      <c r="AW84" s="43"/>
      <c r="AX84" s="43"/>
      <c r="AY84" s="43"/>
      <c r="AZ84" s="43"/>
    </row>
    <row r="85" spans="1:61" ht="18" customHeight="1">
      <c r="A85" s="38"/>
      <c r="B85" s="465"/>
      <c r="C85" s="465"/>
      <c r="D85" s="465"/>
      <c r="E85" s="465"/>
      <c r="F85" s="288"/>
      <c r="G85" s="288"/>
      <c r="H85" s="288"/>
      <c r="I85" s="288"/>
      <c r="J85" s="288"/>
      <c r="K85" s="288"/>
      <c r="L85" s="288"/>
      <c r="M85" s="288"/>
      <c r="N85" s="288"/>
      <c r="O85" s="288"/>
      <c r="P85" s="288"/>
      <c r="Q85" s="288"/>
      <c r="R85" s="288"/>
      <c r="S85" s="288"/>
      <c r="T85" s="288"/>
      <c r="U85" s="288"/>
      <c r="V85" s="288"/>
      <c r="W85" s="288"/>
      <c r="X85" s="288"/>
      <c r="Y85" s="288"/>
      <c r="Z85" s="288"/>
      <c r="AA85" s="288"/>
      <c r="AB85" s="288"/>
      <c r="AC85" s="288"/>
      <c r="AD85" s="288"/>
      <c r="AE85" s="288"/>
      <c r="AF85" s="288"/>
      <c r="AG85" s="288"/>
      <c r="AH85" s="288"/>
      <c r="AI85" s="289"/>
      <c r="AK85" s="425"/>
      <c r="AL85" s="425"/>
      <c r="AM85" s="425"/>
      <c r="AN85" s="425"/>
      <c r="AO85" s="425"/>
      <c r="AP85" s="425"/>
      <c r="AQ85" s="42"/>
      <c r="AR85" s="43"/>
      <c r="AS85" s="43"/>
      <c r="AT85" s="43"/>
      <c r="AU85" s="43"/>
      <c r="AV85" s="43"/>
      <c r="AW85" s="43"/>
      <c r="AX85" s="43"/>
      <c r="AY85" s="43"/>
      <c r="AZ85" s="43"/>
    </row>
    <row r="86" spans="1:61" ht="18" customHeight="1" thickBot="1">
      <c r="A86" s="41"/>
      <c r="B86" s="540"/>
      <c r="C86" s="540"/>
      <c r="D86" s="540"/>
      <c r="E86" s="540"/>
      <c r="F86" s="541"/>
      <c r="G86" s="541"/>
      <c r="H86" s="541"/>
      <c r="I86" s="541"/>
      <c r="J86" s="541"/>
      <c r="K86" s="541"/>
      <c r="L86" s="541"/>
      <c r="M86" s="541"/>
      <c r="N86" s="541"/>
      <c r="O86" s="541"/>
      <c r="P86" s="541"/>
      <c r="Q86" s="541"/>
      <c r="R86" s="541"/>
      <c r="S86" s="541"/>
      <c r="T86" s="541"/>
      <c r="U86" s="541"/>
      <c r="V86" s="541"/>
      <c r="W86" s="541"/>
      <c r="X86" s="541"/>
      <c r="Y86" s="541"/>
      <c r="Z86" s="541"/>
      <c r="AA86" s="541"/>
      <c r="AB86" s="541"/>
      <c r="AC86" s="541"/>
      <c r="AD86" s="541"/>
      <c r="AE86" s="541"/>
      <c r="AF86" s="541"/>
      <c r="AG86" s="541"/>
      <c r="AH86" s="541"/>
      <c r="AI86" s="542"/>
      <c r="AK86" s="425"/>
      <c r="AL86" s="425"/>
      <c r="AM86" s="425"/>
      <c r="AN86" s="425"/>
      <c r="AO86" s="425"/>
      <c r="AP86" s="425"/>
      <c r="AQ86" s="42"/>
      <c r="AR86" s="43"/>
      <c r="AS86" s="43"/>
      <c r="AT86" s="43"/>
      <c r="AU86" s="43"/>
      <c r="AV86" s="43"/>
      <c r="AW86" s="43"/>
      <c r="AX86" s="43"/>
      <c r="AY86" s="43"/>
      <c r="AZ86" s="43"/>
    </row>
    <row r="87" spans="1:61" ht="14.1" customHeight="1">
      <c r="AK87" s="438"/>
      <c r="AL87" s="438"/>
      <c r="AM87" s="438"/>
      <c r="AN87" s="438"/>
      <c r="AO87" s="438"/>
      <c r="AP87" s="438"/>
      <c r="AQ87" s="119"/>
    </row>
    <row r="88" spans="1:61" ht="14.1" customHeight="1">
      <c r="AK88" s="437"/>
      <c r="AL88" s="437"/>
      <c r="AM88" s="437"/>
      <c r="AN88" s="437"/>
      <c r="AO88" s="437"/>
      <c r="AP88" s="437"/>
      <c r="AQ88" s="120"/>
    </row>
    <row r="89" spans="1:61" ht="14.1" customHeight="1">
      <c r="AK89" s="437"/>
      <c r="AL89" s="437"/>
      <c r="AM89" s="437"/>
      <c r="AN89" s="437"/>
      <c r="AO89" s="437"/>
      <c r="AP89" s="437"/>
      <c r="AQ89" s="120"/>
    </row>
    <row r="90" spans="1:61" ht="14.1" customHeight="1"/>
    <row r="91" spans="1:61" ht="14.1" customHeight="1"/>
    <row r="92" spans="1:61" ht="14.1" customHeight="1"/>
    <row r="93" spans="1:61" ht="14.1" customHeight="1"/>
    <row r="94" spans="1:61" ht="14.1" customHeight="1"/>
    <row r="95" spans="1:61" ht="14.1" customHeight="1"/>
    <row r="96" spans="1:61" ht="14.1" customHeight="1"/>
    <row r="97" ht="14.1" customHeight="1"/>
    <row r="98" ht="14.1" customHeight="1"/>
    <row r="99" ht="14.1" customHeight="1"/>
    <row r="100" ht="14.1" customHeight="1"/>
    <row r="101" ht="14.1" customHeight="1"/>
    <row r="102" ht="14.1" customHeight="1"/>
    <row r="103" ht="14.1" customHeight="1"/>
    <row r="104" ht="14.1" customHeight="1"/>
    <row r="105" ht="14.1" customHeight="1"/>
    <row r="106" ht="14.1" customHeight="1"/>
    <row r="107" ht="14.1" customHeight="1"/>
    <row r="108" ht="14.1" customHeight="1"/>
    <row r="109" ht="14.1" customHeight="1"/>
    <row r="110" ht="14.1" customHeight="1"/>
    <row r="111" ht="14.1" customHeight="1"/>
    <row r="112" ht="14.1" customHeight="1"/>
    <row r="113" ht="14.1" customHeight="1"/>
    <row r="114" ht="14.1" customHeight="1"/>
    <row r="115" ht="14.1" customHeight="1"/>
    <row r="116" ht="14.1" customHeight="1"/>
    <row r="117" ht="14.1" customHeight="1"/>
    <row r="118" ht="14.1" customHeight="1"/>
    <row r="119" ht="14.1" customHeight="1"/>
    <row r="120" ht="14.1" customHeight="1"/>
    <row r="121" ht="14.1" customHeight="1"/>
    <row r="122" ht="14.1" customHeight="1"/>
    <row r="123" ht="14.1" customHeight="1"/>
    <row r="124" ht="14.1" customHeight="1"/>
    <row r="125" ht="14.1" customHeight="1"/>
    <row r="126" ht="14.1" customHeight="1"/>
    <row r="127" ht="14.1" customHeight="1"/>
    <row r="128" ht="14.1" customHeight="1"/>
    <row r="129" ht="14.1" customHeight="1"/>
    <row r="130" ht="14.1" customHeight="1"/>
    <row r="131" ht="14.1" customHeight="1"/>
    <row r="132" ht="14.1" customHeight="1"/>
    <row r="133" ht="14.1" customHeight="1"/>
    <row r="134" ht="14.1" customHeight="1"/>
    <row r="135" ht="14.1" customHeight="1"/>
    <row r="136" ht="14.1" customHeight="1"/>
    <row r="137" ht="14.1" customHeight="1"/>
    <row r="138" ht="14.1" customHeight="1"/>
    <row r="139" ht="14.1" customHeight="1"/>
    <row r="140" ht="14.1" customHeight="1"/>
    <row r="141" ht="14.1" customHeight="1"/>
    <row r="142" ht="14.1" customHeight="1"/>
    <row r="143" ht="14.1" customHeight="1"/>
    <row r="144" ht="14.1" customHeight="1"/>
    <row r="145" ht="14.1" customHeight="1"/>
    <row r="146" ht="14.1" customHeight="1"/>
    <row r="147" ht="14.1" customHeight="1"/>
    <row r="148" ht="14.1" customHeight="1"/>
    <row r="149" ht="14.1" customHeight="1"/>
    <row r="150" ht="14.1" customHeight="1"/>
    <row r="151" ht="14.1" customHeight="1"/>
    <row r="152" ht="14.1" customHeight="1"/>
    <row r="153" ht="14.1" customHeight="1"/>
    <row r="154" ht="14.1" customHeight="1"/>
    <row r="155" ht="14.1" customHeight="1"/>
    <row r="156" ht="14.1" customHeight="1"/>
    <row r="157" ht="14.1" customHeight="1"/>
    <row r="158" ht="14.1" customHeight="1"/>
    <row r="159" ht="14.1" customHeight="1"/>
    <row r="160" ht="14.1" customHeight="1"/>
    <row r="161" ht="14.1" customHeight="1"/>
    <row r="162" ht="14.1" customHeight="1"/>
    <row r="163" ht="14.1" customHeight="1"/>
    <row r="164" ht="14.1" customHeight="1"/>
    <row r="165" ht="14.1" customHeight="1"/>
    <row r="166" ht="14.1" customHeight="1"/>
    <row r="167" ht="14.1" customHeight="1"/>
    <row r="168" ht="14.1" customHeight="1"/>
    <row r="169" ht="14.1" customHeight="1"/>
    <row r="170" ht="14.1" customHeight="1"/>
    <row r="171" ht="14.1" customHeight="1"/>
    <row r="172" ht="14.1" customHeight="1"/>
    <row r="173" ht="14.1" customHeight="1"/>
    <row r="174" ht="14.1" customHeight="1"/>
    <row r="175" ht="14.1" customHeight="1"/>
    <row r="176" ht="14.1" customHeight="1"/>
    <row r="177" ht="14.1" customHeight="1"/>
    <row r="178" ht="14.1" customHeight="1"/>
    <row r="179" ht="14.1" customHeight="1"/>
    <row r="180" ht="14.1" customHeight="1"/>
    <row r="181" ht="14.1" customHeight="1"/>
    <row r="182" ht="14.1" customHeight="1"/>
    <row r="183" ht="14.1" customHeight="1"/>
    <row r="184" ht="14.1" customHeight="1"/>
    <row r="185" ht="14.1" customHeight="1"/>
    <row r="186" ht="14.1" customHeight="1"/>
    <row r="187" ht="14.1" customHeight="1"/>
    <row r="188" ht="14.1" customHeight="1"/>
    <row r="189" ht="14.1" customHeight="1"/>
    <row r="190" ht="14.1" customHeight="1"/>
    <row r="191" ht="14.1" customHeight="1"/>
    <row r="192" ht="14.1" customHeight="1"/>
    <row r="193" ht="14.1" customHeight="1"/>
    <row r="194" ht="14.1" customHeight="1"/>
    <row r="195" ht="14.1" customHeight="1"/>
    <row r="196" ht="14.1" customHeight="1"/>
    <row r="197" ht="14.1" customHeight="1"/>
    <row r="198" ht="14.1" customHeight="1"/>
    <row r="199" ht="14.1" customHeight="1"/>
    <row r="200" ht="14.1" customHeight="1"/>
    <row r="201" ht="14.1" customHeight="1"/>
    <row r="202" ht="14.1" customHeight="1"/>
    <row r="203" ht="14.1" customHeight="1"/>
    <row r="204" ht="14.1" customHeight="1"/>
    <row r="205" ht="14.1" customHeight="1"/>
    <row r="206" ht="14.1" customHeight="1"/>
    <row r="207" ht="14.1" customHeight="1"/>
    <row r="208" ht="14.1" customHeight="1"/>
    <row r="209" ht="14.1" customHeight="1"/>
    <row r="210" ht="14.1" customHeight="1"/>
    <row r="211" ht="14.1" customHeight="1"/>
    <row r="212" ht="14.1" customHeight="1"/>
    <row r="213" ht="14.1" customHeight="1"/>
    <row r="214" ht="14.1" customHeight="1"/>
    <row r="215" ht="14.1" customHeight="1"/>
    <row r="216" ht="14.1" customHeight="1"/>
    <row r="217" ht="14.1" customHeight="1"/>
    <row r="218" ht="14.1" customHeight="1"/>
    <row r="219" ht="14.1" customHeight="1"/>
    <row r="220" ht="14.1" customHeight="1"/>
    <row r="221" ht="14.1" customHeight="1"/>
    <row r="222" ht="14.1" customHeight="1"/>
    <row r="223" ht="14.1" customHeight="1"/>
    <row r="224" ht="14.1" customHeight="1"/>
    <row r="225" ht="14.1" customHeight="1"/>
    <row r="226" ht="14.1" customHeight="1"/>
    <row r="227" ht="14.1" customHeight="1"/>
    <row r="228" ht="14.1" customHeight="1"/>
    <row r="229" ht="14.1" customHeight="1"/>
    <row r="230" ht="14.1" customHeight="1"/>
    <row r="231" ht="14.1" customHeight="1"/>
    <row r="232" ht="14.1" customHeight="1"/>
    <row r="233" ht="14.1" customHeight="1"/>
    <row r="234" ht="14.1" customHeight="1"/>
    <row r="235" ht="14.1" customHeight="1"/>
    <row r="236" ht="14.1" customHeight="1"/>
    <row r="237" ht="14.1" customHeight="1"/>
    <row r="238" ht="14.1" customHeight="1"/>
    <row r="239" ht="14.1" customHeight="1"/>
    <row r="240" ht="14.1" customHeight="1"/>
    <row r="241" ht="14.1" customHeight="1"/>
    <row r="242" ht="14.1" customHeight="1"/>
    <row r="243" ht="14.1" customHeight="1"/>
    <row r="244" ht="14.1" customHeight="1"/>
    <row r="245" ht="14.1" customHeight="1"/>
    <row r="246" ht="14.1" customHeight="1"/>
    <row r="247" ht="14.1" customHeight="1"/>
    <row r="248" ht="14.1" customHeight="1"/>
    <row r="249" ht="14.1" customHeight="1"/>
    <row r="250" ht="14.1" customHeight="1"/>
    <row r="251" ht="14.1" customHeight="1"/>
    <row r="252" ht="14.1" customHeight="1"/>
    <row r="253" ht="14.1" customHeight="1"/>
    <row r="254" ht="14.1" customHeight="1"/>
    <row r="255" ht="14.1" customHeight="1"/>
    <row r="256" ht="14.1" customHeight="1"/>
    <row r="257" ht="14.1" customHeight="1"/>
    <row r="258" ht="14.1" customHeight="1"/>
    <row r="259" ht="14.1" customHeight="1"/>
    <row r="260" ht="14.1" customHeight="1"/>
    <row r="261" ht="14.1" customHeight="1"/>
    <row r="262" ht="14.1" customHeight="1"/>
    <row r="263" ht="14.1" customHeight="1"/>
    <row r="264" ht="14.1" customHeight="1"/>
    <row r="265" ht="14.1" customHeight="1"/>
    <row r="266" ht="14.1" customHeight="1"/>
  </sheetData>
  <sheetProtection algorithmName="SHA-512" hashValue="0loLJCJhL4ad+e9W1BFBlntzNt2hf75qC+V2eugpQkoXMOcFlTwiL5DSpVRXAf1cyQ/kgBnOXO/4cSPzCUKn4A==" saltValue="4etb9yyOEqZ9UduJqdtb6g==" spinCount="100000" sheet="1" autoFilter="0"/>
  <mergeCells count="381">
    <mergeCell ref="A1:S3"/>
    <mergeCell ref="T1:Z3"/>
    <mergeCell ref="AD1:AI1"/>
    <mergeCell ref="AD2:AF4"/>
    <mergeCell ref="AG2:AI4"/>
    <mergeCell ref="A4:S5"/>
    <mergeCell ref="AK7:AP8"/>
    <mergeCell ref="AQ7:AQ8"/>
    <mergeCell ref="V8:X8"/>
    <mergeCell ref="A9:AI9"/>
    <mergeCell ref="AK9:AP9"/>
    <mergeCell ref="A10:H10"/>
    <mergeCell ref="I10:J10"/>
    <mergeCell ref="K10:L10"/>
    <mergeCell ref="M10:T10"/>
    <mergeCell ref="U10:V10"/>
    <mergeCell ref="O7:P8"/>
    <mergeCell ref="Q7:R8"/>
    <mergeCell ref="S7:T8"/>
    <mergeCell ref="V7:X7"/>
    <mergeCell ref="Y7:AA8"/>
    <mergeCell ref="AB7:AI8"/>
    <mergeCell ref="A7:E8"/>
    <mergeCell ref="F7:F8"/>
    <mergeCell ref="G7:I8"/>
    <mergeCell ref="J7:J8"/>
    <mergeCell ref="K7:M8"/>
    <mergeCell ref="N7:N8"/>
    <mergeCell ref="W10:X10"/>
    <mergeCell ref="Y10:AF10"/>
    <mergeCell ref="AG10:AH10"/>
    <mergeCell ref="AK10:AP10"/>
    <mergeCell ref="A11:H11"/>
    <mergeCell ref="I11:J11"/>
    <mergeCell ref="K11:L11"/>
    <mergeCell ref="M11:T11"/>
    <mergeCell ref="U11:V11"/>
    <mergeCell ref="W11:X11"/>
    <mergeCell ref="Y11:AF11"/>
    <mergeCell ref="AG11:AH11"/>
    <mergeCell ref="AK11:AP11"/>
    <mergeCell ref="A12:H12"/>
    <mergeCell ref="I12:J12"/>
    <mergeCell ref="K12:L12"/>
    <mergeCell ref="M12:T12"/>
    <mergeCell ref="U12:V12"/>
    <mergeCell ref="W12:X12"/>
    <mergeCell ref="Y12:AF12"/>
    <mergeCell ref="AG12:AH12"/>
    <mergeCell ref="AK12:AP12"/>
    <mergeCell ref="A13:H13"/>
    <mergeCell ref="I13:J13"/>
    <mergeCell ref="K13:L13"/>
    <mergeCell ref="M13:T13"/>
    <mergeCell ref="U13:V13"/>
    <mergeCell ref="W13:X13"/>
    <mergeCell ref="Y13:AF13"/>
    <mergeCell ref="AG13:AH13"/>
    <mergeCell ref="AK13:AP13"/>
    <mergeCell ref="A14:AI14"/>
    <mergeCell ref="AK14:AP14"/>
    <mergeCell ref="B15:I15"/>
    <mergeCell ref="J15:L15"/>
    <mergeCell ref="M15:N15"/>
    <mergeCell ref="O15:V15"/>
    <mergeCell ref="W15:Y15"/>
    <mergeCell ref="Z15:AA15"/>
    <mergeCell ref="AB15:AG15"/>
    <mergeCell ref="A18:E18"/>
    <mergeCell ref="F18:AI18"/>
    <mergeCell ref="AK18:AP18"/>
    <mergeCell ref="B19:E19"/>
    <mergeCell ref="F19:AI19"/>
    <mergeCell ref="AK19:AP19"/>
    <mergeCell ref="AH15:AI15"/>
    <mergeCell ref="AK15:AP15"/>
    <mergeCell ref="A16:AI16"/>
    <mergeCell ref="AK16:AP16"/>
    <mergeCell ref="A17:E17"/>
    <mergeCell ref="F17:AI17"/>
    <mergeCell ref="AK17:AP17"/>
    <mergeCell ref="B20:E20"/>
    <mergeCell ref="F20:AI20"/>
    <mergeCell ref="AK20:AP20"/>
    <mergeCell ref="AR20:AR23"/>
    <mergeCell ref="B21:E21"/>
    <mergeCell ref="F21:AI21"/>
    <mergeCell ref="AK21:AP21"/>
    <mergeCell ref="B22:E22"/>
    <mergeCell ref="F22:AI22"/>
    <mergeCell ref="AK22:AP22"/>
    <mergeCell ref="BA23:BB23"/>
    <mergeCell ref="B24:E24"/>
    <mergeCell ref="F24:AI24"/>
    <mergeCell ref="AK24:AP24"/>
    <mergeCell ref="AY24:AZ24"/>
    <mergeCell ref="BA24:BB24"/>
    <mergeCell ref="AS22:AT22"/>
    <mergeCell ref="AU22:AV22"/>
    <mergeCell ref="AY22:AZ22"/>
    <mergeCell ref="BA22:BB22"/>
    <mergeCell ref="B23:E23"/>
    <mergeCell ref="F23:AI23"/>
    <mergeCell ref="AK23:AP23"/>
    <mergeCell ref="AS23:AT23"/>
    <mergeCell ref="AU23:AV23"/>
    <mergeCell ref="AY23:AZ23"/>
    <mergeCell ref="B27:E27"/>
    <mergeCell ref="F27:AI27"/>
    <mergeCell ref="AK27:AP27"/>
    <mergeCell ref="AS27:AT27"/>
    <mergeCell ref="AU27:AW27"/>
    <mergeCell ref="AY27:BB27"/>
    <mergeCell ref="B25:E25"/>
    <mergeCell ref="F25:AI25"/>
    <mergeCell ref="AK25:AP25"/>
    <mergeCell ref="AY25:AZ25"/>
    <mergeCell ref="BA25:BB25"/>
    <mergeCell ref="B26:E26"/>
    <mergeCell ref="F26:AI26"/>
    <mergeCell ref="AK26:AP26"/>
    <mergeCell ref="AS26:AW26"/>
    <mergeCell ref="BA28:BB28"/>
    <mergeCell ref="B29:E29"/>
    <mergeCell ref="F29:AI29"/>
    <mergeCell ref="AK29:AP29"/>
    <mergeCell ref="AS29:AT29"/>
    <mergeCell ref="AU29:AW29"/>
    <mergeCell ref="AY29:AZ29"/>
    <mergeCell ref="BA29:BB29"/>
    <mergeCell ref="B28:E28"/>
    <mergeCell ref="F28:AI28"/>
    <mergeCell ref="AK28:AP28"/>
    <mergeCell ref="AS28:AT28"/>
    <mergeCell ref="AU28:AW28"/>
    <mergeCell ref="AY28:AZ28"/>
    <mergeCell ref="A32:AI32"/>
    <mergeCell ref="AK32:AP32"/>
    <mergeCell ref="AS32:AT32"/>
    <mergeCell ref="AU32:AW32"/>
    <mergeCell ref="AY32:AZ32"/>
    <mergeCell ref="BA32:BB32"/>
    <mergeCell ref="BA30:BB30"/>
    <mergeCell ref="B31:E31"/>
    <mergeCell ref="F31:AI31"/>
    <mergeCell ref="AK31:AP31"/>
    <mergeCell ref="AS31:AT31"/>
    <mergeCell ref="AU31:AW31"/>
    <mergeCell ref="AY31:AZ31"/>
    <mergeCell ref="BA31:BB31"/>
    <mergeCell ref="B30:E30"/>
    <mergeCell ref="F30:AI30"/>
    <mergeCell ref="AK30:AP30"/>
    <mergeCell ref="AS30:AT30"/>
    <mergeCell ref="AU30:AW30"/>
    <mergeCell ref="AY30:AZ30"/>
    <mergeCell ref="BA33:BB33"/>
    <mergeCell ref="B34:E34"/>
    <mergeCell ref="F34:AI34"/>
    <mergeCell ref="AK34:AP34"/>
    <mergeCell ref="AS34:AT34"/>
    <mergeCell ref="AU34:AW34"/>
    <mergeCell ref="AY34:AZ34"/>
    <mergeCell ref="BA34:BB34"/>
    <mergeCell ref="B33:E33"/>
    <mergeCell ref="F33:AI33"/>
    <mergeCell ref="AK33:AP33"/>
    <mergeCell ref="AS33:AT33"/>
    <mergeCell ref="AU33:AW33"/>
    <mergeCell ref="AY33:AZ33"/>
    <mergeCell ref="AY35:AZ35"/>
    <mergeCell ref="BA35:BB35"/>
    <mergeCell ref="A36:E36"/>
    <mergeCell ref="F36:K36"/>
    <mergeCell ref="L36:O36"/>
    <mergeCell ref="P36:R36"/>
    <mergeCell ref="T36:V36"/>
    <mergeCell ref="W36:AB36"/>
    <mergeCell ref="AC36:AI36"/>
    <mergeCell ref="B35:E35"/>
    <mergeCell ref="F35:V35"/>
    <mergeCell ref="W35:AB35"/>
    <mergeCell ref="AC35:AI35"/>
    <mergeCell ref="AK35:AP35"/>
    <mergeCell ref="AS35:AT35"/>
    <mergeCell ref="AK36:AP36"/>
    <mergeCell ref="AS36:AT36"/>
    <mergeCell ref="AU36:AW36"/>
    <mergeCell ref="AU35:AW35"/>
    <mergeCell ref="A39:AI39"/>
    <mergeCell ref="AK39:AP39"/>
    <mergeCell ref="AS39:AT39"/>
    <mergeCell ref="AV39:AW39"/>
    <mergeCell ref="A38:E38"/>
    <mergeCell ref="F38:K38"/>
    <mergeCell ref="L38:O38"/>
    <mergeCell ref="P38:V38"/>
    <mergeCell ref="W38:AB38"/>
    <mergeCell ref="AC38:AI38"/>
    <mergeCell ref="AD40:AI40"/>
    <mergeCell ref="A37:E37"/>
    <mergeCell ref="F37:AI37"/>
    <mergeCell ref="AK40:AP40"/>
    <mergeCell ref="AS40:AT40"/>
    <mergeCell ref="AV40:AW40"/>
    <mergeCell ref="A41:D41"/>
    <mergeCell ref="E41:G41"/>
    <mergeCell ref="I41:K41"/>
    <mergeCell ref="L41:R41"/>
    <mergeCell ref="S41:V41"/>
    <mergeCell ref="W41:Y41"/>
    <mergeCell ref="AA41:AC41"/>
    <mergeCell ref="AD41:AI41"/>
    <mergeCell ref="AK41:AP41"/>
    <mergeCell ref="A40:D40"/>
    <mergeCell ref="E40:K40"/>
    <mergeCell ref="L40:R40"/>
    <mergeCell ref="S40:V40"/>
    <mergeCell ref="W40:AC40"/>
    <mergeCell ref="AK37:AP37"/>
    <mergeCell ref="AS37:AT37"/>
    <mergeCell ref="AU37:AW37"/>
    <mergeCell ref="AK38:AP38"/>
    <mergeCell ref="A42:D42"/>
    <mergeCell ref="E42:G42"/>
    <mergeCell ref="I42:K42"/>
    <mergeCell ref="L42:R42"/>
    <mergeCell ref="S42:V42"/>
    <mergeCell ref="W42:Y42"/>
    <mergeCell ref="AA42:AC42"/>
    <mergeCell ref="AK42:AP42"/>
    <mergeCell ref="AS42:AW42"/>
    <mergeCell ref="A43:D43"/>
    <mergeCell ref="E43:G43"/>
    <mergeCell ref="I43:K43"/>
    <mergeCell ref="L43:R43"/>
    <mergeCell ref="S43:V43"/>
    <mergeCell ref="W43:Y43"/>
    <mergeCell ref="AA43:AC43"/>
    <mergeCell ref="A44:D44"/>
    <mergeCell ref="E44:G44"/>
    <mergeCell ref="I44:K44"/>
    <mergeCell ref="L44:R44"/>
    <mergeCell ref="S44:V44"/>
    <mergeCell ref="W44:Y44"/>
    <mergeCell ref="AA44:AC44"/>
    <mergeCell ref="AD44:AI44"/>
    <mergeCell ref="AD42:AI42"/>
    <mergeCell ref="AK44:AP44"/>
    <mergeCell ref="R45:U45"/>
    <mergeCell ref="W45:X45"/>
    <mergeCell ref="Z45:AA45"/>
    <mergeCell ref="AC45:AD45"/>
    <mergeCell ref="AE45:AF45"/>
    <mergeCell ref="AK45:AP45"/>
    <mergeCell ref="AD43:AI43"/>
    <mergeCell ref="AK43:AP43"/>
    <mergeCell ref="B49:E49"/>
    <mergeCell ref="F49:AI49"/>
    <mergeCell ref="AK49:AP49"/>
    <mergeCell ref="B50:E50"/>
    <mergeCell ref="F50:AI50"/>
    <mergeCell ref="AK50:AP50"/>
    <mergeCell ref="A46:AI46"/>
    <mergeCell ref="AK46:AP46"/>
    <mergeCell ref="B47:E47"/>
    <mergeCell ref="F47:AI47"/>
    <mergeCell ref="AK47:AP47"/>
    <mergeCell ref="B48:E48"/>
    <mergeCell ref="F48:AI48"/>
    <mergeCell ref="AK48:AP48"/>
    <mergeCell ref="B53:E53"/>
    <mergeCell ref="F53:AI53"/>
    <mergeCell ref="AK53:AP53"/>
    <mergeCell ref="B54:E54"/>
    <mergeCell ref="F54:AI54"/>
    <mergeCell ref="AK54:AP54"/>
    <mergeCell ref="B51:E51"/>
    <mergeCell ref="F51:AI51"/>
    <mergeCell ref="AK51:AP51"/>
    <mergeCell ref="B52:E52"/>
    <mergeCell ref="F52:AI52"/>
    <mergeCell ref="AK52:AP52"/>
    <mergeCell ref="B57:E57"/>
    <mergeCell ref="F57:AI57"/>
    <mergeCell ref="AK57:AP57"/>
    <mergeCell ref="B58:E58"/>
    <mergeCell ref="F58:AI58"/>
    <mergeCell ref="AK58:AP58"/>
    <mergeCell ref="B55:E55"/>
    <mergeCell ref="F55:AI55"/>
    <mergeCell ref="AK55:AP55"/>
    <mergeCell ref="B56:E56"/>
    <mergeCell ref="F56:AI56"/>
    <mergeCell ref="AK56:AP56"/>
    <mergeCell ref="B61:E61"/>
    <mergeCell ref="F61:AI61"/>
    <mergeCell ref="AK61:AP61"/>
    <mergeCell ref="B62:E62"/>
    <mergeCell ref="F62:AI62"/>
    <mergeCell ref="AK62:AP62"/>
    <mergeCell ref="B59:E59"/>
    <mergeCell ref="F59:AI59"/>
    <mergeCell ref="AK59:AP59"/>
    <mergeCell ref="B60:E60"/>
    <mergeCell ref="F60:AI60"/>
    <mergeCell ref="AK60:AP60"/>
    <mergeCell ref="B65:E65"/>
    <mergeCell ref="F65:AI65"/>
    <mergeCell ref="AK65:AP65"/>
    <mergeCell ref="B66:E66"/>
    <mergeCell ref="F66:AI66"/>
    <mergeCell ref="AK66:AP66"/>
    <mergeCell ref="B63:E63"/>
    <mergeCell ref="F63:AI63"/>
    <mergeCell ref="AK63:AP63"/>
    <mergeCell ref="B64:E64"/>
    <mergeCell ref="F64:AI64"/>
    <mergeCell ref="AK64:AP64"/>
    <mergeCell ref="B69:E69"/>
    <mergeCell ref="F69:AI69"/>
    <mergeCell ref="AK69:AP69"/>
    <mergeCell ref="B70:E70"/>
    <mergeCell ref="F70:AI70"/>
    <mergeCell ref="AK70:AP70"/>
    <mergeCell ref="B67:E67"/>
    <mergeCell ref="F67:AI67"/>
    <mergeCell ref="AK67:AP67"/>
    <mergeCell ref="B68:E68"/>
    <mergeCell ref="F68:AI68"/>
    <mergeCell ref="AK68:AP68"/>
    <mergeCell ref="B73:E73"/>
    <mergeCell ref="F73:AI73"/>
    <mergeCell ref="AK73:AP73"/>
    <mergeCell ref="B74:E74"/>
    <mergeCell ref="F74:AI74"/>
    <mergeCell ref="AK74:AP74"/>
    <mergeCell ref="B71:E71"/>
    <mergeCell ref="F71:AI71"/>
    <mergeCell ref="AK71:AP71"/>
    <mergeCell ref="B72:E72"/>
    <mergeCell ref="F72:AI72"/>
    <mergeCell ref="AK72:AP72"/>
    <mergeCell ref="B77:E77"/>
    <mergeCell ref="F77:AI77"/>
    <mergeCell ref="AK77:AP77"/>
    <mergeCell ref="B78:E78"/>
    <mergeCell ref="F78:AI78"/>
    <mergeCell ref="AK78:AP78"/>
    <mergeCell ref="B75:E75"/>
    <mergeCell ref="F75:AI75"/>
    <mergeCell ref="AK75:AP75"/>
    <mergeCell ref="B76:E76"/>
    <mergeCell ref="F76:AI76"/>
    <mergeCell ref="AK76:AP76"/>
    <mergeCell ref="A81:AI81"/>
    <mergeCell ref="AK81:AP81"/>
    <mergeCell ref="B82:E82"/>
    <mergeCell ref="F82:AI82"/>
    <mergeCell ref="AK82:AP82"/>
    <mergeCell ref="B83:E83"/>
    <mergeCell ref="F83:AI83"/>
    <mergeCell ref="AK83:AP83"/>
    <mergeCell ref="B79:E79"/>
    <mergeCell ref="F79:AI79"/>
    <mergeCell ref="AK79:AP79"/>
    <mergeCell ref="B80:E80"/>
    <mergeCell ref="F80:AI80"/>
    <mergeCell ref="AK80:AP80"/>
    <mergeCell ref="B86:E86"/>
    <mergeCell ref="F86:AI86"/>
    <mergeCell ref="AK86:AP86"/>
    <mergeCell ref="AK87:AP87"/>
    <mergeCell ref="AK88:AP88"/>
    <mergeCell ref="AK89:AP89"/>
    <mergeCell ref="B84:E84"/>
    <mergeCell ref="F84:AI84"/>
    <mergeCell ref="AK84:AP84"/>
    <mergeCell ref="B85:E85"/>
    <mergeCell ref="F85:AI85"/>
    <mergeCell ref="AK85:AP85"/>
  </mergeCells>
  <phoneticPr fontId="2"/>
  <conditionalFormatting sqref="AQ20:AQ28 AQ30:AQ31 AQ9 AQ11:AQ12 AQ14 AQ33:AQ34">
    <cfRule type="containsBlanks" dxfId="83" priority="12">
      <formula>LEN(TRIM(AQ9))=0</formula>
    </cfRule>
  </conditionalFormatting>
  <conditionalFormatting sqref="BC11:CF11">
    <cfRule type="containsText" dxfId="82" priority="8" operator="containsText" text="青">
      <formula>NOT(ISERROR(SEARCH("青",BC11)))</formula>
    </cfRule>
    <cfRule type="containsText" dxfId="81" priority="9" operator="containsText" text="緑">
      <formula>NOT(ISERROR(SEARCH("緑",BC11)))</formula>
    </cfRule>
    <cfRule type="containsText" dxfId="80" priority="10" operator="containsText" text="黄">
      <formula>NOT(ISERROR(SEARCH("黄",BC11)))</formula>
    </cfRule>
    <cfRule type="containsText" dxfId="79" priority="11" operator="containsText" text="赤">
      <formula>NOT(ISERROR(SEARCH("赤",BC11)))</formula>
    </cfRule>
  </conditionalFormatting>
  <conditionalFormatting sqref="V7:X8">
    <cfRule type="containsBlanks" dxfId="78" priority="7">
      <formula>LEN(TRIM(V7))=0</formula>
    </cfRule>
  </conditionalFormatting>
  <conditionalFormatting sqref="AB7:AI8">
    <cfRule type="containsBlanks" dxfId="77" priority="6">
      <formula>LEN(TRIM(AB7))=0</formula>
    </cfRule>
  </conditionalFormatting>
  <conditionalFormatting sqref="A7:E8 G7:I8 K7:M8 O7:P8">
    <cfRule type="containsBlanks" dxfId="76" priority="5">
      <formula>LEN(TRIM(A7))=0</formula>
    </cfRule>
  </conditionalFormatting>
  <conditionalFormatting sqref="W15:Y15 AH15:AI15 J15:L15">
    <cfRule type="containsBlanks" dxfId="75" priority="4">
      <formula>LEN(TRIM(J15))=0</formula>
    </cfRule>
  </conditionalFormatting>
  <conditionalFormatting sqref="L41:R44">
    <cfRule type="cellIs" dxfId="74" priority="1" operator="equal">
      <formula>0</formula>
    </cfRule>
  </conditionalFormatting>
  <conditionalFormatting sqref="P36:R36 T36:V36 L38:O38 AC38:AI38 AC36:AI36">
    <cfRule type="containsBlanks" dxfId="73" priority="3">
      <formula>LEN(TRIM(L36))=0</formula>
    </cfRule>
  </conditionalFormatting>
  <conditionalFormatting sqref="W41:Y44 AA41:AI44">
    <cfRule type="cellIs" dxfId="72" priority="2" operator="equal">
      <formula>0</formula>
    </cfRule>
  </conditionalFormatting>
  <printOptions horizontalCentered="1" verticalCentered="1"/>
  <pageMargins left="0.70866141732283472" right="0.59055118110236227" top="0.55118110236220474" bottom="0.55118110236220474" header="0.31496062992125984" footer="0.31496062992125984"/>
  <pageSetup paperSize="9" orientation="portrait" horizontalDpi="300" verticalDpi="300" r:id="rId1"/>
  <headerFooter scaleWithDoc="0" alignWithMargins="0">
    <oddFooter>&amp;C&amp;P&amp;Rヒトトヒト株式会社</oddFooter>
  </headerFooter>
  <rowBreaks count="1" manualBreakCount="1">
    <brk id="44" max="34" man="1"/>
  </rowBreaks>
  <drawing r:id="rId2"/>
  <extLst>
    <ext xmlns:x14="http://schemas.microsoft.com/office/spreadsheetml/2009/9/main" uri="{CCE6A557-97BC-4b89-ADB6-D9C93CAAB3DF}">
      <x14:dataValidations xmlns:xm="http://schemas.microsoft.com/office/excel/2006/main" count="6">
        <x14:dataValidation type="list" allowBlank="1" showInputMessage="1" showErrorMessage="1" xr:uid="{CC9746C1-72C0-4333-ACBA-6D118D01D22E}">
          <x14:formula1>
            <xm:f>初期値!$C$12:$C$27</xm:f>
          </x14:formula1>
          <xm:sqref>P36:R36 T36:V36</xm:sqref>
        </x14:dataValidation>
        <x14:dataValidation type="list" allowBlank="1" showInputMessage="1" showErrorMessage="1" xr:uid="{A65F39CB-58F6-4ACC-B144-E5CD5FFE4E33}">
          <x14:formula1>
            <xm:f>初期値!$G$12:$G$24</xm:f>
          </x14:formula1>
          <xm:sqref>V7:X8</xm:sqref>
        </x14:dataValidation>
        <x14:dataValidation type="list" allowBlank="1" showInputMessage="1" showErrorMessage="1" xr:uid="{9234BFF6-33A0-41B7-A2EB-ECBCF64D4DC0}">
          <x14:formula1>
            <xm:f>初期値!$E$12:$E$13</xm:f>
          </x14:formula1>
          <xm:sqref>L38:O38 AC38:AI38 AC36:AI36</xm:sqref>
        </x14:dataValidation>
        <x14:dataValidation type="list" allowBlank="1" showInputMessage="1" showErrorMessage="1" xr:uid="{7232CBC5-907E-4F69-BE36-4688536F5646}">
          <x14:formula1>
            <xm:f>初期値!$N$22:$N$23</xm:f>
          </x14:formula1>
          <xm:sqref>AW23</xm:sqref>
        </x14:dataValidation>
        <x14:dataValidation type="list" allowBlank="1" showInputMessage="1" showErrorMessage="1" xr:uid="{CA473163-E094-475B-AD7F-DB271CAA2C22}">
          <x14:formula1>
            <xm:f>初期値!$P$12:$P$27</xm:f>
          </x14:formula1>
          <xm:sqref>BA24:BB24 BA22:BB22 BA28:BB28 BA30:BB30 BA32:BB32 BA34:BB34</xm:sqref>
        </x14:dataValidation>
        <x14:dataValidation type="list" allowBlank="1" showInputMessage="1" showErrorMessage="1" xr:uid="{A1FEEC1E-0B76-46B6-9F8B-D559A322B9BC}">
          <x14:formula1>
            <xm:f>初期値!$N$12:$N$19</xm:f>
          </x14:formula1>
          <xm:sqref>AU22:AV22</xm:sqref>
        </x14:dataValidation>
      </x14:dataValidations>
    </ext>
  </extLst>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895E097-2DFF-48C2-9A1B-87964C18055E}">
  <sheetPr codeName="Sheet32"/>
  <dimension ref="A1:CG266"/>
  <sheetViews>
    <sheetView topLeftCell="A57" zoomScaleNormal="100" zoomScaleSheetLayoutView="100" workbookViewId="0">
      <selection activeCell="F84" sqref="F84:AI84"/>
    </sheetView>
  </sheetViews>
  <sheetFormatPr defaultColWidth="8.875" defaultRowHeight="13.5"/>
  <cols>
    <col min="1" max="42" width="2.25" style="23" customWidth="1"/>
    <col min="43" max="43" width="6" style="23" bestFit="1" customWidth="1"/>
    <col min="44" max="44" width="4.5" style="23" bestFit="1" customWidth="1"/>
    <col min="45" max="45" width="6" style="23" bestFit="1" customWidth="1"/>
    <col min="46" max="46" width="4.5" style="23" bestFit="1" customWidth="1"/>
    <col min="47" max="47" width="9" style="23" bestFit="1" customWidth="1"/>
    <col min="48" max="48" width="8.5" style="23" bestFit="1" customWidth="1"/>
    <col min="49" max="49" width="7.5" style="23" bestFit="1" customWidth="1"/>
    <col min="50" max="50" width="6.5" style="23" bestFit="1" customWidth="1"/>
    <col min="51" max="51" width="7.5" style="23" bestFit="1" customWidth="1"/>
    <col min="52" max="52" width="2.125" style="23" customWidth="1"/>
    <col min="53" max="54" width="7.375" style="23" customWidth="1"/>
    <col min="55" max="63" width="3.625" style="23" bestFit="1" customWidth="1"/>
    <col min="64" max="84" width="4" style="23" bestFit="1" customWidth="1"/>
    <col min="85" max="16384" width="8.875" style="23"/>
  </cols>
  <sheetData>
    <row r="1" spans="1:85" ht="14.1" customHeight="1">
      <c r="A1" s="510" t="s">
        <v>551</v>
      </c>
      <c r="B1" s="510"/>
      <c r="C1" s="510"/>
      <c r="D1" s="510"/>
      <c r="E1" s="510"/>
      <c r="F1" s="510"/>
      <c r="G1" s="510"/>
      <c r="H1" s="510"/>
      <c r="I1" s="510"/>
      <c r="J1" s="510"/>
      <c r="K1" s="510"/>
      <c r="L1" s="510"/>
      <c r="M1" s="510"/>
      <c r="N1" s="510"/>
      <c r="O1" s="510"/>
      <c r="P1" s="510"/>
      <c r="Q1" s="510"/>
      <c r="R1" s="510"/>
      <c r="S1" s="510"/>
      <c r="T1" s="388"/>
      <c r="U1" s="388"/>
      <c r="V1" s="388"/>
      <c r="W1" s="388"/>
      <c r="X1" s="388"/>
      <c r="Y1" s="388"/>
      <c r="Z1" s="388"/>
      <c r="AA1" s="24"/>
      <c r="AB1" s="32"/>
      <c r="AD1" s="252" t="s">
        <v>167</v>
      </c>
      <c r="AE1" s="252"/>
      <c r="AF1" s="252"/>
      <c r="AG1" s="252"/>
      <c r="AH1" s="252"/>
      <c r="AI1" s="252"/>
      <c r="AM1" s="123">
        <v>25</v>
      </c>
      <c r="BB1"/>
    </row>
    <row r="2" spans="1:85" ht="14.1" customHeight="1">
      <c r="A2" s="510"/>
      <c r="B2" s="510"/>
      <c r="C2" s="510"/>
      <c r="D2" s="510"/>
      <c r="E2" s="510"/>
      <c r="F2" s="510"/>
      <c r="G2" s="510"/>
      <c r="H2" s="510"/>
      <c r="I2" s="510"/>
      <c r="J2" s="510"/>
      <c r="K2" s="510"/>
      <c r="L2" s="510"/>
      <c r="M2" s="510"/>
      <c r="N2" s="510"/>
      <c r="O2" s="510"/>
      <c r="P2" s="510"/>
      <c r="Q2" s="510"/>
      <c r="R2" s="510"/>
      <c r="S2" s="510"/>
      <c r="T2" s="388"/>
      <c r="U2" s="388"/>
      <c r="V2" s="388"/>
      <c r="W2" s="388"/>
      <c r="X2" s="388"/>
      <c r="Y2" s="388"/>
      <c r="Z2" s="388"/>
      <c r="AA2" s="25"/>
      <c r="AB2" s="31"/>
      <c r="AD2" s="253"/>
      <c r="AE2" s="253"/>
      <c r="AF2" s="253"/>
      <c r="AG2" s="253"/>
      <c r="AH2" s="253"/>
      <c r="AI2" s="253"/>
      <c r="BA2"/>
    </row>
    <row r="3" spans="1:85" ht="14.1" customHeight="1">
      <c r="A3" s="510"/>
      <c r="B3" s="510"/>
      <c r="C3" s="510"/>
      <c r="D3" s="510"/>
      <c r="E3" s="510"/>
      <c r="F3" s="510"/>
      <c r="G3" s="510"/>
      <c r="H3" s="510"/>
      <c r="I3" s="510"/>
      <c r="J3" s="510"/>
      <c r="K3" s="510"/>
      <c r="L3" s="510"/>
      <c r="M3" s="510"/>
      <c r="N3" s="510"/>
      <c r="O3" s="510"/>
      <c r="P3" s="510"/>
      <c r="Q3" s="510"/>
      <c r="R3" s="510"/>
      <c r="S3" s="510"/>
      <c r="T3" s="388"/>
      <c r="U3" s="388"/>
      <c r="V3" s="388"/>
      <c r="W3" s="388"/>
      <c r="X3" s="388"/>
      <c r="Y3" s="388"/>
      <c r="Z3" s="388"/>
      <c r="AA3" s="25"/>
      <c r="AB3" s="31"/>
      <c r="AD3" s="253"/>
      <c r="AE3" s="253"/>
      <c r="AF3" s="253"/>
      <c r="AG3" s="253"/>
      <c r="AH3" s="253"/>
      <c r="AI3" s="253"/>
      <c r="BA3"/>
    </row>
    <row r="4" spans="1:85" ht="14.1" customHeight="1">
      <c r="A4" s="395" t="s">
        <v>552</v>
      </c>
      <c r="B4" s="395"/>
      <c r="C4" s="395"/>
      <c r="D4" s="395"/>
      <c r="E4" s="395"/>
      <c r="F4" s="395"/>
      <c r="G4" s="395"/>
      <c r="H4" s="395"/>
      <c r="I4" s="395"/>
      <c r="J4" s="395"/>
      <c r="K4" s="395"/>
      <c r="L4" s="395"/>
      <c r="M4" s="395"/>
      <c r="N4" s="395"/>
      <c r="O4" s="395"/>
      <c r="P4" s="395"/>
      <c r="Q4" s="395"/>
      <c r="R4" s="395"/>
      <c r="S4" s="395"/>
      <c r="T4" s="155"/>
      <c r="U4" s="155"/>
      <c r="V4" s="155"/>
      <c r="W4" s="155"/>
      <c r="X4" s="155"/>
      <c r="Y4" s="155"/>
      <c r="Z4" s="155"/>
      <c r="AA4" s="26"/>
      <c r="AB4" s="31"/>
      <c r="AD4" s="253"/>
      <c r="AE4" s="253"/>
      <c r="AF4" s="253"/>
      <c r="AG4" s="253"/>
      <c r="AH4" s="253"/>
      <c r="AI4" s="253"/>
      <c r="BA4"/>
    </row>
    <row r="5" spans="1:85" ht="14.1" customHeight="1">
      <c r="A5" s="395"/>
      <c r="B5" s="395"/>
      <c r="C5" s="395"/>
      <c r="D5" s="395"/>
      <c r="E5" s="395"/>
      <c r="F5" s="395"/>
      <c r="G5" s="395"/>
      <c r="H5" s="395"/>
      <c r="I5" s="395"/>
      <c r="J5" s="395"/>
      <c r="K5" s="395"/>
      <c r="L5" s="395"/>
      <c r="M5" s="395"/>
      <c r="N5" s="395"/>
      <c r="O5" s="395"/>
      <c r="P5" s="395"/>
      <c r="Q5" s="395"/>
      <c r="R5" s="395"/>
      <c r="S5" s="395"/>
      <c r="T5" s="155"/>
      <c r="U5" s="155"/>
      <c r="V5" s="155"/>
      <c r="W5" s="155"/>
      <c r="X5" s="155"/>
      <c r="Y5" s="155"/>
      <c r="Z5" s="155"/>
      <c r="AA5" s="26"/>
      <c r="AB5" s="31"/>
      <c r="AC5" s="31"/>
      <c r="AD5" s="31"/>
      <c r="AE5" s="31"/>
      <c r="AF5" s="31"/>
      <c r="AG5" s="31"/>
      <c r="AH5" s="31"/>
      <c r="AI5" s="31"/>
      <c r="BA5"/>
    </row>
    <row r="6" spans="1:85" ht="14.1" customHeight="1" thickBot="1">
      <c r="A6" s="27"/>
      <c r="B6" s="27"/>
      <c r="C6" s="27"/>
      <c r="D6" s="27"/>
      <c r="E6" s="27"/>
      <c r="F6" s="27"/>
      <c r="G6" s="27"/>
      <c r="H6" s="27"/>
      <c r="I6" s="27"/>
      <c r="BA6"/>
    </row>
    <row r="7" spans="1:85" ht="12" customHeight="1">
      <c r="A7" s="255">
        <f>DATE(初期値!A2,初期値!A3,AM1)</f>
        <v>46198</v>
      </c>
      <c r="B7" s="256"/>
      <c r="C7" s="256"/>
      <c r="D7" s="256"/>
      <c r="E7" s="256"/>
      <c r="F7" s="259" t="s">
        <v>169</v>
      </c>
      <c r="G7" s="236">
        <f>$A$7</f>
        <v>46198</v>
      </c>
      <c r="H7" s="236"/>
      <c r="I7" s="236"/>
      <c r="J7" s="239" t="s">
        <v>170</v>
      </c>
      <c r="K7" s="261">
        <f>$A$7</f>
        <v>46198</v>
      </c>
      <c r="L7" s="261"/>
      <c r="M7" s="261"/>
      <c r="N7" s="239" t="s">
        <v>3</v>
      </c>
      <c r="O7" s="520">
        <f>$A$7</f>
        <v>46198</v>
      </c>
      <c r="P7" s="520"/>
      <c r="Q7" s="239" t="s">
        <v>292</v>
      </c>
      <c r="R7" s="240"/>
      <c r="S7" s="522" t="s">
        <v>553</v>
      </c>
      <c r="T7" s="244"/>
      <c r="U7" s="29" t="s">
        <v>554</v>
      </c>
      <c r="V7" s="518" t="s">
        <v>63</v>
      </c>
      <c r="W7" s="518"/>
      <c r="X7" s="518"/>
      <c r="Y7" s="511" t="s">
        <v>555</v>
      </c>
      <c r="Z7" s="512"/>
      <c r="AA7" s="513"/>
      <c r="AB7" s="244" t="str">
        <f>L43</f>
        <v>三角龍彦</v>
      </c>
      <c r="AC7" s="244"/>
      <c r="AD7" s="244"/>
      <c r="AE7" s="244"/>
      <c r="AF7" s="244"/>
      <c r="AG7" s="244"/>
      <c r="AH7" s="244"/>
      <c r="AI7" s="245"/>
      <c r="AK7" s="425" t="s">
        <v>556</v>
      </c>
      <c r="AL7" s="425"/>
      <c r="AM7" s="425"/>
      <c r="AN7" s="425"/>
      <c r="AO7" s="425"/>
      <c r="AP7" s="425"/>
      <c r="AQ7" s="439" t="s">
        <v>557</v>
      </c>
      <c r="AR7" s="43"/>
      <c r="AS7" s="43"/>
      <c r="AT7" s="43"/>
      <c r="AU7" s="43"/>
      <c r="AV7" s="43"/>
      <c r="AW7" s="43"/>
      <c r="AX7" s="43"/>
      <c r="AY7" s="43"/>
      <c r="AZ7" s="43"/>
      <c r="BA7"/>
    </row>
    <row r="8" spans="1:85" ht="12" customHeight="1" thickBot="1">
      <c r="A8" s="257"/>
      <c r="B8" s="258"/>
      <c r="C8" s="258"/>
      <c r="D8" s="258"/>
      <c r="E8" s="258"/>
      <c r="F8" s="260"/>
      <c r="G8" s="237"/>
      <c r="H8" s="237"/>
      <c r="I8" s="237"/>
      <c r="J8" s="242"/>
      <c r="K8" s="262"/>
      <c r="L8" s="262"/>
      <c r="M8" s="262"/>
      <c r="N8" s="242"/>
      <c r="O8" s="521"/>
      <c r="P8" s="521"/>
      <c r="Q8" s="242"/>
      <c r="R8" s="243"/>
      <c r="S8" s="523"/>
      <c r="T8" s="246"/>
      <c r="U8" s="33" t="s">
        <v>558</v>
      </c>
      <c r="V8" s="519" t="s">
        <v>63</v>
      </c>
      <c r="W8" s="519"/>
      <c r="X8" s="519"/>
      <c r="Y8" s="514"/>
      <c r="Z8" s="515"/>
      <c r="AA8" s="516"/>
      <c r="AB8" s="246"/>
      <c r="AC8" s="246"/>
      <c r="AD8" s="246"/>
      <c r="AE8" s="246"/>
      <c r="AF8" s="246"/>
      <c r="AG8" s="246"/>
      <c r="AH8" s="246"/>
      <c r="AI8" s="247"/>
      <c r="AK8" s="425"/>
      <c r="AL8" s="425"/>
      <c r="AM8" s="425"/>
      <c r="AN8" s="425"/>
      <c r="AO8" s="425"/>
      <c r="AP8" s="425"/>
      <c r="AQ8" s="439"/>
      <c r="AR8" s="43"/>
      <c r="AS8" s="43"/>
      <c r="AT8" s="43"/>
      <c r="AU8" s="43"/>
      <c r="AV8" s="43"/>
      <c r="AW8" s="43"/>
      <c r="AX8" s="43"/>
      <c r="AY8" s="43"/>
      <c r="AZ8" s="43"/>
      <c r="BA8"/>
    </row>
    <row r="9" spans="1:85" ht="18" customHeight="1">
      <c r="A9" s="507" t="s">
        <v>559</v>
      </c>
      <c r="B9" s="508"/>
      <c r="C9" s="508"/>
      <c r="D9" s="508"/>
      <c r="E9" s="508"/>
      <c r="F9" s="508"/>
      <c r="G9" s="508"/>
      <c r="H9" s="508"/>
      <c r="I9" s="508"/>
      <c r="J9" s="508"/>
      <c r="K9" s="508"/>
      <c r="L9" s="508"/>
      <c r="M9" s="508"/>
      <c r="N9" s="508"/>
      <c r="O9" s="508"/>
      <c r="P9" s="508"/>
      <c r="Q9" s="508"/>
      <c r="R9" s="508"/>
      <c r="S9" s="508"/>
      <c r="T9" s="508"/>
      <c r="U9" s="508"/>
      <c r="V9" s="508"/>
      <c r="W9" s="508"/>
      <c r="X9" s="508"/>
      <c r="Y9" s="508"/>
      <c r="Z9" s="508"/>
      <c r="AA9" s="508"/>
      <c r="AB9" s="508"/>
      <c r="AC9" s="508"/>
      <c r="AD9" s="508"/>
      <c r="AE9" s="508"/>
      <c r="AF9" s="508"/>
      <c r="AG9" s="508"/>
      <c r="AH9" s="508"/>
      <c r="AI9" s="509"/>
      <c r="AK9" s="440" t="s">
        <v>560</v>
      </c>
      <c r="AL9" s="440"/>
      <c r="AM9" s="440"/>
      <c r="AN9" s="440"/>
      <c r="AO9" s="440"/>
      <c r="AP9" s="440"/>
      <c r="AQ9" s="42">
        <v>74</v>
      </c>
      <c r="AR9" s="43"/>
      <c r="AS9" s="44" t="s">
        <v>561</v>
      </c>
      <c r="AT9" s="44" t="s">
        <v>562</v>
      </c>
      <c r="AU9" s="44" t="s">
        <v>563</v>
      </c>
      <c r="AV9" s="44" t="s">
        <v>564</v>
      </c>
      <c r="AW9" s="45" t="s">
        <v>565</v>
      </c>
      <c r="AX9" s="45" t="s">
        <v>566</v>
      </c>
      <c r="AY9" s="44" t="s">
        <v>567</v>
      </c>
      <c r="AZ9" s="43"/>
      <c r="BB9" s="49" t="s">
        <v>568</v>
      </c>
      <c r="BC9" s="43"/>
      <c r="BD9" s="43"/>
      <c r="BE9" s="43"/>
      <c r="BF9" s="43"/>
      <c r="BG9" s="43"/>
      <c r="BH9" s="43"/>
      <c r="BI9" s="43"/>
      <c r="BJ9" s="43"/>
      <c r="BK9" s="43"/>
      <c r="BL9" s="43"/>
      <c r="BM9" s="43"/>
      <c r="BN9" s="43"/>
      <c r="BO9" s="43"/>
      <c r="BP9" s="43"/>
      <c r="BQ9" s="43"/>
      <c r="BR9" s="43"/>
      <c r="BS9" s="43"/>
      <c r="BT9" s="43"/>
      <c r="BU9" s="43"/>
      <c r="BV9" s="43"/>
      <c r="BW9" s="43"/>
      <c r="BX9" s="43"/>
      <c r="BY9" s="43"/>
      <c r="BZ9" s="43"/>
      <c r="CA9" s="43"/>
      <c r="CB9" s="43"/>
      <c r="CC9" s="43"/>
      <c r="CD9" s="43"/>
      <c r="CE9" s="43"/>
      <c r="CF9" s="43"/>
      <c r="CG9" s="43"/>
    </row>
    <row r="10" spans="1:85" ht="18" customHeight="1">
      <c r="A10" s="265" t="s">
        <v>569</v>
      </c>
      <c r="B10" s="266"/>
      <c r="C10" s="266"/>
      <c r="D10" s="266"/>
      <c r="E10" s="266"/>
      <c r="F10" s="266"/>
      <c r="G10" s="266"/>
      <c r="H10" s="266"/>
      <c r="I10" s="264">
        <f>AQ14</f>
        <v>5</v>
      </c>
      <c r="J10" s="264"/>
      <c r="K10" s="267" t="s">
        <v>176</v>
      </c>
      <c r="L10" s="268"/>
      <c r="M10" s="269" t="s">
        <v>570</v>
      </c>
      <c r="N10" s="266"/>
      <c r="O10" s="266"/>
      <c r="P10" s="266"/>
      <c r="Q10" s="266"/>
      <c r="R10" s="266"/>
      <c r="S10" s="266"/>
      <c r="T10" s="266"/>
      <c r="U10" s="264">
        <f>AQ37</f>
        <v>0</v>
      </c>
      <c r="V10" s="264"/>
      <c r="W10" s="267" t="s">
        <v>176</v>
      </c>
      <c r="X10" s="268"/>
      <c r="Y10" s="269" t="s">
        <v>571</v>
      </c>
      <c r="Z10" s="266"/>
      <c r="AA10" s="266"/>
      <c r="AB10" s="266"/>
      <c r="AC10" s="266"/>
      <c r="AD10" s="266"/>
      <c r="AE10" s="266"/>
      <c r="AF10" s="266"/>
      <c r="AG10" s="264">
        <f>AQ26+AQ25</f>
        <v>0</v>
      </c>
      <c r="AH10" s="264"/>
      <c r="AI10" s="28" t="s">
        <v>176</v>
      </c>
      <c r="AK10" s="440" t="s">
        <v>572</v>
      </c>
      <c r="AL10" s="440"/>
      <c r="AM10" s="440"/>
      <c r="AN10" s="440"/>
      <c r="AO10" s="440"/>
      <c r="AP10" s="440"/>
      <c r="AQ10" s="42"/>
      <c r="AR10" s="43"/>
      <c r="AS10" s="46">
        <v>1</v>
      </c>
      <c r="AT10" s="46"/>
      <c r="AU10" s="46" t="s">
        <v>119</v>
      </c>
      <c r="AV10" s="47" t="s">
        <v>573</v>
      </c>
      <c r="AW10" s="47" t="s">
        <v>574</v>
      </c>
      <c r="AX10" s="47">
        <v>0.33333333333333331</v>
      </c>
      <c r="AY10" s="47">
        <v>0.83333333333333337</v>
      </c>
      <c r="AZ10" s="43"/>
      <c r="BB10" s="49" t="s">
        <v>95</v>
      </c>
      <c r="BC10" s="120">
        <v>1</v>
      </c>
      <c r="BD10" s="120">
        <v>2</v>
      </c>
      <c r="BE10" s="120">
        <v>3</v>
      </c>
      <c r="BF10" s="120">
        <v>4</v>
      </c>
      <c r="BG10" s="120">
        <v>5</v>
      </c>
      <c r="BH10" s="120">
        <v>6</v>
      </c>
      <c r="BI10" s="120">
        <v>7</v>
      </c>
      <c r="BJ10" s="120">
        <v>8</v>
      </c>
      <c r="BK10" s="120">
        <v>9</v>
      </c>
      <c r="BL10" s="120">
        <v>10</v>
      </c>
      <c r="BM10" s="120">
        <v>11</v>
      </c>
      <c r="BN10" s="120">
        <v>12</v>
      </c>
      <c r="BO10" s="120">
        <v>13</v>
      </c>
      <c r="BP10" s="120">
        <v>14</v>
      </c>
      <c r="BQ10" s="120">
        <v>15</v>
      </c>
      <c r="BR10" s="120">
        <v>16</v>
      </c>
      <c r="BS10" s="120">
        <v>17</v>
      </c>
      <c r="BT10" s="120">
        <v>18</v>
      </c>
      <c r="BU10" s="120">
        <v>19</v>
      </c>
      <c r="BV10" s="120">
        <v>20</v>
      </c>
      <c r="BW10" s="120">
        <v>21</v>
      </c>
      <c r="BX10" s="120">
        <v>22</v>
      </c>
      <c r="BY10" s="120">
        <v>23</v>
      </c>
      <c r="BZ10" s="120">
        <v>24</v>
      </c>
      <c r="CA10" s="120">
        <v>25</v>
      </c>
      <c r="CB10" s="120">
        <v>26</v>
      </c>
      <c r="CC10" s="120">
        <v>27</v>
      </c>
      <c r="CD10" s="120">
        <v>28</v>
      </c>
      <c r="CE10" s="120">
        <v>29</v>
      </c>
      <c r="CF10" s="120">
        <v>30</v>
      </c>
      <c r="CG10" s="43"/>
    </row>
    <row r="11" spans="1:85" ht="18" customHeight="1">
      <c r="A11" s="265" t="s">
        <v>575</v>
      </c>
      <c r="B11" s="266"/>
      <c r="C11" s="266"/>
      <c r="D11" s="266"/>
      <c r="E11" s="266"/>
      <c r="F11" s="266"/>
      <c r="G11" s="266"/>
      <c r="H11" s="266"/>
      <c r="I11" s="264">
        <f>AQ27</f>
        <v>0</v>
      </c>
      <c r="J11" s="264"/>
      <c r="K11" s="267" t="s">
        <v>176</v>
      </c>
      <c r="L11" s="268"/>
      <c r="M11" s="269" t="s">
        <v>576</v>
      </c>
      <c r="N11" s="266"/>
      <c r="O11" s="266"/>
      <c r="P11" s="266"/>
      <c r="Q11" s="266"/>
      <c r="R11" s="266"/>
      <c r="S11" s="266"/>
      <c r="T11" s="266"/>
      <c r="U11" s="264">
        <f>AQ36</f>
        <v>0</v>
      </c>
      <c r="V11" s="264"/>
      <c r="W11" s="267" t="s">
        <v>176</v>
      </c>
      <c r="X11" s="268"/>
      <c r="Y11" s="269" t="s">
        <v>577</v>
      </c>
      <c r="Z11" s="266"/>
      <c r="AA11" s="266"/>
      <c r="AB11" s="266"/>
      <c r="AC11" s="266"/>
      <c r="AD11" s="266"/>
      <c r="AE11" s="266"/>
      <c r="AF11" s="266"/>
      <c r="AG11" s="264">
        <f>AQ34</f>
        <v>0</v>
      </c>
      <c r="AH11" s="264"/>
      <c r="AI11" s="28" t="s">
        <v>176</v>
      </c>
      <c r="AK11" s="441" t="s">
        <v>578</v>
      </c>
      <c r="AL11" s="442"/>
      <c r="AM11" s="442"/>
      <c r="AN11" s="442"/>
      <c r="AO11" s="442"/>
      <c r="AP11" s="443"/>
      <c r="AQ11" s="42">
        <v>27</v>
      </c>
      <c r="AR11" s="43"/>
      <c r="AS11" s="46">
        <v>2</v>
      </c>
      <c r="AT11" s="46"/>
      <c r="AU11" s="46"/>
      <c r="AV11" s="47" t="s">
        <v>579</v>
      </c>
      <c r="AW11" s="47" t="s">
        <v>580</v>
      </c>
      <c r="AX11" s="47">
        <v>0.33333333333333331</v>
      </c>
      <c r="AY11" s="47">
        <v>0.58333333333333337</v>
      </c>
      <c r="AZ11" s="43"/>
      <c r="BB11" s="121" t="s">
        <v>581</v>
      </c>
      <c r="BC11" s="138" t="s">
        <v>582</v>
      </c>
      <c r="BD11" s="138" t="s">
        <v>583</v>
      </c>
      <c r="BE11" s="138" t="s">
        <v>584</v>
      </c>
      <c r="BF11" s="138" t="s">
        <v>585</v>
      </c>
      <c r="BG11" s="139" t="s">
        <v>584</v>
      </c>
      <c r="BH11" s="138" t="s">
        <v>582</v>
      </c>
      <c r="BI11" s="138" t="s">
        <v>585</v>
      </c>
      <c r="BJ11" s="138" t="s">
        <v>583</v>
      </c>
      <c r="BK11" s="138" t="s">
        <v>584</v>
      </c>
      <c r="BL11" s="138" t="s">
        <v>583</v>
      </c>
      <c r="BM11" s="138" t="s">
        <v>585</v>
      </c>
      <c r="BN11" s="138" t="s">
        <v>582</v>
      </c>
      <c r="BO11" s="138" t="s">
        <v>584</v>
      </c>
      <c r="BP11" s="138" t="s">
        <v>585</v>
      </c>
      <c r="BQ11" s="138" t="s">
        <v>583</v>
      </c>
      <c r="BR11" s="138" t="s">
        <v>585</v>
      </c>
      <c r="BS11" s="138" t="s">
        <v>584</v>
      </c>
      <c r="BT11" s="138" t="s">
        <v>582</v>
      </c>
      <c r="BU11" s="138" t="s">
        <v>583</v>
      </c>
      <c r="BV11" s="138" t="s">
        <v>585</v>
      </c>
      <c r="BW11" s="138" t="s">
        <v>582</v>
      </c>
      <c r="BX11" s="138" t="s">
        <v>584</v>
      </c>
      <c r="BY11" s="138" t="s">
        <v>585</v>
      </c>
      <c r="BZ11" s="138" t="s">
        <v>583</v>
      </c>
      <c r="CA11" s="138" t="s">
        <v>582</v>
      </c>
      <c r="CB11" s="138" t="s">
        <v>585</v>
      </c>
      <c r="CC11" s="138" t="s">
        <v>584</v>
      </c>
      <c r="CD11" s="138" t="s">
        <v>582</v>
      </c>
      <c r="CE11" s="138" t="s">
        <v>585</v>
      </c>
      <c r="CF11" s="138" t="s">
        <v>583</v>
      </c>
      <c r="CG11" s="43"/>
    </row>
    <row r="12" spans="1:85" ht="18" customHeight="1">
      <c r="A12" s="265" t="s">
        <v>586</v>
      </c>
      <c r="B12" s="266"/>
      <c r="C12" s="266"/>
      <c r="D12" s="266"/>
      <c r="E12" s="266"/>
      <c r="F12" s="266"/>
      <c r="G12" s="266"/>
      <c r="H12" s="266"/>
      <c r="I12" s="264">
        <f>AQ33</f>
        <v>0</v>
      </c>
      <c r="J12" s="264"/>
      <c r="K12" s="267" t="s">
        <v>176</v>
      </c>
      <c r="L12" s="268"/>
      <c r="M12" s="269" t="s">
        <v>587</v>
      </c>
      <c r="N12" s="266"/>
      <c r="O12" s="266"/>
      <c r="P12" s="266"/>
      <c r="Q12" s="266"/>
      <c r="R12" s="266"/>
      <c r="S12" s="266"/>
      <c r="T12" s="266"/>
      <c r="U12" s="264">
        <f>AQ24</f>
        <v>0</v>
      </c>
      <c r="V12" s="264"/>
      <c r="W12" s="267" t="s">
        <v>176</v>
      </c>
      <c r="X12" s="268"/>
      <c r="Y12" s="269" t="s">
        <v>588</v>
      </c>
      <c r="Z12" s="266"/>
      <c r="AA12" s="266"/>
      <c r="AB12" s="266"/>
      <c r="AC12" s="266"/>
      <c r="AD12" s="266"/>
      <c r="AE12" s="266"/>
      <c r="AF12" s="266"/>
      <c r="AG12" s="264">
        <f>AQ20+AQ21+AQ22+AQ23</f>
        <v>0</v>
      </c>
      <c r="AH12" s="264"/>
      <c r="AI12" s="28" t="s">
        <v>176</v>
      </c>
      <c r="AK12" s="441" t="s">
        <v>589</v>
      </c>
      <c r="AL12" s="442"/>
      <c r="AM12" s="442"/>
      <c r="AN12" s="442"/>
      <c r="AO12" s="442"/>
      <c r="AP12" s="443"/>
      <c r="AQ12" s="42">
        <v>15</v>
      </c>
      <c r="AR12" s="43"/>
      <c r="AS12" s="46">
        <v>3</v>
      </c>
      <c r="AT12" s="46"/>
      <c r="AU12" s="46"/>
      <c r="AV12" s="47" t="s">
        <v>590</v>
      </c>
      <c r="AW12" s="47" t="s">
        <v>574</v>
      </c>
      <c r="AX12" s="47">
        <v>0.58333333333333337</v>
      </c>
      <c r="AY12" s="47">
        <v>0.83333333333333337</v>
      </c>
      <c r="AZ12" s="43"/>
      <c r="BB12" s="49"/>
      <c r="BC12" s="43"/>
      <c r="BD12" s="43"/>
      <c r="BE12" s="43"/>
      <c r="BF12" s="43"/>
      <c r="BG12" s="43"/>
      <c r="BH12" s="43"/>
      <c r="BI12" s="43"/>
      <c r="BJ12" s="43"/>
      <c r="BK12" s="43"/>
      <c r="BL12" s="43"/>
      <c r="BM12" s="43"/>
      <c r="BN12" s="43"/>
      <c r="BO12" s="43"/>
      <c r="BP12" s="43"/>
      <c r="BQ12" s="43"/>
      <c r="BR12" s="43"/>
      <c r="BS12" s="43"/>
      <c r="BT12" s="43"/>
      <c r="BU12" s="43"/>
      <c r="BV12" s="43"/>
      <c r="BW12" s="43"/>
      <c r="BX12" s="43"/>
      <c r="BY12" s="43"/>
      <c r="BZ12" s="43"/>
      <c r="CA12" s="43"/>
      <c r="CB12" s="43"/>
      <c r="CC12" s="43"/>
      <c r="CD12" s="43"/>
      <c r="CE12" s="43"/>
      <c r="CF12" s="43"/>
      <c r="CG12" s="43"/>
    </row>
    <row r="13" spans="1:85" ht="18" customHeight="1" thickBot="1">
      <c r="A13" s="517" t="s">
        <v>591</v>
      </c>
      <c r="B13" s="277"/>
      <c r="C13" s="277"/>
      <c r="D13" s="277"/>
      <c r="E13" s="277"/>
      <c r="F13" s="277"/>
      <c r="G13" s="277"/>
      <c r="H13" s="277"/>
      <c r="I13" s="272">
        <f>AQ30+AQ31</f>
        <v>0</v>
      </c>
      <c r="J13" s="272"/>
      <c r="K13" s="273" t="s">
        <v>176</v>
      </c>
      <c r="L13" s="274"/>
      <c r="M13" s="276" t="s">
        <v>592</v>
      </c>
      <c r="N13" s="277"/>
      <c r="O13" s="277"/>
      <c r="P13" s="277"/>
      <c r="Q13" s="277"/>
      <c r="R13" s="277"/>
      <c r="S13" s="277"/>
      <c r="T13" s="277"/>
      <c r="U13" s="272">
        <f>AQ28</f>
        <v>0</v>
      </c>
      <c r="V13" s="272"/>
      <c r="W13" s="273" t="s">
        <v>176</v>
      </c>
      <c r="X13" s="274"/>
      <c r="Y13" s="276" t="s">
        <v>593</v>
      </c>
      <c r="Z13" s="277"/>
      <c r="AA13" s="277"/>
      <c r="AB13" s="277"/>
      <c r="AC13" s="277"/>
      <c r="AD13" s="277"/>
      <c r="AE13" s="277"/>
      <c r="AF13" s="277"/>
      <c r="AG13" s="272">
        <f>AQ13</f>
        <v>0</v>
      </c>
      <c r="AH13" s="272"/>
      <c r="AI13" s="34" t="s">
        <v>176</v>
      </c>
      <c r="AK13" s="425" t="s">
        <v>594</v>
      </c>
      <c r="AL13" s="425"/>
      <c r="AM13" s="425"/>
      <c r="AN13" s="425"/>
      <c r="AO13" s="425"/>
      <c r="AP13" s="425"/>
      <c r="AQ13" s="42"/>
      <c r="AR13" s="43"/>
      <c r="AS13" s="46">
        <v>4</v>
      </c>
      <c r="AT13" s="46"/>
      <c r="AU13" s="46" t="s">
        <v>602</v>
      </c>
      <c r="AV13" s="47" t="s">
        <v>595</v>
      </c>
      <c r="AW13" s="47" t="s">
        <v>596</v>
      </c>
      <c r="AX13" s="47">
        <v>0.33333333333333331</v>
      </c>
      <c r="AY13" s="47">
        <v>0.83333333333333337</v>
      </c>
      <c r="AZ13" s="43"/>
      <c r="BB13" s="121" t="s">
        <v>597</v>
      </c>
      <c r="BC13" s="140" t="s">
        <v>20</v>
      </c>
      <c r="BD13" s="140" t="s">
        <v>119</v>
      </c>
      <c r="BE13" s="140" t="s">
        <v>20</v>
      </c>
      <c r="BF13" s="140" t="s">
        <v>20</v>
      </c>
      <c r="BG13" s="140" t="s">
        <v>20</v>
      </c>
      <c r="BH13" s="140" t="s">
        <v>20</v>
      </c>
      <c r="BI13" s="140" t="s">
        <v>80</v>
      </c>
      <c r="BJ13" s="140" t="s">
        <v>20</v>
      </c>
      <c r="BK13" s="140" t="s">
        <v>20</v>
      </c>
      <c r="BL13" s="140" t="s">
        <v>20</v>
      </c>
      <c r="BM13" s="140" t="s">
        <v>20</v>
      </c>
      <c r="BN13" s="140" t="s">
        <v>20</v>
      </c>
      <c r="BO13" s="140" t="s">
        <v>119</v>
      </c>
      <c r="BP13" s="140" t="s">
        <v>119</v>
      </c>
      <c r="BQ13" s="140" t="s">
        <v>20</v>
      </c>
      <c r="BR13" s="140" t="s">
        <v>119</v>
      </c>
      <c r="BS13" s="140" t="s">
        <v>20</v>
      </c>
      <c r="BT13" s="140" t="s">
        <v>20</v>
      </c>
      <c r="BU13" s="140" t="s">
        <v>20</v>
      </c>
      <c r="BV13" s="140" t="s">
        <v>119</v>
      </c>
      <c r="BW13" s="140" t="s">
        <v>119</v>
      </c>
      <c r="BX13" s="140" t="s">
        <v>20</v>
      </c>
      <c r="BY13" s="140" t="s">
        <v>119</v>
      </c>
      <c r="BZ13" s="140" t="s">
        <v>20</v>
      </c>
      <c r="CA13" s="140" t="s">
        <v>119</v>
      </c>
      <c r="CB13" s="140" t="s">
        <v>20</v>
      </c>
      <c r="CC13" s="140" t="s">
        <v>20</v>
      </c>
      <c r="CD13" s="140" t="s">
        <v>119</v>
      </c>
      <c r="CE13" s="140" t="s">
        <v>20</v>
      </c>
      <c r="CF13" s="140" t="s">
        <v>119</v>
      </c>
      <c r="CG13" s="43"/>
    </row>
    <row r="14" spans="1:85" ht="18" customHeight="1" thickBot="1">
      <c r="A14" s="452" t="s">
        <v>598</v>
      </c>
      <c r="B14" s="453"/>
      <c r="C14" s="453"/>
      <c r="D14" s="453"/>
      <c r="E14" s="453"/>
      <c r="F14" s="453"/>
      <c r="G14" s="453"/>
      <c r="H14" s="453"/>
      <c r="I14" s="453"/>
      <c r="J14" s="453"/>
      <c r="K14" s="453"/>
      <c r="L14" s="453"/>
      <c r="M14" s="453"/>
      <c r="N14" s="453"/>
      <c r="O14" s="453"/>
      <c r="P14" s="453"/>
      <c r="Q14" s="453"/>
      <c r="R14" s="453"/>
      <c r="S14" s="453"/>
      <c r="T14" s="453"/>
      <c r="U14" s="453"/>
      <c r="V14" s="453"/>
      <c r="W14" s="453"/>
      <c r="X14" s="453"/>
      <c r="Y14" s="453"/>
      <c r="Z14" s="453"/>
      <c r="AA14" s="453"/>
      <c r="AB14" s="453"/>
      <c r="AC14" s="453"/>
      <c r="AD14" s="453"/>
      <c r="AE14" s="453"/>
      <c r="AF14" s="453"/>
      <c r="AG14" s="453"/>
      <c r="AH14" s="453"/>
      <c r="AI14" s="454"/>
      <c r="AK14" s="440" t="s">
        <v>599</v>
      </c>
      <c r="AL14" s="440"/>
      <c r="AM14" s="440"/>
      <c r="AN14" s="440"/>
      <c r="AO14" s="440"/>
      <c r="AP14" s="440"/>
      <c r="AQ14" s="42">
        <v>5</v>
      </c>
      <c r="AR14" s="43"/>
      <c r="AS14" s="46">
        <v>5</v>
      </c>
      <c r="AT14" s="46"/>
      <c r="AU14" s="46" t="s">
        <v>20</v>
      </c>
      <c r="AV14" s="47" t="s">
        <v>982</v>
      </c>
      <c r="AW14" s="47" t="s">
        <v>596</v>
      </c>
      <c r="AX14" s="47">
        <v>0.33333333333333331</v>
      </c>
      <c r="AY14" s="47">
        <v>0.83333333333333337</v>
      </c>
      <c r="AZ14" s="43"/>
      <c r="BB14" s="121" t="s">
        <v>601</v>
      </c>
      <c r="BC14" s="162" t="s">
        <v>28</v>
      </c>
      <c r="BD14" s="162" t="s">
        <v>602</v>
      </c>
      <c r="BE14" s="162" t="s">
        <v>602</v>
      </c>
      <c r="BF14" s="162" t="s">
        <v>28</v>
      </c>
      <c r="BG14" s="162" t="s">
        <v>602</v>
      </c>
      <c r="BH14" s="162" t="s">
        <v>602</v>
      </c>
      <c r="BI14" s="162" t="s">
        <v>28</v>
      </c>
      <c r="BJ14" s="162" t="s">
        <v>28</v>
      </c>
      <c r="BK14" s="162" t="s">
        <v>602</v>
      </c>
      <c r="BL14" s="162" t="s">
        <v>28</v>
      </c>
      <c r="BM14" s="162" t="s">
        <v>602</v>
      </c>
      <c r="BN14" s="162" t="s">
        <v>28</v>
      </c>
      <c r="BO14" s="162" t="s">
        <v>28</v>
      </c>
      <c r="BP14" s="162" t="s">
        <v>76</v>
      </c>
      <c r="BQ14" s="162" t="s">
        <v>28</v>
      </c>
      <c r="BR14" s="162" t="s">
        <v>602</v>
      </c>
      <c r="BS14" s="162" t="s">
        <v>28</v>
      </c>
      <c r="BT14" s="162" t="s">
        <v>602</v>
      </c>
      <c r="BU14" s="162" t="s">
        <v>28</v>
      </c>
      <c r="BV14" s="162" t="s">
        <v>602</v>
      </c>
      <c r="BW14" s="162" t="s">
        <v>28</v>
      </c>
      <c r="BX14" s="162" t="s">
        <v>28</v>
      </c>
      <c r="BY14" s="162" t="s">
        <v>602</v>
      </c>
      <c r="BZ14" s="162" t="s">
        <v>28</v>
      </c>
      <c r="CA14" s="162" t="s">
        <v>602</v>
      </c>
      <c r="CB14" s="162" t="s">
        <v>28</v>
      </c>
      <c r="CC14" s="162" t="s">
        <v>28</v>
      </c>
      <c r="CD14" s="162" t="s">
        <v>76</v>
      </c>
      <c r="CE14" s="162" t="s">
        <v>28</v>
      </c>
      <c r="CF14" s="162" t="s">
        <v>602</v>
      </c>
      <c r="CG14" s="43"/>
    </row>
    <row r="15" spans="1:85" ht="18" customHeight="1" thickBot="1">
      <c r="A15" s="30" t="s">
        <v>189</v>
      </c>
      <c r="B15" s="264" t="s">
        <v>603</v>
      </c>
      <c r="C15" s="264"/>
      <c r="D15" s="264"/>
      <c r="E15" s="264"/>
      <c r="F15" s="264"/>
      <c r="G15" s="264"/>
      <c r="H15" s="264"/>
      <c r="I15" s="264"/>
      <c r="J15" s="278">
        <f>AQ9+AQ10</f>
        <v>74</v>
      </c>
      <c r="K15" s="278"/>
      <c r="L15" s="278"/>
      <c r="M15" s="264" t="s">
        <v>176</v>
      </c>
      <c r="N15" s="264"/>
      <c r="O15" s="264" t="s">
        <v>604</v>
      </c>
      <c r="P15" s="264"/>
      <c r="Q15" s="264"/>
      <c r="R15" s="264"/>
      <c r="S15" s="264"/>
      <c r="T15" s="264"/>
      <c r="U15" s="264"/>
      <c r="V15" s="264"/>
      <c r="W15" s="278">
        <f>AQ11+AQ12</f>
        <v>42</v>
      </c>
      <c r="X15" s="278"/>
      <c r="Y15" s="278"/>
      <c r="Z15" s="264" t="s">
        <v>176</v>
      </c>
      <c r="AA15" s="264"/>
      <c r="AB15" s="503" t="s">
        <v>605</v>
      </c>
      <c r="AC15" s="503"/>
      <c r="AD15" s="503"/>
      <c r="AE15" s="503"/>
      <c r="AF15" s="503"/>
      <c r="AG15" s="503"/>
      <c r="AH15" s="281" t="s">
        <v>582</v>
      </c>
      <c r="AI15" s="282"/>
      <c r="AK15" s="425" t="s">
        <v>606</v>
      </c>
      <c r="AL15" s="425"/>
      <c r="AM15" s="425"/>
      <c r="AN15" s="425"/>
      <c r="AO15" s="425"/>
      <c r="AP15" s="425"/>
      <c r="AQ15" s="42"/>
      <c r="AR15" s="43"/>
      <c r="AS15" s="46">
        <v>6</v>
      </c>
      <c r="AT15" s="46"/>
      <c r="AU15" s="46"/>
      <c r="AV15" s="47" t="s">
        <v>607</v>
      </c>
      <c r="AW15" s="47" t="s">
        <v>596</v>
      </c>
      <c r="AX15" s="47">
        <v>0.33333333333333331</v>
      </c>
      <c r="AY15" s="47">
        <v>0.83333333333333337</v>
      </c>
      <c r="AZ15" s="43"/>
      <c r="BB15" s="121" t="s">
        <v>31</v>
      </c>
      <c r="BC15" s="163" t="s">
        <v>119</v>
      </c>
      <c r="BD15" s="164"/>
      <c r="BE15" s="165" t="s">
        <v>28</v>
      </c>
      <c r="BF15" s="165" t="s">
        <v>119</v>
      </c>
      <c r="BG15" s="164"/>
      <c r="BH15" s="164"/>
      <c r="BI15" s="164"/>
      <c r="BJ15" s="164"/>
      <c r="BK15" s="165" t="s">
        <v>119</v>
      </c>
      <c r="BL15" s="165" t="s">
        <v>602</v>
      </c>
      <c r="BM15" s="165" t="s">
        <v>119</v>
      </c>
      <c r="BN15" s="165" t="s">
        <v>602</v>
      </c>
      <c r="BO15" s="164"/>
      <c r="BP15" s="164"/>
      <c r="BQ15" s="165" t="s">
        <v>608</v>
      </c>
      <c r="BR15" s="165" t="s">
        <v>20</v>
      </c>
      <c r="BS15" s="165" t="s">
        <v>602</v>
      </c>
      <c r="BT15" s="165" t="s">
        <v>119</v>
      </c>
      <c r="BU15" s="165" t="s">
        <v>602</v>
      </c>
      <c r="BV15" s="164"/>
      <c r="BW15" s="164"/>
      <c r="BX15" s="165" t="s">
        <v>119</v>
      </c>
      <c r="BY15" s="165" t="s">
        <v>20</v>
      </c>
      <c r="BZ15" s="165" t="s">
        <v>602</v>
      </c>
      <c r="CA15" s="165" t="s">
        <v>20</v>
      </c>
      <c r="CB15" s="165" t="s">
        <v>602</v>
      </c>
      <c r="CC15" s="165" t="s">
        <v>602</v>
      </c>
      <c r="CD15" s="164"/>
      <c r="CE15" s="165" t="s">
        <v>119</v>
      </c>
      <c r="CF15" s="165" t="s">
        <v>20</v>
      </c>
      <c r="CG15" s="43"/>
    </row>
    <row r="16" spans="1:85" ht="18" customHeight="1">
      <c r="A16" s="504" t="s">
        <v>609</v>
      </c>
      <c r="B16" s="505"/>
      <c r="C16" s="505"/>
      <c r="D16" s="505"/>
      <c r="E16" s="505"/>
      <c r="F16" s="505"/>
      <c r="G16" s="505"/>
      <c r="H16" s="505"/>
      <c r="I16" s="505"/>
      <c r="J16" s="505"/>
      <c r="K16" s="505"/>
      <c r="L16" s="505"/>
      <c r="M16" s="505"/>
      <c r="N16" s="505"/>
      <c r="O16" s="505"/>
      <c r="P16" s="505"/>
      <c r="Q16" s="505"/>
      <c r="R16" s="505"/>
      <c r="S16" s="505"/>
      <c r="T16" s="505"/>
      <c r="U16" s="505"/>
      <c r="V16" s="505"/>
      <c r="W16" s="505"/>
      <c r="X16" s="505"/>
      <c r="Y16" s="505"/>
      <c r="Z16" s="505"/>
      <c r="AA16" s="505"/>
      <c r="AB16" s="505"/>
      <c r="AC16" s="505"/>
      <c r="AD16" s="505"/>
      <c r="AE16" s="505"/>
      <c r="AF16" s="505"/>
      <c r="AG16" s="505"/>
      <c r="AH16" s="505"/>
      <c r="AI16" s="506"/>
      <c r="AK16" s="425" t="s">
        <v>610</v>
      </c>
      <c r="AL16" s="425"/>
      <c r="AM16" s="425"/>
      <c r="AN16" s="425"/>
      <c r="AO16" s="425"/>
      <c r="AP16" s="425"/>
      <c r="AQ16" s="42"/>
      <c r="AR16" s="43"/>
      <c r="AS16" s="46">
        <v>7</v>
      </c>
      <c r="AT16" s="46"/>
      <c r="AU16" s="46" t="s">
        <v>20</v>
      </c>
      <c r="AV16" s="47" t="s">
        <v>611</v>
      </c>
      <c r="AW16" s="47" t="s">
        <v>612</v>
      </c>
      <c r="AX16" s="47">
        <v>0.83333333333333337</v>
      </c>
      <c r="AY16" s="47" t="s">
        <v>613</v>
      </c>
      <c r="AZ16" s="43"/>
      <c r="BB16" s="121" t="s">
        <v>614</v>
      </c>
      <c r="BC16" s="142" t="s">
        <v>20</v>
      </c>
      <c r="BD16" s="140" t="s">
        <v>67</v>
      </c>
      <c r="BE16" s="142" t="s">
        <v>42</v>
      </c>
      <c r="BF16" s="142" t="s">
        <v>20</v>
      </c>
      <c r="BG16" s="142" t="s">
        <v>42</v>
      </c>
      <c r="BH16" s="142" t="s">
        <v>61</v>
      </c>
      <c r="BI16" s="142" t="s">
        <v>67</v>
      </c>
      <c r="BJ16" s="142" t="s">
        <v>67</v>
      </c>
      <c r="BK16" s="142" t="s">
        <v>42</v>
      </c>
      <c r="BL16" s="142" t="s">
        <v>42</v>
      </c>
      <c r="BM16" s="142" t="s">
        <v>67</v>
      </c>
      <c r="BN16" s="142" t="s">
        <v>67</v>
      </c>
      <c r="BO16" s="142" t="s">
        <v>42</v>
      </c>
      <c r="BP16" s="142" t="s">
        <v>67</v>
      </c>
      <c r="BQ16" s="142" t="s">
        <v>20</v>
      </c>
      <c r="BR16" s="142" t="s">
        <v>71</v>
      </c>
      <c r="BS16" s="142" t="s">
        <v>67</v>
      </c>
      <c r="BT16" s="142" t="s">
        <v>67</v>
      </c>
      <c r="BU16" s="142" t="s">
        <v>61</v>
      </c>
      <c r="BV16" s="142" t="s">
        <v>42</v>
      </c>
      <c r="BW16" s="142" t="s">
        <v>49</v>
      </c>
      <c r="BX16" s="142" t="s">
        <v>20</v>
      </c>
      <c r="BY16" s="142" t="s">
        <v>71</v>
      </c>
      <c r="BZ16" s="142" t="s">
        <v>42</v>
      </c>
      <c r="CA16" s="142" t="s">
        <v>20</v>
      </c>
      <c r="CB16" s="142" t="s">
        <v>61</v>
      </c>
      <c r="CC16" s="142" t="s">
        <v>42</v>
      </c>
      <c r="CD16" s="142" t="s">
        <v>49</v>
      </c>
      <c r="CE16" s="142" t="s">
        <v>20</v>
      </c>
      <c r="CF16" s="143" t="s">
        <v>71</v>
      </c>
      <c r="CG16" s="43"/>
    </row>
    <row r="17" spans="1:85" ht="18" customHeight="1">
      <c r="A17" s="396" t="s">
        <v>615</v>
      </c>
      <c r="B17" s="397"/>
      <c r="C17" s="397"/>
      <c r="D17" s="397"/>
      <c r="E17" s="397"/>
      <c r="F17" s="398" t="s">
        <v>616</v>
      </c>
      <c r="G17" s="398"/>
      <c r="H17" s="398"/>
      <c r="I17" s="398"/>
      <c r="J17" s="398"/>
      <c r="K17" s="398"/>
      <c r="L17" s="398"/>
      <c r="M17" s="398"/>
      <c r="N17" s="398"/>
      <c r="O17" s="398"/>
      <c r="P17" s="398"/>
      <c r="Q17" s="398"/>
      <c r="R17" s="398"/>
      <c r="S17" s="398"/>
      <c r="T17" s="398"/>
      <c r="U17" s="398"/>
      <c r="V17" s="398"/>
      <c r="W17" s="398"/>
      <c r="X17" s="398"/>
      <c r="Y17" s="398"/>
      <c r="Z17" s="398"/>
      <c r="AA17" s="398"/>
      <c r="AB17" s="398"/>
      <c r="AC17" s="398"/>
      <c r="AD17" s="398"/>
      <c r="AE17" s="398"/>
      <c r="AF17" s="398"/>
      <c r="AG17" s="398"/>
      <c r="AH17" s="398"/>
      <c r="AI17" s="399"/>
      <c r="AK17" s="425" t="s">
        <v>617</v>
      </c>
      <c r="AL17" s="425"/>
      <c r="AM17" s="425"/>
      <c r="AN17" s="425"/>
      <c r="AO17" s="425"/>
      <c r="AP17" s="425"/>
      <c r="AQ17" s="42"/>
      <c r="AR17" s="43"/>
      <c r="AS17" s="46">
        <v>8</v>
      </c>
      <c r="AT17" s="46"/>
      <c r="AU17" s="46" t="s">
        <v>67</v>
      </c>
      <c r="AV17" s="47" t="s">
        <v>618</v>
      </c>
      <c r="AW17" s="47" t="s">
        <v>612</v>
      </c>
      <c r="AX17" s="47">
        <v>0.83333333333333337</v>
      </c>
      <c r="AY17" s="47" t="s">
        <v>613</v>
      </c>
      <c r="AZ17" s="43"/>
      <c r="BB17" s="121" t="s">
        <v>619</v>
      </c>
      <c r="BC17" s="141" t="s">
        <v>67</v>
      </c>
      <c r="BD17" s="140" t="s">
        <v>42</v>
      </c>
      <c r="BE17" s="141" t="s">
        <v>71</v>
      </c>
      <c r="BF17" s="140" t="s">
        <v>67</v>
      </c>
      <c r="BG17" s="140" t="s">
        <v>61</v>
      </c>
      <c r="BH17" s="140" t="s">
        <v>42</v>
      </c>
      <c r="BI17" s="140" t="s">
        <v>49</v>
      </c>
      <c r="BJ17" s="140" t="s">
        <v>61</v>
      </c>
      <c r="BK17" s="140" t="s">
        <v>71</v>
      </c>
      <c r="BL17" s="140" t="s">
        <v>67</v>
      </c>
      <c r="BM17" s="140" t="s">
        <v>49</v>
      </c>
      <c r="BN17" s="140" t="s">
        <v>49</v>
      </c>
      <c r="BO17" s="140" t="s">
        <v>61</v>
      </c>
      <c r="BP17" s="140" t="s">
        <v>49</v>
      </c>
      <c r="BQ17" s="140" t="s">
        <v>67</v>
      </c>
      <c r="BR17" s="140" t="s">
        <v>42</v>
      </c>
      <c r="BS17" s="140" t="s">
        <v>42</v>
      </c>
      <c r="BT17" s="140" t="s">
        <v>49</v>
      </c>
      <c r="BU17" s="140" t="s">
        <v>42</v>
      </c>
      <c r="BV17" s="140" t="s">
        <v>61</v>
      </c>
      <c r="BW17" s="140" t="s">
        <v>71</v>
      </c>
      <c r="BX17" s="140" t="s">
        <v>67</v>
      </c>
      <c r="BY17" s="140" t="s">
        <v>42</v>
      </c>
      <c r="BZ17" s="140" t="s">
        <v>67</v>
      </c>
      <c r="CA17" s="140" t="s">
        <v>67</v>
      </c>
      <c r="CB17" s="140" t="s">
        <v>49</v>
      </c>
      <c r="CC17" s="140" t="s">
        <v>61</v>
      </c>
      <c r="CD17" s="140" t="s">
        <v>71</v>
      </c>
      <c r="CE17" s="140" t="s">
        <v>67</v>
      </c>
      <c r="CF17" s="140" t="s">
        <v>42</v>
      </c>
      <c r="CG17" s="43"/>
    </row>
    <row r="18" spans="1:85" ht="18" customHeight="1">
      <c r="A18" s="501" t="s">
        <v>620</v>
      </c>
      <c r="B18" s="502"/>
      <c r="C18" s="502"/>
      <c r="D18" s="502"/>
      <c r="E18" s="502"/>
      <c r="F18" s="400" t="s">
        <v>616</v>
      </c>
      <c r="G18" s="400"/>
      <c r="H18" s="400"/>
      <c r="I18" s="400"/>
      <c r="J18" s="400"/>
      <c r="K18" s="400"/>
      <c r="L18" s="400"/>
      <c r="M18" s="400"/>
      <c r="N18" s="400"/>
      <c r="O18" s="400"/>
      <c r="P18" s="400"/>
      <c r="Q18" s="400"/>
      <c r="R18" s="400"/>
      <c r="S18" s="400"/>
      <c r="T18" s="400"/>
      <c r="U18" s="400"/>
      <c r="V18" s="400"/>
      <c r="W18" s="400"/>
      <c r="X18" s="400"/>
      <c r="Y18" s="400"/>
      <c r="Z18" s="400"/>
      <c r="AA18" s="400"/>
      <c r="AB18" s="400"/>
      <c r="AC18" s="400"/>
      <c r="AD18" s="400"/>
      <c r="AE18" s="400"/>
      <c r="AF18" s="400"/>
      <c r="AG18" s="400"/>
      <c r="AH18" s="400"/>
      <c r="AI18" s="401"/>
      <c r="AK18" s="425" t="s">
        <v>621</v>
      </c>
      <c r="AL18" s="425"/>
      <c r="AM18" s="425"/>
      <c r="AN18" s="425"/>
      <c r="AO18" s="425"/>
      <c r="AP18" s="425"/>
      <c r="AQ18" s="42"/>
      <c r="AR18" s="43"/>
      <c r="AS18" s="46">
        <v>9</v>
      </c>
      <c r="AT18" s="46"/>
      <c r="AU18" s="46" t="s">
        <v>55</v>
      </c>
      <c r="AV18" s="47" t="s">
        <v>622</v>
      </c>
      <c r="AW18" s="47" t="s">
        <v>612</v>
      </c>
      <c r="AX18" s="47">
        <v>0.83333333333333337</v>
      </c>
      <c r="AY18" s="47" t="s">
        <v>613</v>
      </c>
      <c r="AZ18" s="43"/>
    </row>
    <row r="19" spans="1:85" ht="18" customHeight="1" thickBot="1">
      <c r="A19" s="35" t="s">
        <v>189</v>
      </c>
      <c r="B19" s="405">
        <v>0.57291666666666663</v>
      </c>
      <c r="C19" s="405"/>
      <c r="D19" s="405"/>
      <c r="E19" s="405"/>
      <c r="F19" s="402" t="s">
        <v>874</v>
      </c>
      <c r="G19" s="402"/>
      <c r="H19" s="402"/>
      <c r="I19" s="402"/>
      <c r="J19" s="402"/>
      <c r="K19" s="402"/>
      <c r="L19" s="402"/>
      <c r="M19" s="402"/>
      <c r="N19" s="402"/>
      <c r="O19" s="402"/>
      <c r="P19" s="402"/>
      <c r="Q19" s="402"/>
      <c r="R19" s="402"/>
      <c r="S19" s="402"/>
      <c r="T19" s="402"/>
      <c r="U19" s="402"/>
      <c r="V19" s="402"/>
      <c r="W19" s="402"/>
      <c r="X19" s="402"/>
      <c r="Y19" s="402"/>
      <c r="Z19" s="402"/>
      <c r="AA19" s="402"/>
      <c r="AB19" s="402"/>
      <c r="AC19" s="402"/>
      <c r="AD19" s="402"/>
      <c r="AE19" s="402"/>
      <c r="AF19" s="402"/>
      <c r="AG19" s="402"/>
      <c r="AH19" s="402"/>
      <c r="AI19" s="403"/>
      <c r="AK19" s="524" t="s">
        <v>623</v>
      </c>
      <c r="AL19" s="524"/>
      <c r="AM19" s="524"/>
      <c r="AN19" s="524"/>
      <c r="AO19" s="524"/>
      <c r="AP19" s="524"/>
      <c r="AQ19" s="58"/>
      <c r="AR19" s="43"/>
      <c r="AS19" s="46">
        <v>10</v>
      </c>
      <c r="AT19" s="46"/>
      <c r="AU19" s="46"/>
      <c r="AV19" s="47" t="s">
        <v>111</v>
      </c>
      <c r="AW19" s="47" t="s">
        <v>612</v>
      </c>
      <c r="AX19" s="47">
        <v>0.83333333333333337</v>
      </c>
      <c r="AY19" s="47" t="s">
        <v>613</v>
      </c>
      <c r="AZ19" s="43"/>
    </row>
    <row r="20" spans="1:85" ht="18" customHeight="1">
      <c r="A20" s="36" t="s">
        <v>189</v>
      </c>
      <c r="B20" s="404">
        <v>0.90416666666666667</v>
      </c>
      <c r="C20" s="404"/>
      <c r="D20" s="404"/>
      <c r="E20" s="404"/>
      <c r="F20" s="288" t="s">
        <v>973</v>
      </c>
      <c r="G20" s="288"/>
      <c r="H20" s="288"/>
      <c r="I20" s="288"/>
      <c r="J20" s="288"/>
      <c r="K20" s="288"/>
      <c r="L20" s="288"/>
      <c r="M20" s="288"/>
      <c r="N20" s="288"/>
      <c r="O20" s="288"/>
      <c r="P20" s="288"/>
      <c r="Q20" s="288"/>
      <c r="R20" s="288"/>
      <c r="S20" s="288"/>
      <c r="T20" s="288"/>
      <c r="U20" s="288"/>
      <c r="V20" s="288"/>
      <c r="W20" s="288"/>
      <c r="X20" s="288"/>
      <c r="Y20" s="288"/>
      <c r="Z20" s="288"/>
      <c r="AA20" s="288"/>
      <c r="AB20" s="288"/>
      <c r="AC20" s="288"/>
      <c r="AD20" s="288"/>
      <c r="AE20" s="288"/>
      <c r="AF20" s="288"/>
      <c r="AG20" s="288"/>
      <c r="AH20" s="288"/>
      <c r="AI20" s="289"/>
      <c r="AK20" s="447" t="s">
        <v>624</v>
      </c>
      <c r="AL20" s="448"/>
      <c r="AM20" s="448"/>
      <c r="AN20" s="448"/>
      <c r="AO20" s="448"/>
      <c r="AP20" s="448"/>
      <c r="AQ20" s="62"/>
      <c r="AR20" s="426" t="s">
        <v>625</v>
      </c>
      <c r="AS20" s="146">
        <v>11</v>
      </c>
      <c r="AT20" s="46"/>
      <c r="AU20" s="46"/>
      <c r="AV20" s="47" t="s">
        <v>111</v>
      </c>
      <c r="AW20" s="47" t="s">
        <v>612</v>
      </c>
      <c r="AX20" s="47">
        <v>0.83333333333333337</v>
      </c>
      <c r="AY20" s="47" t="s">
        <v>613</v>
      </c>
      <c r="AZ20" s="43"/>
    </row>
    <row r="21" spans="1:85" ht="18" customHeight="1" thickBot="1">
      <c r="A21" s="36" t="s">
        <v>189</v>
      </c>
      <c r="B21" s="404">
        <v>0.20833333333333334</v>
      </c>
      <c r="C21" s="404"/>
      <c r="D21" s="404"/>
      <c r="E21" s="404"/>
      <c r="F21" s="288" t="s">
        <v>983</v>
      </c>
      <c r="G21" s="288"/>
      <c r="H21" s="288"/>
      <c r="I21" s="288"/>
      <c r="J21" s="288"/>
      <c r="K21" s="288"/>
      <c r="L21" s="288"/>
      <c r="M21" s="288"/>
      <c r="N21" s="288"/>
      <c r="O21" s="288"/>
      <c r="P21" s="288"/>
      <c r="Q21" s="288"/>
      <c r="R21" s="288"/>
      <c r="S21" s="288"/>
      <c r="T21" s="288"/>
      <c r="U21" s="288"/>
      <c r="V21" s="288"/>
      <c r="W21" s="288"/>
      <c r="X21" s="288"/>
      <c r="Y21" s="288"/>
      <c r="Z21" s="288"/>
      <c r="AA21" s="288"/>
      <c r="AB21" s="288"/>
      <c r="AC21" s="288"/>
      <c r="AD21" s="288"/>
      <c r="AE21" s="288"/>
      <c r="AF21" s="288"/>
      <c r="AG21" s="288"/>
      <c r="AH21" s="288"/>
      <c r="AI21" s="289"/>
      <c r="AK21" s="429" t="s">
        <v>626</v>
      </c>
      <c r="AL21" s="430"/>
      <c r="AM21" s="430"/>
      <c r="AN21" s="430"/>
      <c r="AO21" s="430"/>
      <c r="AP21" s="430"/>
      <c r="AQ21" s="63"/>
      <c r="AR21" s="427"/>
      <c r="AW21" s="43"/>
      <c r="AX21" s="43"/>
      <c r="AY21" s="43"/>
      <c r="AZ21" s="43"/>
    </row>
    <row r="22" spans="1:85" ht="18" customHeight="1">
      <c r="A22" s="36" t="s">
        <v>189</v>
      </c>
      <c r="B22" s="404">
        <v>0.28819444444444442</v>
      </c>
      <c r="C22" s="404"/>
      <c r="D22" s="404"/>
      <c r="E22" s="404"/>
      <c r="F22" s="288" t="s">
        <v>689</v>
      </c>
      <c r="G22" s="288"/>
      <c r="H22" s="288"/>
      <c r="I22" s="288"/>
      <c r="J22" s="288"/>
      <c r="K22" s="288"/>
      <c r="L22" s="288"/>
      <c r="M22" s="288"/>
      <c r="N22" s="288"/>
      <c r="O22" s="288"/>
      <c r="P22" s="288"/>
      <c r="Q22" s="288"/>
      <c r="R22" s="288"/>
      <c r="S22" s="288"/>
      <c r="T22" s="288"/>
      <c r="U22" s="288"/>
      <c r="V22" s="288"/>
      <c r="W22" s="288"/>
      <c r="X22" s="288"/>
      <c r="Y22" s="288"/>
      <c r="Z22" s="288"/>
      <c r="AA22" s="288"/>
      <c r="AB22" s="288"/>
      <c r="AC22" s="288"/>
      <c r="AD22" s="288"/>
      <c r="AE22" s="288"/>
      <c r="AF22" s="288"/>
      <c r="AG22" s="288"/>
      <c r="AH22" s="288"/>
      <c r="AI22" s="289"/>
      <c r="AK22" s="429" t="s">
        <v>627</v>
      </c>
      <c r="AL22" s="430"/>
      <c r="AM22" s="430"/>
      <c r="AN22" s="430"/>
      <c r="AO22" s="430"/>
      <c r="AP22" s="430"/>
      <c r="AQ22" s="63"/>
      <c r="AR22" s="427"/>
      <c r="AS22" s="433" t="s">
        <v>628</v>
      </c>
      <c r="AT22" s="434"/>
      <c r="AU22" s="435"/>
      <c r="AV22" s="435"/>
      <c r="AW22" s="60" t="s">
        <v>74</v>
      </c>
      <c r="AY22" s="413" t="s">
        <v>629</v>
      </c>
      <c r="AZ22" s="413"/>
      <c r="BA22" s="412"/>
      <c r="BB22" s="412"/>
    </row>
    <row r="23" spans="1:85" ht="18" customHeight="1" thickBot="1">
      <c r="A23" s="36"/>
      <c r="B23" s="404"/>
      <c r="C23" s="404"/>
      <c r="D23" s="404"/>
      <c r="E23" s="404"/>
      <c r="F23" s="288"/>
      <c r="G23" s="288"/>
      <c r="H23" s="288"/>
      <c r="I23" s="288"/>
      <c r="J23" s="288"/>
      <c r="K23" s="288"/>
      <c r="L23" s="288"/>
      <c r="M23" s="288"/>
      <c r="N23" s="288"/>
      <c r="O23" s="288"/>
      <c r="P23" s="288"/>
      <c r="Q23" s="288"/>
      <c r="R23" s="288"/>
      <c r="S23" s="288"/>
      <c r="T23" s="288"/>
      <c r="U23" s="288"/>
      <c r="V23" s="288"/>
      <c r="W23" s="288"/>
      <c r="X23" s="288"/>
      <c r="Y23" s="288"/>
      <c r="Z23" s="288"/>
      <c r="AA23" s="288"/>
      <c r="AB23" s="288"/>
      <c r="AC23" s="288"/>
      <c r="AD23" s="288"/>
      <c r="AE23" s="288"/>
      <c r="AF23" s="288"/>
      <c r="AG23" s="288"/>
      <c r="AH23" s="288"/>
      <c r="AI23" s="289"/>
      <c r="AK23" s="431" t="s">
        <v>630</v>
      </c>
      <c r="AL23" s="432"/>
      <c r="AM23" s="432"/>
      <c r="AN23" s="432"/>
      <c r="AO23" s="432"/>
      <c r="AP23" s="432"/>
      <c r="AQ23" s="64"/>
      <c r="AR23" s="428"/>
      <c r="AS23" s="536" t="s">
        <v>631</v>
      </c>
      <c r="AT23" s="246"/>
      <c r="AU23" s="537"/>
      <c r="AV23" s="537"/>
      <c r="AW23" s="56" t="s">
        <v>632</v>
      </c>
      <c r="AY23" s="413" t="s">
        <v>633</v>
      </c>
      <c r="AZ23" s="413"/>
      <c r="BA23" s="412"/>
      <c r="BB23" s="412"/>
    </row>
    <row r="24" spans="1:85" ht="18" customHeight="1" thickBot="1">
      <c r="A24" s="36"/>
      <c r="B24" s="404"/>
      <c r="C24" s="404"/>
      <c r="D24" s="404"/>
      <c r="E24" s="404"/>
      <c r="F24" s="288"/>
      <c r="G24" s="288"/>
      <c r="H24" s="288"/>
      <c r="I24" s="288"/>
      <c r="J24" s="288"/>
      <c r="K24" s="288"/>
      <c r="L24" s="288"/>
      <c r="M24" s="288"/>
      <c r="N24" s="288"/>
      <c r="O24" s="288"/>
      <c r="P24" s="288"/>
      <c r="Q24" s="288"/>
      <c r="R24" s="288"/>
      <c r="S24" s="288"/>
      <c r="T24" s="288"/>
      <c r="U24" s="288"/>
      <c r="V24" s="288"/>
      <c r="W24" s="288"/>
      <c r="X24" s="288"/>
      <c r="Y24" s="288"/>
      <c r="Z24" s="288"/>
      <c r="AA24" s="288"/>
      <c r="AB24" s="288"/>
      <c r="AC24" s="288"/>
      <c r="AD24" s="288"/>
      <c r="AE24" s="288"/>
      <c r="AF24" s="288"/>
      <c r="AG24" s="288"/>
      <c r="AH24" s="288"/>
      <c r="AI24" s="289"/>
      <c r="AK24" s="527" t="s">
        <v>634</v>
      </c>
      <c r="AL24" s="528"/>
      <c r="AM24" s="528"/>
      <c r="AN24" s="528"/>
      <c r="AO24" s="528"/>
      <c r="AP24" s="528"/>
      <c r="AQ24" s="65"/>
      <c r="AR24" s="43"/>
      <c r="AY24" s="413" t="s">
        <v>635</v>
      </c>
      <c r="AZ24" s="413"/>
      <c r="BA24" s="412"/>
      <c r="BB24" s="412"/>
    </row>
    <row r="25" spans="1:85" ht="18" customHeight="1">
      <c r="A25" s="36"/>
      <c r="B25" s="404"/>
      <c r="C25" s="404"/>
      <c r="D25" s="404"/>
      <c r="E25" s="404"/>
      <c r="F25" s="288"/>
      <c r="G25" s="288"/>
      <c r="H25" s="288"/>
      <c r="I25" s="288"/>
      <c r="J25" s="288"/>
      <c r="K25" s="288"/>
      <c r="L25" s="288"/>
      <c r="M25" s="288"/>
      <c r="N25" s="288"/>
      <c r="O25" s="288"/>
      <c r="P25" s="288"/>
      <c r="Q25" s="288"/>
      <c r="R25" s="288"/>
      <c r="S25" s="288"/>
      <c r="T25" s="288"/>
      <c r="U25" s="288"/>
      <c r="V25" s="288"/>
      <c r="W25" s="288"/>
      <c r="X25" s="288"/>
      <c r="Y25" s="288"/>
      <c r="Z25" s="288"/>
      <c r="AA25" s="288"/>
      <c r="AB25" s="288"/>
      <c r="AC25" s="288"/>
      <c r="AD25" s="288"/>
      <c r="AE25" s="288"/>
      <c r="AF25" s="288"/>
      <c r="AG25" s="288"/>
      <c r="AH25" s="288"/>
      <c r="AI25" s="289"/>
      <c r="AK25" s="529" t="s">
        <v>636</v>
      </c>
      <c r="AL25" s="529"/>
      <c r="AM25" s="529"/>
      <c r="AN25" s="529"/>
      <c r="AO25" s="529"/>
      <c r="AP25" s="529"/>
      <c r="AQ25" s="66"/>
      <c r="AR25" s="43"/>
      <c r="AY25" s="413" t="s">
        <v>637</v>
      </c>
      <c r="AZ25" s="413"/>
      <c r="BA25" s="412"/>
      <c r="BB25" s="412"/>
    </row>
    <row r="26" spans="1:85" ht="18" customHeight="1">
      <c r="A26" s="36"/>
      <c r="B26" s="404"/>
      <c r="C26" s="404"/>
      <c r="D26" s="404"/>
      <c r="E26" s="404"/>
      <c r="F26" s="288"/>
      <c r="G26" s="288"/>
      <c r="H26" s="288"/>
      <c r="I26" s="288"/>
      <c r="J26" s="288"/>
      <c r="K26" s="288"/>
      <c r="L26" s="288"/>
      <c r="M26" s="288"/>
      <c r="N26" s="288"/>
      <c r="O26" s="288"/>
      <c r="P26" s="288"/>
      <c r="Q26" s="288"/>
      <c r="R26" s="288"/>
      <c r="S26" s="288"/>
      <c r="T26" s="288"/>
      <c r="U26" s="288"/>
      <c r="V26" s="288"/>
      <c r="W26" s="288"/>
      <c r="X26" s="288"/>
      <c r="Y26" s="288"/>
      <c r="Z26" s="288"/>
      <c r="AA26" s="288"/>
      <c r="AB26" s="288"/>
      <c r="AC26" s="288"/>
      <c r="AD26" s="288"/>
      <c r="AE26" s="288"/>
      <c r="AF26" s="288"/>
      <c r="AG26" s="288"/>
      <c r="AH26" s="288"/>
      <c r="AI26" s="289"/>
      <c r="AK26" s="436" t="s">
        <v>638</v>
      </c>
      <c r="AL26" s="436"/>
      <c r="AM26" s="436"/>
      <c r="AN26" s="436"/>
      <c r="AO26" s="436"/>
      <c r="AP26" s="436"/>
      <c r="AQ26" s="67"/>
      <c r="AR26" s="43"/>
      <c r="AS26" s="548" t="s">
        <v>639</v>
      </c>
      <c r="AT26" s="549"/>
      <c r="AU26" s="549"/>
      <c r="AV26" s="549"/>
      <c r="AW26" s="550"/>
      <c r="AY26" s="147"/>
      <c r="AZ26" s="147"/>
      <c r="BA26" s="147"/>
      <c r="BB26" s="147"/>
    </row>
    <row r="27" spans="1:85" ht="18" customHeight="1">
      <c r="A27" s="36"/>
      <c r="B27" s="404"/>
      <c r="C27" s="404"/>
      <c r="D27" s="404"/>
      <c r="E27" s="404"/>
      <c r="F27" s="288"/>
      <c r="G27" s="288"/>
      <c r="H27" s="288"/>
      <c r="I27" s="288"/>
      <c r="J27" s="288"/>
      <c r="K27" s="288"/>
      <c r="L27" s="288"/>
      <c r="M27" s="288"/>
      <c r="N27" s="288"/>
      <c r="O27" s="288"/>
      <c r="P27" s="288"/>
      <c r="Q27" s="288"/>
      <c r="R27" s="288"/>
      <c r="S27" s="288"/>
      <c r="T27" s="288"/>
      <c r="U27" s="288"/>
      <c r="V27" s="288"/>
      <c r="W27" s="288"/>
      <c r="X27" s="288"/>
      <c r="Y27" s="288"/>
      <c r="Z27" s="288"/>
      <c r="AA27" s="288"/>
      <c r="AB27" s="288"/>
      <c r="AC27" s="288"/>
      <c r="AD27" s="288"/>
      <c r="AE27" s="288"/>
      <c r="AF27" s="288"/>
      <c r="AG27" s="288"/>
      <c r="AH27" s="288"/>
      <c r="AI27" s="289"/>
      <c r="AK27" s="436" t="s">
        <v>640</v>
      </c>
      <c r="AL27" s="436"/>
      <c r="AM27" s="436"/>
      <c r="AN27" s="436"/>
      <c r="AO27" s="436"/>
      <c r="AP27" s="436"/>
      <c r="AQ27" s="67"/>
      <c r="AR27" s="43"/>
      <c r="AS27" s="458" t="s">
        <v>641</v>
      </c>
      <c r="AT27" s="460"/>
      <c r="AU27" s="458" t="s">
        <v>642</v>
      </c>
      <c r="AV27" s="459"/>
      <c r="AW27" s="460"/>
      <c r="AY27" s="411" t="s">
        <v>643</v>
      </c>
      <c r="AZ27" s="411"/>
      <c r="BA27" s="411"/>
      <c r="BB27" s="411"/>
    </row>
    <row r="28" spans="1:85" ht="18" customHeight="1" thickBot="1">
      <c r="A28" s="36"/>
      <c r="B28" s="404"/>
      <c r="C28" s="404"/>
      <c r="D28" s="404"/>
      <c r="E28" s="404"/>
      <c r="F28" s="288"/>
      <c r="G28" s="288"/>
      <c r="H28" s="288"/>
      <c r="I28" s="288"/>
      <c r="J28" s="288"/>
      <c r="K28" s="288"/>
      <c r="L28" s="288"/>
      <c r="M28" s="288"/>
      <c r="N28" s="288"/>
      <c r="O28" s="288"/>
      <c r="P28" s="288"/>
      <c r="Q28" s="288"/>
      <c r="R28" s="288"/>
      <c r="S28" s="288"/>
      <c r="T28" s="288"/>
      <c r="U28" s="288"/>
      <c r="V28" s="288"/>
      <c r="W28" s="288"/>
      <c r="X28" s="288"/>
      <c r="Y28" s="288"/>
      <c r="Z28" s="288"/>
      <c r="AA28" s="288"/>
      <c r="AB28" s="288"/>
      <c r="AC28" s="288"/>
      <c r="AD28" s="288"/>
      <c r="AE28" s="288"/>
      <c r="AF28" s="288"/>
      <c r="AG28" s="288"/>
      <c r="AH28" s="288"/>
      <c r="AI28" s="289"/>
      <c r="AK28" s="436" t="s">
        <v>644</v>
      </c>
      <c r="AL28" s="436"/>
      <c r="AM28" s="436"/>
      <c r="AN28" s="436"/>
      <c r="AO28" s="436"/>
      <c r="AP28" s="436"/>
      <c r="AQ28" s="67"/>
      <c r="AR28" s="43"/>
      <c r="AS28" s="538" t="s">
        <v>645</v>
      </c>
      <c r="AT28" s="539"/>
      <c r="AU28" s="533" t="s">
        <v>646</v>
      </c>
      <c r="AV28" s="534"/>
      <c r="AW28" s="535"/>
      <c r="AY28" s="413" t="s">
        <v>647</v>
      </c>
      <c r="AZ28" s="413"/>
      <c r="BA28" s="412"/>
      <c r="BB28" s="412"/>
    </row>
    <row r="29" spans="1:85" ht="18" customHeight="1" thickBot="1">
      <c r="A29" s="36"/>
      <c r="B29" s="404"/>
      <c r="C29" s="404"/>
      <c r="D29" s="404"/>
      <c r="E29" s="404"/>
      <c r="F29" s="288"/>
      <c r="G29" s="288"/>
      <c r="H29" s="288"/>
      <c r="I29" s="288"/>
      <c r="J29" s="288"/>
      <c r="K29" s="288"/>
      <c r="L29" s="288"/>
      <c r="M29" s="288"/>
      <c r="N29" s="288"/>
      <c r="O29" s="288"/>
      <c r="P29" s="288"/>
      <c r="Q29" s="288"/>
      <c r="R29" s="288"/>
      <c r="S29" s="288"/>
      <c r="T29" s="288"/>
      <c r="U29" s="288"/>
      <c r="V29" s="288"/>
      <c r="W29" s="288"/>
      <c r="X29" s="288"/>
      <c r="Y29" s="288"/>
      <c r="Z29" s="288"/>
      <c r="AA29" s="288"/>
      <c r="AB29" s="288"/>
      <c r="AC29" s="288"/>
      <c r="AD29" s="288"/>
      <c r="AE29" s="288"/>
      <c r="AF29" s="288"/>
      <c r="AG29" s="288"/>
      <c r="AH29" s="288"/>
      <c r="AI29" s="289"/>
      <c r="AK29" s="524"/>
      <c r="AL29" s="524"/>
      <c r="AM29" s="524"/>
      <c r="AN29" s="524"/>
      <c r="AO29" s="524"/>
      <c r="AP29" s="524"/>
      <c r="AQ29" s="58"/>
      <c r="AR29" s="43"/>
      <c r="AS29" s="551">
        <v>1.0368055555555555</v>
      </c>
      <c r="AT29" s="552"/>
      <c r="AU29" s="434" t="s">
        <v>984</v>
      </c>
      <c r="AV29" s="434"/>
      <c r="AW29" s="553"/>
      <c r="AY29" s="413" t="s">
        <v>633</v>
      </c>
      <c r="AZ29" s="413"/>
      <c r="BA29" s="412"/>
      <c r="BB29" s="412"/>
    </row>
    <row r="30" spans="1:85" ht="18" customHeight="1">
      <c r="A30" s="36"/>
      <c r="B30" s="404"/>
      <c r="C30" s="404"/>
      <c r="D30" s="404"/>
      <c r="E30" s="404"/>
      <c r="F30" s="288"/>
      <c r="G30" s="288"/>
      <c r="H30" s="288"/>
      <c r="I30" s="288"/>
      <c r="J30" s="288"/>
      <c r="K30" s="288"/>
      <c r="L30" s="288"/>
      <c r="M30" s="288"/>
      <c r="N30" s="288"/>
      <c r="O30" s="288"/>
      <c r="P30" s="288"/>
      <c r="Q30" s="288"/>
      <c r="R30" s="288"/>
      <c r="S30" s="288"/>
      <c r="T30" s="288"/>
      <c r="U30" s="288"/>
      <c r="V30" s="288"/>
      <c r="W30" s="288"/>
      <c r="X30" s="288"/>
      <c r="Y30" s="288"/>
      <c r="Z30" s="288"/>
      <c r="AA30" s="288"/>
      <c r="AB30" s="288"/>
      <c r="AC30" s="288"/>
      <c r="AD30" s="288"/>
      <c r="AE30" s="288"/>
      <c r="AF30" s="288"/>
      <c r="AG30" s="288"/>
      <c r="AH30" s="288"/>
      <c r="AI30" s="289"/>
      <c r="AK30" s="449" t="s">
        <v>648</v>
      </c>
      <c r="AL30" s="450"/>
      <c r="AM30" s="450"/>
      <c r="AN30" s="450"/>
      <c r="AO30" s="450"/>
      <c r="AP30" s="450"/>
      <c r="AQ30" s="62"/>
      <c r="AR30" s="43"/>
      <c r="AS30" s="554">
        <v>1.0583333333333333</v>
      </c>
      <c r="AT30" s="532"/>
      <c r="AU30" s="439" t="s">
        <v>985</v>
      </c>
      <c r="AV30" s="439"/>
      <c r="AW30" s="555"/>
      <c r="AY30" s="413" t="s">
        <v>649</v>
      </c>
      <c r="AZ30" s="413"/>
      <c r="BA30" s="412"/>
      <c r="BB30" s="412"/>
    </row>
    <row r="31" spans="1:85" ht="18" customHeight="1" thickBot="1">
      <c r="A31" s="37"/>
      <c r="B31" s="466"/>
      <c r="C31" s="466"/>
      <c r="D31" s="466"/>
      <c r="E31" s="466"/>
      <c r="F31" s="467"/>
      <c r="G31" s="467"/>
      <c r="H31" s="467"/>
      <c r="I31" s="467"/>
      <c r="J31" s="467"/>
      <c r="K31" s="467"/>
      <c r="L31" s="467"/>
      <c r="M31" s="467"/>
      <c r="N31" s="467"/>
      <c r="O31" s="467"/>
      <c r="P31" s="467"/>
      <c r="Q31" s="467"/>
      <c r="R31" s="467"/>
      <c r="S31" s="467"/>
      <c r="T31" s="467"/>
      <c r="U31" s="467"/>
      <c r="V31" s="467"/>
      <c r="W31" s="467"/>
      <c r="X31" s="467"/>
      <c r="Y31" s="467"/>
      <c r="Z31" s="467"/>
      <c r="AA31" s="467"/>
      <c r="AB31" s="467"/>
      <c r="AC31" s="467"/>
      <c r="AD31" s="467"/>
      <c r="AE31" s="467"/>
      <c r="AF31" s="467"/>
      <c r="AG31" s="467"/>
      <c r="AH31" s="467"/>
      <c r="AI31" s="468"/>
      <c r="AK31" s="451" t="s">
        <v>650</v>
      </c>
      <c r="AL31" s="416"/>
      <c r="AM31" s="416"/>
      <c r="AN31" s="416"/>
      <c r="AO31" s="416"/>
      <c r="AP31" s="416"/>
      <c r="AQ31" s="64"/>
      <c r="AR31" s="48"/>
      <c r="AS31" s="556">
        <v>1.0763888888888888</v>
      </c>
      <c r="AT31" s="557"/>
      <c r="AU31" s="424" t="s">
        <v>986</v>
      </c>
      <c r="AV31" s="424"/>
      <c r="AW31" s="491"/>
      <c r="AY31" s="413" t="s">
        <v>637</v>
      </c>
      <c r="AZ31" s="413"/>
      <c r="BA31" s="412"/>
      <c r="BB31" s="412"/>
    </row>
    <row r="32" spans="1:85" ht="18" customHeight="1" thickBot="1">
      <c r="A32" s="406" t="s">
        <v>651</v>
      </c>
      <c r="B32" s="407"/>
      <c r="C32" s="407"/>
      <c r="D32" s="407"/>
      <c r="E32" s="407"/>
      <c r="F32" s="407"/>
      <c r="G32" s="407"/>
      <c r="H32" s="407"/>
      <c r="I32" s="407"/>
      <c r="J32" s="407"/>
      <c r="K32" s="407"/>
      <c r="L32" s="407"/>
      <c r="M32" s="407"/>
      <c r="N32" s="407"/>
      <c r="O32" s="407"/>
      <c r="P32" s="407"/>
      <c r="Q32" s="407"/>
      <c r="R32" s="407"/>
      <c r="S32" s="407"/>
      <c r="T32" s="407"/>
      <c r="U32" s="407"/>
      <c r="V32" s="407"/>
      <c r="W32" s="407"/>
      <c r="X32" s="407"/>
      <c r="Y32" s="407"/>
      <c r="Z32" s="407"/>
      <c r="AA32" s="407"/>
      <c r="AB32" s="407"/>
      <c r="AC32" s="407"/>
      <c r="AD32" s="407"/>
      <c r="AE32" s="407"/>
      <c r="AF32" s="407"/>
      <c r="AG32" s="407"/>
      <c r="AH32" s="407"/>
      <c r="AI32" s="408"/>
      <c r="AK32" s="531"/>
      <c r="AL32" s="531"/>
      <c r="AM32" s="531"/>
      <c r="AN32" s="531"/>
      <c r="AO32" s="531"/>
      <c r="AP32" s="531"/>
      <c r="AQ32" s="61"/>
      <c r="AR32" s="48"/>
      <c r="AS32" s="558">
        <v>1.101388888888889</v>
      </c>
      <c r="AT32" s="558"/>
      <c r="AU32" s="559" t="s">
        <v>846</v>
      </c>
      <c r="AV32" s="559"/>
      <c r="AW32" s="559"/>
      <c r="AY32" s="413" t="s">
        <v>652</v>
      </c>
      <c r="AZ32" s="413"/>
      <c r="BA32" s="412"/>
      <c r="BB32" s="412"/>
    </row>
    <row r="33" spans="1:80" ht="18" customHeight="1">
      <c r="A33" s="39"/>
      <c r="B33" s="546" t="s">
        <v>653</v>
      </c>
      <c r="C33" s="546"/>
      <c r="D33" s="546"/>
      <c r="E33" s="546"/>
      <c r="F33" s="417" t="str" cm="1">
        <f t="array" ref="F33">_xlfn.TEXTJOIN("/",TRUE,IF(AS29:AS31&lt;&gt;"",TEXT(AS29:AS31,"h:mm")&amp;" "&amp;AU29:AU31,""))</f>
        <v>0:53 41階TR１室/1:24 ４０階風除室４/1:50 ３９階白洋舎</v>
      </c>
      <c r="G33" s="418"/>
      <c r="H33" s="418"/>
      <c r="I33" s="418"/>
      <c r="J33" s="418"/>
      <c r="K33" s="418"/>
      <c r="L33" s="418"/>
      <c r="M33" s="418"/>
      <c r="N33" s="418"/>
      <c r="O33" s="418"/>
      <c r="P33" s="418"/>
      <c r="Q33" s="418"/>
      <c r="R33" s="418"/>
      <c r="S33" s="418"/>
      <c r="T33" s="418"/>
      <c r="U33" s="418"/>
      <c r="V33" s="418"/>
      <c r="W33" s="418"/>
      <c r="X33" s="418"/>
      <c r="Y33" s="418"/>
      <c r="Z33" s="418"/>
      <c r="AA33" s="418"/>
      <c r="AB33" s="418"/>
      <c r="AC33" s="418"/>
      <c r="AD33" s="418"/>
      <c r="AE33" s="418"/>
      <c r="AF33" s="418"/>
      <c r="AG33" s="418"/>
      <c r="AH33" s="418"/>
      <c r="AI33" s="419"/>
      <c r="AK33" s="449" t="s">
        <v>654</v>
      </c>
      <c r="AL33" s="450"/>
      <c r="AM33" s="450"/>
      <c r="AN33" s="450"/>
      <c r="AO33" s="450"/>
      <c r="AP33" s="450"/>
      <c r="AQ33" s="60"/>
      <c r="AR33" s="48"/>
      <c r="AS33" s="532">
        <v>1.101388888888889</v>
      </c>
      <c r="AT33" s="532"/>
      <c r="AU33" s="439" t="s">
        <v>847</v>
      </c>
      <c r="AV33" s="439"/>
      <c r="AW33" s="439"/>
      <c r="AY33" s="413" t="s">
        <v>655</v>
      </c>
      <c r="AZ33" s="413"/>
      <c r="BA33" s="412"/>
      <c r="BB33" s="412"/>
    </row>
    <row r="34" spans="1:80" ht="18" customHeight="1" thickBot="1">
      <c r="A34" s="39"/>
      <c r="B34" s="546" t="s">
        <v>656</v>
      </c>
      <c r="C34" s="546"/>
      <c r="D34" s="546"/>
      <c r="E34" s="546"/>
      <c r="F34" s="420" t="s">
        <v>79</v>
      </c>
      <c r="G34" s="420"/>
      <c r="H34" s="420"/>
      <c r="I34" s="420"/>
      <c r="J34" s="420"/>
      <c r="K34" s="420"/>
      <c r="L34" s="420"/>
      <c r="M34" s="420"/>
      <c r="N34" s="420"/>
      <c r="O34" s="420"/>
      <c r="P34" s="420"/>
      <c r="Q34" s="420"/>
      <c r="R34" s="420"/>
      <c r="S34" s="420"/>
      <c r="T34" s="420"/>
      <c r="U34" s="420"/>
      <c r="V34" s="420"/>
      <c r="W34" s="420"/>
      <c r="X34" s="420"/>
      <c r="Y34" s="420"/>
      <c r="Z34" s="420"/>
      <c r="AA34" s="420"/>
      <c r="AB34" s="420"/>
      <c r="AC34" s="421"/>
      <c r="AD34" s="421"/>
      <c r="AE34" s="421"/>
      <c r="AF34" s="421"/>
      <c r="AG34" s="421"/>
      <c r="AH34" s="421"/>
      <c r="AI34" s="422"/>
      <c r="AK34" s="451" t="s">
        <v>657</v>
      </c>
      <c r="AL34" s="416"/>
      <c r="AM34" s="416"/>
      <c r="AN34" s="416"/>
      <c r="AO34" s="416"/>
      <c r="AP34" s="416"/>
      <c r="AQ34" s="56"/>
      <c r="AR34" s="48"/>
      <c r="AS34" s="532"/>
      <c r="AT34" s="532"/>
      <c r="AU34" s="439"/>
      <c r="AV34" s="439"/>
      <c r="AW34" s="439"/>
      <c r="AY34" s="413" t="s">
        <v>658</v>
      </c>
      <c r="AZ34" s="413"/>
      <c r="BA34" s="412"/>
      <c r="BB34" s="412"/>
    </row>
    <row r="35" spans="1:80" ht="18" customHeight="1" thickBot="1">
      <c r="A35" s="57"/>
      <c r="B35" s="547" t="s">
        <v>659</v>
      </c>
      <c r="C35" s="547"/>
      <c r="D35" s="547"/>
      <c r="E35" s="547"/>
      <c r="F35" s="389" t="s">
        <v>660</v>
      </c>
      <c r="G35" s="389"/>
      <c r="H35" s="389"/>
      <c r="I35" s="389"/>
      <c r="J35" s="389"/>
      <c r="K35" s="389"/>
      <c r="L35" s="389"/>
      <c r="M35" s="389"/>
      <c r="N35" s="389"/>
      <c r="O35" s="389"/>
      <c r="P35" s="389"/>
      <c r="Q35" s="389"/>
      <c r="R35" s="389"/>
      <c r="S35" s="389"/>
      <c r="T35" s="389"/>
      <c r="U35" s="389"/>
      <c r="V35" s="389"/>
      <c r="W35" s="390" t="s">
        <v>661</v>
      </c>
      <c r="X35" s="391"/>
      <c r="Y35" s="391"/>
      <c r="Z35" s="391"/>
      <c r="AA35" s="391"/>
      <c r="AB35" s="391"/>
      <c r="AC35" s="392" t="s">
        <v>662</v>
      </c>
      <c r="AD35" s="393"/>
      <c r="AE35" s="393"/>
      <c r="AF35" s="393"/>
      <c r="AG35" s="393"/>
      <c r="AH35" s="393"/>
      <c r="AI35" s="394"/>
      <c r="AK35" s="531"/>
      <c r="AL35" s="531"/>
      <c r="AM35" s="531"/>
      <c r="AN35" s="531"/>
      <c r="AO35" s="531"/>
      <c r="AP35" s="531"/>
      <c r="AQ35" s="61"/>
      <c r="AR35" s="48"/>
      <c r="AS35" s="532"/>
      <c r="AT35" s="532"/>
      <c r="AU35" s="439"/>
      <c r="AV35" s="439"/>
      <c r="AW35" s="439"/>
      <c r="AY35" s="413" t="s">
        <v>663</v>
      </c>
      <c r="AZ35" s="413"/>
      <c r="BA35" s="412"/>
      <c r="BB35" s="412"/>
    </row>
    <row r="36" spans="1:80" ht="18" customHeight="1" thickBot="1">
      <c r="A36" s="492" t="s">
        <v>664</v>
      </c>
      <c r="B36" s="493"/>
      <c r="C36" s="493"/>
      <c r="D36" s="493"/>
      <c r="E36" s="493"/>
      <c r="F36" s="498">
        <v>4.1666666666666664E-2</v>
      </c>
      <c r="G36" s="439"/>
      <c r="H36" s="439"/>
      <c r="I36" s="439"/>
      <c r="J36" s="439"/>
      <c r="K36" s="439"/>
      <c r="L36" s="499" t="s">
        <v>665</v>
      </c>
      <c r="M36" s="489"/>
      <c r="N36" s="489"/>
      <c r="O36" s="500"/>
      <c r="P36" s="410" t="s">
        <v>21</v>
      </c>
      <c r="Q36" s="410"/>
      <c r="R36" s="410"/>
      <c r="S36" s="55" t="s">
        <v>666</v>
      </c>
      <c r="T36" s="410" t="s">
        <v>72</v>
      </c>
      <c r="U36" s="410"/>
      <c r="V36" s="530"/>
      <c r="W36" s="489" t="s">
        <v>667</v>
      </c>
      <c r="X36" s="489"/>
      <c r="Y36" s="489"/>
      <c r="Z36" s="489"/>
      <c r="AA36" s="489"/>
      <c r="AB36" s="489"/>
      <c r="AC36" s="490" t="s">
        <v>722</v>
      </c>
      <c r="AD36" s="487"/>
      <c r="AE36" s="487"/>
      <c r="AF36" s="487"/>
      <c r="AG36" s="487"/>
      <c r="AH36" s="487"/>
      <c r="AI36" s="488"/>
      <c r="AK36" s="525" t="s">
        <v>668</v>
      </c>
      <c r="AL36" s="526"/>
      <c r="AM36" s="526"/>
      <c r="AN36" s="526"/>
      <c r="AO36" s="526"/>
      <c r="AP36" s="526"/>
      <c r="AQ36" s="117"/>
      <c r="AR36" s="48"/>
      <c r="AS36" s="532"/>
      <c r="AT36" s="532"/>
      <c r="AU36" s="439"/>
      <c r="AV36" s="439"/>
      <c r="AW36" s="439"/>
      <c r="BH36" s="50"/>
      <c r="BI36" s="51"/>
    </row>
    <row r="37" spans="1:80" ht="18" customHeight="1" thickBot="1">
      <c r="A37" s="494" t="s">
        <v>669</v>
      </c>
      <c r="B37" s="495"/>
      <c r="C37" s="495"/>
      <c r="D37" s="495"/>
      <c r="E37" s="495"/>
      <c r="F37" s="487"/>
      <c r="G37" s="487"/>
      <c r="H37" s="487"/>
      <c r="I37" s="487"/>
      <c r="J37" s="487"/>
      <c r="K37" s="487"/>
      <c r="L37" s="487"/>
      <c r="M37" s="487"/>
      <c r="N37" s="487"/>
      <c r="O37" s="487"/>
      <c r="P37" s="487"/>
      <c r="Q37" s="487"/>
      <c r="R37" s="487"/>
      <c r="S37" s="487"/>
      <c r="T37" s="487"/>
      <c r="U37" s="487"/>
      <c r="V37" s="487"/>
      <c r="W37" s="487"/>
      <c r="X37" s="487"/>
      <c r="Y37" s="487"/>
      <c r="Z37" s="487"/>
      <c r="AA37" s="487"/>
      <c r="AB37" s="487"/>
      <c r="AC37" s="487"/>
      <c r="AD37" s="487"/>
      <c r="AE37" s="487"/>
      <c r="AF37" s="487"/>
      <c r="AG37" s="487"/>
      <c r="AH37" s="487"/>
      <c r="AI37" s="488"/>
      <c r="AK37" s="544" t="s">
        <v>240</v>
      </c>
      <c r="AL37" s="545"/>
      <c r="AM37" s="545"/>
      <c r="AN37" s="545"/>
      <c r="AO37" s="545"/>
      <c r="AP37" s="545"/>
      <c r="AQ37" s="122"/>
      <c r="AR37" s="48"/>
      <c r="AS37" s="532"/>
      <c r="AT37" s="532"/>
      <c r="AU37" s="439"/>
      <c r="AV37" s="439"/>
      <c r="AW37" s="439"/>
      <c r="BH37" s="50"/>
      <c r="BI37" s="51"/>
    </row>
    <row r="38" spans="1:80" ht="18" customHeight="1" thickBot="1">
      <c r="A38" s="496" t="s">
        <v>670</v>
      </c>
      <c r="B38" s="497"/>
      <c r="C38" s="497"/>
      <c r="D38" s="497"/>
      <c r="E38" s="497"/>
      <c r="F38" s="416" t="s">
        <v>667</v>
      </c>
      <c r="G38" s="416"/>
      <c r="H38" s="416"/>
      <c r="I38" s="416"/>
      <c r="J38" s="416"/>
      <c r="K38" s="416"/>
      <c r="L38" s="424" t="s">
        <v>722</v>
      </c>
      <c r="M38" s="424"/>
      <c r="N38" s="424"/>
      <c r="O38" s="424"/>
      <c r="P38" s="416" t="s">
        <v>671</v>
      </c>
      <c r="Q38" s="416"/>
      <c r="R38" s="416"/>
      <c r="S38" s="416"/>
      <c r="T38" s="416"/>
      <c r="U38" s="416"/>
      <c r="V38" s="416"/>
      <c r="W38" s="416" t="s">
        <v>667</v>
      </c>
      <c r="X38" s="416"/>
      <c r="Y38" s="416"/>
      <c r="Z38" s="416"/>
      <c r="AA38" s="416"/>
      <c r="AB38" s="416"/>
      <c r="AC38" s="424" t="s">
        <v>722</v>
      </c>
      <c r="AD38" s="424"/>
      <c r="AE38" s="424"/>
      <c r="AF38" s="424"/>
      <c r="AG38" s="424"/>
      <c r="AH38" s="424"/>
      <c r="AI38" s="491"/>
      <c r="AK38" s="543"/>
      <c r="AL38" s="543"/>
      <c r="AM38" s="543"/>
      <c r="AN38" s="543"/>
      <c r="AO38" s="543"/>
      <c r="AP38" s="543"/>
      <c r="AQ38" s="59"/>
      <c r="AR38" s="48"/>
      <c r="BC38" s="50"/>
      <c r="BD38" s="51"/>
    </row>
    <row r="39" spans="1:80" ht="18" customHeight="1">
      <c r="A39" s="452" t="s">
        <v>672</v>
      </c>
      <c r="B39" s="453"/>
      <c r="C39" s="453"/>
      <c r="D39" s="453"/>
      <c r="E39" s="453"/>
      <c r="F39" s="453"/>
      <c r="G39" s="453"/>
      <c r="H39" s="453"/>
      <c r="I39" s="453"/>
      <c r="J39" s="453"/>
      <c r="K39" s="453"/>
      <c r="L39" s="453"/>
      <c r="M39" s="453"/>
      <c r="N39" s="453"/>
      <c r="O39" s="453"/>
      <c r="P39" s="453"/>
      <c r="Q39" s="453"/>
      <c r="R39" s="453"/>
      <c r="S39" s="453"/>
      <c r="T39" s="453"/>
      <c r="U39" s="453"/>
      <c r="V39" s="453"/>
      <c r="W39" s="453"/>
      <c r="X39" s="453"/>
      <c r="Y39" s="453"/>
      <c r="Z39" s="453"/>
      <c r="AA39" s="453"/>
      <c r="AB39" s="453"/>
      <c r="AC39" s="453"/>
      <c r="AD39" s="453"/>
      <c r="AE39" s="453"/>
      <c r="AF39" s="453"/>
      <c r="AG39" s="453"/>
      <c r="AH39" s="453"/>
      <c r="AI39" s="454"/>
      <c r="AK39" s="444" t="s">
        <v>673</v>
      </c>
      <c r="AL39" s="444"/>
      <c r="AM39" s="444"/>
      <c r="AN39" s="444"/>
      <c r="AO39" s="444"/>
      <c r="AP39" s="444"/>
      <c r="AQ39" s="42"/>
      <c r="AR39" s="48"/>
      <c r="AS39" s="423" t="s">
        <v>526</v>
      </c>
      <c r="AT39" s="423"/>
      <c r="AU39" s="148">
        <v>23</v>
      </c>
      <c r="AV39" s="423" t="s">
        <v>528</v>
      </c>
      <c r="AW39" s="423"/>
      <c r="BC39" s="50"/>
      <c r="BD39" s="51"/>
    </row>
    <row r="40" spans="1:80" ht="18" customHeight="1">
      <c r="A40" s="464" t="s">
        <v>674</v>
      </c>
      <c r="B40" s="459"/>
      <c r="C40" s="459"/>
      <c r="D40" s="459"/>
      <c r="E40" s="470" t="s">
        <v>675</v>
      </c>
      <c r="F40" s="471"/>
      <c r="G40" s="471"/>
      <c r="H40" s="471"/>
      <c r="I40" s="471"/>
      <c r="J40" s="471"/>
      <c r="K40" s="472"/>
      <c r="L40" s="458" t="s">
        <v>676</v>
      </c>
      <c r="M40" s="459"/>
      <c r="N40" s="459"/>
      <c r="O40" s="459"/>
      <c r="P40" s="459"/>
      <c r="Q40" s="459"/>
      <c r="R40" s="460"/>
      <c r="S40" s="458" t="s">
        <v>677</v>
      </c>
      <c r="T40" s="459"/>
      <c r="U40" s="459"/>
      <c r="V40" s="459"/>
      <c r="W40" s="470" t="s">
        <v>675</v>
      </c>
      <c r="X40" s="471"/>
      <c r="Y40" s="471"/>
      <c r="Z40" s="471"/>
      <c r="AA40" s="471"/>
      <c r="AB40" s="471"/>
      <c r="AC40" s="472"/>
      <c r="AD40" s="458" t="s">
        <v>678</v>
      </c>
      <c r="AE40" s="459"/>
      <c r="AF40" s="459"/>
      <c r="AG40" s="459"/>
      <c r="AH40" s="459"/>
      <c r="AI40" s="463"/>
      <c r="AK40" s="444" t="s">
        <v>679</v>
      </c>
      <c r="AL40" s="444"/>
      <c r="AM40" s="444"/>
      <c r="AN40" s="444"/>
      <c r="AO40" s="444"/>
      <c r="AP40" s="444"/>
      <c r="AQ40" s="42"/>
      <c r="AR40" s="48"/>
      <c r="AS40" s="423" t="s">
        <v>527</v>
      </c>
      <c r="AT40" s="423"/>
      <c r="AU40" s="148">
        <v>25</v>
      </c>
      <c r="AV40" s="560">
        <v>0.438</v>
      </c>
      <c r="AW40" s="560"/>
      <c r="BC40" s="50"/>
      <c r="BD40" s="51"/>
    </row>
    <row r="41" spans="1:80" ht="18" customHeight="1">
      <c r="A41" s="464" t="s">
        <v>16</v>
      </c>
      <c r="B41" s="459"/>
      <c r="C41" s="459"/>
      <c r="D41" s="459"/>
      <c r="E41" s="469">
        <f>AX10</f>
        <v>0.33333333333333331</v>
      </c>
      <c r="F41" s="456"/>
      <c r="G41" s="456"/>
      <c r="H41" s="144" t="s">
        <v>680</v>
      </c>
      <c r="I41" s="456">
        <f>AY10</f>
        <v>0.83333333333333337</v>
      </c>
      <c r="J41" s="456"/>
      <c r="K41" s="457"/>
      <c r="L41" s="458" t="str">
        <f>AU10</f>
        <v>藤井隆幸</v>
      </c>
      <c r="M41" s="459"/>
      <c r="N41" s="459"/>
      <c r="O41" s="459"/>
      <c r="P41" s="459"/>
      <c r="Q41" s="459"/>
      <c r="R41" s="460"/>
      <c r="S41" s="409" t="s">
        <v>58</v>
      </c>
      <c r="T41" s="410"/>
      <c r="U41" s="410"/>
      <c r="V41" s="410"/>
      <c r="W41" s="414">
        <f>AX16</f>
        <v>0.83333333333333337</v>
      </c>
      <c r="X41" s="415"/>
      <c r="Y41" s="415"/>
      <c r="Z41" s="40" t="s">
        <v>680</v>
      </c>
      <c r="AA41" s="415" t="str">
        <f>AY16</f>
        <v>翌8:00</v>
      </c>
      <c r="AB41" s="415"/>
      <c r="AC41" s="461"/>
      <c r="AD41" s="409" t="str">
        <f>AU18</f>
        <v>小園行聖</v>
      </c>
      <c r="AE41" s="410"/>
      <c r="AF41" s="410"/>
      <c r="AG41" s="410"/>
      <c r="AH41" s="410"/>
      <c r="AI41" s="462"/>
      <c r="AK41" s="444" t="s">
        <v>681</v>
      </c>
      <c r="AL41" s="444"/>
      <c r="AM41" s="444"/>
      <c r="AN41" s="444"/>
      <c r="AO41" s="444"/>
      <c r="AP41" s="444"/>
      <c r="AQ41" s="42"/>
      <c r="AR41" s="48"/>
      <c r="BC41" s="50"/>
      <c r="BD41" s="51"/>
    </row>
    <row r="42" spans="1:80" ht="18" customHeight="1">
      <c r="A42" s="464" t="s">
        <v>24</v>
      </c>
      <c r="B42" s="459"/>
      <c r="C42" s="459"/>
      <c r="D42" s="459"/>
      <c r="E42" s="469">
        <f>AX13</f>
        <v>0.33333333333333331</v>
      </c>
      <c r="F42" s="456"/>
      <c r="G42" s="456"/>
      <c r="H42" s="144" t="s">
        <v>680</v>
      </c>
      <c r="I42" s="456">
        <f>AY12</f>
        <v>0.83333333333333337</v>
      </c>
      <c r="J42" s="456"/>
      <c r="K42" s="457"/>
      <c r="L42" s="458" t="str">
        <f>AU13</f>
        <v>木村重明</v>
      </c>
      <c r="M42" s="459"/>
      <c r="N42" s="459"/>
      <c r="O42" s="459"/>
      <c r="P42" s="459"/>
      <c r="Q42" s="459"/>
      <c r="R42" s="460"/>
      <c r="S42" s="409"/>
      <c r="T42" s="410"/>
      <c r="U42" s="410"/>
      <c r="V42" s="410"/>
      <c r="W42" s="414"/>
      <c r="X42" s="415"/>
      <c r="Y42" s="415"/>
      <c r="Z42" s="136"/>
      <c r="AA42" s="415"/>
      <c r="AB42" s="415"/>
      <c r="AC42" s="461"/>
      <c r="AD42" s="409"/>
      <c r="AE42" s="410"/>
      <c r="AF42" s="410"/>
      <c r="AG42" s="410"/>
      <c r="AH42" s="410"/>
      <c r="AI42" s="462"/>
      <c r="AK42" s="445" t="s">
        <v>682</v>
      </c>
      <c r="AL42" s="445"/>
      <c r="AM42" s="445"/>
      <c r="AN42" s="445"/>
      <c r="AO42" s="445"/>
      <c r="AP42" s="445"/>
      <c r="AQ42" s="42"/>
      <c r="AR42" s="48"/>
      <c r="AS42" s="561" t="s">
        <v>683</v>
      </c>
      <c r="AT42" s="561"/>
      <c r="AU42" s="561"/>
      <c r="AV42" s="561"/>
      <c r="AW42" s="561"/>
      <c r="BC42" s="50"/>
      <c r="BD42" s="51"/>
    </row>
    <row r="43" spans="1:80" ht="18" customHeight="1">
      <c r="A43" s="464" t="s">
        <v>38</v>
      </c>
      <c r="B43" s="459"/>
      <c r="C43" s="459"/>
      <c r="D43" s="459"/>
      <c r="E43" s="469">
        <f>AX16</f>
        <v>0.83333333333333337</v>
      </c>
      <c r="F43" s="456"/>
      <c r="G43" s="456"/>
      <c r="H43" s="144" t="s">
        <v>680</v>
      </c>
      <c r="I43" s="456" t="str">
        <f>AY16</f>
        <v>翌8:00</v>
      </c>
      <c r="J43" s="456"/>
      <c r="K43" s="457"/>
      <c r="L43" s="458" t="str">
        <f>AU16</f>
        <v>三角龍彦</v>
      </c>
      <c r="M43" s="459"/>
      <c r="N43" s="459"/>
      <c r="O43" s="459"/>
      <c r="P43" s="459"/>
      <c r="Q43" s="459"/>
      <c r="R43" s="460"/>
      <c r="S43" s="409"/>
      <c r="T43" s="410"/>
      <c r="U43" s="410"/>
      <c r="V43" s="410"/>
      <c r="W43" s="414"/>
      <c r="X43" s="415"/>
      <c r="Y43" s="415"/>
      <c r="Z43" s="136"/>
      <c r="AA43" s="415"/>
      <c r="AB43" s="415"/>
      <c r="AC43" s="461"/>
      <c r="AD43" s="486"/>
      <c r="AE43" s="410"/>
      <c r="AF43" s="410"/>
      <c r="AG43" s="410"/>
      <c r="AH43" s="410"/>
      <c r="AI43" s="462"/>
      <c r="AK43" s="444" t="s">
        <v>684</v>
      </c>
      <c r="AL43" s="444"/>
      <c r="AM43" s="444"/>
      <c r="AN43" s="444"/>
      <c r="AO43" s="444"/>
      <c r="AP43" s="444"/>
      <c r="AQ43" s="42"/>
      <c r="AR43" s="43"/>
      <c r="AW43"/>
      <c r="AX43"/>
      <c r="AY43"/>
      <c r="AZ43"/>
      <c r="BA43"/>
      <c r="BB43"/>
      <c r="BC43" s="50"/>
      <c r="BD43" s="51"/>
      <c r="BE43"/>
      <c r="BF43"/>
      <c r="BG43"/>
      <c r="BH43"/>
      <c r="BI43"/>
      <c r="BJ43"/>
      <c r="BK43"/>
      <c r="BL43"/>
      <c r="BM43"/>
      <c r="BN43"/>
      <c r="BO43"/>
      <c r="BP43"/>
      <c r="BQ43"/>
      <c r="BR43"/>
      <c r="BS43"/>
      <c r="BT43"/>
      <c r="BU43"/>
      <c r="BV43"/>
      <c r="BW43"/>
      <c r="BX43"/>
      <c r="BY43"/>
      <c r="BZ43"/>
      <c r="CA43"/>
      <c r="CB43"/>
    </row>
    <row r="44" spans="1:80" ht="18" customHeight="1" thickBot="1">
      <c r="A44" s="473" t="s">
        <v>45</v>
      </c>
      <c r="B44" s="474"/>
      <c r="C44" s="474"/>
      <c r="D44" s="474"/>
      <c r="E44" s="475">
        <f>AX17</f>
        <v>0.83333333333333337</v>
      </c>
      <c r="F44" s="476"/>
      <c r="G44" s="476"/>
      <c r="H44" s="145" t="s">
        <v>680</v>
      </c>
      <c r="I44" s="476" t="str">
        <f>AY17</f>
        <v>翌8:00</v>
      </c>
      <c r="J44" s="476"/>
      <c r="K44" s="477"/>
      <c r="L44" s="478" t="str">
        <f>AU17</f>
        <v>片山薫</v>
      </c>
      <c r="M44" s="478"/>
      <c r="N44" s="478"/>
      <c r="O44" s="478"/>
      <c r="P44" s="478"/>
      <c r="Q44" s="478"/>
      <c r="R44" s="478"/>
      <c r="S44" s="479"/>
      <c r="T44" s="480"/>
      <c r="U44" s="480"/>
      <c r="V44" s="480"/>
      <c r="W44" s="481"/>
      <c r="X44" s="482"/>
      <c r="Y44" s="482"/>
      <c r="Z44" s="137"/>
      <c r="AA44" s="482"/>
      <c r="AB44" s="482"/>
      <c r="AC44" s="483"/>
      <c r="AD44" s="484">
        <f>AU19</f>
        <v>0</v>
      </c>
      <c r="AE44" s="480"/>
      <c r="AF44" s="480"/>
      <c r="AG44" s="480"/>
      <c r="AH44" s="480"/>
      <c r="AI44" s="485"/>
      <c r="AK44" s="446" t="s">
        <v>685</v>
      </c>
      <c r="AL44" s="446"/>
      <c r="AM44" s="446"/>
      <c r="AN44" s="446"/>
      <c r="AO44" s="446"/>
      <c r="AP44" s="446"/>
      <c r="AQ44" s="42"/>
      <c r="AR44" s="43"/>
      <c r="BC44" s="50"/>
      <c r="BD44" s="51"/>
    </row>
    <row r="45" spans="1:80" ht="18" customHeight="1" thickBot="1">
      <c r="A45" s="27"/>
      <c r="B45" s="27"/>
      <c r="C45" s="27"/>
      <c r="D45" s="27"/>
      <c r="E45" s="27"/>
      <c r="F45" s="27"/>
      <c r="G45" s="27"/>
      <c r="H45" s="27"/>
      <c r="I45" s="27"/>
      <c r="R45" s="307">
        <f>A7</f>
        <v>46198</v>
      </c>
      <c r="S45" s="308"/>
      <c r="T45" s="308"/>
      <c r="U45" s="308"/>
      <c r="V45" s="23" t="s">
        <v>169</v>
      </c>
      <c r="W45" s="309">
        <f>G7</f>
        <v>46198</v>
      </c>
      <c r="X45" s="308"/>
      <c r="Y45" s="23" t="s">
        <v>170</v>
      </c>
      <c r="Z45" s="310">
        <f>K7</f>
        <v>46198</v>
      </c>
      <c r="AA45" s="308"/>
      <c r="AB45" s="23" t="s">
        <v>3</v>
      </c>
      <c r="AC45" s="455">
        <f>O7</f>
        <v>46198</v>
      </c>
      <c r="AD45" s="308"/>
      <c r="AE45" s="308" t="s">
        <v>292</v>
      </c>
      <c r="AF45" s="308"/>
      <c r="AK45" s="425" t="s">
        <v>686</v>
      </c>
      <c r="AL45" s="425"/>
      <c r="AM45" s="425"/>
      <c r="AN45" s="425"/>
      <c r="AO45" s="425"/>
      <c r="AP45" s="425"/>
      <c r="AQ45" s="42"/>
      <c r="AR45" s="43"/>
      <c r="BC45" s="50"/>
      <c r="BD45" s="51"/>
    </row>
    <row r="46" spans="1:80" customFormat="1" ht="18" customHeight="1">
      <c r="A46" s="452" t="s">
        <v>598</v>
      </c>
      <c r="B46" s="453"/>
      <c r="C46" s="453"/>
      <c r="D46" s="453"/>
      <c r="E46" s="453"/>
      <c r="F46" s="453"/>
      <c r="G46" s="453"/>
      <c r="H46" s="453"/>
      <c r="I46" s="453"/>
      <c r="J46" s="453"/>
      <c r="K46" s="453"/>
      <c r="L46" s="453"/>
      <c r="M46" s="453"/>
      <c r="N46" s="453"/>
      <c r="O46" s="453"/>
      <c r="P46" s="453"/>
      <c r="Q46" s="453"/>
      <c r="R46" s="453"/>
      <c r="S46" s="453"/>
      <c r="T46" s="453"/>
      <c r="U46" s="453"/>
      <c r="V46" s="453"/>
      <c r="W46" s="453"/>
      <c r="X46" s="453"/>
      <c r="Y46" s="453"/>
      <c r="Z46" s="453"/>
      <c r="AA46" s="453"/>
      <c r="AB46" s="453"/>
      <c r="AC46" s="453"/>
      <c r="AD46" s="453"/>
      <c r="AE46" s="453"/>
      <c r="AF46" s="453"/>
      <c r="AG46" s="453"/>
      <c r="AH46" s="453"/>
      <c r="AI46" s="454"/>
      <c r="AK46" s="425" t="s">
        <v>687</v>
      </c>
      <c r="AL46" s="425"/>
      <c r="AM46" s="425"/>
      <c r="AN46" s="425"/>
      <c r="AO46" s="425"/>
      <c r="AP46" s="425"/>
      <c r="AQ46" s="42"/>
      <c r="AR46" s="43"/>
      <c r="AW46" s="23"/>
      <c r="AX46" s="23"/>
      <c r="AY46" s="23"/>
      <c r="AZ46" s="23"/>
      <c r="BA46" s="23"/>
      <c r="BB46" s="23"/>
      <c r="BC46" s="50"/>
      <c r="BD46" s="51"/>
      <c r="BE46" s="23"/>
      <c r="BF46" s="23"/>
      <c r="BG46" s="23"/>
      <c r="BH46" s="23"/>
      <c r="BI46" s="23"/>
      <c r="BJ46" s="23"/>
      <c r="BK46" s="23"/>
      <c r="BL46" s="23"/>
      <c r="BM46" s="23"/>
      <c r="BN46" s="23"/>
      <c r="BO46" s="23"/>
      <c r="BP46" s="23"/>
      <c r="BQ46" s="23"/>
      <c r="BR46" s="23"/>
      <c r="BS46" s="23"/>
      <c r="BT46" s="23"/>
      <c r="BU46" s="23"/>
      <c r="BV46" s="23"/>
      <c r="BW46" s="23"/>
      <c r="BX46" s="23"/>
      <c r="BY46" s="23"/>
      <c r="BZ46" s="23"/>
      <c r="CA46" s="23"/>
      <c r="CB46" s="23"/>
    </row>
    <row r="47" spans="1:80" ht="18" customHeight="1">
      <c r="A47" s="36"/>
      <c r="B47" s="404"/>
      <c r="C47" s="404"/>
      <c r="D47" s="404"/>
      <c r="E47" s="404"/>
      <c r="F47" s="288"/>
      <c r="G47" s="288"/>
      <c r="H47" s="288"/>
      <c r="I47" s="288"/>
      <c r="J47" s="288"/>
      <c r="K47" s="288"/>
      <c r="L47" s="288"/>
      <c r="M47" s="288"/>
      <c r="N47" s="288"/>
      <c r="O47" s="288"/>
      <c r="P47" s="288"/>
      <c r="Q47" s="288"/>
      <c r="R47" s="288"/>
      <c r="S47" s="288"/>
      <c r="T47" s="288"/>
      <c r="U47" s="288"/>
      <c r="V47" s="288"/>
      <c r="W47" s="288"/>
      <c r="X47" s="288"/>
      <c r="Y47" s="288"/>
      <c r="Z47" s="288"/>
      <c r="AA47" s="288"/>
      <c r="AB47" s="288"/>
      <c r="AC47" s="288"/>
      <c r="AD47" s="288"/>
      <c r="AE47" s="288"/>
      <c r="AF47" s="288"/>
      <c r="AG47" s="288"/>
      <c r="AH47" s="288"/>
      <c r="AI47" s="289"/>
      <c r="AK47" s="425" t="s">
        <v>688</v>
      </c>
      <c r="AL47" s="425"/>
      <c r="AM47" s="425"/>
      <c r="AN47" s="425"/>
      <c r="AO47" s="425"/>
      <c r="AP47" s="425"/>
      <c r="AQ47" s="42"/>
      <c r="AR47" s="43"/>
      <c r="AS47" s="120" t="s">
        <v>189</v>
      </c>
      <c r="AT47" s="43" t="s">
        <v>728</v>
      </c>
      <c r="AU47" s="43"/>
      <c r="BC47" s="50"/>
      <c r="BD47" s="51"/>
    </row>
    <row r="48" spans="1:80" ht="18" customHeight="1">
      <c r="A48" s="36"/>
      <c r="B48" s="404"/>
      <c r="C48" s="404"/>
      <c r="D48" s="404"/>
      <c r="E48" s="404"/>
      <c r="F48" s="288"/>
      <c r="G48" s="288"/>
      <c r="H48" s="288"/>
      <c r="I48" s="288"/>
      <c r="J48" s="288"/>
      <c r="K48" s="288"/>
      <c r="L48" s="288"/>
      <c r="M48" s="288"/>
      <c r="N48" s="288"/>
      <c r="O48" s="288"/>
      <c r="P48" s="288"/>
      <c r="Q48" s="288"/>
      <c r="R48" s="288"/>
      <c r="S48" s="288"/>
      <c r="T48" s="288"/>
      <c r="U48" s="288"/>
      <c r="V48" s="288"/>
      <c r="W48" s="288"/>
      <c r="X48" s="288"/>
      <c r="Y48" s="288"/>
      <c r="Z48" s="288"/>
      <c r="AA48" s="288"/>
      <c r="AB48" s="288"/>
      <c r="AC48" s="288"/>
      <c r="AD48" s="288"/>
      <c r="AE48" s="288"/>
      <c r="AF48" s="288"/>
      <c r="AG48" s="288"/>
      <c r="AH48" s="288"/>
      <c r="AI48" s="289"/>
      <c r="AK48" s="425" t="s">
        <v>690</v>
      </c>
      <c r="AL48" s="425"/>
      <c r="AM48" s="425"/>
      <c r="AN48" s="425"/>
      <c r="AO48" s="425"/>
      <c r="AP48" s="425"/>
      <c r="AQ48" s="42"/>
      <c r="AR48" s="43"/>
      <c r="AS48" s="43"/>
      <c r="AT48" s="43"/>
      <c r="AU48" s="43"/>
      <c r="BC48" s="50"/>
      <c r="BD48" s="51"/>
    </row>
    <row r="49" spans="1:61" ht="18" customHeight="1">
      <c r="A49" s="36"/>
      <c r="B49" s="404"/>
      <c r="C49" s="404"/>
      <c r="D49" s="404"/>
      <c r="E49" s="404"/>
      <c r="F49" s="288"/>
      <c r="G49" s="288"/>
      <c r="H49" s="288"/>
      <c r="I49" s="288"/>
      <c r="J49" s="288"/>
      <c r="K49" s="288"/>
      <c r="L49" s="288"/>
      <c r="M49" s="288"/>
      <c r="N49" s="288"/>
      <c r="O49" s="288"/>
      <c r="P49" s="288"/>
      <c r="Q49" s="288"/>
      <c r="R49" s="288"/>
      <c r="S49" s="288"/>
      <c r="T49" s="288"/>
      <c r="U49" s="288"/>
      <c r="V49" s="288"/>
      <c r="W49" s="288"/>
      <c r="X49" s="288"/>
      <c r="Y49" s="288"/>
      <c r="Z49" s="288"/>
      <c r="AA49" s="288"/>
      <c r="AB49" s="288"/>
      <c r="AC49" s="288"/>
      <c r="AD49" s="288"/>
      <c r="AE49" s="288"/>
      <c r="AF49" s="288"/>
      <c r="AG49" s="288"/>
      <c r="AH49" s="288"/>
      <c r="AI49" s="289"/>
      <c r="AK49" s="425" t="s">
        <v>691</v>
      </c>
      <c r="AL49" s="425"/>
      <c r="AM49" s="425"/>
      <c r="AN49" s="425"/>
      <c r="AO49" s="425"/>
      <c r="AP49" s="425"/>
      <c r="AQ49" s="42"/>
      <c r="AR49" s="43"/>
      <c r="AS49" s="43"/>
      <c r="AT49" s="43"/>
      <c r="AU49" s="43"/>
      <c r="BC49" s="50"/>
      <c r="BD49" s="51"/>
    </row>
    <row r="50" spans="1:61" ht="18" customHeight="1">
      <c r="A50" s="36"/>
      <c r="B50" s="404"/>
      <c r="C50" s="404"/>
      <c r="D50" s="404"/>
      <c r="E50" s="404"/>
      <c r="F50" s="288"/>
      <c r="G50" s="288"/>
      <c r="H50" s="288"/>
      <c r="I50" s="288"/>
      <c r="J50" s="288"/>
      <c r="K50" s="288"/>
      <c r="L50" s="288"/>
      <c r="M50" s="288"/>
      <c r="N50" s="288"/>
      <c r="O50" s="288"/>
      <c r="P50" s="288"/>
      <c r="Q50" s="288"/>
      <c r="R50" s="288"/>
      <c r="S50" s="288"/>
      <c r="T50" s="288"/>
      <c r="U50" s="288"/>
      <c r="V50" s="288"/>
      <c r="W50" s="288"/>
      <c r="X50" s="288"/>
      <c r="Y50" s="288"/>
      <c r="Z50" s="288"/>
      <c r="AA50" s="288"/>
      <c r="AB50" s="288"/>
      <c r="AC50" s="288"/>
      <c r="AD50" s="288"/>
      <c r="AE50" s="288"/>
      <c r="AF50" s="288"/>
      <c r="AG50" s="288"/>
      <c r="AH50" s="288"/>
      <c r="AI50" s="289"/>
      <c r="AK50" s="425" t="s">
        <v>692</v>
      </c>
      <c r="AL50" s="425"/>
      <c r="AM50" s="425"/>
      <c r="AN50" s="425"/>
      <c r="AO50" s="425"/>
      <c r="AP50" s="425"/>
      <c r="AQ50" s="42"/>
      <c r="AR50" s="43"/>
      <c r="AS50" s="43"/>
      <c r="AT50" s="43"/>
      <c r="AU50" s="43"/>
      <c r="BC50" s="50"/>
      <c r="BD50" s="51"/>
    </row>
    <row r="51" spans="1:61" ht="18" customHeight="1">
      <c r="A51" s="36"/>
      <c r="B51" s="404"/>
      <c r="C51" s="404"/>
      <c r="D51" s="404"/>
      <c r="E51" s="404"/>
      <c r="F51" s="288"/>
      <c r="G51" s="288"/>
      <c r="H51" s="288"/>
      <c r="I51" s="288"/>
      <c r="J51" s="288"/>
      <c r="K51" s="288"/>
      <c r="L51" s="288"/>
      <c r="M51" s="288"/>
      <c r="N51" s="288"/>
      <c r="O51" s="288"/>
      <c r="P51" s="288"/>
      <c r="Q51" s="288"/>
      <c r="R51" s="288"/>
      <c r="S51" s="288"/>
      <c r="T51" s="288"/>
      <c r="U51" s="288"/>
      <c r="V51" s="288"/>
      <c r="W51" s="288"/>
      <c r="X51" s="288"/>
      <c r="Y51" s="288"/>
      <c r="Z51" s="288"/>
      <c r="AA51" s="288"/>
      <c r="AB51" s="288"/>
      <c r="AC51" s="288"/>
      <c r="AD51" s="288"/>
      <c r="AE51" s="288"/>
      <c r="AF51" s="288"/>
      <c r="AG51" s="288"/>
      <c r="AH51" s="288"/>
      <c r="AI51" s="289"/>
      <c r="AK51" s="425" t="s">
        <v>693</v>
      </c>
      <c r="AL51" s="425"/>
      <c r="AM51" s="425"/>
      <c r="AN51" s="425"/>
      <c r="AO51" s="425"/>
      <c r="AP51" s="425"/>
      <c r="AQ51" s="42"/>
      <c r="AR51" s="43"/>
      <c r="AS51" s="43"/>
      <c r="AT51" s="43"/>
      <c r="AU51" s="43"/>
      <c r="BC51" s="50"/>
      <c r="BD51" s="51"/>
    </row>
    <row r="52" spans="1:61" ht="18" customHeight="1">
      <c r="A52" s="36"/>
      <c r="B52" s="404"/>
      <c r="C52" s="404"/>
      <c r="D52" s="404"/>
      <c r="E52" s="404"/>
      <c r="F52" s="288"/>
      <c r="G52" s="288"/>
      <c r="H52" s="288"/>
      <c r="I52" s="288"/>
      <c r="J52" s="288"/>
      <c r="K52" s="288"/>
      <c r="L52" s="288"/>
      <c r="M52" s="288"/>
      <c r="N52" s="288"/>
      <c r="O52" s="288"/>
      <c r="P52" s="288"/>
      <c r="Q52" s="288"/>
      <c r="R52" s="288"/>
      <c r="S52" s="288"/>
      <c r="T52" s="288"/>
      <c r="U52" s="288"/>
      <c r="V52" s="288"/>
      <c r="W52" s="288"/>
      <c r="X52" s="288"/>
      <c r="Y52" s="288"/>
      <c r="Z52" s="288"/>
      <c r="AA52" s="288"/>
      <c r="AB52" s="288"/>
      <c r="AC52" s="288"/>
      <c r="AD52" s="288"/>
      <c r="AE52" s="288"/>
      <c r="AF52" s="288"/>
      <c r="AG52" s="288"/>
      <c r="AH52" s="288"/>
      <c r="AI52" s="289"/>
      <c r="AK52" s="425" t="s">
        <v>694</v>
      </c>
      <c r="AL52" s="425"/>
      <c r="AM52" s="425"/>
      <c r="AN52" s="425"/>
      <c r="AO52" s="425"/>
      <c r="AP52" s="425"/>
      <c r="AQ52" s="42"/>
      <c r="AR52" s="43"/>
      <c r="AS52" s="43"/>
      <c r="AV52" s="43"/>
      <c r="AW52" s="43"/>
      <c r="AX52" s="43"/>
      <c r="AY52" s="43"/>
      <c r="AZ52" s="43"/>
      <c r="BA52" s="43"/>
      <c r="BH52" s="52"/>
      <c r="BI52" s="51"/>
    </row>
    <row r="53" spans="1:61" ht="18" customHeight="1">
      <c r="A53" s="36"/>
      <c r="B53" s="404"/>
      <c r="C53" s="404"/>
      <c r="D53" s="404"/>
      <c r="E53" s="404"/>
      <c r="F53" s="288"/>
      <c r="G53" s="288"/>
      <c r="H53" s="288"/>
      <c r="I53" s="288"/>
      <c r="J53" s="288"/>
      <c r="K53" s="288"/>
      <c r="L53" s="288"/>
      <c r="M53" s="288"/>
      <c r="N53" s="288"/>
      <c r="O53" s="288"/>
      <c r="P53" s="288"/>
      <c r="Q53" s="288"/>
      <c r="R53" s="288"/>
      <c r="S53" s="288"/>
      <c r="T53" s="288"/>
      <c r="U53" s="288"/>
      <c r="V53" s="288"/>
      <c r="W53" s="288"/>
      <c r="X53" s="288"/>
      <c r="Y53" s="288"/>
      <c r="Z53" s="288"/>
      <c r="AA53" s="288"/>
      <c r="AB53" s="288"/>
      <c r="AC53" s="288"/>
      <c r="AD53" s="288"/>
      <c r="AE53" s="288"/>
      <c r="AF53" s="288"/>
      <c r="AG53" s="288"/>
      <c r="AH53" s="288"/>
      <c r="AI53" s="289"/>
      <c r="AK53" s="425" t="s">
        <v>695</v>
      </c>
      <c r="AL53" s="425"/>
      <c r="AM53" s="425"/>
      <c r="AN53" s="425"/>
      <c r="AO53" s="425"/>
      <c r="AP53" s="425"/>
      <c r="AQ53" s="42"/>
      <c r="AR53" s="43"/>
      <c r="AS53" s="43"/>
      <c r="AT53" s="43"/>
      <c r="AU53" s="43"/>
      <c r="AV53" s="43"/>
      <c r="AW53" s="43"/>
      <c r="AX53" s="43"/>
      <c r="AY53" s="43"/>
      <c r="AZ53" s="43"/>
      <c r="BH53" s="50"/>
      <c r="BI53" s="51"/>
    </row>
    <row r="54" spans="1:61" ht="18" customHeight="1">
      <c r="A54" s="36"/>
      <c r="B54" s="404"/>
      <c r="C54" s="404"/>
      <c r="D54" s="404"/>
      <c r="E54" s="404"/>
      <c r="F54" s="288"/>
      <c r="G54" s="288"/>
      <c r="H54" s="288"/>
      <c r="I54" s="288"/>
      <c r="J54" s="288"/>
      <c r="K54" s="288"/>
      <c r="L54" s="288"/>
      <c r="M54" s="288"/>
      <c r="N54" s="288"/>
      <c r="O54" s="288"/>
      <c r="P54" s="288"/>
      <c r="Q54" s="288"/>
      <c r="R54" s="288"/>
      <c r="S54" s="288"/>
      <c r="T54" s="288"/>
      <c r="U54" s="288"/>
      <c r="V54" s="288"/>
      <c r="W54" s="288"/>
      <c r="X54" s="288"/>
      <c r="Y54" s="288"/>
      <c r="Z54" s="288"/>
      <c r="AA54" s="288"/>
      <c r="AB54" s="288"/>
      <c r="AC54" s="288"/>
      <c r="AD54" s="288"/>
      <c r="AE54" s="288"/>
      <c r="AF54" s="288"/>
      <c r="AG54" s="288"/>
      <c r="AH54" s="288"/>
      <c r="AI54" s="289"/>
      <c r="AK54" s="425" t="s">
        <v>696</v>
      </c>
      <c r="AL54" s="425"/>
      <c r="AM54" s="425"/>
      <c r="AN54" s="425"/>
      <c r="AO54" s="425"/>
      <c r="AP54" s="425"/>
      <c r="AQ54" s="42"/>
      <c r="AR54" s="43"/>
      <c r="AS54" s="43"/>
      <c r="AT54" s="43"/>
      <c r="AU54" s="43"/>
      <c r="AV54" s="43"/>
      <c r="AW54" s="43"/>
      <c r="AX54" s="43"/>
      <c r="AY54" s="43"/>
      <c r="AZ54" s="43"/>
      <c r="BH54" s="50"/>
      <c r="BI54" s="51"/>
    </row>
    <row r="55" spans="1:61" ht="18" customHeight="1">
      <c r="A55" s="36"/>
      <c r="B55" s="404"/>
      <c r="C55" s="404"/>
      <c r="D55" s="404"/>
      <c r="E55" s="404"/>
      <c r="F55" s="288"/>
      <c r="G55" s="288"/>
      <c r="H55" s="288"/>
      <c r="I55" s="288"/>
      <c r="J55" s="288"/>
      <c r="K55" s="288"/>
      <c r="L55" s="288"/>
      <c r="M55" s="288"/>
      <c r="N55" s="288"/>
      <c r="O55" s="288"/>
      <c r="P55" s="288"/>
      <c r="Q55" s="288"/>
      <c r="R55" s="288"/>
      <c r="S55" s="288"/>
      <c r="T55" s="288"/>
      <c r="U55" s="288"/>
      <c r="V55" s="288"/>
      <c r="W55" s="288"/>
      <c r="X55" s="288"/>
      <c r="Y55" s="288"/>
      <c r="Z55" s="288"/>
      <c r="AA55" s="288"/>
      <c r="AB55" s="288"/>
      <c r="AC55" s="288"/>
      <c r="AD55" s="288"/>
      <c r="AE55" s="288"/>
      <c r="AF55" s="288"/>
      <c r="AG55" s="288"/>
      <c r="AH55" s="288"/>
      <c r="AI55" s="289"/>
      <c r="AK55" s="425" t="s">
        <v>697</v>
      </c>
      <c r="AL55" s="425"/>
      <c r="AM55" s="425"/>
      <c r="AN55" s="425"/>
      <c r="AO55" s="425"/>
      <c r="AP55" s="425"/>
      <c r="AQ55" s="42"/>
      <c r="AR55" s="43"/>
      <c r="AS55" s="43"/>
      <c r="AT55" s="43"/>
      <c r="AU55" s="43"/>
      <c r="AV55" s="43"/>
      <c r="AW55" s="43"/>
      <c r="AX55" s="43"/>
      <c r="AY55" s="43"/>
      <c r="AZ55" s="43"/>
      <c r="BH55" s="50"/>
      <c r="BI55" s="51"/>
    </row>
    <row r="56" spans="1:61" ht="18" customHeight="1">
      <c r="A56" s="36"/>
      <c r="B56" s="404"/>
      <c r="C56" s="404"/>
      <c r="D56" s="404"/>
      <c r="E56" s="404"/>
      <c r="F56" s="288"/>
      <c r="G56" s="288"/>
      <c r="H56" s="288"/>
      <c r="I56" s="288"/>
      <c r="J56" s="288"/>
      <c r="K56" s="288"/>
      <c r="L56" s="288"/>
      <c r="M56" s="288"/>
      <c r="N56" s="288"/>
      <c r="O56" s="288"/>
      <c r="P56" s="288"/>
      <c r="Q56" s="288"/>
      <c r="R56" s="288"/>
      <c r="S56" s="288"/>
      <c r="T56" s="288"/>
      <c r="U56" s="288"/>
      <c r="V56" s="288"/>
      <c r="W56" s="288"/>
      <c r="X56" s="288"/>
      <c r="Y56" s="288"/>
      <c r="Z56" s="288"/>
      <c r="AA56" s="288"/>
      <c r="AB56" s="288"/>
      <c r="AC56" s="288"/>
      <c r="AD56" s="288"/>
      <c r="AE56" s="288"/>
      <c r="AF56" s="288"/>
      <c r="AG56" s="288"/>
      <c r="AH56" s="288"/>
      <c r="AI56" s="289"/>
      <c r="AK56" s="425" t="s">
        <v>698</v>
      </c>
      <c r="AL56" s="425"/>
      <c r="AM56" s="425"/>
      <c r="AN56" s="425"/>
      <c r="AO56" s="425"/>
      <c r="AP56" s="425"/>
      <c r="AQ56" s="42"/>
      <c r="AR56" s="43"/>
      <c r="AS56" s="43"/>
      <c r="AT56" s="43"/>
      <c r="AU56" s="43"/>
      <c r="AV56" s="43"/>
      <c r="AW56" s="43"/>
      <c r="AX56" s="43"/>
      <c r="AY56" s="43"/>
      <c r="AZ56" s="43"/>
      <c r="BH56" s="52"/>
      <c r="BI56" s="51"/>
    </row>
    <row r="57" spans="1:61" ht="18" customHeight="1">
      <c r="A57" s="36"/>
      <c r="B57" s="404"/>
      <c r="C57" s="404"/>
      <c r="D57" s="404"/>
      <c r="E57" s="404"/>
      <c r="F57" s="288"/>
      <c r="G57" s="288"/>
      <c r="H57" s="288"/>
      <c r="I57" s="288"/>
      <c r="J57" s="288"/>
      <c r="K57" s="288"/>
      <c r="L57" s="288"/>
      <c r="M57" s="288"/>
      <c r="N57" s="288"/>
      <c r="O57" s="288"/>
      <c r="P57" s="288"/>
      <c r="Q57" s="288"/>
      <c r="R57" s="288"/>
      <c r="S57" s="288"/>
      <c r="T57" s="288"/>
      <c r="U57" s="288"/>
      <c r="V57" s="288"/>
      <c r="W57" s="288"/>
      <c r="X57" s="288"/>
      <c r="Y57" s="288"/>
      <c r="Z57" s="288"/>
      <c r="AA57" s="288"/>
      <c r="AB57" s="288"/>
      <c r="AC57" s="288"/>
      <c r="AD57" s="288"/>
      <c r="AE57" s="288"/>
      <c r="AF57" s="288"/>
      <c r="AG57" s="288"/>
      <c r="AH57" s="288"/>
      <c r="AI57" s="289"/>
      <c r="AK57" s="425" t="s">
        <v>699</v>
      </c>
      <c r="AL57" s="425"/>
      <c r="AM57" s="425"/>
      <c r="AN57" s="425"/>
      <c r="AO57" s="425"/>
      <c r="AP57" s="425"/>
      <c r="AQ57" s="42"/>
      <c r="AR57" s="43"/>
      <c r="AS57" s="43"/>
      <c r="AT57" s="43"/>
      <c r="AU57" s="43"/>
      <c r="AV57" s="43"/>
      <c r="AW57" s="43"/>
      <c r="AX57" s="43"/>
      <c r="AY57" s="43"/>
      <c r="AZ57" s="43"/>
      <c r="BH57" s="50"/>
      <c r="BI57" s="51"/>
    </row>
    <row r="58" spans="1:61" ht="18" customHeight="1">
      <c r="A58" s="36"/>
      <c r="B58" s="404"/>
      <c r="C58" s="404"/>
      <c r="D58" s="404"/>
      <c r="E58" s="404"/>
      <c r="F58" s="288"/>
      <c r="G58" s="288"/>
      <c r="H58" s="288"/>
      <c r="I58" s="288"/>
      <c r="J58" s="288"/>
      <c r="K58" s="288"/>
      <c r="L58" s="288"/>
      <c r="M58" s="288"/>
      <c r="N58" s="288"/>
      <c r="O58" s="288"/>
      <c r="P58" s="288"/>
      <c r="Q58" s="288"/>
      <c r="R58" s="288"/>
      <c r="S58" s="288"/>
      <c r="T58" s="288"/>
      <c r="U58" s="288"/>
      <c r="V58" s="288"/>
      <c r="W58" s="288"/>
      <c r="X58" s="288"/>
      <c r="Y58" s="288"/>
      <c r="Z58" s="288"/>
      <c r="AA58" s="288"/>
      <c r="AB58" s="288"/>
      <c r="AC58" s="288"/>
      <c r="AD58" s="288"/>
      <c r="AE58" s="288"/>
      <c r="AF58" s="288"/>
      <c r="AG58" s="288"/>
      <c r="AH58" s="288"/>
      <c r="AI58" s="289"/>
      <c r="AK58" s="425" t="s">
        <v>700</v>
      </c>
      <c r="AL58" s="425"/>
      <c r="AM58" s="425"/>
      <c r="AN58" s="425"/>
      <c r="AO58" s="425"/>
      <c r="AP58" s="425"/>
      <c r="AQ58" s="42"/>
      <c r="AR58" s="43"/>
      <c r="AS58" s="43"/>
      <c r="AT58" s="43"/>
      <c r="AU58" s="43"/>
      <c r="AV58" s="43"/>
      <c r="AW58" s="43"/>
      <c r="AX58" s="43"/>
      <c r="AY58" s="43"/>
      <c r="AZ58" s="43"/>
      <c r="BH58" s="50"/>
      <c r="BI58" s="51"/>
    </row>
    <row r="59" spans="1:61" ht="18" customHeight="1">
      <c r="A59" s="36"/>
      <c r="B59" s="404"/>
      <c r="C59" s="404"/>
      <c r="D59" s="404"/>
      <c r="E59" s="404"/>
      <c r="F59" s="288"/>
      <c r="G59" s="288"/>
      <c r="H59" s="288"/>
      <c r="I59" s="288"/>
      <c r="J59" s="288"/>
      <c r="K59" s="288"/>
      <c r="L59" s="288"/>
      <c r="M59" s="288"/>
      <c r="N59" s="288"/>
      <c r="O59" s="288"/>
      <c r="P59" s="288"/>
      <c r="Q59" s="288"/>
      <c r="R59" s="288"/>
      <c r="S59" s="288"/>
      <c r="T59" s="288"/>
      <c r="U59" s="288"/>
      <c r="V59" s="288"/>
      <c r="W59" s="288"/>
      <c r="X59" s="288"/>
      <c r="Y59" s="288"/>
      <c r="Z59" s="288"/>
      <c r="AA59" s="288"/>
      <c r="AB59" s="288"/>
      <c r="AC59" s="288"/>
      <c r="AD59" s="288"/>
      <c r="AE59" s="288"/>
      <c r="AF59" s="288"/>
      <c r="AG59" s="288"/>
      <c r="AH59" s="288"/>
      <c r="AI59" s="289"/>
      <c r="AK59" s="425" t="s">
        <v>701</v>
      </c>
      <c r="AL59" s="425"/>
      <c r="AM59" s="425"/>
      <c r="AN59" s="425"/>
      <c r="AO59" s="425"/>
      <c r="AP59" s="425"/>
      <c r="AQ59" s="42"/>
      <c r="AR59" s="43"/>
      <c r="AS59" s="43"/>
      <c r="AT59" s="43"/>
      <c r="AU59" s="43"/>
      <c r="AV59" s="43"/>
      <c r="AW59" s="43"/>
      <c r="AX59" s="43"/>
      <c r="AY59" s="43"/>
      <c r="AZ59" s="43"/>
      <c r="BH59" s="50"/>
      <c r="BI59" s="51"/>
    </row>
    <row r="60" spans="1:61" ht="18" customHeight="1">
      <c r="A60" s="36"/>
      <c r="B60" s="404"/>
      <c r="C60" s="404"/>
      <c r="D60" s="404"/>
      <c r="E60" s="404"/>
      <c r="F60" s="288"/>
      <c r="G60" s="288"/>
      <c r="H60" s="288"/>
      <c r="I60" s="288"/>
      <c r="J60" s="288"/>
      <c r="K60" s="288"/>
      <c r="L60" s="288"/>
      <c r="M60" s="288"/>
      <c r="N60" s="288"/>
      <c r="O60" s="288"/>
      <c r="P60" s="288"/>
      <c r="Q60" s="288"/>
      <c r="R60" s="288"/>
      <c r="S60" s="288"/>
      <c r="T60" s="288"/>
      <c r="U60" s="288"/>
      <c r="V60" s="288"/>
      <c r="W60" s="288"/>
      <c r="X60" s="288"/>
      <c r="Y60" s="288"/>
      <c r="Z60" s="288"/>
      <c r="AA60" s="288"/>
      <c r="AB60" s="288"/>
      <c r="AC60" s="288"/>
      <c r="AD60" s="288"/>
      <c r="AE60" s="288"/>
      <c r="AF60" s="288"/>
      <c r="AG60" s="288"/>
      <c r="AH60" s="288"/>
      <c r="AI60" s="289"/>
      <c r="AK60" s="425" t="s">
        <v>702</v>
      </c>
      <c r="AL60" s="425"/>
      <c r="AM60" s="425"/>
      <c r="AN60" s="425"/>
      <c r="AO60" s="425"/>
      <c r="AP60" s="425"/>
      <c r="AQ60" s="42"/>
      <c r="AR60" s="43"/>
      <c r="AS60" s="43"/>
      <c r="AT60" s="43"/>
      <c r="AU60" s="43"/>
      <c r="AV60" s="43"/>
      <c r="AW60" s="43"/>
      <c r="AX60" s="43"/>
      <c r="AY60" s="43"/>
      <c r="AZ60" s="43"/>
      <c r="BH60" s="52"/>
      <c r="BI60" s="51"/>
    </row>
    <row r="61" spans="1:61" ht="18" customHeight="1">
      <c r="A61" s="36"/>
      <c r="B61" s="404"/>
      <c r="C61" s="404"/>
      <c r="D61" s="404"/>
      <c r="E61" s="404"/>
      <c r="F61" s="288"/>
      <c r="G61" s="288"/>
      <c r="H61" s="288"/>
      <c r="I61" s="288"/>
      <c r="J61" s="288"/>
      <c r="K61" s="288"/>
      <c r="L61" s="288"/>
      <c r="M61" s="288"/>
      <c r="N61" s="288"/>
      <c r="O61" s="288"/>
      <c r="P61" s="288"/>
      <c r="Q61" s="288"/>
      <c r="R61" s="288"/>
      <c r="S61" s="288"/>
      <c r="T61" s="288"/>
      <c r="U61" s="288"/>
      <c r="V61" s="288"/>
      <c r="W61" s="288"/>
      <c r="X61" s="288"/>
      <c r="Y61" s="288"/>
      <c r="Z61" s="288"/>
      <c r="AA61" s="288"/>
      <c r="AB61" s="288"/>
      <c r="AC61" s="288"/>
      <c r="AD61" s="288"/>
      <c r="AE61" s="288"/>
      <c r="AF61" s="288"/>
      <c r="AG61" s="288"/>
      <c r="AH61" s="288"/>
      <c r="AI61" s="289"/>
      <c r="AK61" s="425" t="s">
        <v>703</v>
      </c>
      <c r="AL61" s="425"/>
      <c r="AM61" s="425"/>
      <c r="AN61" s="425"/>
      <c r="AO61" s="425"/>
      <c r="AP61" s="425"/>
      <c r="AQ61" s="42"/>
      <c r="AR61" s="43"/>
      <c r="AS61" s="43"/>
      <c r="AT61" s="43"/>
      <c r="AU61" s="43"/>
      <c r="AV61" s="43"/>
      <c r="AW61" s="43"/>
      <c r="AX61" s="43"/>
      <c r="AY61" s="43"/>
      <c r="AZ61" s="43"/>
      <c r="BH61" s="50"/>
      <c r="BI61" s="51"/>
    </row>
    <row r="62" spans="1:61" ht="18" customHeight="1">
      <c r="A62" s="36"/>
      <c r="B62" s="404"/>
      <c r="C62" s="404"/>
      <c r="D62" s="404"/>
      <c r="E62" s="404"/>
      <c r="F62" s="288"/>
      <c r="G62" s="288"/>
      <c r="H62" s="288"/>
      <c r="I62" s="288"/>
      <c r="J62" s="288"/>
      <c r="K62" s="288"/>
      <c r="L62" s="288"/>
      <c r="M62" s="288"/>
      <c r="N62" s="288"/>
      <c r="O62" s="288"/>
      <c r="P62" s="288"/>
      <c r="Q62" s="288"/>
      <c r="R62" s="288"/>
      <c r="S62" s="288"/>
      <c r="T62" s="288"/>
      <c r="U62" s="288"/>
      <c r="V62" s="288"/>
      <c r="W62" s="288"/>
      <c r="X62" s="288"/>
      <c r="Y62" s="288"/>
      <c r="Z62" s="288"/>
      <c r="AA62" s="288"/>
      <c r="AB62" s="288"/>
      <c r="AC62" s="288"/>
      <c r="AD62" s="288"/>
      <c r="AE62" s="288"/>
      <c r="AF62" s="288"/>
      <c r="AG62" s="288"/>
      <c r="AH62" s="288"/>
      <c r="AI62" s="289"/>
      <c r="AK62" s="425"/>
      <c r="AL62" s="425"/>
      <c r="AM62" s="425"/>
      <c r="AN62" s="425"/>
      <c r="AO62" s="425"/>
      <c r="AP62" s="425"/>
      <c r="AQ62" s="42"/>
      <c r="AR62" s="43"/>
      <c r="AS62" s="43"/>
      <c r="AT62" s="43"/>
      <c r="AU62" s="43"/>
      <c r="AV62" s="43"/>
      <c r="AW62" s="43"/>
      <c r="AX62" s="43"/>
      <c r="AY62" s="43"/>
      <c r="AZ62" s="43"/>
      <c r="BH62" s="50"/>
      <c r="BI62" s="51"/>
    </row>
    <row r="63" spans="1:61" ht="18" customHeight="1">
      <c r="A63" s="36"/>
      <c r="B63" s="404"/>
      <c r="C63" s="404"/>
      <c r="D63" s="404"/>
      <c r="E63" s="404"/>
      <c r="F63" s="288"/>
      <c r="G63" s="288"/>
      <c r="H63" s="288"/>
      <c r="I63" s="288"/>
      <c r="J63" s="288"/>
      <c r="K63" s="288"/>
      <c r="L63" s="288"/>
      <c r="M63" s="288"/>
      <c r="N63" s="288"/>
      <c r="O63" s="288"/>
      <c r="P63" s="288"/>
      <c r="Q63" s="288"/>
      <c r="R63" s="288"/>
      <c r="S63" s="288"/>
      <c r="T63" s="288"/>
      <c r="U63" s="288"/>
      <c r="V63" s="288"/>
      <c r="W63" s="288"/>
      <c r="X63" s="288"/>
      <c r="Y63" s="288"/>
      <c r="Z63" s="288"/>
      <c r="AA63" s="288"/>
      <c r="AB63" s="288"/>
      <c r="AC63" s="288"/>
      <c r="AD63" s="288"/>
      <c r="AE63" s="288"/>
      <c r="AF63" s="288"/>
      <c r="AG63" s="288"/>
      <c r="AH63" s="288"/>
      <c r="AI63" s="289"/>
      <c r="AK63" s="425"/>
      <c r="AL63" s="425"/>
      <c r="AM63" s="425"/>
      <c r="AN63" s="425"/>
      <c r="AO63" s="425"/>
      <c r="AP63" s="425"/>
      <c r="AQ63" s="42"/>
      <c r="AR63" s="43"/>
      <c r="AS63" s="43"/>
      <c r="AT63" s="43"/>
      <c r="AU63" s="43"/>
      <c r="AV63" s="43"/>
      <c r="AW63" s="43"/>
      <c r="AX63" s="43"/>
      <c r="AY63" s="43"/>
      <c r="AZ63" s="43"/>
      <c r="BH63" s="52"/>
      <c r="BI63" s="51"/>
    </row>
    <row r="64" spans="1:61" ht="18" customHeight="1">
      <c r="A64" s="36"/>
      <c r="B64" s="404"/>
      <c r="C64" s="404"/>
      <c r="D64" s="404"/>
      <c r="E64" s="404"/>
      <c r="F64" s="288"/>
      <c r="G64" s="288"/>
      <c r="H64" s="288"/>
      <c r="I64" s="288"/>
      <c r="J64" s="288"/>
      <c r="K64" s="288"/>
      <c r="L64" s="288"/>
      <c r="M64" s="288"/>
      <c r="N64" s="288"/>
      <c r="O64" s="288"/>
      <c r="P64" s="288"/>
      <c r="Q64" s="288"/>
      <c r="R64" s="288"/>
      <c r="S64" s="288"/>
      <c r="T64" s="288"/>
      <c r="U64" s="288"/>
      <c r="V64" s="288"/>
      <c r="W64" s="288"/>
      <c r="X64" s="288"/>
      <c r="Y64" s="288"/>
      <c r="Z64" s="288"/>
      <c r="AA64" s="288"/>
      <c r="AB64" s="288"/>
      <c r="AC64" s="288"/>
      <c r="AD64" s="288"/>
      <c r="AE64" s="288"/>
      <c r="AF64" s="288"/>
      <c r="AG64" s="288"/>
      <c r="AH64" s="288"/>
      <c r="AI64" s="289"/>
      <c r="AK64" s="425"/>
      <c r="AL64" s="425"/>
      <c r="AM64" s="425"/>
      <c r="AN64" s="425"/>
      <c r="AO64" s="425"/>
      <c r="AP64" s="425"/>
      <c r="AQ64" s="42"/>
      <c r="AR64" s="43"/>
      <c r="AS64" s="43"/>
      <c r="AT64" s="43"/>
      <c r="AU64" s="43"/>
      <c r="AV64" s="43"/>
      <c r="AW64" s="43"/>
      <c r="AX64" s="43"/>
      <c r="AY64" s="43"/>
      <c r="AZ64" s="43"/>
      <c r="BH64" s="52"/>
      <c r="BI64" s="51"/>
    </row>
    <row r="65" spans="1:61" ht="18" customHeight="1">
      <c r="A65" s="36"/>
      <c r="B65" s="404"/>
      <c r="C65" s="404"/>
      <c r="D65" s="404"/>
      <c r="E65" s="404"/>
      <c r="F65" s="288"/>
      <c r="G65" s="288"/>
      <c r="H65" s="288"/>
      <c r="I65" s="288"/>
      <c r="J65" s="288"/>
      <c r="K65" s="288"/>
      <c r="L65" s="288"/>
      <c r="M65" s="288"/>
      <c r="N65" s="288"/>
      <c r="O65" s="288"/>
      <c r="P65" s="288"/>
      <c r="Q65" s="288"/>
      <c r="R65" s="288"/>
      <c r="S65" s="288"/>
      <c r="T65" s="288"/>
      <c r="U65" s="288"/>
      <c r="V65" s="288"/>
      <c r="W65" s="288"/>
      <c r="X65" s="288"/>
      <c r="Y65" s="288"/>
      <c r="Z65" s="288"/>
      <c r="AA65" s="288"/>
      <c r="AB65" s="288"/>
      <c r="AC65" s="288"/>
      <c r="AD65" s="288"/>
      <c r="AE65" s="288"/>
      <c r="AF65" s="288"/>
      <c r="AG65" s="288"/>
      <c r="AH65" s="288"/>
      <c r="AI65" s="289"/>
      <c r="AK65" s="425"/>
      <c r="AL65" s="425"/>
      <c r="AM65" s="425"/>
      <c r="AN65" s="425"/>
      <c r="AO65" s="425"/>
      <c r="AP65" s="425"/>
      <c r="AQ65" s="42"/>
      <c r="AR65" s="43"/>
      <c r="AS65" s="43"/>
      <c r="AT65" s="43"/>
      <c r="AU65" s="43"/>
      <c r="AV65" s="43"/>
      <c r="AW65" s="43"/>
      <c r="AX65" s="43"/>
      <c r="AY65" s="43"/>
      <c r="AZ65" s="43"/>
      <c r="BH65" s="50"/>
      <c r="BI65" s="51"/>
    </row>
    <row r="66" spans="1:61" ht="18" customHeight="1">
      <c r="A66" s="36"/>
      <c r="B66" s="404"/>
      <c r="C66" s="404"/>
      <c r="D66" s="404"/>
      <c r="E66" s="404"/>
      <c r="F66" s="288"/>
      <c r="G66" s="288"/>
      <c r="H66" s="288"/>
      <c r="I66" s="288"/>
      <c r="J66" s="288"/>
      <c r="K66" s="288"/>
      <c r="L66" s="288"/>
      <c r="M66" s="288"/>
      <c r="N66" s="288"/>
      <c r="O66" s="288"/>
      <c r="P66" s="288"/>
      <c r="Q66" s="288"/>
      <c r="R66" s="288"/>
      <c r="S66" s="288"/>
      <c r="T66" s="288"/>
      <c r="U66" s="288"/>
      <c r="V66" s="288"/>
      <c r="W66" s="288"/>
      <c r="X66" s="288"/>
      <c r="Y66" s="288"/>
      <c r="Z66" s="288"/>
      <c r="AA66" s="288"/>
      <c r="AB66" s="288"/>
      <c r="AC66" s="288"/>
      <c r="AD66" s="288"/>
      <c r="AE66" s="288"/>
      <c r="AF66" s="288"/>
      <c r="AG66" s="288"/>
      <c r="AH66" s="288"/>
      <c r="AI66" s="289"/>
      <c r="AK66" s="425"/>
      <c r="AL66" s="425"/>
      <c r="AM66" s="425"/>
      <c r="AN66" s="425"/>
      <c r="AO66" s="425"/>
      <c r="AP66" s="425"/>
      <c r="AQ66" s="42"/>
      <c r="AR66" s="43"/>
      <c r="AS66" s="43"/>
      <c r="AT66" s="43"/>
      <c r="AU66" s="43"/>
      <c r="AV66" s="43"/>
      <c r="AW66" s="43"/>
      <c r="AX66" s="43"/>
      <c r="AY66" s="43"/>
      <c r="AZ66" s="43"/>
      <c r="BH66" s="50"/>
      <c r="BI66" s="51"/>
    </row>
    <row r="67" spans="1:61" ht="18" customHeight="1">
      <c r="A67" s="36"/>
      <c r="B67" s="404"/>
      <c r="C67" s="404"/>
      <c r="D67" s="404"/>
      <c r="E67" s="404"/>
      <c r="F67" s="288"/>
      <c r="G67" s="288"/>
      <c r="H67" s="288"/>
      <c r="I67" s="288"/>
      <c r="J67" s="288"/>
      <c r="K67" s="288"/>
      <c r="L67" s="288"/>
      <c r="M67" s="288"/>
      <c r="N67" s="288"/>
      <c r="O67" s="288"/>
      <c r="P67" s="288"/>
      <c r="Q67" s="288"/>
      <c r="R67" s="288"/>
      <c r="S67" s="288"/>
      <c r="T67" s="288"/>
      <c r="U67" s="288"/>
      <c r="V67" s="288"/>
      <c r="W67" s="288"/>
      <c r="X67" s="288"/>
      <c r="Y67" s="288"/>
      <c r="Z67" s="288"/>
      <c r="AA67" s="288"/>
      <c r="AB67" s="288"/>
      <c r="AC67" s="288"/>
      <c r="AD67" s="288"/>
      <c r="AE67" s="288"/>
      <c r="AF67" s="288"/>
      <c r="AG67" s="288"/>
      <c r="AH67" s="288"/>
      <c r="AI67" s="289"/>
      <c r="AK67" s="425"/>
      <c r="AL67" s="425"/>
      <c r="AM67" s="425"/>
      <c r="AN67" s="425"/>
      <c r="AO67" s="425"/>
      <c r="AP67" s="425"/>
      <c r="AQ67" s="67"/>
      <c r="AR67" s="43"/>
      <c r="AS67" s="43"/>
      <c r="AT67" s="43"/>
      <c r="AU67" s="43"/>
      <c r="AV67" s="43"/>
      <c r="AW67" s="43"/>
      <c r="AX67" s="43"/>
      <c r="AY67" s="43"/>
      <c r="AZ67" s="43"/>
      <c r="BH67" s="50"/>
      <c r="BI67" s="51"/>
    </row>
    <row r="68" spans="1:61" ht="18" customHeight="1">
      <c r="A68" s="36"/>
      <c r="B68" s="404"/>
      <c r="C68" s="404"/>
      <c r="D68" s="404"/>
      <c r="E68" s="404"/>
      <c r="F68" s="288"/>
      <c r="G68" s="288"/>
      <c r="H68" s="288"/>
      <c r="I68" s="288"/>
      <c r="J68" s="288"/>
      <c r="K68" s="288"/>
      <c r="L68" s="288"/>
      <c r="M68" s="288"/>
      <c r="N68" s="288"/>
      <c r="O68" s="288"/>
      <c r="P68" s="288"/>
      <c r="Q68" s="288"/>
      <c r="R68" s="288"/>
      <c r="S68" s="288"/>
      <c r="T68" s="288"/>
      <c r="U68" s="288"/>
      <c r="V68" s="288"/>
      <c r="W68" s="288"/>
      <c r="X68" s="288"/>
      <c r="Y68" s="288"/>
      <c r="Z68" s="288"/>
      <c r="AA68" s="288"/>
      <c r="AB68" s="288"/>
      <c r="AC68" s="288"/>
      <c r="AD68" s="288"/>
      <c r="AE68" s="288"/>
      <c r="AF68" s="288"/>
      <c r="AG68" s="288"/>
      <c r="AH68" s="288"/>
      <c r="AI68" s="289"/>
      <c r="AK68" s="425"/>
      <c r="AL68" s="425"/>
      <c r="AM68" s="425"/>
      <c r="AN68" s="425"/>
      <c r="AO68" s="425"/>
      <c r="AP68" s="425"/>
      <c r="AQ68" s="67"/>
      <c r="AR68" s="43"/>
      <c r="AS68" s="43"/>
      <c r="AT68" s="43"/>
      <c r="AU68" s="43"/>
      <c r="AV68" s="43"/>
      <c r="AW68" s="43"/>
      <c r="AX68" s="43"/>
      <c r="AY68" s="43"/>
      <c r="AZ68" s="43"/>
      <c r="BH68" s="50"/>
      <c r="BI68" s="51"/>
    </row>
    <row r="69" spans="1:61" ht="18" customHeight="1">
      <c r="A69" s="36"/>
      <c r="B69" s="404"/>
      <c r="C69" s="404"/>
      <c r="D69" s="404"/>
      <c r="E69" s="404"/>
      <c r="F69" s="288"/>
      <c r="G69" s="288"/>
      <c r="H69" s="288"/>
      <c r="I69" s="288"/>
      <c r="J69" s="288"/>
      <c r="K69" s="288"/>
      <c r="L69" s="288"/>
      <c r="M69" s="288"/>
      <c r="N69" s="288"/>
      <c r="O69" s="288"/>
      <c r="P69" s="288"/>
      <c r="Q69" s="288"/>
      <c r="R69" s="288"/>
      <c r="S69" s="288"/>
      <c r="T69" s="288"/>
      <c r="U69" s="288"/>
      <c r="V69" s="288"/>
      <c r="W69" s="288"/>
      <c r="X69" s="288"/>
      <c r="Y69" s="288"/>
      <c r="Z69" s="288"/>
      <c r="AA69" s="288"/>
      <c r="AB69" s="288"/>
      <c r="AC69" s="288"/>
      <c r="AD69" s="288"/>
      <c r="AE69" s="288"/>
      <c r="AF69" s="288"/>
      <c r="AG69" s="288"/>
      <c r="AH69" s="288"/>
      <c r="AI69" s="289"/>
      <c r="AK69" s="425"/>
      <c r="AL69" s="425"/>
      <c r="AM69" s="425"/>
      <c r="AN69" s="425"/>
      <c r="AO69" s="425"/>
      <c r="AP69" s="425"/>
      <c r="AQ69" s="42"/>
      <c r="AR69" s="43"/>
      <c r="AS69" s="43"/>
      <c r="AT69" s="43"/>
      <c r="AU69" s="43"/>
      <c r="AV69" s="43"/>
      <c r="AW69" s="43"/>
      <c r="AX69" s="43"/>
      <c r="AY69" s="43"/>
      <c r="AZ69" s="43"/>
      <c r="BH69" s="50"/>
      <c r="BI69" s="51"/>
    </row>
    <row r="70" spans="1:61" ht="18" customHeight="1">
      <c r="A70" s="36"/>
      <c r="B70" s="404"/>
      <c r="C70" s="404"/>
      <c r="D70" s="404"/>
      <c r="E70" s="404"/>
      <c r="F70" s="288"/>
      <c r="G70" s="288"/>
      <c r="H70" s="288"/>
      <c r="I70" s="288"/>
      <c r="J70" s="288"/>
      <c r="K70" s="288"/>
      <c r="L70" s="288"/>
      <c r="M70" s="288"/>
      <c r="N70" s="288"/>
      <c r="O70" s="288"/>
      <c r="P70" s="288"/>
      <c r="Q70" s="288"/>
      <c r="R70" s="288"/>
      <c r="S70" s="288"/>
      <c r="T70" s="288"/>
      <c r="U70" s="288"/>
      <c r="V70" s="288"/>
      <c r="W70" s="288"/>
      <c r="X70" s="288"/>
      <c r="Y70" s="288"/>
      <c r="Z70" s="288"/>
      <c r="AA70" s="288"/>
      <c r="AB70" s="288"/>
      <c r="AC70" s="288"/>
      <c r="AD70" s="288"/>
      <c r="AE70" s="288"/>
      <c r="AF70" s="288"/>
      <c r="AG70" s="288"/>
      <c r="AH70" s="288"/>
      <c r="AI70" s="289"/>
      <c r="AK70" s="425"/>
      <c r="AL70" s="425"/>
      <c r="AM70" s="425"/>
      <c r="AN70" s="425"/>
      <c r="AO70" s="425"/>
      <c r="AP70" s="425"/>
      <c r="AQ70" s="42"/>
      <c r="AR70" s="43"/>
      <c r="AS70" s="43"/>
      <c r="AT70" s="43"/>
      <c r="AU70" s="43"/>
      <c r="AV70" s="43"/>
      <c r="AW70" s="43"/>
      <c r="AX70" s="43"/>
      <c r="AY70" s="43"/>
      <c r="AZ70" s="43"/>
      <c r="BH70" s="50"/>
      <c r="BI70" s="51"/>
    </row>
    <row r="71" spans="1:61" ht="18" customHeight="1">
      <c r="A71" s="36"/>
      <c r="B71" s="404"/>
      <c r="C71" s="404"/>
      <c r="D71" s="404"/>
      <c r="E71" s="404"/>
      <c r="F71" s="288"/>
      <c r="G71" s="288"/>
      <c r="H71" s="288"/>
      <c r="I71" s="288"/>
      <c r="J71" s="288"/>
      <c r="K71" s="288"/>
      <c r="L71" s="288"/>
      <c r="M71" s="288"/>
      <c r="N71" s="288"/>
      <c r="O71" s="288"/>
      <c r="P71" s="288"/>
      <c r="Q71" s="288"/>
      <c r="R71" s="288"/>
      <c r="S71" s="288"/>
      <c r="T71" s="288"/>
      <c r="U71" s="288"/>
      <c r="V71" s="288"/>
      <c r="W71" s="288"/>
      <c r="X71" s="288"/>
      <c r="Y71" s="288"/>
      <c r="Z71" s="288"/>
      <c r="AA71" s="288"/>
      <c r="AB71" s="288"/>
      <c r="AC71" s="288"/>
      <c r="AD71" s="288"/>
      <c r="AE71" s="288"/>
      <c r="AF71" s="288"/>
      <c r="AG71" s="288"/>
      <c r="AH71" s="288"/>
      <c r="AI71" s="289"/>
      <c r="AK71" s="425"/>
      <c r="AL71" s="425"/>
      <c r="AM71" s="425"/>
      <c r="AN71" s="425"/>
      <c r="AO71" s="425"/>
      <c r="AP71" s="425"/>
      <c r="AQ71" s="42"/>
      <c r="AR71" s="43"/>
      <c r="AS71" s="43"/>
      <c r="AT71" s="43"/>
      <c r="AU71" s="43"/>
      <c r="AV71" s="43"/>
      <c r="AW71" s="43"/>
      <c r="AX71" s="43"/>
      <c r="AY71" s="43"/>
      <c r="AZ71" s="43"/>
      <c r="BH71" s="52"/>
      <c r="BI71" s="51"/>
    </row>
    <row r="72" spans="1:61" ht="18" customHeight="1">
      <c r="A72" s="36"/>
      <c r="B72" s="404"/>
      <c r="C72" s="404"/>
      <c r="D72" s="404"/>
      <c r="E72" s="404"/>
      <c r="F72" s="288"/>
      <c r="G72" s="288"/>
      <c r="H72" s="288"/>
      <c r="I72" s="288"/>
      <c r="J72" s="288"/>
      <c r="K72" s="288"/>
      <c r="L72" s="288"/>
      <c r="M72" s="288"/>
      <c r="N72" s="288"/>
      <c r="O72" s="288"/>
      <c r="P72" s="288"/>
      <c r="Q72" s="288"/>
      <c r="R72" s="288"/>
      <c r="S72" s="288"/>
      <c r="T72" s="288"/>
      <c r="U72" s="288"/>
      <c r="V72" s="288"/>
      <c r="W72" s="288"/>
      <c r="X72" s="288"/>
      <c r="Y72" s="288"/>
      <c r="Z72" s="288"/>
      <c r="AA72" s="288"/>
      <c r="AB72" s="288"/>
      <c r="AC72" s="288"/>
      <c r="AD72" s="288"/>
      <c r="AE72" s="288"/>
      <c r="AF72" s="288"/>
      <c r="AG72" s="288"/>
      <c r="AH72" s="288"/>
      <c r="AI72" s="289"/>
      <c r="AK72" s="425"/>
      <c r="AL72" s="425"/>
      <c r="AM72" s="425"/>
      <c r="AN72" s="425"/>
      <c r="AO72" s="425"/>
      <c r="AP72" s="425"/>
      <c r="AQ72" s="42"/>
      <c r="AR72" s="43"/>
      <c r="AS72" s="43"/>
      <c r="AT72" s="43"/>
      <c r="AU72" s="43"/>
      <c r="AV72" s="43"/>
      <c r="AW72" s="43"/>
      <c r="AX72" s="43"/>
      <c r="AY72" s="43"/>
      <c r="AZ72" s="43"/>
      <c r="BH72" s="53"/>
      <c r="BI72" s="51"/>
    </row>
    <row r="73" spans="1:61" ht="18" customHeight="1">
      <c r="A73" s="36"/>
      <c r="B73" s="404"/>
      <c r="C73" s="404"/>
      <c r="D73" s="404"/>
      <c r="E73" s="404"/>
      <c r="F73" s="288"/>
      <c r="G73" s="288"/>
      <c r="H73" s="288"/>
      <c r="I73" s="288"/>
      <c r="J73" s="288"/>
      <c r="K73" s="288"/>
      <c r="L73" s="288"/>
      <c r="M73" s="288"/>
      <c r="N73" s="288"/>
      <c r="O73" s="288"/>
      <c r="P73" s="288"/>
      <c r="Q73" s="288"/>
      <c r="R73" s="288"/>
      <c r="S73" s="288"/>
      <c r="T73" s="288"/>
      <c r="U73" s="288"/>
      <c r="V73" s="288"/>
      <c r="W73" s="288"/>
      <c r="X73" s="288"/>
      <c r="Y73" s="288"/>
      <c r="Z73" s="288"/>
      <c r="AA73" s="288"/>
      <c r="AB73" s="288"/>
      <c r="AC73" s="288"/>
      <c r="AD73" s="288"/>
      <c r="AE73" s="288"/>
      <c r="AF73" s="288"/>
      <c r="AG73" s="288"/>
      <c r="AH73" s="288"/>
      <c r="AI73" s="289"/>
      <c r="AK73" s="425"/>
      <c r="AL73" s="425"/>
      <c r="AM73" s="425"/>
      <c r="AN73" s="425"/>
      <c r="AO73" s="425"/>
      <c r="AP73" s="425"/>
      <c r="AQ73" s="42"/>
      <c r="AR73" s="43"/>
      <c r="AS73" s="43"/>
      <c r="AT73" s="43"/>
      <c r="AU73" s="43"/>
      <c r="AV73" s="43"/>
      <c r="AW73" s="43"/>
      <c r="AX73" s="43"/>
      <c r="AY73" s="43"/>
      <c r="AZ73" s="43"/>
      <c r="BH73" s="54"/>
      <c r="BI73" s="51"/>
    </row>
    <row r="74" spans="1:61" ht="18" customHeight="1">
      <c r="A74" s="36"/>
      <c r="B74" s="404"/>
      <c r="C74" s="404"/>
      <c r="D74" s="404"/>
      <c r="E74" s="404"/>
      <c r="F74" s="288"/>
      <c r="G74" s="288"/>
      <c r="H74" s="288"/>
      <c r="I74" s="288"/>
      <c r="J74" s="288"/>
      <c r="K74" s="288"/>
      <c r="L74" s="288"/>
      <c r="M74" s="288"/>
      <c r="N74" s="288"/>
      <c r="O74" s="288"/>
      <c r="P74" s="288"/>
      <c r="Q74" s="288"/>
      <c r="R74" s="288"/>
      <c r="S74" s="288"/>
      <c r="T74" s="288"/>
      <c r="U74" s="288"/>
      <c r="V74" s="288"/>
      <c r="W74" s="288"/>
      <c r="X74" s="288"/>
      <c r="Y74" s="288"/>
      <c r="Z74" s="288"/>
      <c r="AA74" s="288"/>
      <c r="AB74" s="288"/>
      <c r="AC74" s="288"/>
      <c r="AD74" s="288"/>
      <c r="AE74" s="288"/>
      <c r="AF74" s="288"/>
      <c r="AG74" s="288"/>
      <c r="AH74" s="288"/>
      <c r="AI74" s="289"/>
      <c r="AK74" s="425"/>
      <c r="AL74" s="425"/>
      <c r="AM74" s="425"/>
      <c r="AN74" s="425"/>
      <c r="AO74" s="425"/>
      <c r="AP74" s="425"/>
      <c r="AQ74" s="42"/>
      <c r="AR74" s="43"/>
      <c r="AS74" s="43"/>
      <c r="AT74" s="43"/>
      <c r="AU74" s="43"/>
      <c r="AV74" s="43"/>
      <c r="AW74" s="43"/>
      <c r="AX74" s="43"/>
      <c r="AY74" s="43"/>
      <c r="AZ74" s="43"/>
      <c r="BH74" s="54"/>
      <c r="BI74" s="51"/>
    </row>
    <row r="75" spans="1:61" ht="18" customHeight="1">
      <c r="A75" s="36"/>
      <c r="B75" s="404"/>
      <c r="C75" s="404"/>
      <c r="D75" s="404"/>
      <c r="E75" s="404"/>
      <c r="F75" s="288"/>
      <c r="G75" s="288"/>
      <c r="H75" s="288"/>
      <c r="I75" s="288"/>
      <c r="J75" s="288"/>
      <c r="K75" s="288"/>
      <c r="L75" s="288"/>
      <c r="M75" s="288"/>
      <c r="N75" s="288"/>
      <c r="O75" s="288"/>
      <c r="P75" s="288"/>
      <c r="Q75" s="288"/>
      <c r="R75" s="288"/>
      <c r="S75" s="288"/>
      <c r="T75" s="288"/>
      <c r="U75" s="288"/>
      <c r="V75" s="288"/>
      <c r="W75" s="288"/>
      <c r="X75" s="288"/>
      <c r="Y75" s="288"/>
      <c r="Z75" s="288"/>
      <c r="AA75" s="288"/>
      <c r="AB75" s="288"/>
      <c r="AC75" s="288"/>
      <c r="AD75" s="288"/>
      <c r="AE75" s="288"/>
      <c r="AF75" s="288"/>
      <c r="AG75" s="288"/>
      <c r="AH75" s="288"/>
      <c r="AI75" s="289"/>
      <c r="AK75" s="425"/>
      <c r="AL75" s="425"/>
      <c r="AM75" s="425"/>
      <c r="AN75" s="425"/>
      <c r="AO75" s="425"/>
      <c r="AP75" s="425"/>
      <c r="AQ75" s="42"/>
      <c r="AR75" s="43"/>
      <c r="AS75" s="43"/>
      <c r="AT75" s="43"/>
      <c r="AU75" s="43"/>
      <c r="AV75" s="43"/>
      <c r="AW75" s="43"/>
      <c r="AX75" s="43"/>
      <c r="AY75" s="43"/>
      <c r="AZ75" s="43"/>
      <c r="BH75" s="53"/>
      <c r="BI75" s="51"/>
    </row>
    <row r="76" spans="1:61" ht="18" customHeight="1">
      <c r="A76" s="36"/>
      <c r="B76" s="404"/>
      <c r="C76" s="404"/>
      <c r="D76" s="404"/>
      <c r="E76" s="404"/>
      <c r="F76" s="288"/>
      <c r="G76" s="288"/>
      <c r="H76" s="288"/>
      <c r="I76" s="288"/>
      <c r="J76" s="288"/>
      <c r="K76" s="288"/>
      <c r="L76" s="288"/>
      <c r="M76" s="288"/>
      <c r="N76" s="288"/>
      <c r="O76" s="288"/>
      <c r="P76" s="288"/>
      <c r="Q76" s="288"/>
      <c r="R76" s="288"/>
      <c r="S76" s="288"/>
      <c r="T76" s="288"/>
      <c r="U76" s="288"/>
      <c r="V76" s="288"/>
      <c r="W76" s="288"/>
      <c r="X76" s="288"/>
      <c r="Y76" s="288"/>
      <c r="Z76" s="288"/>
      <c r="AA76" s="288"/>
      <c r="AB76" s="288"/>
      <c r="AC76" s="288"/>
      <c r="AD76" s="288"/>
      <c r="AE76" s="288"/>
      <c r="AF76" s="288"/>
      <c r="AG76" s="288"/>
      <c r="AH76" s="288"/>
      <c r="AI76" s="289"/>
      <c r="AK76" s="425"/>
      <c r="AL76" s="425"/>
      <c r="AM76" s="425"/>
      <c r="AN76" s="425"/>
      <c r="AO76" s="425"/>
      <c r="AP76" s="425"/>
      <c r="AQ76" s="42"/>
      <c r="AR76" s="43"/>
      <c r="AS76" s="43"/>
      <c r="AT76" s="43"/>
      <c r="AU76" s="43"/>
      <c r="AV76" s="43"/>
      <c r="AW76" s="43"/>
      <c r="AX76" s="43"/>
      <c r="AY76" s="43"/>
      <c r="AZ76" s="43"/>
      <c r="BH76" s="53"/>
      <c r="BI76" s="51"/>
    </row>
    <row r="77" spans="1:61" ht="18" customHeight="1">
      <c r="A77" s="36"/>
      <c r="B77" s="404"/>
      <c r="C77" s="404"/>
      <c r="D77" s="404"/>
      <c r="E77" s="404"/>
      <c r="F77" s="288"/>
      <c r="G77" s="288"/>
      <c r="H77" s="288"/>
      <c r="I77" s="288"/>
      <c r="J77" s="288"/>
      <c r="K77" s="288"/>
      <c r="L77" s="288"/>
      <c r="M77" s="288"/>
      <c r="N77" s="288"/>
      <c r="O77" s="288"/>
      <c r="P77" s="288"/>
      <c r="Q77" s="288"/>
      <c r="R77" s="288"/>
      <c r="S77" s="288"/>
      <c r="T77" s="288"/>
      <c r="U77" s="288"/>
      <c r="V77" s="288"/>
      <c r="W77" s="288"/>
      <c r="X77" s="288"/>
      <c r="Y77" s="288"/>
      <c r="Z77" s="288"/>
      <c r="AA77" s="288"/>
      <c r="AB77" s="288"/>
      <c r="AC77" s="288"/>
      <c r="AD77" s="288"/>
      <c r="AE77" s="288"/>
      <c r="AF77" s="288"/>
      <c r="AG77" s="288"/>
      <c r="AH77" s="288"/>
      <c r="AI77" s="289"/>
      <c r="AK77" s="425"/>
      <c r="AL77" s="425"/>
      <c r="AM77" s="425"/>
      <c r="AN77" s="425"/>
      <c r="AO77" s="425"/>
      <c r="AP77" s="425"/>
      <c r="AQ77" s="42"/>
      <c r="AR77" s="43"/>
      <c r="AS77" s="43"/>
      <c r="AT77" s="43"/>
      <c r="AU77" s="43"/>
      <c r="AV77" s="43"/>
      <c r="AW77" s="43"/>
      <c r="AX77" s="43"/>
      <c r="AY77" s="43"/>
      <c r="AZ77" s="43"/>
      <c r="BH77" s="54"/>
      <c r="BI77" s="51"/>
    </row>
    <row r="78" spans="1:61" ht="18" customHeight="1">
      <c r="A78" s="36"/>
      <c r="B78" s="404"/>
      <c r="C78" s="404"/>
      <c r="D78" s="404"/>
      <c r="E78" s="404"/>
      <c r="F78" s="288"/>
      <c r="G78" s="288"/>
      <c r="H78" s="288"/>
      <c r="I78" s="288"/>
      <c r="J78" s="288"/>
      <c r="K78" s="288"/>
      <c r="L78" s="288"/>
      <c r="M78" s="288"/>
      <c r="N78" s="288"/>
      <c r="O78" s="288"/>
      <c r="P78" s="288"/>
      <c r="Q78" s="288"/>
      <c r="R78" s="288"/>
      <c r="S78" s="288"/>
      <c r="T78" s="288"/>
      <c r="U78" s="288"/>
      <c r="V78" s="288"/>
      <c r="W78" s="288"/>
      <c r="X78" s="288"/>
      <c r="Y78" s="288"/>
      <c r="Z78" s="288"/>
      <c r="AA78" s="288"/>
      <c r="AB78" s="288"/>
      <c r="AC78" s="288"/>
      <c r="AD78" s="288"/>
      <c r="AE78" s="288"/>
      <c r="AF78" s="288"/>
      <c r="AG78" s="288"/>
      <c r="AH78" s="288"/>
      <c r="AI78" s="289"/>
      <c r="AK78" s="425"/>
      <c r="AL78" s="425"/>
      <c r="AM78" s="425"/>
      <c r="AN78" s="425"/>
      <c r="AO78" s="425"/>
      <c r="AP78" s="425"/>
      <c r="AQ78" s="42"/>
      <c r="AR78" s="43"/>
      <c r="AS78" s="43"/>
      <c r="AT78" s="43"/>
      <c r="AU78" s="43"/>
      <c r="AV78" s="43"/>
      <c r="AW78" s="43"/>
      <c r="AX78" s="43"/>
      <c r="AY78" s="43"/>
      <c r="AZ78" s="43"/>
      <c r="BH78" s="54"/>
      <c r="BI78" s="51"/>
    </row>
    <row r="79" spans="1:61" ht="18" customHeight="1">
      <c r="A79" s="36"/>
      <c r="B79" s="404"/>
      <c r="C79" s="404"/>
      <c r="D79" s="404"/>
      <c r="E79" s="404"/>
      <c r="F79" s="288"/>
      <c r="G79" s="288"/>
      <c r="H79" s="288"/>
      <c r="I79" s="288"/>
      <c r="J79" s="288"/>
      <c r="K79" s="288"/>
      <c r="L79" s="288"/>
      <c r="M79" s="288"/>
      <c r="N79" s="288"/>
      <c r="O79" s="288"/>
      <c r="P79" s="288"/>
      <c r="Q79" s="288"/>
      <c r="R79" s="288"/>
      <c r="S79" s="288"/>
      <c r="T79" s="288"/>
      <c r="U79" s="288"/>
      <c r="V79" s="288"/>
      <c r="W79" s="288"/>
      <c r="X79" s="288"/>
      <c r="Y79" s="288"/>
      <c r="Z79" s="288"/>
      <c r="AA79" s="288"/>
      <c r="AB79" s="288"/>
      <c r="AC79" s="288"/>
      <c r="AD79" s="288"/>
      <c r="AE79" s="288"/>
      <c r="AF79" s="288"/>
      <c r="AG79" s="288"/>
      <c r="AH79" s="288"/>
      <c r="AI79" s="289"/>
      <c r="AK79" s="425"/>
      <c r="AL79" s="425"/>
      <c r="AM79" s="425"/>
      <c r="AN79" s="425"/>
      <c r="AO79" s="425"/>
      <c r="AP79" s="425"/>
      <c r="AQ79" s="42"/>
      <c r="AR79" s="43"/>
      <c r="AS79" s="43"/>
      <c r="AT79" s="43"/>
      <c r="AU79" s="43"/>
      <c r="AV79" s="43"/>
      <c r="AW79" s="43"/>
      <c r="AX79" s="43"/>
      <c r="AY79" s="43"/>
      <c r="AZ79" s="43"/>
      <c r="BH79" s="54"/>
      <c r="BI79" s="51"/>
    </row>
    <row r="80" spans="1:61" ht="18" customHeight="1">
      <c r="A80" s="37"/>
      <c r="B80" s="466"/>
      <c r="C80" s="466"/>
      <c r="D80" s="466"/>
      <c r="E80" s="466"/>
      <c r="F80" s="467"/>
      <c r="G80" s="467"/>
      <c r="H80" s="467"/>
      <c r="I80" s="467"/>
      <c r="J80" s="467"/>
      <c r="K80" s="467"/>
      <c r="L80" s="467"/>
      <c r="M80" s="467"/>
      <c r="N80" s="467"/>
      <c r="O80" s="467"/>
      <c r="P80" s="467"/>
      <c r="Q80" s="467"/>
      <c r="R80" s="467"/>
      <c r="S80" s="467"/>
      <c r="T80" s="467"/>
      <c r="U80" s="467"/>
      <c r="V80" s="467"/>
      <c r="W80" s="467"/>
      <c r="X80" s="467"/>
      <c r="Y80" s="467"/>
      <c r="Z80" s="467"/>
      <c r="AA80" s="467"/>
      <c r="AB80" s="467"/>
      <c r="AC80" s="467"/>
      <c r="AD80" s="467"/>
      <c r="AE80" s="467"/>
      <c r="AF80" s="467"/>
      <c r="AG80" s="467"/>
      <c r="AH80" s="467"/>
      <c r="AI80" s="468"/>
      <c r="AK80" s="425"/>
      <c r="AL80" s="425"/>
      <c r="AM80" s="425"/>
      <c r="AN80" s="425"/>
      <c r="AO80" s="425"/>
      <c r="AP80" s="425"/>
      <c r="AQ80" s="42"/>
      <c r="AR80" s="43"/>
      <c r="AS80" s="43"/>
      <c r="AT80" s="43"/>
      <c r="AU80" s="43"/>
      <c r="AV80" s="43"/>
      <c r="AW80" s="43"/>
      <c r="AX80" s="43"/>
      <c r="AY80" s="43"/>
      <c r="AZ80" s="43"/>
      <c r="BH80" s="54"/>
      <c r="BI80" s="51"/>
    </row>
    <row r="81" spans="1:61" ht="18" customHeight="1">
      <c r="A81" s="406" t="s">
        <v>704</v>
      </c>
      <c r="B81" s="407"/>
      <c r="C81" s="407"/>
      <c r="D81" s="407"/>
      <c r="E81" s="407"/>
      <c r="F81" s="407"/>
      <c r="G81" s="407"/>
      <c r="H81" s="407"/>
      <c r="I81" s="407"/>
      <c r="J81" s="407"/>
      <c r="K81" s="407"/>
      <c r="L81" s="407"/>
      <c r="M81" s="407"/>
      <c r="N81" s="407"/>
      <c r="O81" s="407"/>
      <c r="P81" s="407"/>
      <c r="Q81" s="407"/>
      <c r="R81" s="407"/>
      <c r="S81" s="407"/>
      <c r="T81" s="407"/>
      <c r="U81" s="407"/>
      <c r="V81" s="407"/>
      <c r="W81" s="407"/>
      <c r="X81" s="407"/>
      <c r="Y81" s="407"/>
      <c r="Z81" s="407"/>
      <c r="AA81" s="407"/>
      <c r="AB81" s="407"/>
      <c r="AC81" s="407"/>
      <c r="AD81" s="407"/>
      <c r="AE81" s="407"/>
      <c r="AF81" s="407"/>
      <c r="AG81" s="407"/>
      <c r="AH81" s="407"/>
      <c r="AI81" s="408"/>
      <c r="AK81" s="425"/>
      <c r="AL81" s="425"/>
      <c r="AM81" s="425"/>
      <c r="AN81" s="425"/>
      <c r="AO81" s="425"/>
      <c r="AP81" s="425"/>
      <c r="AQ81" s="42"/>
      <c r="AR81" s="43"/>
      <c r="AS81" s="43"/>
      <c r="AT81" s="43"/>
      <c r="AU81" s="43"/>
      <c r="AV81" s="43"/>
      <c r="AW81" s="43"/>
      <c r="AX81" s="43"/>
      <c r="AY81" s="43"/>
      <c r="AZ81" s="43"/>
      <c r="BH81" s="53"/>
      <c r="BI81" s="51"/>
    </row>
    <row r="82" spans="1:61" ht="18" customHeight="1">
      <c r="A82" s="38"/>
      <c r="B82" s="465">
        <v>45644</v>
      </c>
      <c r="C82" s="465"/>
      <c r="D82" s="465"/>
      <c r="E82" s="465"/>
      <c r="F82" s="288" t="s">
        <v>837</v>
      </c>
      <c r="G82" s="288"/>
      <c r="H82" s="288"/>
      <c r="I82" s="288"/>
      <c r="J82" s="288"/>
      <c r="K82" s="288"/>
      <c r="L82" s="288"/>
      <c r="M82" s="288"/>
      <c r="N82" s="288"/>
      <c r="O82" s="288"/>
      <c r="P82" s="288"/>
      <c r="Q82" s="288"/>
      <c r="R82" s="288"/>
      <c r="S82" s="288"/>
      <c r="T82" s="288"/>
      <c r="U82" s="288"/>
      <c r="V82" s="288"/>
      <c r="W82" s="288"/>
      <c r="X82" s="288"/>
      <c r="Y82" s="288"/>
      <c r="Z82" s="288"/>
      <c r="AA82" s="288"/>
      <c r="AB82" s="288"/>
      <c r="AC82" s="288"/>
      <c r="AD82" s="288"/>
      <c r="AE82" s="288"/>
      <c r="AF82" s="288"/>
      <c r="AG82" s="288"/>
      <c r="AH82" s="288"/>
      <c r="AI82" s="289"/>
      <c r="AK82" s="425"/>
      <c r="AL82" s="425"/>
      <c r="AM82" s="425"/>
      <c r="AN82" s="425"/>
      <c r="AO82" s="425"/>
      <c r="AP82" s="425"/>
      <c r="AQ82" s="42"/>
      <c r="AR82" s="43"/>
      <c r="AS82" s="43"/>
      <c r="AT82" s="43"/>
      <c r="AU82" s="43"/>
      <c r="AV82" s="43"/>
      <c r="AW82" s="43"/>
      <c r="AX82" s="43"/>
      <c r="AY82" s="43"/>
      <c r="AZ82" s="43"/>
      <c r="BH82" s="53"/>
      <c r="BI82" s="51"/>
    </row>
    <row r="83" spans="1:61" ht="18" customHeight="1">
      <c r="A83" s="38"/>
      <c r="B83" s="465">
        <v>46160</v>
      </c>
      <c r="C83" s="465"/>
      <c r="D83" s="465"/>
      <c r="E83" s="465"/>
      <c r="F83" s="288" t="s">
        <v>838</v>
      </c>
      <c r="G83" s="288"/>
      <c r="H83" s="288"/>
      <c r="I83" s="288"/>
      <c r="J83" s="288"/>
      <c r="K83" s="288"/>
      <c r="L83" s="288"/>
      <c r="M83" s="288"/>
      <c r="N83" s="288"/>
      <c r="O83" s="288"/>
      <c r="P83" s="288"/>
      <c r="Q83" s="288"/>
      <c r="R83" s="288"/>
      <c r="S83" s="288"/>
      <c r="T83" s="288"/>
      <c r="U83" s="288"/>
      <c r="V83" s="288"/>
      <c r="W83" s="288"/>
      <c r="X83" s="288"/>
      <c r="Y83" s="288"/>
      <c r="Z83" s="288"/>
      <c r="AA83" s="288"/>
      <c r="AB83" s="288"/>
      <c r="AC83" s="288"/>
      <c r="AD83" s="288"/>
      <c r="AE83" s="288"/>
      <c r="AF83" s="288"/>
      <c r="AG83" s="288"/>
      <c r="AH83" s="288"/>
      <c r="AI83" s="289"/>
      <c r="AK83" s="425"/>
      <c r="AL83" s="425"/>
      <c r="AM83" s="425"/>
      <c r="AN83" s="425"/>
      <c r="AO83" s="425"/>
      <c r="AP83" s="425"/>
      <c r="AQ83" s="42"/>
      <c r="AR83" s="43"/>
      <c r="AS83" s="43"/>
      <c r="AT83" s="43"/>
      <c r="AU83" s="43"/>
      <c r="AV83" s="43"/>
      <c r="AW83" s="43"/>
      <c r="AX83" s="43"/>
      <c r="AY83" s="43"/>
      <c r="AZ83" s="43"/>
      <c r="BH83" s="53"/>
      <c r="BI83" s="51"/>
    </row>
    <row r="84" spans="1:61" ht="18" customHeight="1">
      <c r="A84" s="38"/>
      <c r="B84" s="465"/>
      <c r="C84" s="465"/>
      <c r="D84" s="465"/>
      <c r="E84" s="465"/>
      <c r="F84" s="288"/>
      <c r="G84" s="288"/>
      <c r="H84" s="288"/>
      <c r="I84" s="288"/>
      <c r="J84" s="288"/>
      <c r="K84" s="288"/>
      <c r="L84" s="288"/>
      <c r="M84" s="288"/>
      <c r="N84" s="288"/>
      <c r="O84" s="288"/>
      <c r="P84" s="288"/>
      <c r="Q84" s="288"/>
      <c r="R84" s="288"/>
      <c r="S84" s="288"/>
      <c r="T84" s="288"/>
      <c r="U84" s="288"/>
      <c r="V84" s="288"/>
      <c r="W84" s="288"/>
      <c r="X84" s="288"/>
      <c r="Y84" s="288"/>
      <c r="Z84" s="288"/>
      <c r="AA84" s="288"/>
      <c r="AB84" s="288"/>
      <c r="AC84" s="288"/>
      <c r="AD84" s="288"/>
      <c r="AE84" s="288"/>
      <c r="AF84" s="288"/>
      <c r="AG84" s="288"/>
      <c r="AH84" s="288"/>
      <c r="AI84" s="289"/>
      <c r="AK84" s="425"/>
      <c r="AL84" s="425"/>
      <c r="AM84" s="425"/>
      <c r="AN84" s="425"/>
      <c r="AO84" s="425"/>
      <c r="AP84" s="425"/>
      <c r="AQ84" s="42"/>
      <c r="AR84" s="43"/>
      <c r="AS84" s="43"/>
      <c r="AT84" s="43"/>
      <c r="AU84" s="43"/>
      <c r="AV84" s="43"/>
      <c r="AW84" s="43"/>
      <c r="AX84" s="43"/>
      <c r="AY84" s="43"/>
      <c r="AZ84" s="43"/>
    </row>
    <row r="85" spans="1:61" ht="18" customHeight="1">
      <c r="A85" s="38"/>
      <c r="B85" s="465"/>
      <c r="C85" s="465"/>
      <c r="D85" s="465"/>
      <c r="E85" s="465"/>
      <c r="F85" s="288"/>
      <c r="G85" s="288"/>
      <c r="H85" s="288"/>
      <c r="I85" s="288"/>
      <c r="J85" s="288"/>
      <c r="K85" s="288"/>
      <c r="L85" s="288"/>
      <c r="M85" s="288"/>
      <c r="N85" s="288"/>
      <c r="O85" s="288"/>
      <c r="P85" s="288"/>
      <c r="Q85" s="288"/>
      <c r="R85" s="288"/>
      <c r="S85" s="288"/>
      <c r="T85" s="288"/>
      <c r="U85" s="288"/>
      <c r="V85" s="288"/>
      <c r="W85" s="288"/>
      <c r="X85" s="288"/>
      <c r="Y85" s="288"/>
      <c r="Z85" s="288"/>
      <c r="AA85" s="288"/>
      <c r="AB85" s="288"/>
      <c r="AC85" s="288"/>
      <c r="AD85" s="288"/>
      <c r="AE85" s="288"/>
      <c r="AF85" s="288"/>
      <c r="AG85" s="288"/>
      <c r="AH85" s="288"/>
      <c r="AI85" s="289"/>
      <c r="AK85" s="425"/>
      <c r="AL85" s="425"/>
      <c r="AM85" s="425"/>
      <c r="AN85" s="425"/>
      <c r="AO85" s="425"/>
      <c r="AP85" s="425"/>
      <c r="AQ85" s="42"/>
      <c r="AR85" s="43"/>
      <c r="AS85" s="43"/>
      <c r="AT85" s="43"/>
      <c r="AU85" s="43"/>
      <c r="AV85" s="43"/>
      <c r="AW85" s="43"/>
      <c r="AX85" s="43"/>
      <c r="AY85" s="43"/>
      <c r="AZ85" s="43"/>
    </row>
    <row r="86" spans="1:61" ht="18" customHeight="1" thickBot="1">
      <c r="A86" s="41"/>
      <c r="B86" s="540"/>
      <c r="C86" s="540"/>
      <c r="D86" s="540"/>
      <c r="E86" s="540"/>
      <c r="F86" s="541"/>
      <c r="G86" s="541"/>
      <c r="H86" s="541"/>
      <c r="I86" s="541"/>
      <c r="J86" s="541"/>
      <c r="K86" s="541"/>
      <c r="L86" s="541"/>
      <c r="M86" s="541"/>
      <c r="N86" s="541"/>
      <c r="O86" s="541"/>
      <c r="P86" s="541"/>
      <c r="Q86" s="541"/>
      <c r="R86" s="541"/>
      <c r="S86" s="541"/>
      <c r="T86" s="541"/>
      <c r="U86" s="541"/>
      <c r="V86" s="541"/>
      <c r="W86" s="541"/>
      <c r="X86" s="541"/>
      <c r="Y86" s="541"/>
      <c r="Z86" s="541"/>
      <c r="AA86" s="541"/>
      <c r="AB86" s="541"/>
      <c r="AC86" s="541"/>
      <c r="AD86" s="541"/>
      <c r="AE86" s="541"/>
      <c r="AF86" s="541"/>
      <c r="AG86" s="541"/>
      <c r="AH86" s="541"/>
      <c r="AI86" s="542"/>
      <c r="AK86" s="425"/>
      <c r="AL86" s="425"/>
      <c r="AM86" s="425"/>
      <c r="AN86" s="425"/>
      <c r="AO86" s="425"/>
      <c r="AP86" s="425"/>
      <c r="AQ86" s="42"/>
      <c r="AR86" s="43"/>
      <c r="AS86" s="43"/>
      <c r="AT86" s="43"/>
      <c r="AU86" s="43"/>
      <c r="AV86" s="43"/>
      <c r="AW86" s="43"/>
      <c r="AX86" s="43"/>
      <c r="AY86" s="43"/>
      <c r="AZ86" s="43"/>
    </row>
    <row r="87" spans="1:61" ht="14.1" customHeight="1">
      <c r="AK87" s="438"/>
      <c r="AL87" s="438"/>
      <c r="AM87" s="438"/>
      <c r="AN87" s="438"/>
      <c r="AO87" s="438"/>
      <c r="AP87" s="438"/>
      <c r="AQ87" s="119"/>
    </row>
    <row r="88" spans="1:61" ht="14.1" customHeight="1">
      <c r="AK88" s="437"/>
      <c r="AL88" s="437"/>
      <c r="AM88" s="437"/>
      <c r="AN88" s="437"/>
      <c r="AO88" s="437"/>
      <c r="AP88" s="437"/>
      <c r="AQ88" s="120"/>
    </row>
    <row r="89" spans="1:61" ht="14.1" customHeight="1">
      <c r="AK89" s="437"/>
      <c r="AL89" s="437"/>
      <c r="AM89" s="437"/>
      <c r="AN89" s="437"/>
      <c r="AO89" s="437"/>
      <c r="AP89" s="437"/>
      <c r="AQ89" s="120"/>
    </row>
    <row r="90" spans="1:61" ht="14.1" customHeight="1"/>
    <row r="91" spans="1:61" ht="14.1" customHeight="1"/>
    <row r="92" spans="1:61" ht="14.1" customHeight="1"/>
    <row r="93" spans="1:61" ht="14.1" customHeight="1"/>
    <row r="94" spans="1:61" ht="14.1" customHeight="1"/>
    <row r="95" spans="1:61" ht="14.1" customHeight="1"/>
    <row r="96" spans="1:61" ht="14.1" customHeight="1"/>
    <row r="97" ht="14.1" customHeight="1"/>
    <row r="98" ht="14.1" customHeight="1"/>
    <row r="99" ht="14.1" customHeight="1"/>
    <row r="100" ht="14.1" customHeight="1"/>
    <row r="101" ht="14.1" customHeight="1"/>
    <row r="102" ht="14.1" customHeight="1"/>
    <row r="103" ht="14.1" customHeight="1"/>
    <row r="104" ht="14.1" customHeight="1"/>
    <row r="105" ht="14.1" customHeight="1"/>
    <row r="106" ht="14.1" customHeight="1"/>
    <row r="107" ht="14.1" customHeight="1"/>
    <row r="108" ht="14.1" customHeight="1"/>
    <row r="109" ht="14.1" customHeight="1"/>
    <row r="110" ht="14.1" customHeight="1"/>
    <row r="111" ht="14.1" customHeight="1"/>
    <row r="112" ht="14.1" customHeight="1"/>
    <row r="113" ht="14.1" customHeight="1"/>
    <row r="114" ht="14.1" customHeight="1"/>
    <row r="115" ht="14.1" customHeight="1"/>
    <row r="116" ht="14.1" customHeight="1"/>
    <row r="117" ht="14.1" customHeight="1"/>
    <row r="118" ht="14.1" customHeight="1"/>
    <row r="119" ht="14.1" customHeight="1"/>
    <row r="120" ht="14.1" customHeight="1"/>
    <row r="121" ht="14.1" customHeight="1"/>
    <row r="122" ht="14.1" customHeight="1"/>
    <row r="123" ht="14.1" customHeight="1"/>
    <row r="124" ht="14.1" customHeight="1"/>
    <row r="125" ht="14.1" customHeight="1"/>
    <row r="126" ht="14.1" customHeight="1"/>
    <row r="127" ht="14.1" customHeight="1"/>
    <row r="128" ht="14.1" customHeight="1"/>
    <row r="129" ht="14.1" customHeight="1"/>
    <row r="130" ht="14.1" customHeight="1"/>
    <row r="131" ht="14.1" customHeight="1"/>
    <row r="132" ht="14.1" customHeight="1"/>
    <row r="133" ht="14.1" customHeight="1"/>
    <row r="134" ht="14.1" customHeight="1"/>
    <row r="135" ht="14.1" customHeight="1"/>
    <row r="136" ht="14.1" customHeight="1"/>
    <row r="137" ht="14.1" customHeight="1"/>
    <row r="138" ht="14.1" customHeight="1"/>
    <row r="139" ht="14.1" customHeight="1"/>
    <row r="140" ht="14.1" customHeight="1"/>
    <row r="141" ht="14.1" customHeight="1"/>
    <row r="142" ht="14.1" customHeight="1"/>
    <row r="143" ht="14.1" customHeight="1"/>
    <row r="144" ht="14.1" customHeight="1"/>
    <row r="145" ht="14.1" customHeight="1"/>
    <row r="146" ht="14.1" customHeight="1"/>
    <row r="147" ht="14.1" customHeight="1"/>
    <row r="148" ht="14.1" customHeight="1"/>
    <row r="149" ht="14.1" customHeight="1"/>
    <row r="150" ht="14.1" customHeight="1"/>
    <row r="151" ht="14.1" customHeight="1"/>
    <row r="152" ht="14.1" customHeight="1"/>
    <row r="153" ht="14.1" customHeight="1"/>
    <row r="154" ht="14.1" customHeight="1"/>
    <row r="155" ht="14.1" customHeight="1"/>
    <row r="156" ht="14.1" customHeight="1"/>
    <row r="157" ht="14.1" customHeight="1"/>
    <row r="158" ht="14.1" customHeight="1"/>
    <row r="159" ht="14.1" customHeight="1"/>
    <row r="160" ht="14.1" customHeight="1"/>
    <row r="161" ht="14.1" customHeight="1"/>
    <row r="162" ht="14.1" customHeight="1"/>
    <row r="163" ht="14.1" customHeight="1"/>
    <row r="164" ht="14.1" customHeight="1"/>
    <row r="165" ht="14.1" customHeight="1"/>
    <row r="166" ht="14.1" customHeight="1"/>
    <row r="167" ht="14.1" customHeight="1"/>
    <row r="168" ht="14.1" customHeight="1"/>
    <row r="169" ht="14.1" customHeight="1"/>
    <row r="170" ht="14.1" customHeight="1"/>
    <row r="171" ht="14.1" customHeight="1"/>
    <row r="172" ht="14.1" customHeight="1"/>
    <row r="173" ht="14.1" customHeight="1"/>
    <row r="174" ht="14.1" customHeight="1"/>
    <row r="175" ht="14.1" customHeight="1"/>
    <row r="176" ht="14.1" customHeight="1"/>
    <row r="177" ht="14.1" customHeight="1"/>
    <row r="178" ht="14.1" customHeight="1"/>
    <row r="179" ht="14.1" customHeight="1"/>
    <row r="180" ht="14.1" customHeight="1"/>
    <row r="181" ht="14.1" customHeight="1"/>
    <row r="182" ht="14.1" customHeight="1"/>
    <row r="183" ht="14.1" customHeight="1"/>
    <row r="184" ht="14.1" customHeight="1"/>
    <row r="185" ht="14.1" customHeight="1"/>
    <row r="186" ht="14.1" customHeight="1"/>
    <row r="187" ht="14.1" customHeight="1"/>
    <row r="188" ht="14.1" customHeight="1"/>
    <row r="189" ht="14.1" customHeight="1"/>
    <row r="190" ht="14.1" customHeight="1"/>
    <row r="191" ht="14.1" customHeight="1"/>
    <row r="192" ht="14.1" customHeight="1"/>
    <row r="193" ht="14.1" customHeight="1"/>
    <row r="194" ht="14.1" customHeight="1"/>
    <row r="195" ht="14.1" customHeight="1"/>
    <row r="196" ht="14.1" customHeight="1"/>
    <row r="197" ht="14.1" customHeight="1"/>
    <row r="198" ht="14.1" customHeight="1"/>
    <row r="199" ht="14.1" customHeight="1"/>
    <row r="200" ht="14.1" customHeight="1"/>
    <row r="201" ht="14.1" customHeight="1"/>
    <row r="202" ht="14.1" customHeight="1"/>
    <row r="203" ht="14.1" customHeight="1"/>
    <row r="204" ht="14.1" customHeight="1"/>
    <row r="205" ht="14.1" customHeight="1"/>
    <row r="206" ht="14.1" customHeight="1"/>
    <row r="207" ht="14.1" customHeight="1"/>
    <row r="208" ht="14.1" customHeight="1"/>
    <row r="209" ht="14.1" customHeight="1"/>
    <row r="210" ht="14.1" customHeight="1"/>
    <row r="211" ht="14.1" customHeight="1"/>
    <row r="212" ht="14.1" customHeight="1"/>
    <row r="213" ht="14.1" customHeight="1"/>
    <row r="214" ht="14.1" customHeight="1"/>
    <row r="215" ht="14.1" customHeight="1"/>
    <row r="216" ht="14.1" customHeight="1"/>
    <row r="217" ht="14.1" customHeight="1"/>
    <row r="218" ht="14.1" customHeight="1"/>
    <row r="219" ht="14.1" customHeight="1"/>
    <row r="220" ht="14.1" customHeight="1"/>
    <row r="221" ht="14.1" customHeight="1"/>
    <row r="222" ht="14.1" customHeight="1"/>
    <row r="223" ht="14.1" customHeight="1"/>
    <row r="224" ht="14.1" customHeight="1"/>
    <row r="225" ht="14.1" customHeight="1"/>
    <row r="226" ht="14.1" customHeight="1"/>
    <row r="227" ht="14.1" customHeight="1"/>
    <row r="228" ht="14.1" customHeight="1"/>
    <row r="229" ht="14.1" customHeight="1"/>
    <row r="230" ht="14.1" customHeight="1"/>
    <row r="231" ht="14.1" customHeight="1"/>
    <row r="232" ht="14.1" customHeight="1"/>
    <row r="233" ht="14.1" customHeight="1"/>
    <row r="234" ht="14.1" customHeight="1"/>
    <row r="235" ht="14.1" customHeight="1"/>
    <row r="236" ht="14.1" customHeight="1"/>
    <row r="237" ht="14.1" customHeight="1"/>
    <row r="238" ht="14.1" customHeight="1"/>
    <row r="239" ht="14.1" customHeight="1"/>
    <row r="240" ht="14.1" customHeight="1"/>
    <row r="241" ht="14.1" customHeight="1"/>
    <row r="242" ht="14.1" customHeight="1"/>
    <row r="243" ht="14.1" customHeight="1"/>
    <row r="244" ht="14.1" customHeight="1"/>
    <row r="245" ht="14.1" customHeight="1"/>
    <row r="246" ht="14.1" customHeight="1"/>
    <row r="247" ht="14.1" customHeight="1"/>
    <row r="248" ht="14.1" customHeight="1"/>
    <row r="249" ht="14.1" customHeight="1"/>
    <row r="250" ht="14.1" customHeight="1"/>
    <row r="251" ht="14.1" customHeight="1"/>
    <row r="252" ht="14.1" customHeight="1"/>
    <row r="253" ht="14.1" customHeight="1"/>
    <row r="254" ht="14.1" customHeight="1"/>
    <row r="255" ht="14.1" customHeight="1"/>
    <row r="256" ht="14.1" customHeight="1"/>
    <row r="257" ht="14.1" customHeight="1"/>
    <row r="258" ht="14.1" customHeight="1"/>
    <row r="259" ht="14.1" customHeight="1"/>
    <row r="260" ht="14.1" customHeight="1"/>
    <row r="261" ht="14.1" customHeight="1"/>
    <row r="262" ht="14.1" customHeight="1"/>
    <row r="263" ht="14.1" customHeight="1"/>
    <row r="264" ht="14.1" customHeight="1"/>
    <row r="265" ht="14.1" customHeight="1"/>
    <row r="266" ht="14.1" customHeight="1"/>
  </sheetData>
  <sheetProtection algorithmName="SHA-512" hashValue="0loLJCJhL4ad+e9W1BFBlntzNt2hf75qC+V2eugpQkoXMOcFlTwiL5DSpVRXAf1cyQ/kgBnOXO/4cSPzCUKn4A==" saltValue="4etb9yyOEqZ9UduJqdtb6g==" spinCount="100000" sheet="1" autoFilter="0"/>
  <mergeCells count="381">
    <mergeCell ref="A1:S3"/>
    <mergeCell ref="T1:Z3"/>
    <mergeCell ref="AD1:AI1"/>
    <mergeCell ref="AD2:AF4"/>
    <mergeCell ref="AG2:AI4"/>
    <mergeCell ref="A4:S5"/>
    <mergeCell ref="AK7:AP8"/>
    <mergeCell ref="AQ7:AQ8"/>
    <mergeCell ref="V8:X8"/>
    <mergeCell ref="A9:AI9"/>
    <mergeCell ref="AK9:AP9"/>
    <mergeCell ref="A10:H10"/>
    <mergeCell ref="I10:J10"/>
    <mergeCell ref="K10:L10"/>
    <mergeCell ref="M10:T10"/>
    <mergeCell ref="U10:V10"/>
    <mergeCell ref="O7:P8"/>
    <mergeCell ref="Q7:R8"/>
    <mergeCell ref="S7:T8"/>
    <mergeCell ref="V7:X7"/>
    <mergeCell ref="Y7:AA8"/>
    <mergeCell ref="AB7:AI8"/>
    <mergeCell ref="A7:E8"/>
    <mergeCell ref="F7:F8"/>
    <mergeCell ref="G7:I8"/>
    <mergeCell ref="J7:J8"/>
    <mergeCell ref="K7:M8"/>
    <mergeCell ref="N7:N8"/>
    <mergeCell ref="W10:X10"/>
    <mergeCell ref="Y10:AF10"/>
    <mergeCell ref="AG10:AH10"/>
    <mergeCell ref="AK10:AP10"/>
    <mergeCell ref="A11:H11"/>
    <mergeCell ref="I11:J11"/>
    <mergeCell ref="K11:L11"/>
    <mergeCell ref="M11:T11"/>
    <mergeCell ref="U11:V11"/>
    <mergeCell ref="W11:X11"/>
    <mergeCell ref="Y11:AF11"/>
    <mergeCell ref="AG11:AH11"/>
    <mergeCell ref="AK11:AP11"/>
    <mergeCell ref="A12:H12"/>
    <mergeCell ref="I12:J12"/>
    <mergeCell ref="K12:L12"/>
    <mergeCell ref="M12:T12"/>
    <mergeCell ref="U12:V12"/>
    <mergeCell ref="W12:X12"/>
    <mergeCell ref="Y12:AF12"/>
    <mergeCell ref="AG12:AH12"/>
    <mergeCell ref="AK12:AP12"/>
    <mergeCell ref="A13:H13"/>
    <mergeCell ref="I13:J13"/>
    <mergeCell ref="K13:L13"/>
    <mergeCell ref="M13:T13"/>
    <mergeCell ref="U13:V13"/>
    <mergeCell ref="W13:X13"/>
    <mergeCell ref="Y13:AF13"/>
    <mergeCell ref="AG13:AH13"/>
    <mergeCell ref="AK13:AP13"/>
    <mergeCell ref="A14:AI14"/>
    <mergeCell ref="AK14:AP14"/>
    <mergeCell ref="B15:I15"/>
    <mergeCell ref="J15:L15"/>
    <mergeCell ref="M15:N15"/>
    <mergeCell ref="O15:V15"/>
    <mergeCell ref="W15:Y15"/>
    <mergeCell ref="Z15:AA15"/>
    <mergeCell ref="AB15:AG15"/>
    <mergeCell ref="A18:E18"/>
    <mergeCell ref="F18:AI18"/>
    <mergeCell ref="AK18:AP18"/>
    <mergeCell ref="B19:E19"/>
    <mergeCell ref="F19:AI19"/>
    <mergeCell ref="AK19:AP19"/>
    <mergeCell ref="AH15:AI15"/>
    <mergeCell ref="AK15:AP15"/>
    <mergeCell ref="A16:AI16"/>
    <mergeCell ref="AK16:AP16"/>
    <mergeCell ref="A17:E17"/>
    <mergeCell ref="F17:AI17"/>
    <mergeCell ref="AK17:AP17"/>
    <mergeCell ref="B20:E20"/>
    <mergeCell ref="F20:AI20"/>
    <mergeCell ref="AK20:AP20"/>
    <mergeCell ref="AR20:AR23"/>
    <mergeCell ref="B21:E21"/>
    <mergeCell ref="F21:AI21"/>
    <mergeCell ref="AK21:AP21"/>
    <mergeCell ref="B22:E22"/>
    <mergeCell ref="F22:AI22"/>
    <mergeCell ref="AK22:AP22"/>
    <mergeCell ref="BA23:BB23"/>
    <mergeCell ref="B24:E24"/>
    <mergeCell ref="F24:AI24"/>
    <mergeCell ref="AK24:AP24"/>
    <mergeCell ref="AY24:AZ24"/>
    <mergeCell ref="BA24:BB24"/>
    <mergeCell ref="AS22:AT22"/>
    <mergeCell ref="AU22:AV22"/>
    <mergeCell ref="AY22:AZ22"/>
    <mergeCell ref="BA22:BB22"/>
    <mergeCell ref="B23:E23"/>
    <mergeCell ref="F23:AI23"/>
    <mergeCell ref="AK23:AP23"/>
    <mergeCell ref="AS23:AT23"/>
    <mergeCell ref="AU23:AV23"/>
    <mergeCell ref="AY23:AZ23"/>
    <mergeCell ref="B27:E27"/>
    <mergeCell ref="F27:AI27"/>
    <mergeCell ref="AK27:AP27"/>
    <mergeCell ref="AS27:AT27"/>
    <mergeCell ref="AU27:AW27"/>
    <mergeCell ref="AY27:BB27"/>
    <mergeCell ref="B25:E25"/>
    <mergeCell ref="F25:AI25"/>
    <mergeCell ref="AK25:AP25"/>
    <mergeCell ref="AY25:AZ25"/>
    <mergeCell ref="BA25:BB25"/>
    <mergeCell ref="B26:E26"/>
    <mergeCell ref="F26:AI26"/>
    <mergeCell ref="AK26:AP26"/>
    <mergeCell ref="AS26:AW26"/>
    <mergeCell ref="BA28:BB28"/>
    <mergeCell ref="B29:E29"/>
    <mergeCell ref="F29:AI29"/>
    <mergeCell ref="AK29:AP29"/>
    <mergeCell ref="AS29:AT29"/>
    <mergeCell ref="AU29:AW29"/>
    <mergeCell ref="AY29:AZ29"/>
    <mergeCell ref="BA29:BB29"/>
    <mergeCell ref="B28:E28"/>
    <mergeCell ref="F28:AI28"/>
    <mergeCell ref="AK28:AP28"/>
    <mergeCell ref="AS28:AT28"/>
    <mergeCell ref="AU28:AW28"/>
    <mergeCell ref="AY28:AZ28"/>
    <mergeCell ref="A32:AI32"/>
    <mergeCell ref="AK32:AP32"/>
    <mergeCell ref="AS32:AT32"/>
    <mergeCell ref="AU32:AW32"/>
    <mergeCell ref="AY32:AZ32"/>
    <mergeCell ref="BA32:BB32"/>
    <mergeCell ref="BA30:BB30"/>
    <mergeCell ref="B31:E31"/>
    <mergeCell ref="F31:AI31"/>
    <mergeCell ref="AK31:AP31"/>
    <mergeCell ref="AS31:AT31"/>
    <mergeCell ref="AU31:AW31"/>
    <mergeCell ref="AY31:AZ31"/>
    <mergeCell ref="BA31:BB31"/>
    <mergeCell ref="B30:E30"/>
    <mergeCell ref="F30:AI30"/>
    <mergeCell ref="AK30:AP30"/>
    <mergeCell ref="AS30:AT30"/>
    <mergeCell ref="AU30:AW30"/>
    <mergeCell ref="AY30:AZ30"/>
    <mergeCell ref="BA33:BB33"/>
    <mergeCell ref="B34:E34"/>
    <mergeCell ref="F34:AI34"/>
    <mergeCell ref="AK34:AP34"/>
    <mergeCell ref="AS34:AT34"/>
    <mergeCell ref="AU34:AW34"/>
    <mergeCell ref="AY34:AZ34"/>
    <mergeCell ref="BA34:BB34"/>
    <mergeCell ref="B33:E33"/>
    <mergeCell ref="F33:AI33"/>
    <mergeCell ref="AK33:AP33"/>
    <mergeCell ref="AS33:AT33"/>
    <mergeCell ref="AU33:AW33"/>
    <mergeCell ref="AY33:AZ33"/>
    <mergeCell ref="AY35:AZ35"/>
    <mergeCell ref="BA35:BB35"/>
    <mergeCell ref="A36:E36"/>
    <mergeCell ref="F36:K36"/>
    <mergeCell ref="L36:O36"/>
    <mergeCell ref="P36:R36"/>
    <mergeCell ref="T36:V36"/>
    <mergeCell ref="W36:AB36"/>
    <mergeCell ref="AC36:AI36"/>
    <mergeCell ref="B35:E35"/>
    <mergeCell ref="F35:V35"/>
    <mergeCell ref="W35:AB35"/>
    <mergeCell ref="AC35:AI35"/>
    <mergeCell ref="AK35:AP35"/>
    <mergeCell ref="AS35:AT35"/>
    <mergeCell ref="AK36:AP36"/>
    <mergeCell ref="AS36:AT36"/>
    <mergeCell ref="AU36:AW36"/>
    <mergeCell ref="AU35:AW35"/>
    <mergeCell ref="A39:AI39"/>
    <mergeCell ref="AK39:AP39"/>
    <mergeCell ref="AS39:AT39"/>
    <mergeCell ref="AV39:AW39"/>
    <mergeCell ref="A38:E38"/>
    <mergeCell ref="F38:K38"/>
    <mergeCell ref="L38:O38"/>
    <mergeCell ref="P38:V38"/>
    <mergeCell ref="W38:AB38"/>
    <mergeCell ref="AC38:AI38"/>
    <mergeCell ref="AD40:AI40"/>
    <mergeCell ref="A37:E37"/>
    <mergeCell ref="F37:AI37"/>
    <mergeCell ref="AK40:AP40"/>
    <mergeCell ref="AS40:AT40"/>
    <mergeCell ref="AV40:AW40"/>
    <mergeCell ref="A41:D41"/>
    <mergeCell ref="E41:G41"/>
    <mergeCell ref="I41:K41"/>
    <mergeCell ref="L41:R41"/>
    <mergeCell ref="S41:V41"/>
    <mergeCell ref="W41:Y41"/>
    <mergeCell ref="AA41:AC41"/>
    <mergeCell ref="AD41:AI41"/>
    <mergeCell ref="AK41:AP41"/>
    <mergeCell ref="A40:D40"/>
    <mergeCell ref="E40:K40"/>
    <mergeCell ref="L40:R40"/>
    <mergeCell ref="S40:V40"/>
    <mergeCell ref="W40:AC40"/>
    <mergeCell ref="AK37:AP37"/>
    <mergeCell ref="AS37:AT37"/>
    <mergeCell ref="AU37:AW37"/>
    <mergeCell ref="AK38:AP38"/>
    <mergeCell ref="A42:D42"/>
    <mergeCell ref="E42:G42"/>
    <mergeCell ref="I42:K42"/>
    <mergeCell ref="L42:R42"/>
    <mergeCell ref="S42:V42"/>
    <mergeCell ref="W42:Y42"/>
    <mergeCell ref="AA42:AC42"/>
    <mergeCell ref="AK42:AP42"/>
    <mergeCell ref="AS42:AW42"/>
    <mergeCell ref="A43:D43"/>
    <mergeCell ref="E43:G43"/>
    <mergeCell ref="I43:K43"/>
    <mergeCell ref="L43:R43"/>
    <mergeCell ref="S43:V43"/>
    <mergeCell ref="W43:Y43"/>
    <mergeCell ref="AA43:AC43"/>
    <mergeCell ref="A44:D44"/>
    <mergeCell ref="E44:G44"/>
    <mergeCell ref="I44:K44"/>
    <mergeCell ref="L44:R44"/>
    <mergeCell ref="S44:V44"/>
    <mergeCell ref="W44:Y44"/>
    <mergeCell ref="AA44:AC44"/>
    <mergeCell ref="AD44:AI44"/>
    <mergeCell ref="AD42:AI42"/>
    <mergeCell ref="AK44:AP44"/>
    <mergeCell ref="R45:U45"/>
    <mergeCell ref="W45:X45"/>
    <mergeCell ref="Z45:AA45"/>
    <mergeCell ref="AC45:AD45"/>
    <mergeCell ref="AE45:AF45"/>
    <mergeCell ref="AK45:AP45"/>
    <mergeCell ref="AD43:AI43"/>
    <mergeCell ref="AK43:AP43"/>
    <mergeCell ref="B49:E49"/>
    <mergeCell ref="F49:AI49"/>
    <mergeCell ref="AK49:AP49"/>
    <mergeCell ref="B50:E50"/>
    <mergeCell ref="F50:AI50"/>
    <mergeCell ref="AK50:AP50"/>
    <mergeCell ref="A46:AI46"/>
    <mergeCell ref="AK46:AP46"/>
    <mergeCell ref="B47:E47"/>
    <mergeCell ref="F47:AI47"/>
    <mergeCell ref="AK47:AP47"/>
    <mergeCell ref="B48:E48"/>
    <mergeCell ref="F48:AI48"/>
    <mergeCell ref="AK48:AP48"/>
    <mergeCell ref="B53:E53"/>
    <mergeCell ref="F53:AI53"/>
    <mergeCell ref="AK53:AP53"/>
    <mergeCell ref="B54:E54"/>
    <mergeCell ref="F54:AI54"/>
    <mergeCell ref="AK54:AP54"/>
    <mergeCell ref="B51:E51"/>
    <mergeCell ref="F51:AI51"/>
    <mergeCell ref="AK51:AP51"/>
    <mergeCell ref="B52:E52"/>
    <mergeCell ref="F52:AI52"/>
    <mergeCell ref="AK52:AP52"/>
    <mergeCell ref="B57:E57"/>
    <mergeCell ref="F57:AI57"/>
    <mergeCell ref="AK57:AP57"/>
    <mergeCell ref="B58:E58"/>
    <mergeCell ref="F58:AI58"/>
    <mergeCell ref="AK58:AP58"/>
    <mergeCell ref="B55:E55"/>
    <mergeCell ref="F55:AI55"/>
    <mergeCell ref="AK55:AP55"/>
    <mergeCell ref="B56:E56"/>
    <mergeCell ref="F56:AI56"/>
    <mergeCell ref="AK56:AP56"/>
    <mergeCell ref="B61:E61"/>
    <mergeCell ref="F61:AI61"/>
    <mergeCell ref="AK61:AP61"/>
    <mergeCell ref="B62:E62"/>
    <mergeCell ref="F62:AI62"/>
    <mergeCell ref="AK62:AP62"/>
    <mergeCell ref="B59:E59"/>
    <mergeCell ref="F59:AI59"/>
    <mergeCell ref="AK59:AP59"/>
    <mergeCell ref="B60:E60"/>
    <mergeCell ref="F60:AI60"/>
    <mergeCell ref="AK60:AP60"/>
    <mergeCell ref="B65:E65"/>
    <mergeCell ref="F65:AI65"/>
    <mergeCell ref="AK65:AP65"/>
    <mergeCell ref="B66:E66"/>
    <mergeCell ref="F66:AI66"/>
    <mergeCell ref="AK66:AP66"/>
    <mergeCell ref="B63:E63"/>
    <mergeCell ref="F63:AI63"/>
    <mergeCell ref="AK63:AP63"/>
    <mergeCell ref="B64:E64"/>
    <mergeCell ref="F64:AI64"/>
    <mergeCell ref="AK64:AP64"/>
    <mergeCell ref="B69:E69"/>
    <mergeCell ref="F69:AI69"/>
    <mergeCell ref="AK69:AP69"/>
    <mergeCell ref="B70:E70"/>
    <mergeCell ref="F70:AI70"/>
    <mergeCell ref="AK70:AP70"/>
    <mergeCell ref="B67:E67"/>
    <mergeCell ref="F67:AI67"/>
    <mergeCell ref="AK67:AP67"/>
    <mergeCell ref="B68:E68"/>
    <mergeCell ref="F68:AI68"/>
    <mergeCell ref="AK68:AP68"/>
    <mergeCell ref="B73:E73"/>
    <mergeCell ref="F73:AI73"/>
    <mergeCell ref="AK73:AP73"/>
    <mergeCell ref="B74:E74"/>
    <mergeCell ref="F74:AI74"/>
    <mergeCell ref="AK74:AP74"/>
    <mergeCell ref="B71:E71"/>
    <mergeCell ref="F71:AI71"/>
    <mergeCell ref="AK71:AP71"/>
    <mergeCell ref="B72:E72"/>
    <mergeCell ref="F72:AI72"/>
    <mergeCell ref="AK72:AP72"/>
    <mergeCell ref="B77:E77"/>
    <mergeCell ref="F77:AI77"/>
    <mergeCell ref="AK77:AP77"/>
    <mergeCell ref="B78:E78"/>
    <mergeCell ref="F78:AI78"/>
    <mergeCell ref="AK78:AP78"/>
    <mergeCell ref="B75:E75"/>
    <mergeCell ref="F75:AI75"/>
    <mergeCell ref="AK75:AP75"/>
    <mergeCell ref="B76:E76"/>
    <mergeCell ref="F76:AI76"/>
    <mergeCell ref="AK76:AP76"/>
    <mergeCell ref="A81:AI81"/>
    <mergeCell ref="AK81:AP81"/>
    <mergeCell ref="B82:E82"/>
    <mergeCell ref="F82:AI82"/>
    <mergeCell ref="AK82:AP82"/>
    <mergeCell ref="B83:E83"/>
    <mergeCell ref="F83:AI83"/>
    <mergeCell ref="AK83:AP83"/>
    <mergeCell ref="B79:E79"/>
    <mergeCell ref="F79:AI79"/>
    <mergeCell ref="AK79:AP79"/>
    <mergeCell ref="B80:E80"/>
    <mergeCell ref="F80:AI80"/>
    <mergeCell ref="AK80:AP80"/>
    <mergeCell ref="B86:E86"/>
    <mergeCell ref="F86:AI86"/>
    <mergeCell ref="AK86:AP86"/>
    <mergeCell ref="AK87:AP87"/>
    <mergeCell ref="AK88:AP88"/>
    <mergeCell ref="AK89:AP89"/>
    <mergeCell ref="B84:E84"/>
    <mergeCell ref="F84:AI84"/>
    <mergeCell ref="AK84:AP84"/>
    <mergeCell ref="B85:E85"/>
    <mergeCell ref="F85:AI85"/>
    <mergeCell ref="AK85:AP85"/>
  </mergeCells>
  <phoneticPr fontId="2"/>
  <conditionalFormatting sqref="AQ20:AQ28 AQ30:AQ31 AQ9 AQ11:AQ12 AQ14 AQ33:AQ34">
    <cfRule type="containsBlanks" dxfId="71" priority="12">
      <formula>LEN(TRIM(AQ9))=0</formula>
    </cfRule>
  </conditionalFormatting>
  <conditionalFormatting sqref="BC11:CF11">
    <cfRule type="containsText" dxfId="70" priority="8" operator="containsText" text="青">
      <formula>NOT(ISERROR(SEARCH("青",BC11)))</formula>
    </cfRule>
    <cfRule type="containsText" dxfId="69" priority="9" operator="containsText" text="緑">
      <formula>NOT(ISERROR(SEARCH("緑",BC11)))</formula>
    </cfRule>
    <cfRule type="containsText" dxfId="68" priority="10" operator="containsText" text="黄">
      <formula>NOT(ISERROR(SEARCH("黄",BC11)))</formula>
    </cfRule>
    <cfRule type="containsText" dxfId="67" priority="11" operator="containsText" text="赤">
      <formula>NOT(ISERROR(SEARCH("赤",BC11)))</formula>
    </cfRule>
  </conditionalFormatting>
  <conditionalFormatting sqref="V7:X8">
    <cfRule type="containsBlanks" dxfId="66" priority="7">
      <formula>LEN(TRIM(V7))=0</formula>
    </cfRule>
  </conditionalFormatting>
  <conditionalFormatting sqref="AB7:AI8">
    <cfRule type="containsBlanks" dxfId="65" priority="6">
      <formula>LEN(TRIM(AB7))=0</formula>
    </cfRule>
  </conditionalFormatting>
  <conditionalFormatting sqref="A7:E8 G7:I8 K7:M8 O7:P8">
    <cfRule type="containsBlanks" dxfId="64" priority="5">
      <formula>LEN(TRIM(A7))=0</formula>
    </cfRule>
  </conditionalFormatting>
  <conditionalFormatting sqref="W15:Y15 AH15:AI15 J15:L15">
    <cfRule type="containsBlanks" dxfId="63" priority="4">
      <formula>LEN(TRIM(J15))=0</formula>
    </cfRule>
  </conditionalFormatting>
  <conditionalFormatting sqref="L41:R44">
    <cfRule type="cellIs" dxfId="62" priority="1" operator="equal">
      <formula>0</formula>
    </cfRule>
  </conditionalFormatting>
  <conditionalFormatting sqref="P36:R36 T36:V36 L38:O38 AC38:AI38 AC36:AI36">
    <cfRule type="containsBlanks" dxfId="61" priority="3">
      <formula>LEN(TRIM(L36))=0</formula>
    </cfRule>
  </conditionalFormatting>
  <conditionalFormatting sqref="W41:Y44 AA41:AI44">
    <cfRule type="cellIs" dxfId="60" priority="2" operator="equal">
      <formula>0</formula>
    </cfRule>
  </conditionalFormatting>
  <printOptions horizontalCentered="1" verticalCentered="1"/>
  <pageMargins left="0.70866141732283472" right="0.59055118110236227" top="0.55118110236220474" bottom="0.55118110236220474" header="0.31496062992125984" footer="0.31496062992125984"/>
  <pageSetup paperSize="9" orientation="portrait" horizontalDpi="300" verticalDpi="300" r:id="rId1"/>
  <headerFooter scaleWithDoc="0" alignWithMargins="0">
    <oddFooter>&amp;C&amp;P&amp;Rヒトトヒト株式会社</oddFooter>
  </headerFooter>
  <rowBreaks count="1" manualBreakCount="1">
    <brk id="44" max="34" man="1"/>
  </rowBreaks>
  <drawing r:id="rId2"/>
  <extLst>
    <ext xmlns:x14="http://schemas.microsoft.com/office/spreadsheetml/2009/9/main" uri="{CCE6A557-97BC-4b89-ADB6-D9C93CAAB3DF}">
      <x14:dataValidations xmlns:xm="http://schemas.microsoft.com/office/excel/2006/main" count="6">
        <x14:dataValidation type="list" allowBlank="1" showInputMessage="1" showErrorMessage="1" xr:uid="{5CFCBBDE-E9CA-4783-B6D9-322A3999D46C}">
          <x14:formula1>
            <xm:f>初期値!$C$12:$C$27</xm:f>
          </x14:formula1>
          <xm:sqref>P36:R36 T36:V36</xm:sqref>
        </x14:dataValidation>
        <x14:dataValidation type="list" allowBlank="1" showInputMessage="1" showErrorMessage="1" xr:uid="{094ADA42-117F-4282-BA09-3D122E7FBAD5}">
          <x14:formula1>
            <xm:f>初期値!$G$12:$G$24</xm:f>
          </x14:formula1>
          <xm:sqref>V7:X8</xm:sqref>
        </x14:dataValidation>
        <x14:dataValidation type="list" allowBlank="1" showInputMessage="1" showErrorMessage="1" xr:uid="{2598A113-5B2F-49E7-8E0F-02CAAD081AE3}">
          <x14:formula1>
            <xm:f>初期値!$E$12:$E$13</xm:f>
          </x14:formula1>
          <xm:sqref>L38:O38 AC38:AI38 AC36:AI36</xm:sqref>
        </x14:dataValidation>
        <x14:dataValidation type="list" allowBlank="1" showInputMessage="1" showErrorMessage="1" xr:uid="{989BBD30-54F2-4730-BF15-47CE3D960FB0}">
          <x14:formula1>
            <xm:f>初期値!$N$22:$N$23</xm:f>
          </x14:formula1>
          <xm:sqref>AW23</xm:sqref>
        </x14:dataValidation>
        <x14:dataValidation type="list" allowBlank="1" showInputMessage="1" showErrorMessage="1" xr:uid="{426C4FEF-5652-44DB-AA20-EFA149E586D6}">
          <x14:formula1>
            <xm:f>初期値!$P$12:$P$27</xm:f>
          </x14:formula1>
          <xm:sqref>BA24:BB24 BA22:BB22 BA28:BB28 BA30:BB30 BA32:BB32 BA34:BB34</xm:sqref>
        </x14:dataValidation>
        <x14:dataValidation type="list" allowBlank="1" showInputMessage="1" showErrorMessage="1" xr:uid="{821AF4A1-32A0-4FEC-AA3E-D57356CADFE8}">
          <x14:formula1>
            <xm:f>初期値!$N$12:$N$19</xm:f>
          </x14:formula1>
          <xm:sqref>AU22:AV22</xm:sqref>
        </x14:dataValidation>
      </x14:dataValidations>
    </ext>
  </extLst>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B216073-C68E-4872-B470-1B5CEEAF76D9}">
  <sheetPr codeName="Sheet33"/>
  <dimension ref="A1:CG266"/>
  <sheetViews>
    <sheetView topLeftCell="A22" zoomScaleNormal="100" zoomScaleSheetLayoutView="100" workbookViewId="0">
      <selection activeCell="F29" sqref="F29:AI29"/>
    </sheetView>
  </sheetViews>
  <sheetFormatPr defaultColWidth="8.875" defaultRowHeight="13.5"/>
  <cols>
    <col min="1" max="42" width="2.25" style="23" customWidth="1"/>
    <col min="43" max="43" width="6" style="23" bestFit="1" customWidth="1"/>
    <col min="44" max="44" width="4.5" style="23" bestFit="1" customWidth="1"/>
    <col min="45" max="45" width="6" style="23" bestFit="1" customWidth="1"/>
    <col min="46" max="46" width="4.5" style="23" bestFit="1" customWidth="1"/>
    <col min="47" max="47" width="9" style="23" bestFit="1" customWidth="1"/>
    <col min="48" max="48" width="8.5" style="23" bestFit="1" customWidth="1"/>
    <col min="49" max="49" width="7.5" style="23" bestFit="1" customWidth="1"/>
    <col min="50" max="50" width="6.5" style="23" bestFit="1" customWidth="1"/>
    <col min="51" max="51" width="7.5" style="23" bestFit="1" customWidth="1"/>
    <col min="52" max="52" width="2.125" style="23" customWidth="1"/>
    <col min="53" max="54" width="7.375" style="23" customWidth="1"/>
    <col min="55" max="63" width="3.625" style="23" bestFit="1" customWidth="1"/>
    <col min="64" max="84" width="4" style="23" bestFit="1" customWidth="1"/>
    <col min="85" max="16384" width="8.875" style="23"/>
  </cols>
  <sheetData>
    <row r="1" spans="1:85" ht="14.1" customHeight="1">
      <c r="A1" s="510" t="s">
        <v>551</v>
      </c>
      <c r="B1" s="510"/>
      <c r="C1" s="510"/>
      <c r="D1" s="510"/>
      <c r="E1" s="510"/>
      <c r="F1" s="510"/>
      <c r="G1" s="510"/>
      <c r="H1" s="510"/>
      <c r="I1" s="510"/>
      <c r="J1" s="510"/>
      <c r="K1" s="510"/>
      <c r="L1" s="510"/>
      <c r="M1" s="510"/>
      <c r="N1" s="510"/>
      <c r="O1" s="510"/>
      <c r="P1" s="510"/>
      <c r="Q1" s="510"/>
      <c r="R1" s="510"/>
      <c r="S1" s="510"/>
      <c r="T1" s="388"/>
      <c r="U1" s="388"/>
      <c r="V1" s="388"/>
      <c r="W1" s="388"/>
      <c r="X1" s="388"/>
      <c r="Y1" s="388"/>
      <c r="Z1" s="388"/>
      <c r="AA1" s="24"/>
      <c r="AB1" s="32"/>
      <c r="AD1" s="252" t="s">
        <v>167</v>
      </c>
      <c r="AE1" s="252"/>
      <c r="AF1" s="252"/>
      <c r="AG1" s="252"/>
      <c r="AH1" s="252"/>
      <c r="AI1" s="252"/>
      <c r="AM1" s="123">
        <v>26</v>
      </c>
      <c r="BB1"/>
    </row>
    <row r="2" spans="1:85" ht="14.1" customHeight="1">
      <c r="A2" s="510"/>
      <c r="B2" s="510"/>
      <c r="C2" s="510"/>
      <c r="D2" s="510"/>
      <c r="E2" s="510"/>
      <c r="F2" s="510"/>
      <c r="G2" s="510"/>
      <c r="H2" s="510"/>
      <c r="I2" s="510"/>
      <c r="J2" s="510"/>
      <c r="K2" s="510"/>
      <c r="L2" s="510"/>
      <c r="M2" s="510"/>
      <c r="N2" s="510"/>
      <c r="O2" s="510"/>
      <c r="P2" s="510"/>
      <c r="Q2" s="510"/>
      <c r="R2" s="510"/>
      <c r="S2" s="510"/>
      <c r="T2" s="388"/>
      <c r="U2" s="388"/>
      <c r="V2" s="388"/>
      <c r="W2" s="388"/>
      <c r="X2" s="388"/>
      <c r="Y2" s="388"/>
      <c r="Z2" s="388"/>
      <c r="AA2" s="25"/>
      <c r="AB2" s="31"/>
      <c r="AD2" s="253"/>
      <c r="AE2" s="253"/>
      <c r="AF2" s="253"/>
      <c r="AG2" s="253"/>
      <c r="AH2" s="253"/>
      <c r="AI2" s="253"/>
      <c r="BA2"/>
    </row>
    <row r="3" spans="1:85" ht="14.1" customHeight="1">
      <c r="A3" s="510"/>
      <c r="B3" s="510"/>
      <c r="C3" s="510"/>
      <c r="D3" s="510"/>
      <c r="E3" s="510"/>
      <c r="F3" s="510"/>
      <c r="G3" s="510"/>
      <c r="H3" s="510"/>
      <c r="I3" s="510"/>
      <c r="J3" s="510"/>
      <c r="K3" s="510"/>
      <c r="L3" s="510"/>
      <c r="M3" s="510"/>
      <c r="N3" s="510"/>
      <c r="O3" s="510"/>
      <c r="P3" s="510"/>
      <c r="Q3" s="510"/>
      <c r="R3" s="510"/>
      <c r="S3" s="510"/>
      <c r="T3" s="388"/>
      <c r="U3" s="388"/>
      <c r="V3" s="388"/>
      <c r="W3" s="388"/>
      <c r="X3" s="388"/>
      <c r="Y3" s="388"/>
      <c r="Z3" s="388"/>
      <c r="AA3" s="25"/>
      <c r="AB3" s="31"/>
      <c r="AD3" s="253"/>
      <c r="AE3" s="253"/>
      <c r="AF3" s="253"/>
      <c r="AG3" s="253"/>
      <c r="AH3" s="253"/>
      <c r="AI3" s="253"/>
      <c r="BA3"/>
    </row>
    <row r="4" spans="1:85" ht="14.1" customHeight="1">
      <c r="A4" s="395" t="s">
        <v>552</v>
      </c>
      <c r="B4" s="395"/>
      <c r="C4" s="395"/>
      <c r="D4" s="395"/>
      <c r="E4" s="395"/>
      <c r="F4" s="395"/>
      <c r="G4" s="395"/>
      <c r="H4" s="395"/>
      <c r="I4" s="395"/>
      <c r="J4" s="395"/>
      <c r="K4" s="395"/>
      <c r="L4" s="395"/>
      <c r="M4" s="395"/>
      <c r="N4" s="395"/>
      <c r="O4" s="395"/>
      <c r="P4" s="395"/>
      <c r="Q4" s="395"/>
      <c r="R4" s="395"/>
      <c r="S4" s="395"/>
      <c r="T4" s="155"/>
      <c r="U4" s="155"/>
      <c r="V4" s="155"/>
      <c r="W4" s="155"/>
      <c r="X4" s="155"/>
      <c r="Y4" s="155"/>
      <c r="Z4" s="155"/>
      <c r="AA4" s="26"/>
      <c r="AB4" s="31"/>
      <c r="AD4" s="253"/>
      <c r="AE4" s="253"/>
      <c r="AF4" s="253"/>
      <c r="AG4" s="253"/>
      <c r="AH4" s="253"/>
      <c r="AI4" s="253"/>
      <c r="BA4"/>
    </row>
    <row r="5" spans="1:85" ht="14.1" customHeight="1">
      <c r="A5" s="395"/>
      <c r="B5" s="395"/>
      <c r="C5" s="395"/>
      <c r="D5" s="395"/>
      <c r="E5" s="395"/>
      <c r="F5" s="395"/>
      <c r="G5" s="395"/>
      <c r="H5" s="395"/>
      <c r="I5" s="395"/>
      <c r="J5" s="395"/>
      <c r="K5" s="395"/>
      <c r="L5" s="395"/>
      <c r="M5" s="395"/>
      <c r="N5" s="395"/>
      <c r="O5" s="395"/>
      <c r="P5" s="395"/>
      <c r="Q5" s="395"/>
      <c r="R5" s="395"/>
      <c r="S5" s="395"/>
      <c r="T5" s="155"/>
      <c r="U5" s="155"/>
      <c r="V5" s="155"/>
      <c r="W5" s="155"/>
      <c r="X5" s="155"/>
      <c r="Y5" s="155"/>
      <c r="Z5" s="155"/>
      <c r="AA5" s="26"/>
      <c r="AB5" s="31"/>
      <c r="AC5" s="31"/>
      <c r="AD5" s="31"/>
      <c r="AE5" s="31"/>
      <c r="AF5" s="31"/>
      <c r="AG5" s="31"/>
      <c r="AH5" s="31"/>
      <c r="AI5" s="31"/>
      <c r="BA5"/>
    </row>
    <row r="6" spans="1:85" ht="14.1" customHeight="1" thickBot="1">
      <c r="A6" s="27"/>
      <c r="B6" s="27"/>
      <c r="C6" s="27"/>
      <c r="D6" s="27"/>
      <c r="E6" s="27"/>
      <c r="F6" s="27"/>
      <c r="G6" s="27"/>
      <c r="H6" s="27"/>
      <c r="I6" s="27"/>
      <c r="BA6"/>
    </row>
    <row r="7" spans="1:85" ht="12" customHeight="1">
      <c r="A7" s="255">
        <f>DATE(初期値!A2,初期値!A3,AM1)</f>
        <v>46199</v>
      </c>
      <c r="B7" s="256"/>
      <c r="C7" s="256"/>
      <c r="D7" s="256"/>
      <c r="E7" s="256"/>
      <c r="F7" s="259" t="s">
        <v>169</v>
      </c>
      <c r="G7" s="236">
        <f>$A$7</f>
        <v>46199</v>
      </c>
      <c r="H7" s="236"/>
      <c r="I7" s="236"/>
      <c r="J7" s="239" t="s">
        <v>170</v>
      </c>
      <c r="K7" s="261">
        <f>$A$7</f>
        <v>46199</v>
      </c>
      <c r="L7" s="261"/>
      <c r="M7" s="261"/>
      <c r="N7" s="239" t="s">
        <v>3</v>
      </c>
      <c r="O7" s="520">
        <f>$A$7</f>
        <v>46199</v>
      </c>
      <c r="P7" s="520"/>
      <c r="Q7" s="239" t="s">
        <v>292</v>
      </c>
      <c r="R7" s="240"/>
      <c r="S7" s="522" t="s">
        <v>553</v>
      </c>
      <c r="T7" s="244"/>
      <c r="U7" s="29" t="s">
        <v>554</v>
      </c>
      <c r="V7" s="518" t="s">
        <v>63</v>
      </c>
      <c r="W7" s="518"/>
      <c r="X7" s="518"/>
      <c r="Y7" s="511" t="s">
        <v>555</v>
      </c>
      <c r="Z7" s="512"/>
      <c r="AA7" s="513"/>
      <c r="AB7" s="244" t="str">
        <f>L43</f>
        <v>二野宮慧太</v>
      </c>
      <c r="AC7" s="244"/>
      <c r="AD7" s="244"/>
      <c r="AE7" s="244"/>
      <c r="AF7" s="244"/>
      <c r="AG7" s="244"/>
      <c r="AH7" s="244"/>
      <c r="AI7" s="245"/>
      <c r="AK7" s="425" t="s">
        <v>556</v>
      </c>
      <c r="AL7" s="425"/>
      <c r="AM7" s="425"/>
      <c r="AN7" s="425"/>
      <c r="AO7" s="425"/>
      <c r="AP7" s="425"/>
      <c r="AQ7" s="439" t="s">
        <v>557</v>
      </c>
      <c r="AR7" s="43"/>
      <c r="AS7" s="43"/>
      <c r="AT7" s="43"/>
      <c r="AU7" s="43"/>
      <c r="AV7" s="43"/>
      <c r="AW7" s="43"/>
      <c r="AX7" s="43"/>
      <c r="AY7" s="43"/>
      <c r="AZ7" s="43"/>
      <c r="BA7"/>
    </row>
    <row r="8" spans="1:85" ht="12" customHeight="1" thickBot="1">
      <c r="A8" s="257"/>
      <c r="B8" s="258"/>
      <c r="C8" s="258"/>
      <c r="D8" s="258"/>
      <c r="E8" s="258"/>
      <c r="F8" s="260"/>
      <c r="G8" s="237"/>
      <c r="H8" s="237"/>
      <c r="I8" s="237"/>
      <c r="J8" s="242"/>
      <c r="K8" s="262"/>
      <c r="L8" s="262"/>
      <c r="M8" s="262"/>
      <c r="N8" s="242"/>
      <c r="O8" s="521"/>
      <c r="P8" s="521"/>
      <c r="Q8" s="242"/>
      <c r="R8" s="243"/>
      <c r="S8" s="523"/>
      <c r="T8" s="246"/>
      <c r="U8" s="33" t="s">
        <v>558</v>
      </c>
      <c r="V8" s="519" t="s">
        <v>63</v>
      </c>
      <c r="W8" s="519"/>
      <c r="X8" s="519"/>
      <c r="Y8" s="514"/>
      <c r="Z8" s="515"/>
      <c r="AA8" s="516"/>
      <c r="AB8" s="246"/>
      <c r="AC8" s="246"/>
      <c r="AD8" s="246"/>
      <c r="AE8" s="246"/>
      <c r="AF8" s="246"/>
      <c r="AG8" s="246"/>
      <c r="AH8" s="246"/>
      <c r="AI8" s="247"/>
      <c r="AK8" s="425"/>
      <c r="AL8" s="425"/>
      <c r="AM8" s="425"/>
      <c r="AN8" s="425"/>
      <c r="AO8" s="425"/>
      <c r="AP8" s="425"/>
      <c r="AQ8" s="439"/>
      <c r="AR8" s="43"/>
      <c r="AS8" s="43"/>
      <c r="AT8" s="43"/>
      <c r="AU8" s="43"/>
      <c r="AV8" s="43"/>
      <c r="AW8" s="43"/>
      <c r="AX8" s="43"/>
      <c r="AY8" s="43"/>
      <c r="AZ8" s="43"/>
      <c r="BA8"/>
    </row>
    <row r="9" spans="1:85" ht="18" customHeight="1">
      <c r="A9" s="507" t="s">
        <v>559</v>
      </c>
      <c r="B9" s="508"/>
      <c r="C9" s="508"/>
      <c r="D9" s="508"/>
      <c r="E9" s="508"/>
      <c r="F9" s="508"/>
      <c r="G9" s="508"/>
      <c r="H9" s="508"/>
      <c r="I9" s="508"/>
      <c r="J9" s="508"/>
      <c r="K9" s="508"/>
      <c r="L9" s="508"/>
      <c r="M9" s="508"/>
      <c r="N9" s="508"/>
      <c r="O9" s="508"/>
      <c r="P9" s="508"/>
      <c r="Q9" s="508"/>
      <c r="R9" s="508"/>
      <c r="S9" s="508"/>
      <c r="T9" s="508"/>
      <c r="U9" s="508"/>
      <c r="V9" s="508"/>
      <c r="W9" s="508"/>
      <c r="X9" s="508"/>
      <c r="Y9" s="508"/>
      <c r="Z9" s="508"/>
      <c r="AA9" s="508"/>
      <c r="AB9" s="508"/>
      <c r="AC9" s="508"/>
      <c r="AD9" s="508"/>
      <c r="AE9" s="508"/>
      <c r="AF9" s="508"/>
      <c r="AG9" s="508"/>
      <c r="AH9" s="508"/>
      <c r="AI9" s="509"/>
      <c r="AK9" s="440" t="s">
        <v>560</v>
      </c>
      <c r="AL9" s="440"/>
      <c r="AM9" s="440"/>
      <c r="AN9" s="440"/>
      <c r="AO9" s="440"/>
      <c r="AP9" s="440"/>
      <c r="AQ9" s="42">
        <v>63</v>
      </c>
      <c r="AR9" s="43"/>
      <c r="AS9" s="44" t="s">
        <v>561</v>
      </c>
      <c r="AT9" s="44" t="s">
        <v>562</v>
      </c>
      <c r="AU9" s="44" t="s">
        <v>563</v>
      </c>
      <c r="AV9" s="44" t="s">
        <v>564</v>
      </c>
      <c r="AW9" s="45" t="s">
        <v>565</v>
      </c>
      <c r="AX9" s="45" t="s">
        <v>566</v>
      </c>
      <c r="AY9" s="44" t="s">
        <v>567</v>
      </c>
      <c r="AZ9" s="43"/>
      <c r="BB9" s="49" t="s">
        <v>568</v>
      </c>
      <c r="BC9" s="43"/>
      <c r="BD9" s="43"/>
      <c r="BE9" s="43"/>
      <c r="BF9" s="43"/>
      <c r="BG9" s="43"/>
      <c r="BH9" s="43"/>
      <c r="BI9" s="43"/>
      <c r="BJ9" s="43"/>
      <c r="BK9" s="43"/>
      <c r="BL9" s="43"/>
      <c r="BM9" s="43"/>
      <c r="BN9" s="43"/>
      <c r="BO9" s="43"/>
      <c r="BP9" s="43"/>
      <c r="BQ9" s="43"/>
      <c r="BR9" s="43"/>
      <c r="BS9" s="43"/>
      <c r="BT9" s="43"/>
      <c r="BU9" s="43"/>
      <c r="BV9" s="43"/>
      <c r="BW9" s="43"/>
      <c r="BX9" s="43"/>
      <c r="BY9" s="43"/>
      <c r="BZ9" s="43"/>
      <c r="CA9" s="43"/>
      <c r="CB9" s="43"/>
      <c r="CC9" s="43"/>
      <c r="CD9" s="43"/>
      <c r="CE9" s="43"/>
      <c r="CF9" s="43"/>
      <c r="CG9" s="43"/>
    </row>
    <row r="10" spans="1:85" ht="18" customHeight="1">
      <c r="A10" s="265" t="s">
        <v>569</v>
      </c>
      <c r="B10" s="266"/>
      <c r="C10" s="266"/>
      <c r="D10" s="266"/>
      <c r="E10" s="266"/>
      <c r="F10" s="266"/>
      <c r="G10" s="266"/>
      <c r="H10" s="266"/>
      <c r="I10" s="264">
        <f>AQ14</f>
        <v>0</v>
      </c>
      <c r="J10" s="264"/>
      <c r="K10" s="267" t="s">
        <v>176</v>
      </c>
      <c r="L10" s="268"/>
      <c r="M10" s="269" t="s">
        <v>570</v>
      </c>
      <c r="N10" s="266"/>
      <c r="O10" s="266"/>
      <c r="P10" s="266"/>
      <c r="Q10" s="266"/>
      <c r="R10" s="266"/>
      <c r="S10" s="266"/>
      <c r="T10" s="266"/>
      <c r="U10" s="264">
        <f>AQ37</f>
        <v>0</v>
      </c>
      <c r="V10" s="264"/>
      <c r="W10" s="267" t="s">
        <v>176</v>
      </c>
      <c r="X10" s="268"/>
      <c r="Y10" s="269" t="s">
        <v>571</v>
      </c>
      <c r="Z10" s="266"/>
      <c r="AA10" s="266"/>
      <c r="AB10" s="266"/>
      <c r="AC10" s="266"/>
      <c r="AD10" s="266"/>
      <c r="AE10" s="266"/>
      <c r="AF10" s="266"/>
      <c r="AG10" s="264">
        <f>AQ26+AQ25</f>
        <v>0</v>
      </c>
      <c r="AH10" s="264"/>
      <c r="AI10" s="28" t="s">
        <v>176</v>
      </c>
      <c r="AK10" s="440" t="s">
        <v>572</v>
      </c>
      <c r="AL10" s="440"/>
      <c r="AM10" s="440"/>
      <c r="AN10" s="440"/>
      <c r="AO10" s="440"/>
      <c r="AP10" s="440"/>
      <c r="AQ10" s="42"/>
      <c r="AR10" s="43"/>
      <c r="AS10" s="46">
        <v>1</v>
      </c>
      <c r="AT10" s="46"/>
      <c r="AU10" s="46" t="s">
        <v>20</v>
      </c>
      <c r="AV10" s="47" t="s">
        <v>573</v>
      </c>
      <c r="AW10" s="47" t="s">
        <v>574</v>
      </c>
      <c r="AX10" s="47">
        <v>0.33333333333333331</v>
      </c>
      <c r="AY10" s="47">
        <v>0.83333333333333337</v>
      </c>
      <c r="AZ10" s="43"/>
      <c r="BB10" s="49" t="s">
        <v>95</v>
      </c>
      <c r="BC10" s="120">
        <v>1</v>
      </c>
      <c r="BD10" s="120">
        <v>2</v>
      </c>
      <c r="BE10" s="120">
        <v>3</v>
      </c>
      <c r="BF10" s="120">
        <v>4</v>
      </c>
      <c r="BG10" s="120">
        <v>5</v>
      </c>
      <c r="BH10" s="120">
        <v>6</v>
      </c>
      <c r="BI10" s="120">
        <v>7</v>
      </c>
      <c r="BJ10" s="120">
        <v>8</v>
      </c>
      <c r="BK10" s="120">
        <v>9</v>
      </c>
      <c r="BL10" s="120">
        <v>10</v>
      </c>
      <c r="BM10" s="120">
        <v>11</v>
      </c>
      <c r="BN10" s="120">
        <v>12</v>
      </c>
      <c r="BO10" s="120">
        <v>13</v>
      </c>
      <c r="BP10" s="120">
        <v>14</v>
      </c>
      <c r="BQ10" s="120">
        <v>15</v>
      </c>
      <c r="BR10" s="120">
        <v>16</v>
      </c>
      <c r="BS10" s="120">
        <v>17</v>
      </c>
      <c r="BT10" s="120">
        <v>18</v>
      </c>
      <c r="BU10" s="120">
        <v>19</v>
      </c>
      <c r="BV10" s="120">
        <v>20</v>
      </c>
      <c r="BW10" s="120">
        <v>21</v>
      </c>
      <c r="BX10" s="120">
        <v>22</v>
      </c>
      <c r="BY10" s="120">
        <v>23</v>
      </c>
      <c r="BZ10" s="120">
        <v>24</v>
      </c>
      <c r="CA10" s="120">
        <v>25</v>
      </c>
      <c r="CB10" s="120">
        <v>26</v>
      </c>
      <c r="CC10" s="120">
        <v>27</v>
      </c>
      <c r="CD10" s="120">
        <v>28</v>
      </c>
      <c r="CE10" s="120">
        <v>29</v>
      </c>
      <c r="CF10" s="120">
        <v>30</v>
      </c>
      <c r="CG10" s="43"/>
    </row>
    <row r="11" spans="1:85" ht="18" customHeight="1">
      <c r="A11" s="265" t="s">
        <v>575</v>
      </c>
      <c r="B11" s="266"/>
      <c r="C11" s="266"/>
      <c r="D11" s="266"/>
      <c r="E11" s="266"/>
      <c r="F11" s="266"/>
      <c r="G11" s="266"/>
      <c r="H11" s="266"/>
      <c r="I11" s="264">
        <f>AQ27</f>
        <v>0</v>
      </c>
      <c r="J11" s="264"/>
      <c r="K11" s="267" t="s">
        <v>176</v>
      </c>
      <c r="L11" s="268"/>
      <c r="M11" s="269" t="s">
        <v>576</v>
      </c>
      <c r="N11" s="266"/>
      <c r="O11" s="266"/>
      <c r="P11" s="266"/>
      <c r="Q11" s="266"/>
      <c r="R11" s="266"/>
      <c r="S11" s="266"/>
      <c r="T11" s="266"/>
      <c r="U11" s="264">
        <f>AQ36</f>
        <v>0</v>
      </c>
      <c r="V11" s="264"/>
      <c r="W11" s="267" t="s">
        <v>176</v>
      </c>
      <c r="X11" s="268"/>
      <c r="Y11" s="269" t="s">
        <v>577</v>
      </c>
      <c r="Z11" s="266"/>
      <c r="AA11" s="266"/>
      <c r="AB11" s="266"/>
      <c r="AC11" s="266"/>
      <c r="AD11" s="266"/>
      <c r="AE11" s="266"/>
      <c r="AF11" s="266"/>
      <c r="AG11" s="264">
        <f>AQ34</f>
        <v>0</v>
      </c>
      <c r="AH11" s="264"/>
      <c r="AI11" s="28" t="s">
        <v>176</v>
      </c>
      <c r="AK11" s="441" t="s">
        <v>578</v>
      </c>
      <c r="AL11" s="442"/>
      <c r="AM11" s="442"/>
      <c r="AN11" s="442"/>
      <c r="AO11" s="442"/>
      <c r="AP11" s="443"/>
      <c r="AQ11" s="42">
        <v>29</v>
      </c>
      <c r="AR11" s="43"/>
      <c r="AS11" s="46">
        <v>2</v>
      </c>
      <c r="AT11" s="46"/>
      <c r="AU11" s="46"/>
      <c r="AV11" s="47" t="s">
        <v>579</v>
      </c>
      <c r="AW11" s="47" t="s">
        <v>580</v>
      </c>
      <c r="AX11" s="47">
        <v>0.33333333333333331</v>
      </c>
      <c r="AY11" s="47">
        <v>0.58333333333333337</v>
      </c>
      <c r="AZ11" s="43"/>
      <c r="BB11" s="121" t="s">
        <v>581</v>
      </c>
      <c r="BC11" s="138" t="s">
        <v>582</v>
      </c>
      <c r="BD11" s="138" t="s">
        <v>583</v>
      </c>
      <c r="BE11" s="138" t="s">
        <v>584</v>
      </c>
      <c r="BF11" s="138" t="s">
        <v>585</v>
      </c>
      <c r="BG11" s="139" t="s">
        <v>584</v>
      </c>
      <c r="BH11" s="138" t="s">
        <v>582</v>
      </c>
      <c r="BI11" s="138" t="s">
        <v>585</v>
      </c>
      <c r="BJ11" s="138" t="s">
        <v>583</v>
      </c>
      <c r="BK11" s="138" t="s">
        <v>584</v>
      </c>
      <c r="BL11" s="138" t="s">
        <v>583</v>
      </c>
      <c r="BM11" s="138" t="s">
        <v>585</v>
      </c>
      <c r="BN11" s="138" t="s">
        <v>582</v>
      </c>
      <c r="BO11" s="138" t="s">
        <v>584</v>
      </c>
      <c r="BP11" s="138" t="s">
        <v>585</v>
      </c>
      <c r="BQ11" s="138" t="s">
        <v>583</v>
      </c>
      <c r="BR11" s="138" t="s">
        <v>585</v>
      </c>
      <c r="BS11" s="138" t="s">
        <v>584</v>
      </c>
      <c r="BT11" s="138" t="s">
        <v>582</v>
      </c>
      <c r="BU11" s="138" t="s">
        <v>583</v>
      </c>
      <c r="BV11" s="138" t="s">
        <v>585</v>
      </c>
      <c r="BW11" s="138" t="s">
        <v>582</v>
      </c>
      <c r="BX11" s="138" t="s">
        <v>584</v>
      </c>
      <c r="BY11" s="138" t="s">
        <v>585</v>
      </c>
      <c r="BZ11" s="138" t="s">
        <v>583</v>
      </c>
      <c r="CA11" s="138" t="s">
        <v>582</v>
      </c>
      <c r="CB11" s="138" t="s">
        <v>585</v>
      </c>
      <c r="CC11" s="138" t="s">
        <v>584</v>
      </c>
      <c r="CD11" s="138" t="s">
        <v>582</v>
      </c>
      <c r="CE11" s="138" t="s">
        <v>585</v>
      </c>
      <c r="CF11" s="138" t="s">
        <v>583</v>
      </c>
      <c r="CG11" s="43"/>
    </row>
    <row r="12" spans="1:85" ht="18" customHeight="1">
      <c r="A12" s="265" t="s">
        <v>586</v>
      </c>
      <c r="B12" s="266"/>
      <c r="C12" s="266"/>
      <c r="D12" s="266"/>
      <c r="E12" s="266"/>
      <c r="F12" s="266"/>
      <c r="G12" s="266"/>
      <c r="H12" s="266"/>
      <c r="I12" s="264">
        <f>AQ33</f>
        <v>0</v>
      </c>
      <c r="J12" s="264"/>
      <c r="K12" s="267" t="s">
        <v>176</v>
      </c>
      <c r="L12" s="268"/>
      <c r="M12" s="269" t="s">
        <v>587</v>
      </c>
      <c r="N12" s="266"/>
      <c r="O12" s="266"/>
      <c r="P12" s="266"/>
      <c r="Q12" s="266"/>
      <c r="R12" s="266"/>
      <c r="S12" s="266"/>
      <c r="T12" s="266"/>
      <c r="U12" s="264">
        <f>AQ24</f>
        <v>0</v>
      </c>
      <c r="V12" s="264"/>
      <c r="W12" s="267" t="s">
        <v>176</v>
      </c>
      <c r="X12" s="268"/>
      <c r="Y12" s="269" t="s">
        <v>588</v>
      </c>
      <c r="Z12" s="266"/>
      <c r="AA12" s="266"/>
      <c r="AB12" s="266"/>
      <c r="AC12" s="266"/>
      <c r="AD12" s="266"/>
      <c r="AE12" s="266"/>
      <c r="AF12" s="266"/>
      <c r="AG12" s="264">
        <f>AQ20+AQ21+AQ22+AQ23</f>
        <v>0</v>
      </c>
      <c r="AH12" s="264"/>
      <c r="AI12" s="28" t="s">
        <v>176</v>
      </c>
      <c r="AK12" s="441" t="s">
        <v>589</v>
      </c>
      <c r="AL12" s="442"/>
      <c r="AM12" s="442"/>
      <c r="AN12" s="442"/>
      <c r="AO12" s="442"/>
      <c r="AP12" s="443"/>
      <c r="AQ12" s="42">
        <v>7</v>
      </c>
      <c r="AR12" s="43"/>
      <c r="AS12" s="46">
        <v>3</v>
      </c>
      <c r="AT12" s="46"/>
      <c r="AU12" s="46"/>
      <c r="AV12" s="47" t="s">
        <v>590</v>
      </c>
      <c r="AW12" s="47" t="s">
        <v>574</v>
      </c>
      <c r="AX12" s="47">
        <v>0.58333333333333337</v>
      </c>
      <c r="AY12" s="47">
        <v>0.83333333333333337</v>
      </c>
      <c r="AZ12" s="43"/>
      <c r="BB12" s="49"/>
      <c r="BC12" s="43"/>
      <c r="BD12" s="43"/>
      <c r="BE12" s="43"/>
      <c r="BF12" s="43"/>
      <c r="BG12" s="43"/>
      <c r="BH12" s="43"/>
      <c r="BI12" s="43"/>
      <c r="BJ12" s="43"/>
      <c r="BK12" s="43"/>
      <c r="BL12" s="43"/>
      <c r="BM12" s="43"/>
      <c r="BN12" s="43"/>
      <c r="BO12" s="43"/>
      <c r="BP12" s="43"/>
      <c r="BQ12" s="43"/>
      <c r="BR12" s="43"/>
      <c r="BS12" s="43"/>
      <c r="BT12" s="43"/>
      <c r="BU12" s="43"/>
      <c r="BV12" s="43"/>
      <c r="BW12" s="43"/>
      <c r="BX12" s="43"/>
      <c r="BY12" s="43"/>
      <c r="BZ12" s="43"/>
      <c r="CA12" s="43"/>
      <c r="CB12" s="43"/>
      <c r="CC12" s="43"/>
      <c r="CD12" s="43"/>
      <c r="CE12" s="43"/>
      <c r="CF12" s="43"/>
      <c r="CG12" s="43"/>
    </row>
    <row r="13" spans="1:85" ht="18" customHeight="1" thickBot="1">
      <c r="A13" s="517" t="s">
        <v>591</v>
      </c>
      <c r="B13" s="277"/>
      <c r="C13" s="277"/>
      <c r="D13" s="277"/>
      <c r="E13" s="277"/>
      <c r="F13" s="277"/>
      <c r="G13" s="277"/>
      <c r="H13" s="277"/>
      <c r="I13" s="272">
        <f>AQ30+AQ31</f>
        <v>0</v>
      </c>
      <c r="J13" s="272"/>
      <c r="K13" s="273" t="s">
        <v>176</v>
      </c>
      <c r="L13" s="274"/>
      <c r="M13" s="276" t="s">
        <v>592</v>
      </c>
      <c r="N13" s="277"/>
      <c r="O13" s="277"/>
      <c r="P13" s="277"/>
      <c r="Q13" s="277"/>
      <c r="R13" s="277"/>
      <c r="S13" s="277"/>
      <c r="T13" s="277"/>
      <c r="U13" s="272">
        <f>AQ28</f>
        <v>0</v>
      </c>
      <c r="V13" s="272"/>
      <c r="W13" s="273" t="s">
        <v>176</v>
      </c>
      <c r="X13" s="274"/>
      <c r="Y13" s="276" t="s">
        <v>593</v>
      </c>
      <c r="Z13" s="277"/>
      <c r="AA13" s="277"/>
      <c r="AB13" s="277"/>
      <c r="AC13" s="277"/>
      <c r="AD13" s="277"/>
      <c r="AE13" s="277"/>
      <c r="AF13" s="277"/>
      <c r="AG13" s="272">
        <f>AQ13</f>
        <v>7</v>
      </c>
      <c r="AH13" s="272"/>
      <c r="AI13" s="34" t="s">
        <v>176</v>
      </c>
      <c r="AK13" s="425" t="s">
        <v>594</v>
      </c>
      <c r="AL13" s="425"/>
      <c r="AM13" s="425"/>
      <c r="AN13" s="425"/>
      <c r="AO13" s="425"/>
      <c r="AP13" s="425"/>
      <c r="AQ13" s="42">
        <v>7</v>
      </c>
      <c r="AR13" s="43"/>
      <c r="AS13" s="46">
        <v>4</v>
      </c>
      <c r="AT13" s="46"/>
      <c r="AU13" s="46" t="s">
        <v>28</v>
      </c>
      <c r="AV13" s="47" t="s">
        <v>595</v>
      </c>
      <c r="AW13" s="47" t="s">
        <v>596</v>
      </c>
      <c r="AX13" s="47">
        <v>0.33333333333333331</v>
      </c>
      <c r="AY13" s="47">
        <v>0.83333333333333337</v>
      </c>
      <c r="AZ13" s="43"/>
      <c r="BB13" s="121" t="s">
        <v>597</v>
      </c>
      <c r="BC13" s="140" t="s">
        <v>20</v>
      </c>
      <c r="BD13" s="140" t="s">
        <v>119</v>
      </c>
      <c r="BE13" s="140" t="s">
        <v>20</v>
      </c>
      <c r="BF13" s="140" t="s">
        <v>20</v>
      </c>
      <c r="BG13" s="140" t="s">
        <v>20</v>
      </c>
      <c r="BH13" s="140" t="s">
        <v>20</v>
      </c>
      <c r="BI13" s="140" t="s">
        <v>80</v>
      </c>
      <c r="BJ13" s="140" t="s">
        <v>20</v>
      </c>
      <c r="BK13" s="140" t="s">
        <v>20</v>
      </c>
      <c r="BL13" s="140" t="s">
        <v>20</v>
      </c>
      <c r="BM13" s="140" t="s">
        <v>20</v>
      </c>
      <c r="BN13" s="140" t="s">
        <v>20</v>
      </c>
      <c r="BO13" s="140" t="s">
        <v>119</v>
      </c>
      <c r="BP13" s="140" t="s">
        <v>119</v>
      </c>
      <c r="BQ13" s="140" t="s">
        <v>20</v>
      </c>
      <c r="BR13" s="140" t="s">
        <v>119</v>
      </c>
      <c r="BS13" s="140" t="s">
        <v>20</v>
      </c>
      <c r="BT13" s="140" t="s">
        <v>20</v>
      </c>
      <c r="BU13" s="140" t="s">
        <v>20</v>
      </c>
      <c r="BV13" s="140" t="s">
        <v>119</v>
      </c>
      <c r="BW13" s="140" t="s">
        <v>119</v>
      </c>
      <c r="BX13" s="140" t="s">
        <v>20</v>
      </c>
      <c r="BY13" s="140" t="s">
        <v>119</v>
      </c>
      <c r="BZ13" s="140" t="s">
        <v>20</v>
      </c>
      <c r="CA13" s="140" t="s">
        <v>119</v>
      </c>
      <c r="CB13" s="140" t="s">
        <v>20</v>
      </c>
      <c r="CC13" s="140" t="s">
        <v>20</v>
      </c>
      <c r="CD13" s="140" t="s">
        <v>119</v>
      </c>
      <c r="CE13" s="140" t="s">
        <v>20</v>
      </c>
      <c r="CF13" s="140" t="s">
        <v>119</v>
      </c>
      <c r="CG13" s="43"/>
    </row>
    <row r="14" spans="1:85" ht="18" customHeight="1" thickBot="1">
      <c r="A14" s="452" t="s">
        <v>598</v>
      </c>
      <c r="B14" s="453"/>
      <c r="C14" s="453"/>
      <c r="D14" s="453"/>
      <c r="E14" s="453"/>
      <c r="F14" s="453"/>
      <c r="G14" s="453"/>
      <c r="H14" s="453"/>
      <c r="I14" s="453"/>
      <c r="J14" s="453"/>
      <c r="K14" s="453"/>
      <c r="L14" s="453"/>
      <c r="M14" s="453"/>
      <c r="N14" s="453"/>
      <c r="O14" s="453"/>
      <c r="P14" s="453"/>
      <c r="Q14" s="453"/>
      <c r="R14" s="453"/>
      <c r="S14" s="453"/>
      <c r="T14" s="453"/>
      <c r="U14" s="453"/>
      <c r="V14" s="453"/>
      <c r="W14" s="453"/>
      <c r="X14" s="453"/>
      <c r="Y14" s="453"/>
      <c r="Z14" s="453"/>
      <c r="AA14" s="453"/>
      <c r="AB14" s="453"/>
      <c r="AC14" s="453"/>
      <c r="AD14" s="453"/>
      <c r="AE14" s="453"/>
      <c r="AF14" s="453"/>
      <c r="AG14" s="453"/>
      <c r="AH14" s="453"/>
      <c r="AI14" s="454"/>
      <c r="AK14" s="440" t="s">
        <v>599</v>
      </c>
      <c r="AL14" s="440"/>
      <c r="AM14" s="440"/>
      <c r="AN14" s="440"/>
      <c r="AO14" s="440"/>
      <c r="AP14" s="440"/>
      <c r="AQ14" s="42"/>
      <c r="AR14" s="43"/>
      <c r="AS14" s="46">
        <v>5</v>
      </c>
      <c r="AT14" s="46"/>
      <c r="AU14" s="46" t="s">
        <v>602</v>
      </c>
      <c r="AV14" s="47" t="s">
        <v>600</v>
      </c>
      <c r="AW14" s="47" t="s">
        <v>596</v>
      </c>
      <c r="AX14" s="47">
        <v>0.33333333333333331</v>
      </c>
      <c r="AY14" s="47">
        <v>0.83333333333333337</v>
      </c>
      <c r="AZ14" s="43"/>
      <c r="BB14" s="121" t="s">
        <v>601</v>
      </c>
      <c r="BC14" s="162" t="s">
        <v>28</v>
      </c>
      <c r="BD14" s="162" t="s">
        <v>602</v>
      </c>
      <c r="BE14" s="162" t="s">
        <v>602</v>
      </c>
      <c r="BF14" s="162" t="s">
        <v>28</v>
      </c>
      <c r="BG14" s="162" t="s">
        <v>602</v>
      </c>
      <c r="BH14" s="162" t="s">
        <v>602</v>
      </c>
      <c r="BI14" s="162" t="s">
        <v>28</v>
      </c>
      <c r="BJ14" s="162" t="s">
        <v>28</v>
      </c>
      <c r="BK14" s="162" t="s">
        <v>602</v>
      </c>
      <c r="BL14" s="162" t="s">
        <v>28</v>
      </c>
      <c r="BM14" s="162" t="s">
        <v>602</v>
      </c>
      <c r="BN14" s="162" t="s">
        <v>28</v>
      </c>
      <c r="BO14" s="162" t="s">
        <v>28</v>
      </c>
      <c r="BP14" s="162" t="s">
        <v>76</v>
      </c>
      <c r="BQ14" s="162" t="s">
        <v>28</v>
      </c>
      <c r="BR14" s="162" t="s">
        <v>602</v>
      </c>
      <c r="BS14" s="162" t="s">
        <v>28</v>
      </c>
      <c r="BT14" s="162" t="s">
        <v>602</v>
      </c>
      <c r="BU14" s="162" t="s">
        <v>28</v>
      </c>
      <c r="BV14" s="162" t="s">
        <v>602</v>
      </c>
      <c r="BW14" s="162" t="s">
        <v>28</v>
      </c>
      <c r="BX14" s="162" t="s">
        <v>28</v>
      </c>
      <c r="BY14" s="162" t="s">
        <v>602</v>
      </c>
      <c r="BZ14" s="162" t="s">
        <v>28</v>
      </c>
      <c r="CA14" s="162" t="s">
        <v>602</v>
      </c>
      <c r="CB14" s="162" t="s">
        <v>28</v>
      </c>
      <c r="CC14" s="162" t="s">
        <v>28</v>
      </c>
      <c r="CD14" s="162" t="s">
        <v>76</v>
      </c>
      <c r="CE14" s="162" t="s">
        <v>28</v>
      </c>
      <c r="CF14" s="162" t="s">
        <v>602</v>
      </c>
      <c r="CG14" s="43"/>
    </row>
    <row r="15" spans="1:85" ht="18" customHeight="1" thickBot="1">
      <c r="A15" s="30" t="s">
        <v>189</v>
      </c>
      <c r="B15" s="264" t="s">
        <v>603</v>
      </c>
      <c r="C15" s="264"/>
      <c r="D15" s="264"/>
      <c r="E15" s="264"/>
      <c r="F15" s="264"/>
      <c r="G15" s="264"/>
      <c r="H15" s="264"/>
      <c r="I15" s="264"/>
      <c r="J15" s="278">
        <f>AQ9+AQ10</f>
        <v>63</v>
      </c>
      <c r="K15" s="278"/>
      <c r="L15" s="278"/>
      <c r="M15" s="264" t="s">
        <v>176</v>
      </c>
      <c r="N15" s="264"/>
      <c r="O15" s="264" t="s">
        <v>604</v>
      </c>
      <c r="P15" s="264"/>
      <c r="Q15" s="264"/>
      <c r="R15" s="264"/>
      <c r="S15" s="264"/>
      <c r="T15" s="264"/>
      <c r="U15" s="264"/>
      <c r="V15" s="264"/>
      <c r="W15" s="278">
        <f>AQ11+AQ12</f>
        <v>36</v>
      </c>
      <c r="X15" s="278"/>
      <c r="Y15" s="278"/>
      <c r="Z15" s="264" t="s">
        <v>176</v>
      </c>
      <c r="AA15" s="264"/>
      <c r="AB15" s="503" t="s">
        <v>605</v>
      </c>
      <c r="AC15" s="503"/>
      <c r="AD15" s="503"/>
      <c r="AE15" s="503"/>
      <c r="AF15" s="503"/>
      <c r="AG15" s="503"/>
      <c r="AH15" s="281" t="s">
        <v>585</v>
      </c>
      <c r="AI15" s="282"/>
      <c r="AK15" s="425" t="s">
        <v>606</v>
      </c>
      <c r="AL15" s="425"/>
      <c r="AM15" s="425"/>
      <c r="AN15" s="425"/>
      <c r="AO15" s="425"/>
      <c r="AP15" s="425"/>
      <c r="AQ15" s="42"/>
      <c r="AR15" s="43"/>
      <c r="AS15" s="46">
        <v>6</v>
      </c>
      <c r="AT15" s="46"/>
      <c r="AU15" s="46"/>
      <c r="AV15" s="47" t="s">
        <v>607</v>
      </c>
      <c r="AW15" s="47" t="s">
        <v>596</v>
      </c>
      <c r="AX15" s="47">
        <v>0.33333333333333331</v>
      </c>
      <c r="AY15" s="47">
        <v>0.83333333333333337</v>
      </c>
      <c r="AZ15" s="43"/>
      <c r="BB15" s="121" t="s">
        <v>31</v>
      </c>
      <c r="BC15" s="163" t="s">
        <v>119</v>
      </c>
      <c r="BD15" s="164"/>
      <c r="BE15" s="165" t="s">
        <v>28</v>
      </c>
      <c r="BF15" s="165" t="s">
        <v>119</v>
      </c>
      <c r="BG15" s="164"/>
      <c r="BH15" s="164"/>
      <c r="BI15" s="164"/>
      <c r="BJ15" s="164"/>
      <c r="BK15" s="165" t="s">
        <v>119</v>
      </c>
      <c r="BL15" s="165" t="s">
        <v>602</v>
      </c>
      <c r="BM15" s="165" t="s">
        <v>119</v>
      </c>
      <c r="BN15" s="165" t="s">
        <v>602</v>
      </c>
      <c r="BO15" s="164"/>
      <c r="BP15" s="164"/>
      <c r="BQ15" s="165" t="s">
        <v>608</v>
      </c>
      <c r="BR15" s="165" t="s">
        <v>20</v>
      </c>
      <c r="BS15" s="165" t="s">
        <v>602</v>
      </c>
      <c r="BT15" s="165" t="s">
        <v>119</v>
      </c>
      <c r="BU15" s="165" t="s">
        <v>602</v>
      </c>
      <c r="BV15" s="164"/>
      <c r="BW15" s="164"/>
      <c r="BX15" s="165" t="s">
        <v>119</v>
      </c>
      <c r="BY15" s="165" t="s">
        <v>20</v>
      </c>
      <c r="BZ15" s="165" t="s">
        <v>602</v>
      </c>
      <c r="CA15" s="165" t="s">
        <v>20</v>
      </c>
      <c r="CB15" s="165" t="s">
        <v>602</v>
      </c>
      <c r="CC15" s="165" t="s">
        <v>602</v>
      </c>
      <c r="CD15" s="164"/>
      <c r="CE15" s="165" t="s">
        <v>119</v>
      </c>
      <c r="CF15" s="165" t="s">
        <v>20</v>
      </c>
      <c r="CG15" s="43"/>
    </row>
    <row r="16" spans="1:85" ht="18" customHeight="1">
      <c r="A16" s="504" t="s">
        <v>609</v>
      </c>
      <c r="B16" s="505"/>
      <c r="C16" s="505"/>
      <c r="D16" s="505"/>
      <c r="E16" s="505"/>
      <c r="F16" s="505"/>
      <c r="G16" s="505"/>
      <c r="H16" s="505"/>
      <c r="I16" s="505"/>
      <c r="J16" s="505"/>
      <c r="K16" s="505"/>
      <c r="L16" s="505"/>
      <c r="M16" s="505"/>
      <c r="N16" s="505"/>
      <c r="O16" s="505"/>
      <c r="P16" s="505"/>
      <c r="Q16" s="505"/>
      <c r="R16" s="505"/>
      <c r="S16" s="505"/>
      <c r="T16" s="505"/>
      <c r="U16" s="505"/>
      <c r="V16" s="505"/>
      <c r="W16" s="505"/>
      <c r="X16" s="505"/>
      <c r="Y16" s="505"/>
      <c r="Z16" s="505"/>
      <c r="AA16" s="505"/>
      <c r="AB16" s="505"/>
      <c r="AC16" s="505"/>
      <c r="AD16" s="505"/>
      <c r="AE16" s="505"/>
      <c r="AF16" s="505"/>
      <c r="AG16" s="505"/>
      <c r="AH16" s="505"/>
      <c r="AI16" s="506"/>
      <c r="AK16" s="425" t="s">
        <v>610</v>
      </c>
      <c r="AL16" s="425"/>
      <c r="AM16" s="425"/>
      <c r="AN16" s="425"/>
      <c r="AO16" s="425"/>
      <c r="AP16" s="425"/>
      <c r="AQ16" s="42"/>
      <c r="AR16" s="43"/>
      <c r="AS16" s="46">
        <v>7</v>
      </c>
      <c r="AT16" s="46"/>
      <c r="AU16" s="46" t="s">
        <v>61</v>
      </c>
      <c r="AV16" s="47" t="s">
        <v>611</v>
      </c>
      <c r="AW16" s="47" t="s">
        <v>612</v>
      </c>
      <c r="AX16" s="47">
        <v>0.83333333333333337</v>
      </c>
      <c r="AY16" s="47" t="s">
        <v>613</v>
      </c>
      <c r="AZ16" s="43"/>
      <c r="BB16" s="121" t="s">
        <v>614</v>
      </c>
      <c r="BC16" s="142" t="s">
        <v>20</v>
      </c>
      <c r="BD16" s="140" t="s">
        <v>67</v>
      </c>
      <c r="BE16" s="142" t="s">
        <v>42</v>
      </c>
      <c r="BF16" s="142" t="s">
        <v>20</v>
      </c>
      <c r="BG16" s="142" t="s">
        <v>42</v>
      </c>
      <c r="BH16" s="142" t="s">
        <v>61</v>
      </c>
      <c r="BI16" s="142" t="s">
        <v>67</v>
      </c>
      <c r="BJ16" s="142" t="s">
        <v>67</v>
      </c>
      <c r="BK16" s="142" t="s">
        <v>42</v>
      </c>
      <c r="BL16" s="142" t="s">
        <v>42</v>
      </c>
      <c r="BM16" s="142" t="s">
        <v>67</v>
      </c>
      <c r="BN16" s="142" t="s">
        <v>67</v>
      </c>
      <c r="BO16" s="142" t="s">
        <v>42</v>
      </c>
      <c r="BP16" s="142" t="s">
        <v>67</v>
      </c>
      <c r="BQ16" s="142" t="s">
        <v>20</v>
      </c>
      <c r="BR16" s="142" t="s">
        <v>71</v>
      </c>
      <c r="BS16" s="142" t="s">
        <v>67</v>
      </c>
      <c r="BT16" s="142" t="s">
        <v>67</v>
      </c>
      <c r="BU16" s="142" t="s">
        <v>61</v>
      </c>
      <c r="BV16" s="142" t="s">
        <v>42</v>
      </c>
      <c r="BW16" s="142" t="s">
        <v>49</v>
      </c>
      <c r="BX16" s="142" t="s">
        <v>20</v>
      </c>
      <c r="BY16" s="142" t="s">
        <v>71</v>
      </c>
      <c r="BZ16" s="142" t="s">
        <v>42</v>
      </c>
      <c r="CA16" s="142" t="s">
        <v>20</v>
      </c>
      <c r="CB16" s="142" t="s">
        <v>61</v>
      </c>
      <c r="CC16" s="142" t="s">
        <v>42</v>
      </c>
      <c r="CD16" s="142" t="s">
        <v>49</v>
      </c>
      <c r="CE16" s="142" t="s">
        <v>20</v>
      </c>
      <c r="CF16" s="143" t="s">
        <v>71</v>
      </c>
      <c r="CG16" s="43"/>
    </row>
    <row r="17" spans="1:85" ht="18" customHeight="1">
      <c r="A17" s="396" t="s">
        <v>615</v>
      </c>
      <c r="B17" s="397"/>
      <c r="C17" s="397"/>
      <c r="D17" s="397"/>
      <c r="E17" s="397"/>
      <c r="F17" s="398" t="s">
        <v>616</v>
      </c>
      <c r="G17" s="398"/>
      <c r="H17" s="398"/>
      <c r="I17" s="398"/>
      <c r="J17" s="398"/>
      <c r="K17" s="398"/>
      <c r="L17" s="398"/>
      <c r="M17" s="398"/>
      <c r="N17" s="398"/>
      <c r="O17" s="398"/>
      <c r="P17" s="398"/>
      <c r="Q17" s="398"/>
      <c r="R17" s="398"/>
      <c r="S17" s="398"/>
      <c r="T17" s="398"/>
      <c r="U17" s="398"/>
      <c r="V17" s="398"/>
      <c r="W17" s="398"/>
      <c r="X17" s="398"/>
      <c r="Y17" s="398"/>
      <c r="Z17" s="398"/>
      <c r="AA17" s="398"/>
      <c r="AB17" s="398"/>
      <c r="AC17" s="398"/>
      <c r="AD17" s="398"/>
      <c r="AE17" s="398"/>
      <c r="AF17" s="398"/>
      <c r="AG17" s="398"/>
      <c r="AH17" s="398"/>
      <c r="AI17" s="399"/>
      <c r="AK17" s="425" t="s">
        <v>617</v>
      </c>
      <c r="AL17" s="425"/>
      <c r="AM17" s="425"/>
      <c r="AN17" s="425"/>
      <c r="AO17" s="425"/>
      <c r="AP17" s="425"/>
      <c r="AQ17" s="42"/>
      <c r="AR17" s="43"/>
      <c r="AS17" s="46">
        <v>8</v>
      </c>
      <c r="AT17" s="46"/>
      <c r="AU17" s="46" t="s">
        <v>49</v>
      </c>
      <c r="AV17" s="47" t="s">
        <v>618</v>
      </c>
      <c r="AW17" s="47" t="s">
        <v>612</v>
      </c>
      <c r="AX17" s="47">
        <v>0.83333333333333337</v>
      </c>
      <c r="AY17" s="47" t="s">
        <v>613</v>
      </c>
      <c r="AZ17" s="43"/>
      <c r="BB17" s="121" t="s">
        <v>619</v>
      </c>
      <c r="BC17" s="141" t="s">
        <v>67</v>
      </c>
      <c r="BD17" s="140" t="s">
        <v>42</v>
      </c>
      <c r="BE17" s="141" t="s">
        <v>71</v>
      </c>
      <c r="BF17" s="140" t="s">
        <v>67</v>
      </c>
      <c r="BG17" s="140" t="s">
        <v>61</v>
      </c>
      <c r="BH17" s="140" t="s">
        <v>42</v>
      </c>
      <c r="BI17" s="140" t="s">
        <v>49</v>
      </c>
      <c r="BJ17" s="140" t="s">
        <v>61</v>
      </c>
      <c r="BK17" s="140" t="s">
        <v>71</v>
      </c>
      <c r="BL17" s="140" t="s">
        <v>67</v>
      </c>
      <c r="BM17" s="140" t="s">
        <v>49</v>
      </c>
      <c r="BN17" s="140" t="s">
        <v>49</v>
      </c>
      <c r="BO17" s="140" t="s">
        <v>61</v>
      </c>
      <c r="BP17" s="140" t="s">
        <v>49</v>
      </c>
      <c r="BQ17" s="140" t="s">
        <v>67</v>
      </c>
      <c r="BR17" s="140" t="s">
        <v>42</v>
      </c>
      <c r="BS17" s="140" t="s">
        <v>42</v>
      </c>
      <c r="BT17" s="140" t="s">
        <v>49</v>
      </c>
      <c r="BU17" s="140" t="s">
        <v>42</v>
      </c>
      <c r="BV17" s="140" t="s">
        <v>61</v>
      </c>
      <c r="BW17" s="140" t="s">
        <v>71</v>
      </c>
      <c r="BX17" s="140" t="s">
        <v>67</v>
      </c>
      <c r="BY17" s="140" t="s">
        <v>42</v>
      </c>
      <c r="BZ17" s="140" t="s">
        <v>67</v>
      </c>
      <c r="CA17" s="140" t="s">
        <v>67</v>
      </c>
      <c r="CB17" s="140" t="s">
        <v>49</v>
      </c>
      <c r="CC17" s="140" t="s">
        <v>61</v>
      </c>
      <c r="CD17" s="140" t="s">
        <v>71</v>
      </c>
      <c r="CE17" s="140" t="s">
        <v>67</v>
      </c>
      <c r="CF17" s="140" t="s">
        <v>42</v>
      </c>
      <c r="CG17" s="43"/>
    </row>
    <row r="18" spans="1:85" ht="18" customHeight="1">
      <c r="A18" s="501" t="s">
        <v>620</v>
      </c>
      <c r="B18" s="502"/>
      <c r="C18" s="502"/>
      <c r="D18" s="502"/>
      <c r="E18" s="502"/>
      <c r="F18" s="400" t="s">
        <v>616</v>
      </c>
      <c r="G18" s="400"/>
      <c r="H18" s="400"/>
      <c r="I18" s="400"/>
      <c r="J18" s="400"/>
      <c r="K18" s="400"/>
      <c r="L18" s="400"/>
      <c r="M18" s="400"/>
      <c r="N18" s="400"/>
      <c r="O18" s="400"/>
      <c r="P18" s="400"/>
      <c r="Q18" s="400"/>
      <c r="R18" s="400"/>
      <c r="S18" s="400"/>
      <c r="T18" s="400"/>
      <c r="U18" s="400"/>
      <c r="V18" s="400"/>
      <c r="W18" s="400"/>
      <c r="X18" s="400"/>
      <c r="Y18" s="400"/>
      <c r="Z18" s="400"/>
      <c r="AA18" s="400"/>
      <c r="AB18" s="400"/>
      <c r="AC18" s="400"/>
      <c r="AD18" s="400"/>
      <c r="AE18" s="400"/>
      <c r="AF18" s="400"/>
      <c r="AG18" s="400"/>
      <c r="AH18" s="400"/>
      <c r="AI18" s="401"/>
      <c r="AK18" s="425" t="s">
        <v>621</v>
      </c>
      <c r="AL18" s="425"/>
      <c r="AM18" s="425"/>
      <c r="AN18" s="425"/>
      <c r="AO18" s="425"/>
      <c r="AP18" s="425"/>
      <c r="AQ18" s="42"/>
      <c r="AR18" s="43"/>
      <c r="AS18" s="46">
        <v>9</v>
      </c>
      <c r="AT18" s="46"/>
      <c r="AU18" s="46"/>
      <c r="AV18" s="47" t="s">
        <v>622</v>
      </c>
      <c r="AW18" s="47" t="s">
        <v>612</v>
      </c>
      <c r="AX18" s="47">
        <v>0.83333333333333337</v>
      </c>
      <c r="AY18" s="47" t="s">
        <v>613</v>
      </c>
      <c r="AZ18" s="43"/>
    </row>
    <row r="19" spans="1:85" ht="18" customHeight="1" thickBot="1">
      <c r="A19" s="35" t="s">
        <v>189</v>
      </c>
      <c r="B19" s="405">
        <v>0.53194444444444444</v>
      </c>
      <c r="C19" s="405"/>
      <c r="D19" s="405"/>
      <c r="E19" s="405"/>
      <c r="F19" s="402" t="s">
        <v>987</v>
      </c>
      <c r="G19" s="402"/>
      <c r="H19" s="402"/>
      <c r="I19" s="402"/>
      <c r="J19" s="402"/>
      <c r="K19" s="402"/>
      <c r="L19" s="402"/>
      <c r="M19" s="402"/>
      <c r="N19" s="402"/>
      <c r="O19" s="402"/>
      <c r="P19" s="402"/>
      <c r="Q19" s="402"/>
      <c r="R19" s="402"/>
      <c r="S19" s="402"/>
      <c r="T19" s="402"/>
      <c r="U19" s="402"/>
      <c r="V19" s="402"/>
      <c r="W19" s="402"/>
      <c r="X19" s="402"/>
      <c r="Y19" s="402"/>
      <c r="Z19" s="402"/>
      <c r="AA19" s="402"/>
      <c r="AB19" s="402"/>
      <c r="AC19" s="402"/>
      <c r="AD19" s="402"/>
      <c r="AE19" s="402"/>
      <c r="AF19" s="402"/>
      <c r="AG19" s="402"/>
      <c r="AH19" s="402"/>
      <c r="AI19" s="403"/>
      <c r="AK19" s="524" t="s">
        <v>623</v>
      </c>
      <c r="AL19" s="524"/>
      <c r="AM19" s="524"/>
      <c r="AN19" s="524"/>
      <c r="AO19" s="524"/>
      <c r="AP19" s="524"/>
      <c r="AQ19" s="58"/>
      <c r="AR19" s="43"/>
      <c r="AS19" s="46">
        <v>10</v>
      </c>
      <c r="AT19" s="46"/>
      <c r="AU19" s="46"/>
      <c r="AV19" s="47" t="s">
        <v>111</v>
      </c>
      <c r="AW19" s="47" t="s">
        <v>612</v>
      </c>
      <c r="AX19" s="47">
        <v>0.83333333333333337</v>
      </c>
      <c r="AY19" s="47" t="s">
        <v>613</v>
      </c>
      <c r="AZ19" s="43"/>
    </row>
    <row r="20" spans="1:85" ht="18" customHeight="1">
      <c r="A20" s="36"/>
      <c r="B20" s="404"/>
      <c r="C20" s="404"/>
      <c r="D20" s="404"/>
      <c r="E20" s="404"/>
      <c r="F20" s="288" t="s">
        <v>988</v>
      </c>
      <c r="G20" s="288"/>
      <c r="H20" s="288"/>
      <c r="I20" s="288"/>
      <c r="J20" s="288"/>
      <c r="K20" s="288"/>
      <c r="L20" s="288"/>
      <c r="M20" s="288"/>
      <c r="N20" s="288"/>
      <c r="O20" s="288"/>
      <c r="P20" s="288"/>
      <c r="Q20" s="288"/>
      <c r="R20" s="288"/>
      <c r="S20" s="288"/>
      <c r="T20" s="288"/>
      <c r="U20" s="288"/>
      <c r="V20" s="288"/>
      <c r="W20" s="288"/>
      <c r="X20" s="288"/>
      <c r="Y20" s="288"/>
      <c r="Z20" s="288"/>
      <c r="AA20" s="288"/>
      <c r="AB20" s="288"/>
      <c r="AC20" s="288"/>
      <c r="AD20" s="288"/>
      <c r="AE20" s="288"/>
      <c r="AF20" s="288"/>
      <c r="AG20" s="288"/>
      <c r="AH20" s="288"/>
      <c r="AI20" s="289"/>
      <c r="AK20" s="447" t="s">
        <v>624</v>
      </c>
      <c r="AL20" s="448"/>
      <c r="AM20" s="448"/>
      <c r="AN20" s="448"/>
      <c r="AO20" s="448"/>
      <c r="AP20" s="448"/>
      <c r="AQ20" s="62"/>
      <c r="AR20" s="426" t="s">
        <v>625</v>
      </c>
      <c r="AS20" s="146">
        <v>11</v>
      </c>
      <c r="AT20" s="46"/>
      <c r="AU20" s="46"/>
      <c r="AV20" s="47" t="s">
        <v>111</v>
      </c>
      <c r="AW20" s="47" t="s">
        <v>612</v>
      </c>
      <c r="AX20" s="47">
        <v>0.83333333333333337</v>
      </c>
      <c r="AY20" s="47" t="s">
        <v>613</v>
      </c>
      <c r="AZ20" s="43"/>
    </row>
    <row r="21" spans="1:85" ht="18" customHeight="1" thickBot="1">
      <c r="A21" s="36" t="s">
        <v>189</v>
      </c>
      <c r="B21" s="404">
        <v>0.57291666666666663</v>
      </c>
      <c r="C21" s="404"/>
      <c r="D21" s="404"/>
      <c r="E21" s="404"/>
      <c r="F21" s="288" t="s">
        <v>989</v>
      </c>
      <c r="G21" s="288"/>
      <c r="H21" s="288"/>
      <c r="I21" s="288"/>
      <c r="J21" s="288"/>
      <c r="K21" s="288"/>
      <c r="L21" s="288"/>
      <c r="M21" s="288"/>
      <c r="N21" s="288"/>
      <c r="O21" s="288"/>
      <c r="P21" s="288"/>
      <c r="Q21" s="288"/>
      <c r="R21" s="288"/>
      <c r="S21" s="288"/>
      <c r="T21" s="288"/>
      <c r="U21" s="288"/>
      <c r="V21" s="288"/>
      <c r="W21" s="288"/>
      <c r="X21" s="288"/>
      <c r="Y21" s="288"/>
      <c r="Z21" s="288"/>
      <c r="AA21" s="288"/>
      <c r="AB21" s="288"/>
      <c r="AC21" s="288"/>
      <c r="AD21" s="288"/>
      <c r="AE21" s="288"/>
      <c r="AF21" s="288"/>
      <c r="AG21" s="288"/>
      <c r="AH21" s="288"/>
      <c r="AI21" s="289"/>
      <c r="AK21" s="429" t="s">
        <v>626</v>
      </c>
      <c r="AL21" s="430"/>
      <c r="AM21" s="430"/>
      <c r="AN21" s="430"/>
      <c r="AO21" s="430"/>
      <c r="AP21" s="430"/>
      <c r="AQ21" s="63"/>
      <c r="AR21" s="427"/>
      <c r="AW21" s="43"/>
      <c r="AX21" s="43"/>
      <c r="AY21" s="43"/>
      <c r="AZ21" s="43"/>
    </row>
    <row r="22" spans="1:85" ht="18" customHeight="1">
      <c r="A22" s="36" t="s">
        <v>189</v>
      </c>
      <c r="B22" s="404">
        <v>0.57638888888888884</v>
      </c>
      <c r="C22" s="404"/>
      <c r="D22" s="404"/>
      <c r="E22" s="404"/>
      <c r="F22" s="288" t="s">
        <v>990</v>
      </c>
      <c r="G22" s="288"/>
      <c r="H22" s="288"/>
      <c r="I22" s="288"/>
      <c r="J22" s="288"/>
      <c r="K22" s="288"/>
      <c r="L22" s="288"/>
      <c r="M22" s="288"/>
      <c r="N22" s="288"/>
      <c r="O22" s="288"/>
      <c r="P22" s="288"/>
      <c r="Q22" s="288"/>
      <c r="R22" s="288"/>
      <c r="S22" s="288"/>
      <c r="T22" s="288"/>
      <c r="U22" s="288"/>
      <c r="V22" s="288"/>
      <c r="W22" s="288"/>
      <c r="X22" s="288"/>
      <c r="Y22" s="288"/>
      <c r="Z22" s="288"/>
      <c r="AA22" s="288"/>
      <c r="AB22" s="288"/>
      <c r="AC22" s="288"/>
      <c r="AD22" s="288"/>
      <c r="AE22" s="288"/>
      <c r="AF22" s="288"/>
      <c r="AG22" s="288"/>
      <c r="AH22" s="288"/>
      <c r="AI22" s="289"/>
      <c r="AK22" s="429" t="s">
        <v>627</v>
      </c>
      <c r="AL22" s="430"/>
      <c r="AM22" s="430"/>
      <c r="AN22" s="430"/>
      <c r="AO22" s="430"/>
      <c r="AP22" s="430"/>
      <c r="AQ22" s="63"/>
      <c r="AR22" s="427"/>
      <c r="AS22" s="433" t="s">
        <v>628</v>
      </c>
      <c r="AT22" s="434"/>
      <c r="AU22" s="435" t="s">
        <v>47</v>
      </c>
      <c r="AV22" s="435"/>
      <c r="AW22" s="60" t="s">
        <v>74</v>
      </c>
      <c r="AY22" s="413" t="s">
        <v>629</v>
      </c>
      <c r="AZ22" s="413"/>
      <c r="BA22" s="412"/>
      <c r="BB22" s="412"/>
    </row>
    <row r="23" spans="1:85" ht="18" customHeight="1" thickBot="1">
      <c r="A23" s="36" t="s">
        <v>991</v>
      </c>
      <c r="B23" s="404"/>
      <c r="C23" s="404"/>
      <c r="D23" s="404"/>
      <c r="E23" s="404"/>
      <c r="F23" s="288" t="s">
        <v>992</v>
      </c>
      <c r="G23" s="288"/>
      <c r="H23" s="288"/>
      <c r="I23" s="288"/>
      <c r="J23" s="288"/>
      <c r="K23" s="288"/>
      <c r="L23" s="288"/>
      <c r="M23" s="288"/>
      <c r="N23" s="288"/>
      <c r="O23" s="288"/>
      <c r="P23" s="288"/>
      <c r="Q23" s="288"/>
      <c r="R23" s="288"/>
      <c r="S23" s="288"/>
      <c r="T23" s="288"/>
      <c r="U23" s="288"/>
      <c r="V23" s="288"/>
      <c r="W23" s="288"/>
      <c r="X23" s="288"/>
      <c r="Y23" s="288"/>
      <c r="Z23" s="288"/>
      <c r="AA23" s="288"/>
      <c r="AB23" s="288"/>
      <c r="AC23" s="288"/>
      <c r="AD23" s="288"/>
      <c r="AE23" s="288"/>
      <c r="AF23" s="288"/>
      <c r="AG23" s="288"/>
      <c r="AH23" s="288"/>
      <c r="AI23" s="289"/>
      <c r="AK23" s="431" t="s">
        <v>630</v>
      </c>
      <c r="AL23" s="432"/>
      <c r="AM23" s="432"/>
      <c r="AN23" s="432"/>
      <c r="AO23" s="432"/>
      <c r="AP23" s="432"/>
      <c r="AQ23" s="64"/>
      <c r="AR23" s="428"/>
      <c r="AS23" s="536" t="s">
        <v>631</v>
      </c>
      <c r="AT23" s="246"/>
      <c r="AU23" s="537" t="s">
        <v>993</v>
      </c>
      <c r="AV23" s="537"/>
      <c r="AW23" s="56" t="s">
        <v>994</v>
      </c>
      <c r="AY23" s="413" t="s">
        <v>633</v>
      </c>
      <c r="AZ23" s="413"/>
      <c r="BA23" s="412"/>
      <c r="BB23" s="412"/>
    </row>
    <row r="24" spans="1:85" ht="18" customHeight="1" thickBot="1">
      <c r="A24" s="36"/>
      <c r="B24" s="404">
        <v>0.75694444444444442</v>
      </c>
      <c r="C24" s="404"/>
      <c r="D24" s="404"/>
      <c r="E24" s="404"/>
      <c r="F24" s="288" t="s">
        <v>995</v>
      </c>
      <c r="G24" s="288"/>
      <c r="H24" s="288"/>
      <c r="I24" s="288"/>
      <c r="J24" s="288"/>
      <c r="K24" s="288"/>
      <c r="L24" s="288"/>
      <c r="M24" s="288"/>
      <c r="N24" s="288"/>
      <c r="O24" s="288"/>
      <c r="P24" s="288"/>
      <c r="Q24" s="288"/>
      <c r="R24" s="288"/>
      <c r="S24" s="288"/>
      <c r="T24" s="288"/>
      <c r="U24" s="288"/>
      <c r="V24" s="288"/>
      <c r="W24" s="288"/>
      <c r="X24" s="288"/>
      <c r="Y24" s="288"/>
      <c r="Z24" s="288"/>
      <c r="AA24" s="288"/>
      <c r="AB24" s="288"/>
      <c r="AC24" s="288"/>
      <c r="AD24" s="288"/>
      <c r="AE24" s="288"/>
      <c r="AF24" s="288"/>
      <c r="AG24" s="288"/>
      <c r="AH24" s="288"/>
      <c r="AI24" s="289"/>
      <c r="AK24" s="527" t="s">
        <v>634</v>
      </c>
      <c r="AL24" s="528"/>
      <c r="AM24" s="528"/>
      <c r="AN24" s="528"/>
      <c r="AO24" s="528"/>
      <c r="AP24" s="528"/>
      <c r="AQ24" s="65"/>
      <c r="AR24" s="43"/>
      <c r="AY24" s="413" t="s">
        <v>635</v>
      </c>
      <c r="AZ24" s="413"/>
      <c r="BA24" s="412"/>
      <c r="BB24" s="412"/>
    </row>
    <row r="25" spans="1:85" ht="18" customHeight="1">
      <c r="A25" s="36"/>
      <c r="B25" s="404"/>
      <c r="C25" s="404"/>
      <c r="D25" s="404"/>
      <c r="E25" s="404"/>
      <c r="F25" s="288" t="s">
        <v>996</v>
      </c>
      <c r="G25" s="288"/>
      <c r="H25" s="288"/>
      <c r="I25" s="288"/>
      <c r="J25" s="288"/>
      <c r="K25" s="288"/>
      <c r="L25" s="288"/>
      <c r="M25" s="288"/>
      <c r="N25" s="288"/>
      <c r="O25" s="288"/>
      <c r="P25" s="288"/>
      <c r="Q25" s="288"/>
      <c r="R25" s="288"/>
      <c r="S25" s="288"/>
      <c r="T25" s="288"/>
      <c r="U25" s="288"/>
      <c r="V25" s="288"/>
      <c r="W25" s="288"/>
      <c r="X25" s="288"/>
      <c r="Y25" s="288"/>
      <c r="Z25" s="288"/>
      <c r="AA25" s="288"/>
      <c r="AB25" s="288"/>
      <c r="AC25" s="288"/>
      <c r="AD25" s="288"/>
      <c r="AE25" s="288"/>
      <c r="AF25" s="288"/>
      <c r="AG25" s="288"/>
      <c r="AH25" s="288"/>
      <c r="AI25" s="289"/>
      <c r="AK25" s="529" t="s">
        <v>636</v>
      </c>
      <c r="AL25" s="529"/>
      <c r="AM25" s="529"/>
      <c r="AN25" s="529"/>
      <c r="AO25" s="529"/>
      <c r="AP25" s="529"/>
      <c r="AQ25" s="66"/>
      <c r="AR25" s="43"/>
      <c r="AY25" s="413" t="s">
        <v>637</v>
      </c>
      <c r="AZ25" s="413"/>
      <c r="BA25" s="412"/>
      <c r="BB25" s="412"/>
    </row>
    <row r="26" spans="1:85" ht="18" customHeight="1">
      <c r="A26" s="36" t="s">
        <v>189</v>
      </c>
      <c r="B26" s="404">
        <v>0.89097222222222228</v>
      </c>
      <c r="C26" s="404"/>
      <c r="D26" s="404"/>
      <c r="E26" s="404"/>
      <c r="F26" s="288" t="s">
        <v>973</v>
      </c>
      <c r="G26" s="288"/>
      <c r="H26" s="288"/>
      <c r="I26" s="288"/>
      <c r="J26" s="288"/>
      <c r="K26" s="288"/>
      <c r="L26" s="288"/>
      <c r="M26" s="288"/>
      <c r="N26" s="288"/>
      <c r="O26" s="288"/>
      <c r="P26" s="288"/>
      <c r="Q26" s="288"/>
      <c r="R26" s="288"/>
      <c r="S26" s="288"/>
      <c r="T26" s="288"/>
      <c r="U26" s="288"/>
      <c r="V26" s="288"/>
      <c r="W26" s="288"/>
      <c r="X26" s="288"/>
      <c r="Y26" s="288"/>
      <c r="Z26" s="288"/>
      <c r="AA26" s="288"/>
      <c r="AB26" s="288"/>
      <c r="AC26" s="288"/>
      <c r="AD26" s="288"/>
      <c r="AE26" s="288"/>
      <c r="AF26" s="288"/>
      <c r="AG26" s="288"/>
      <c r="AH26" s="288"/>
      <c r="AI26" s="289"/>
      <c r="AK26" s="436" t="s">
        <v>638</v>
      </c>
      <c r="AL26" s="436"/>
      <c r="AM26" s="436"/>
      <c r="AN26" s="436"/>
      <c r="AO26" s="436"/>
      <c r="AP26" s="436"/>
      <c r="AQ26" s="67"/>
      <c r="AR26" s="43"/>
      <c r="AS26" s="548" t="s">
        <v>639</v>
      </c>
      <c r="AT26" s="549"/>
      <c r="AU26" s="549"/>
      <c r="AV26" s="549"/>
      <c r="AW26" s="550"/>
      <c r="AY26" s="147"/>
      <c r="AZ26" s="147"/>
      <c r="BA26" s="147"/>
      <c r="BB26" s="147"/>
    </row>
    <row r="27" spans="1:85" ht="18" customHeight="1">
      <c r="A27" s="36" t="s">
        <v>935</v>
      </c>
      <c r="B27" s="404">
        <v>0.93680555555555556</v>
      </c>
      <c r="C27" s="404"/>
      <c r="D27" s="404"/>
      <c r="E27" s="404"/>
      <c r="F27" s="288" t="s">
        <v>997</v>
      </c>
      <c r="G27" s="288"/>
      <c r="H27" s="288"/>
      <c r="I27" s="288"/>
      <c r="J27" s="288"/>
      <c r="K27" s="288"/>
      <c r="L27" s="288"/>
      <c r="M27" s="288"/>
      <c r="N27" s="288"/>
      <c r="O27" s="288"/>
      <c r="P27" s="288"/>
      <c r="Q27" s="288"/>
      <c r="R27" s="288"/>
      <c r="S27" s="288"/>
      <c r="T27" s="288"/>
      <c r="U27" s="288"/>
      <c r="V27" s="288"/>
      <c r="W27" s="288"/>
      <c r="X27" s="288"/>
      <c r="Y27" s="288"/>
      <c r="Z27" s="288"/>
      <c r="AA27" s="288"/>
      <c r="AB27" s="288"/>
      <c r="AC27" s="288"/>
      <c r="AD27" s="288"/>
      <c r="AE27" s="288"/>
      <c r="AF27" s="288"/>
      <c r="AG27" s="288"/>
      <c r="AH27" s="288"/>
      <c r="AI27" s="289"/>
      <c r="AK27" s="436" t="s">
        <v>640</v>
      </c>
      <c r="AL27" s="436"/>
      <c r="AM27" s="436"/>
      <c r="AN27" s="436"/>
      <c r="AO27" s="436"/>
      <c r="AP27" s="436"/>
      <c r="AQ27" s="67"/>
      <c r="AR27" s="43"/>
      <c r="AS27" s="458" t="s">
        <v>641</v>
      </c>
      <c r="AT27" s="460"/>
      <c r="AU27" s="458" t="s">
        <v>642</v>
      </c>
      <c r="AV27" s="459"/>
      <c r="AW27" s="460"/>
      <c r="AY27" s="411" t="s">
        <v>643</v>
      </c>
      <c r="AZ27" s="411"/>
      <c r="BA27" s="411"/>
      <c r="BB27" s="411"/>
    </row>
    <row r="28" spans="1:85" ht="18" customHeight="1" thickBot="1">
      <c r="A28" s="36"/>
      <c r="B28" s="404"/>
      <c r="C28" s="404"/>
      <c r="D28" s="404"/>
      <c r="E28" s="404"/>
      <c r="F28" s="288" t="s">
        <v>998</v>
      </c>
      <c r="G28" s="288"/>
      <c r="H28" s="288"/>
      <c r="I28" s="288"/>
      <c r="J28" s="288"/>
      <c r="K28" s="288"/>
      <c r="L28" s="288"/>
      <c r="M28" s="288"/>
      <c r="N28" s="288"/>
      <c r="O28" s="288"/>
      <c r="P28" s="288"/>
      <c r="Q28" s="288"/>
      <c r="R28" s="288"/>
      <c r="S28" s="288"/>
      <c r="T28" s="288"/>
      <c r="U28" s="288"/>
      <c r="V28" s="288"/>
      <c r="W28" s="288"/>
      <c r="X28" s="288"/>
      <c r="Y28" s="288"/>
      <c r="Z28" s="288"/>
      <c r="AA28" s="288"/>
      <c r="AB28" s="288"/>
      <c r="AC28" s="288"/>
      <c r="AD28" s="288"/>
      <c r="AE28" s="288"/>
      <c r="AF28" s="288"/>
      <c r="AG28" s="288"/>
      <c r="AH28" s="288"/>
      <c r="AI28" s="289"/>
      <c r="AK28" s="436" t="s">
        <v>644</v>
      </c>
      <c r="AL28" s="436"/>
      <c r="AM28" s="436"/>
      <c r="AN28" s="436"/>
      <c r="AO28" s="436"/>
      <c r="AP28" s="436"/>
      <c r="AQ28" s="67"/>
      <c r="AR28" s="43"/>
      <c r="AS28" s="538" t="s">
        <v>645</v>
      </c>
      <c r="AT28" s="539"/>
      <c r="AU28" s="533" t="s">
        <v>646</v>
      </c>
      <c r="AV28" s="534"/>
      <c r="AW28" s="535"/>
      <c r="AY28" s="413" t="s">
        <v>647</v>
      </c>
      <c r="AZ28" s="413"/>
      <c r="BA28" s="412"/>
      <c r="BB28" s="412"/>
    </row>
    <row r="29" spans="1:85" ht="18" customHeight="1" thickBot="1">
      <c r="A29" s="36"/>
      <c r="B29" s="404">
        <v>0.93888888888888888</v>
      </c>
      <c r="C29" s="404"/>
      <c r="D29" s="404"/>
      <c r="E29" s="404"/>
      <c r="F29" s="288" t="s">
        <v>999</v>
      </c>
      <c r="G29" s="288"/>
      <c r="H29" s="288"/>
      <c r="I29" s="288"/>
      <c r="J29" s="288"/>
      <c r="K29" s="288"/>
      <c r="L29" s="288"/>
      <c r="M29" s="288"/>
      <c r="N29" s="288"/>
      <c r="O29" s="288"/>
      <c r="P29" s="288"/>
      <c r="Q29" s="288"/>
      <c r="R29" s="288"/>
      <c r="S29" s="288"/>
      <c r="T29" s="288"/>
      <c r="U29" s="288"/>
      <c r="V29" s="288"/>
      <c r="W29" s="288"/>
      <c r="X29" s="288"/>
      <c r="Y29" s="288"/>
      <c r="Z29" s="288"/>
      <c r="AA29" s="288"/>
      <c r="AB29" s="288"/>
      <c r="AC29" s="288"/>
      <c r="AD29" s="288"/>
      <c r="AE29" s="288"/>
      <c r="AF29" s="288"/>
      <c r="AG29" s="288"/>
      <c r="AH29" s="288"/>
      <c r="AI29" s="289"/>
      <c r="AK29" s="524"/>
      <c r="AL29" s="524"/>
      <c r="AM29" s="524"/>
      <c r="AN29" s="524"/>
      <c r="AO29" s="524"/>
      <c r="AP29" s="524"/>
      <c r="AQ29" s="58"/>
      <c r="AR29" s="43"/>
      <c r="AS29" s="551"/>
      <c r="AT29" s="552"/>
      <c r="AU29" s="434"/>
      <c r="AV29" s="434"/>
      <c r="AW29" s="553"/>
      <c r="AY29" s="413" t="s">
        <v>633</v>
      </c>
      <c r="AZ29" s="413"/>
      <c r="BA29" s="412"/>
      <c r="BB29" s="412"/>
    </row>
    <row r="30" spans="1:85" ht="18" customHeight="1">
      <c r="A30" s="36"/>
      <c r="B30" s="404"/>
      <c r="C30" s="404"/>
      <c r="D30" s="404"/>
      <c r="E30" s="404"/>
      <c r="F30" s="288" t="s">
        <v>1000</v>
      </c>
      <c r="G30" s="288"/>
      <c r="H30" s="288"/>
      <c r="I30" s="288"/>
      <c r="J30" s="288"/>
      <c r="K30" s="288"/>
      <c r="L30" s="288"/>
      <c r="M30" s="288"/>
      <c r="N30" s="288"/>
      <c r="O30" s="288"/>
      <c r="P30" s="288"/>
      <c r="Q30" s="288"/>
      <c r="R30" s="288"/>
      <c r="S30" s="288"/>
      <c r="T30" s="288"/>
      <c r="U30" s="288"/>
      <c r="V30" s="288"/>
      <c r="W30" s="288"/>
      <c r="X30" s="288"/>
      <c r="Y30" s="288"/>
      <c r="Z30" s="288"/>
      <c r="AA30" s="288"/>
      <c r="AB30" s="288"/>
      <c r="AC30" s="288"/>
      <c r="AD30" s="288"/>
      <c r="AE30" s="288"/>
      <c r="AF30" s="288"/>
      <c r="AG30" s="288"/>
      <c r="AH30" s="288"/>
      <c r="AI30" s="289"/>
      <c r="AK30" s="449" t="s">
        <v>648</v>
      </c>
      <c r="AL30" s="450"/>
      <c r="AM30" s="450"/>
      <c r="AN30" s="450"/>
      <c r="AO30" s="450"/>
      <c r="AP30" s="450"/>
      <c r="AQ30" s="62"/>
      <c r="AR30" s="43"/>
      <c r="AS30" s="554"/>
      <c r="AT30" s="532"/>
      <c r="AU30" s="439"/>
      <c r="AV30" s="439"/>
      <c r="AW30" s="555"/>
      <c r="AY30" s="413" t="s">
        <v>649</v>
      </c>
      <c r="AZ30" s="413"/>
      <c r="BA30" s="412"/>
      <c r="BB30" s="412"/>
    </row>
    <row r="31" spans="1:85" ht="18" customHeight="1" thickBot="1">
      <c r="A31" s="37"/>
      <c r="B31" s="466">
        <v>0.94027777777777777</v>
      </c>
      <c r="C31" s="466"/>
      <c r="D31" s="466"/>
      <c r="E31" s="466"/>
      <c r="F31" s="467" t="s">
        <v>1001</v>
      </c>
      <c r="G31" s="467"/>
      <c r="H31" s="467"/>
      <c r="I31" s="467"/>
      <c r="J31" s="467"/>
      <c r="K31" s="467"/>
      <c r="L31" s="467"/>
      <c r="M31" s="467"/>
      <c r="N31" s="467"/>
      <c r="O31" s="467"/>
      <c r="P31" s="467"/>
      <c r="Q31" s="467"/>
      <c r="R31" s="467"/>
      <c r="S31" s="467"/>
      <c r="T31" s="467"/>
      <c r="U31" s="467"/>
      <c r="V31" s="467"/>
      <c r="W31" s="467"/>
      <c r="X31" s="467"/>
      <c r="Y31" s="467"/>
      <c r="Z31" s="467"/>
      <c r="AA31" s="467"/>
      <c r="AB31" s="467"/>
      <c r="AC31" s="467"/>
      <c r="AD31" s="467"/>
      <c r="AE31" s="467"/>
      <c r="AF31" s="467"/>
      <c r="AG31" s="467"/>
      <c r="AH31" s="467"/>
      <c r="AI31" s="468"/>
      <c r="AK31" s="451" t="s">
        <v>650</v>
      </c>
      <c r="AL31" s="416"/>
      <c r="AM31" s="416"/>
      <c r="AN31" s="416"/>
      <c r="AO31" s="416"/>
      <c r="AP31" s="416"/>
      <c r="AQ31" s="64"/>
      <c r="AR31" s="48"/>
      <c r="AS31" s="556"/>
      <c r="AT31" s="557"/>
      <c r="AU31" s="424"/>
      <c r="AV31" s="424"/>
      <c r="AW31" s="491"/>
      <c r="AY31" s="413" t="s">
        <v>637</v>
      </c>
      <c r="AZ31" s="413"/>
      <c r="BA31" s="412"/>
      <c r="BB31" s="412"/>
    </row>
    <row r="32" spans="1:85" ht="18" customHeight="1" thickBot="1">
      <c r="A32" s="406" t="s">
        <v>651</v>
      </c>
      <c r="B32" s="407"/>
      <c r="C32" s="407"/>
      <c r="D32" s="407"/>
      <c r="E32" s="407"/>
      <c r="F32" s="407"/>
      <c r="G32" s="407"/>
      <c r="H32" s="407"/>
      <c r="I32" s="407"/>
      <c r="J32" s="407"/>
      <c r="K32" s="407"/>
      <c r="L32" s="407"/>
      <c r="M32" s="407"/>
      <c r="N32" s="407"/>
      <c r="O32" s="407"/>
      <c r="P32" s="407"/>
      <c r="Q32" s="407"/>
      <c r="R32" s="407"/>
      <c r="S32" s="407"/>
      <c r="T32" s="407"/>
      <c r="U32" s="407"/>
      <c r="V32" s="407"/>
      <c r="W32" s="407"/>
      <c r="X32" s="407"/>
      <c r="Y32" s="407"/>
      <c r="Z32" s="407"/>
      <c r="AA32" s="407"/>
      <c r="AB32" s="407"/>
      <c r="AC32" s="407"/>
      <c r="AD32" s="407"/>
      <c r="AE32" s="407"/>
      <c r="AF32" s="407"/>
      <c r="AG32" s="407"/>
      <c r="AH32" s="407"/>
      <c r="AI32" s="408"/>
      <c r="AK32" s="531"/>
      <c r="AL32" s="531"/>
      <c r="AM32" s="531"/>
      <c r="AN32" s="531"/>
      <c r="AO32" s="531"/>
      <c r="AP32" s="531"/>
      <c r="AQ32" s="61"/>
      <c r="AR32" s="48"/>
      <c r="AS32" s="558"/>
      <c r="AT32" s="558"/>
      <c r="AU32" s="559"/>
      <c r="AV32" s="559"/>
      <c r="AW32" s="559"/>
      <c r="AY32" s="413" t="s">
        <v>652</v>
      </c>
      <c r="AZ32" s="413"/>
      <c r="BA32" s="412"/>
      <c r="BB32" s="412"/>
    </row>
    <row r="33" spans="1:80" ht="18" customHeight="1">
      <c r="A33" s="39"/>
      <c r="B33" s="546" t="s">
        <v>653</v>
      </c>
      <c r="C33" s="546"/>
      <c r="D33" s="546"/>
      <c r="E33" s="546"/>
      <c r="F33" s="417" t="str" cm="1">
        <f t="array" ref="F33">_xlfn.TEXTJOIN("/",TRUE,IF(AS29:AS31&lt;&gt;"",TEXT(AS29:AS31,"h:mm")&amp;" "&amp;AU29:AU31,""))</f>
        <v/>
      </c>
      <c r="G33" s="418"/>
      <c r="H33" s="418"/>
      <c r="I33" s="418"/>
      <c r="J33" s="418"/>
      <c r="K33" s="418"/>
      <c r="L33" s="418"/>
      <c r="M33" s="418"/>
      <c r="N33" s="418"/>
      <c r="O33" s="418"/>
      <c r="P33" s="418"/>
      <c r="Q33" s="418"/>
      <c r="R33" s="418"/>
      <c r="S33" s="418"/>
      <c r="T33" s="418"/>
      <c r="U33" s="418"/>
      <c r="V33" s="418"/>
      <c r="W33" s="418"/>
      <c r="X33" s="418"/>
      <c r="Y33" s="418"/>
      <c r="Z33" s="418"/>
      <c r="AA33" s="418"/>
      <c r="AB33" s="418"/>
      <c r="AC33" s="418"/>
      <c r="AD33" s="418"/>
      <c r="AE33" s="418"/>
      <c r="AF33" s="418"/>
      <c r="AG33" s="418"/>
      <c r="AH33" s="418"/>
      <c r="AI33" s="419"/>
      <c r="AK33" s="449" t="s">
        <v>654</v>
      </c>
      <c r="AL33" s="450"/>
      <c r="AM33" s="450"/>
      <c r="AN33" s="450"/>
      <c r="AO33" s="450"/>
      <c r="AP33" s="450"/>
      <c r="AQ33" s="60"/>
      <c r="AR33" s="48"/>
      <c r="AS33" s="532"/>
      <c r="AT33" s="532"/>
      <c r="AU33" s="439"/>
      <c r="AV33" s="439"/>
      <c r="AW33" s="439"/>
      <c r="AY33" s="413" t="s">
        <v>655</v>
      </c>
      <c r="AZ33" s="413"/>
      <c r="BA33" s="412"/>
      <c r="BB33" s="412"/>
    </row>
    <row r="34" spans="1:80" ht="18" customHeight="1" thickBot="1">
      <c r="A34" s="39"/>
      <c r="B34" s="546" t="s">
        <v>656</v>
      </c>
      <c r="C34" s="546"/>
      <c r="D34" s="546"/>
      <c r="E34" s="546"/>
      <c r="F34" s="420" t="s">
        <v>79</v>
      </c>
      <c r="G34" s="420"/>
      <c r="H34" s="420"/>
      <c r="I34" s="420"/>
      <c r="J34" s="420"/>
      <c r="K34" s="420"/>
      <c r="L34" s="420"/>
      <c r="M34" s="420"/>
      <c r="N34" s="420"/>
      <c r="O34" s="420"/>
      <c r="P34" s="420"/>
      <c r="Q34" s="420"/>
      <c r="R34" s="420"/>
      <c r="S34" s="420"/>
      <c r="T34" s="420"/>
      <c r="U34" s="420"/>
      <c r="V34" s="420"/>
      <c r="W34" s="420"/>
      <c r="X34" s="420"/>
      <c r="Y34" s="420"/>
      <c r="Z34" s="420"/>
      <c r="AA34" s="420"/>
      <c r="AB34" s="420"/>
      <c r="AC34" s="421"/>
      <c r="AD34" s="421"/>
      <c r="AE34" s="421"/>
      <c r="AF34" s="421"/>
      <c r="AG34" s="421"/>
      <c r="AH34" s="421"/>
      <c r="AI34" s="422"/>
      <c r="AK34" s="451" t="s">
        <v>657</v>
      </c>
      <c r="AL34" s="416"/>
      <c r="AM34" s="416"/>
      <c r="AN34" s="416"/>
      <c r="AO34" s="416"/>
      <c r="AP34" s="416"/>
      <c r="AQ34" s="56"/>
      <c r="AR34" s="48"/>
      <c r="AS34" s="532"/>
      <c r="AT34" s="532"/>
      <c r="AU34" s="439"/>
      <c r="AV34" s="439"/>
      <c r="AW34" s="439"/>
      <c r="AY34" s="413" t="s">
        <v>658</v>
      </c>
      <c r="AZ34" s="413"/>
      <c r="BA34" s="412"/>
      <c r="BB34" s="412"/>
    </row>
    <row r="35" spans="1:80" ht="18" customHeight="1" thickBot="1">
      <c r="A35" s="57"/>
      <c r="B35" s="547" t="s">
        <v>659</v>
      </c>
      <c r="C35" s="547"/>
      <c r="D35" s="547"/>
      <c r="E35" s="547"/>
      <c r="F35" s="389" t="s">
        <v>660</v>
      </c>
      <c r="G35" s="389"/>
      <c r="H35" s="389"/>
      <c r="I35" s="389"/>
      <c r="J35" s="389"/>
      <c r="K35" s="389"/>
      <c r="L35" s="389"/>
      <c r="M35" s="389"/>
      <c r="N35" s="389"/>
      <c r="O35" s="389"/>
      <c r="P35" s="389"/>
      <c r="Q35" s="389"/>
      <c r="R35" s="389"/>
      <c r="S35" s="389"/>
      <c r="T35" s="389"/>
      <c r="U35" s="389"/>
      <c r="V35" s="389"/>
      <c r="W35" s="390" t="s">
        <v>661</v>
      </c>
      <c r="X35" s="391"/>
      <c r="Y35" s="391"/>
      <c r="Z35" s="391"/>
      <c r="AA35" s="391"/>
      <c r="AB35" s="391"/>
      <c r="AC35" s="392" t="s">
        <v>662</v>
      </c>
      <c r="AD35" s="393"/>
      <c r="AE35" s="393"/>
      <c r="AF35" s="393"/>
      <c r="AG35" s="393"/>
      <c r="AH35" s="393"/>
      <c r="AI35" s="394"/>
      <c r="AK35" s="531"/>
      <c r="AL35" s="531"/>
      <c r="AM35" s="531"/>
      <c r="AN35" s="531"/>
      <c r="AO35" s="531"/>
      <c r="AP35" s="531"/>
      <c r="AQ35" s="61"/>
      <c r="AR35" s="48"/>
      <c r="AS35" s="532"/>
      <c r="AT35" s="532"/>
      <c r="AU35" s="439"/>
      <c r="AV35" s="439"/>
      <c r="AW35" s="439"/>
      <c r="AY35" s="413" t="s">
        <v>663</v>
      </c>
      <c r="AZ35" s="413"/>
      <c r="BA35" s="412"/>
      <c r="BB35" s="412"/>
    </row>
    <row r="36" spans="1:80" ht="18" customHeight="1" thickBot="1">
      <c r="A36" s="492" t="s">
        <v>664</v>
      </c>
      <c r="B36" s="493"/>
      <c r="C36" s="493"/>
      <c r="D36" s="493"/>
      <c r="E36" s="493"/>
      <c r="F36" s="498">
        <v>4.1666666666666664E-2</v>
      </c>
      <c r="G36" s="439"/>
      <c r="H36" s="439"/>
      <c r="I36" s="439"/>
      <c r="J36" s="439"/>
      <c r="K36" s="439"/>
      <c r="L36" s="499" t="s">
        <v>665</v>
      </c>
      <c r="M36" s="489"/>
      <c r="N36" s="489"/>
      <c r="O36" s="500"/>
      <c r="P36" s="410" t="s">
        <v>62</v>
      </c>
      <c r="Q36" s="410"/>
      <c r="R36" s="410"/>
      <c r="S36" s="55" t="s">
        <v>666</v>
      </c>
      <c r="T36" s="410" t="s">
        <v>50</v>
      </c>
      <c r="U36" s="410"/>
      <c r="V36" s="530"/>
      <c r="W36" s="489" t="s">
        <v>667</v>
      </c>
      <c r="X36" s="489"/>
      <c r="Y36" s="489"/>
      <c r="Z36" s="489"/>
      <c r="AA36" s="489"/>
      <c r="AB36" s="489"/>
      <c r="AC36" s="490" t="s">
        <v>722</v>
      </c>
      <c r="AD36" s="487"/>
      <c r="AE36" s="487"/>
      <c r="AF36" s="487"/>
      <c r="AG36" s="487"/>
      <c r="AH36" s="487"/>
      <c r="AI36" s="488"/>
      <c r="AK36" s="525" t="s">
        <v>668</v>
      </c>
      <c r="AL36" s="526"/>
      <c r="AM36" s="526"/>
      <c r="AN36" s="526"/>
      <c r="AO36" s="526"/>
      <c r="AP36" s="526"/>
      <c r="AQ36" s="117"/>
      <c r="AR36" s="48"/>
      <c r="AS36" s="532"/>
      <c r="AT36" s="532"/>
      <c r="AU36" s="439"/>
      <c r="AV36" s="439"/>
      <c r="AW36" s="439"/>
      <c r="BH36" s="50"/>
      <c r="BI36" s="51"/>
    </row>
    <row r="37" spans="1:80" ht="18" customHeight="1" thickBot="1">
      <c r="A37" s="494" t="s">
        <v>669</v>
      </c>
      <c r="B37" s="495"/>
      <c r="C37" s="495"/>
      <c r="D37" s="495"/>
      <c r="E37" s="495"/>
      <c r="F37" s="487"/>
      <c r="G37" s="487"/>
      <c r="H37" s="487"/>
      <c r="I37" s="487"/>
      <c r="J37" s="487"/>
      <c r="K37" s="487"/>
      <c r="L37" s="487"/>
      <c r="M37" s="487"/>
      <c r="N37" s="487"/>
      <c r="O37" s="487"/>
      <c r="P37" s="487"/>
      <c r="Q37" s="487"/>
      <c r="R37" s="487"/>
      <c r="S37" s="487"/>
      <c r="T37" s="487"/>
      <c r="U37" s="487"/>
      <c r="V37" s="487"/>
      <c r="W37" s="487"/>
      <c r="X37" s="487"/>
      <c r="Y37" s="487"/>
      <c r="Z37" s="487"/>
      <c r="AA37" s="487"/>
      <c r="AB37" s="487"/>
      <c r="AC37" s="487"/>
      <c r="AD37" s="487"/>
      <c r="AE37" s="487"/>
      <c r="AF37" s="487"/>
      <c r="AG37" s="487"/>
      <c r="AH37" s="487"/>
      <c r="AI37" s="488"/>
      <c r="AK37" s="544" t="s">
        <v>240</v>
      </c>
      <c r="AL37" s="545"/>
      <c r="AM37" s="545"/>
      <c r="AN37" s="545"/>
      <c r="AO37" s="545"/>
      <c r="AP37" s="545"/>
      <c r="AQ37" s="122"/>
      <c r="AR37" s="48"/>
      <c r="AS37" s="532"/>
      <c r="AT37" s="532"/>
      <c r="AU37" s="439"/>
      <c r="AV37" s="439"/>
      <c r="AW37" s="439"/>
      <c r="BH37" s="50"/>
      <c r="BI37" s="51"/>
    </row>
    <row r="38" spans="1:80" ht="18" customHeight="1" thickBot="1">
      <c r="A38" s="496" t="s">
        <v>670</v>
      </c>
      <c r="B38" s="497"/>
      <c r="C38" s="497"/>
      <c r="D38" s="497"/>
      <c r="E38" s="497"/>
      <c r="F38" s="416" t="s">
        <v>667</v>
      </c>
      <c r="G38" s="416"/>
      <c r="H38" s="416"/>
      <c r="I38" s="416"/>
      <c r="J38" s="416"/>
      <c r="K38" s="416"/>
      <c r="L38" s="424" t="s">
        <v>722</v>
      </c>
      <c r="M38" s="424"/>
      <c r="N38" s="424"/>
      <c r="O38" s="424"/>
      <c r="P38" s="416" t="s">
        <v>671</v>
      </c>
      <c r="Q38" s="416"/>
      <c r="R38" s="416"/>
      <c r="S38" s="416"/>
      <c r="T38" s="416"/>
      <c r="U38" s="416"/>
      <c r="V38" s="416"/>
      <c r="W38" s="416" t="s">
        <v>667</v>
      </c>
      <c r="X38" s="416"/>
      <c r="Y38" s="416"/>
      <c r="Z38" s="416"/>
      <c r="AA38" s="416"/>
      <c r="AB38" s="416"/>
      <c r="AC38" s="424" t="s">
        <v>722</v>
      </c>
      <c r="AD38" s="424"/>
      <c r="AE38" s="424"/>
      <c r="AF38" s="424"/>
      <c r="AG38" s="424"/>
      <c r="AH38" s="424"/>
      <c r="AI38" s="491"/>
      <c r="AK38" s="543"/>
      <c r="AL38" s="543"/>
      <c r="AM38" s="543"/>
      <c r="AN38" s="543"/>
      <c r="AO38" s="543"/>
      <c r="AP38" s="543"/>
      <c r="AQ38" s="59"/>
      <c r="AR38" s="48"/>
      <c r="BC38" s="50"/>
      <c r="BD38" s="51"/>
    </row>
    <row r="39" spans="1:80" ht="18" customHeight="1">
      <c r="A39" s="452" t="s">
        <v>672</v>
      </c>
      <c r="B39" s="453"/>
      <c r="C39" s="453"/>
      <c r="D39" s="453"/>
      <c r="E39" s="453"/>
      <c r="F39" s="453"/>
      <c r="G39" s="453"/>
      <c r="H39" s="453"/>
      <c r="I39" s="453"/>
      <c r="J39" s="453"/>
      <c r="K39" s="453"/>
      <c r="L39" s="453"/>
      <c r="M39" s="453"/>
      <c r="N39" s="453"/>
      <c r="O39" s="453"/>
      <c r="P39" s="453"/>
      <c r="Q39" s="453"/>
      <c r="R39" s="453"/>
      <c r="S39" s="453"/>
      <c r="T39" s="453"/>
      <c r="U39" s="453"/>
      <c r="V39" s="453"/>
      <c r="W39" s="453"/>
      <c r="X39" s="453"/>
      <c r="Y39" s="453"/>
      <c r="Z39" s="453"/>
      <c r="AA39" s="453"/>
      <c r="AB39" s="453"/>
      <c r="AC39" s="453"/>
      <c r="AD39" s="453"/>
      <c r="AE39" s="453"/>
      <c r="AF39" s="453"/>
      <c r="AG39" s="453"/>
      <c r="AH39" s="453"/>
      <c r="AI39" s="454"/>
      <c r="AK39" s="444" t="s">
        <v>673</v>
      </c>
      <c r="AL39" s="444"/>
      <c r="AM39" s="444"/>
      <c r="AN39" s="444"/>
      <c r="AO39" s="444"/>
      <c r="AP39" s="444"/>
      <c r="AQ39" s="42">
        <v>2</v>
      </c>
      <c r="AR39" s="48"/>
      <c r="AS39" s="423" t="s">
        <v>526</v>
      </c>
      <c r="AT39" s="423"/>
      <c r="AU39" s="148">
        <v>28</v>
      </c>
      <c r="AV39" s="423" t="s">
        <v>528</v>
      </c>
      <c r="AW39" s="423"/>
      <c r="BC39" s="50"/>
      <c r="BD39" s="51"/>
    </row>
    <row r="40" spans="1:80" ht="18" customHeight="1">
      <c r="A40" s="464" t="s">
        <v>674</v>
      </c>
      <c r="B40" s="459"/>
      <c r="C40" s="459"/>
      <c r="D40" s="459"/>
      <c r="E40" s="470" t="s">
        <v>675</v>
      </c>
      <c r="F40" s="471"/>
      <c r="G40" s="471"/>
      <c r="H40" s="471"/>
      <c r="I40" s="471"/>
      <c r="J40" s="471"/>
      <c r="K40" s="472"/>
      <c r="L40" s="458" t="s">
        <v>676</v>
      </c>
      <c r="M40" s="459"/>
      <c r="N40" s="459"/>
      <c r="O40" s="459"/>
      <c r="P40" s="459"/>
      <c r="Q40" s="459"/>
      <c r="R40" s="460"/>
      <c r="S40" s="458" t="s">
        <v>677</v>
      </c>
      <c r="T40" s="459"/>
      <c r="U40" s="459"/>
      <c r="V40" s="459"/>
      <c r="W40" s="470" t="s">
        <v>675</v>
      </c>
      <c r="X40" s="471"/>
      <c r="Y40" s="471"/>
      <c r="Z40" s="471"/>
      <c r="AA40" s="471"/>
      <c r="AB40" s="471"/>
      <c r="AC40" s="472"/>
      <c r="AD40" s="458" t="s">
        <v>678</v>
      </c>
      <c r="AE40" s="459"/>
      <c r="AF40" s="459"/>
      <c r="AG40" s="459"/>
      <c r="AH40" s="459"/>
      <c r="AI40" s="463"/>
      <c r="AK40" s="444" t="s">
        <v>679</v>
      </c>
      <c r="AL40" s="444"/>
      <c r="AM40" s="444"/>
      <c r="AN40" s="444"/>
      <c r="AO40" s="444"/>
      <c r="AP40" s="444"/>
      <c r="AQ40" s="42"/>
      <c r="AR40" s="48"/>
      <c r="AS40" s="423" t="s">
        <v>527</v>
      </c>
      <c r="AT40" s="423"/>
      <c r="AU40" s="148">
        <v>18</v>
      </c>
      <c r="AV40" s="560">
        <v>0.52039999999999997</v>
      </c>
      <c r="AW40" s="560"/>
      <c r="BC40" s="50"/>
      <c r="BD40" s="51"/>
    </row>
    <row r="41" spans="1:80" ht="18" customHeight="1">
      <c r="A41" s="464" t="s">
        <v>16</v>
      </c>
      <c r="B41" s="459"/>
      <c r="C41" s="459"/>
      <c r="D41" s="459"/>
      <c r="E41" s="469">
        <f>AX10</f>
        <v>0.33333333333333331</v>
      </c>
      <c r="F41" s="456"/>
      <c r="G41" s="456"/>
      <c r="H41" s="144" t="s">
        <v>680</v>
      </c>
      <c r="I41" s="456">
        <f>AY10</f>
        <v>0.83333333333333337</v>
      </c>
      <c r="J41" s="456"/>
      <c r="K41" s="457"/>
      <c r="L41" s="458" t="str">
        <f>AU10</f>
        <v>三角龍彦</v>
      </c>
      <c r="M41" s="459"/>
      <c r="N41" s="459"/>
      <c r="O41" s="459"/>
      <c r="P41" s="459"/>
      <c r="Q41" s="459"/>
      <c r="R41" s="460"/>
      <c r="S41" s="409" t="s">
        <v>31</v>
      </c>
      <c r="T41" s="410"/>
      <c r="U41" s="410"/>
      <c r="V41" s="410"/>
      <c r="W41" s="414">
        <v>0.39583333333333331</v>
      </c>
      <c r="X41" s="415"/>
      <c r="Y41" s="415"/>
      <c r="Z41" s="40" t="s">
        <v>680</v>
      </c>
      <c r="AA41" s="415">
        <v>0.77083333333333337</v>
      </c>
      <c r="AB41" s="415"/>
      <c r="AC41" s="461"/>
      <c r="AD41" s="409" t="str">
        <f>AU14</f>
        <v>木村重明</v>
      </c>
      <c r="AE41" s="410"/>
      <c r="AF41" s="410"/>
      <c r="AG41" s="410"/>
      <c r="AH41" s="410"/>
      <c r="AI41" s="462"/>
      <c r="AK41" s="444" t="s">
        <v>681</v>
      </c>
      <c r="AL41" s="444"/>
      <c r="AM41" s="444"/>
      <c r="AN41" s="444"/>
      <c r="AO41" s="444"/>
      <c r="AP41" s="444"/>
      <c r="AQ41" s="42"/>
      <c r="AR41" s="48"/>
      <c r="BC41" s="50"/>
      <c r="BD41" s="51"/>
    </row>
    <row r="42" spans="1:80" ht="18" customHeight="1">
      <c r="A42" s="464" t="s">
        <v>24</v>
      </c>
      <c r="B42" s="459"/>
      <c r="C42" s="459"/>
      <c r="D42" s="459"/>
      <c r="E42" s="469">
        <f>AX13</f>
        <v>0.33333333333333331</v>
      </c>
      <c r="F42" s="456"/>
      <c r="G42" s="456"/>
      <c r="H42" s="144" t="s">
        <v>680</v>
      </c>
      <c r="I42" s="456">
        <f>AY12</f>
        <v>0.83333333333333337</v>
      </c>
      <c r="J42" s="456"/>
      <c r="K42" s="457"/>
      <c r="L42" s="458" t="str">
        <f>AU13</f>
        <v>松葉眞</v>
      </c>
      <c r="M42" s="459"/>
      <c r="N42" s="459"/>
      <c r="O42" s="459"/>
      <c r="P42" s="459"/>
      <c r="Q42" s="459"/>
      <c r="R42" s="460"/>
      <c r="S42" s="409"/>
      <c r="T42" s="410"/>
      <c r="U42" s="410"/>
      <c r="V42" s="410"/>
      <c r="W42" s="414"/>
      <c r="X42" s="415"/>
      <c r="Y42" s="415"/>
      <c r="Z42" s="136"/>
      <c r="AA42" s="415"/>
      <c r="AB42" s="415"/>
      <c r="AC42" s="461"/>
      <c r="AD42" s="409">
        <f>AU15</f>
        <v>0</v>
      </c>
      <c r="AE42" s="410"/>
      <c r="AF42" s="410"/>
      <c r="AG42" s="410"/>
      <c r="AH42" s="410"/>
      <c r="AI42" s="462"/>
      <c r="AK42" s="445" t="s">
        <v>682</v>
      </c>
      <c r="AL42" s="445"/>
      <c r="AM42" s="445"/>
      <c r="AN42" s="445"/>
      <c r="AO42" s="445"/>
      <c r="AP42" s="445"/>
      <c r="AQ42" s="42"/>
      <c r="AR42" s="48"/>
      <c r="AS42" s="561" t="s">
        <v>683</v>
      </c>
      <c r="AT42" s="561"/>
      <c r="AU42" s="561"/>
      <c r="AV42" s="561"/>
      <c r="AW42" s="561"/>
      <c r="BC42" s="50"/>
      <c r="BD42" s="51"/>
    </row>
    <row r="43" spans="1:80" ht="18" customHeight="1">
      <c r="A43" s="464" t="s">
        <v>38</v>
      </c>
      <c r="B43" s="459"/>
      <c r="C43" s="459"/>
      <c r="D43" s="459"/>
      <c r="E43" s="469">
        <f>AX16</f>
        <v>0.83333333333333337</v>
      </c>
      <c r="F43" s="456"/>
      <c r="G43" s="456"/>
      <c r="H43" s="144" t="s">
        <v>680</v>
      </c>
      <c r="I43" s="456" t="str">
        <f>AY16</f>
        <v>翌8:00</v>
      </c>
      <c r="J43" s="456"/>
      <c r="K43" s="457"/>
      <c r="L43" s="458" t="str">
        <f>AU16</f>
        <v>二野宮慧太</v>
      </c>
      <c r="M43" s="459"/>
      <c r="N43" s="459"/>
      <c r="O43" s="459"/>
      <c r="P43" s="459"/>
      <c r="Q43" s="459"/>
      <c r="R43" s="460"/>
      <c r="S43" s="409"/>
      <c r="T43" s="410"/>
      <c r="U43" s="410"/>
      <c r="V43" s="410"/>
      <c r="W43" s="414"/>
      <c r="X43" s="415"/>
      <c r="Y43" s="415"/>
      <c r="Z43" s="136"/>
      <c r="AA43" s="415"/>
      <c r="AB43" s="415"/>
      <c r="AC43" s="461"/>
      <c r="AD43" s="486">
        <f>AU18</f>
        <v>0</v>
      </c>
      <c r="AE43" s="410"/>
      <c r="AF43" s="410"/>
      <c r="AG43" s="410"/>
      <c r="AH43" s="410"/>
      <c r="AI43" s="462"/>
      <c r="AK43" s="444" t="s">
        <v>684</v>
      </c>
      <c r="AL43" s="444"/>
      <c r="AM43" s="444"/>
      <c r="AN43" s="444"/>
      <c r="AO43" s="444"/>
      <c r="AP43" s="444"/>
      <c r="AQ43" s="42"/>
      <c r="AR43" s="43"/>
      <c r="AW43"/>
      <c r="AX43"/>
      <c r="AY43"/>
      <c r="AZ43"/>
      <c r="BA43"/>
      <c r="BB43"/>
      <c r="BC43" s="50"/>
      <c r="BD43" s="51"/>
      <c r="BE43"/>
      <c r="BF43"/>
      <c r="BG43"/>
      <c r="BH43"/>
      <c r="BI43"/>
      <c r="BJ43"/>
      <c r="BK43"/>
      <c r="BL43"/>
      <c r="BM43"/>
      <c r="BN43"/>
      <c r="BO43"/>
      <c r="BP43"/>
      <c r="BQ43"/>
      <c r="BR43"/>
      <c r="BS43"/>
      <c r="BT43"/>
      <c r="BU43"/>
      <c r="BV43"/>
      <c r="BW43"/>
      <c r="BX43"/>
      <c r="BY43"/>
      <c r="BZ43"/>
      <c r="CA43"/>
      <c r="CB43"/>
    </row>
    <row r="44" spans="1:80" ht="18" customHeight="1" thickBot="1">
      <c r="A44" s="473" t="s">
        <v>45</v>
      </c>
      <c r="B44" s="474"/>
      <c r="C44" s="474"/>
      <c r="D44" s="474"/>
      <c r="E44" s="475">
        <f>AX17</f>
        <v>0.83333333333333337</v>
      </c>
      <c r="F44" s="476"/>
      <c r="G44" s="476"/>
      <c r="H44" s="145" t="s">
        <v>680</v>
      </c>
      <c r="I44" s="476" t="str">
        <f>AY17</f>
        <v>翌8:00</v>
      </c>
      <c r="J44" s="476"/>
      <c r="K44" s="477"/>
      <c r="L44" s="478" t="str">
        <f>AU17</f>
        <v>末廣信行</v>
      </c>
      <c r="M44" s="478"/>
      <c r="N44" s="478"/>
      <c r="O44" s="478"/>
      <c r="P44" s="478"/>
      <c r="Q44" s="478"/>
      <c r="R44" s="478"/>
      <c r="S44" s="479"/>
      <c r="T44" s="480"/>
      <c r="U44" s="480"/>
      <c r="V44" s="480"/>
      <c r="W44" s="481"/>
      <c r="X44" s="482"/>
      <c r="Y44" s="482"/>
      <c r="Z44" s="137"/>
      <c r="AA44" s="482"/>
      <c r="AB44" s="482"/>
      <c r="AC44" s="483"/>
      <c r="AD44" s="484">
        <f>AU19</f>
        <v>0</v>
      </c>
      <c r="AE44" s="480"/>
      <c r="AF44" s="480"/>
      <c r="AG44" s="480"/>
      <c r="AH44" s="480"/>
      <c r="AI44" s="485"/>
      <c r="AK44" s="446" t="s">
        <v>685</v>
      </c>
      <c r="AL44" s="446"/>
      <c r="AM44" s="446"/>
      <c r="AN44" s="446"/>
      <c r="AO44" s="446"/>
      <c r="AP44" s="446"/>
      <c r="AQ44" s="42"/>
      <c r="AR44" s="43"/>
      <c r="BC44" s="50"/>
      <c r="BD44" s="51"/>
    </row>
    <row r="45" spans="1:80" ht="18" customHeight="1" thickBot="1">
      <c r="A45" s="27"/>
      <c r="B45" s="27"/>
      <c r="C45" s="27"/>
      <c r="D45" s="27"/>
      <c r="E45" s="27"/>
      <c r="F45" s="27"/>
      <c r="G45" s="27"/>
      <c r="H45" s="27"/>
      <c r="I45" s="27"/>
      <c r="R45" s="307">
        <f>A7</f>
        <v>46199</v>
      </c>
      <c r="S45" s="308"/>
      <c r="T45" s="308"/>
      <c r="U45" s="308"/>
      <c r="V45" s="23" t="s">
        <v>169</v>
      </c>
      <c r="W45" s="309">
        <f>G7</f>
        <v>46199</v>
      </c>
      <c r="X45" s="308"/>
      <c r="Y45" s="23" t="s">
        <v>170</v>
      </c>
      <c r="Z45" s="310">
        <f>K7</f>
        <v>46199</v>
      </c>
      <c r="AA45" s="308"/>
      <c r="AB45" s="23" t="s">
        <v>3</v>
      </c>
      <c r="AC45" s="455">
        <f>O7</f>
        <v>46199</v>
      </c>
      <c r="AD45" s="308"/>
      <c r="AE45" s="308" t="s">
        <v>292</v>
      </c>
      <c r="AF45" s="308"/>
      <c r="AK45" s="425" t="s">
        <v>686</v>
      </c>
      <c r="AL45" s="425"/>
      <c r="AM45" s="425"/>
      <c r="AN45" s="425"/>
      <c r="AO45" s="425"/>
      <c r="AP45" s="425"/>
      <c r="AQ45" s="42"/>
      <c r="AR45" s="43"/>
      <c r="BC45" s="50"/>
      <c r="BD45" s="51"/>
    </row>
    <row r="46" spans="1:80" customFormat="1" ht="18" customHeight="1">
      <c r="A46" s="452" t="s">
        <v>598</v>
      </c>
      <c r="B46" s="453"/>
      <c r="C46" s="453"/>
      <c r="D46" s="453"/>
      <c r="E46" s="453"/>
      <c r="F46" s="453"/>
      <c r="G46" s="453"/>
      <c r="H46" s="453"/>
      <c r="I46" s="453"/>
      <c r="J46" s="453"/>
      <c r="K46" s="453"/>
      <c r="L46" s="453"/>
      <c r="M46" s="453"/>
      <c r="N46" s="453"/>
      <c r="O46" s="453"/>
      <c r="P46" s="453"/>
      <c r="Q46" s="453"/>
      <c r="R46" s="453"/>
      <c r="S46" s="453"/>
      <c r="T46" s="453"/>
      <c r="U46" s="453"/>
      <c r="V46" s="453"/>
      <c r="W46" s="453"/>
      <c r="X46" s="453"/>
      <c r="Y46" s="453"/>
      <c r="Z46" s="453"/>
      <c r="AA46" s="453"/>
      <c r="AB46" s="453"/>
      <c r="AC46" s="453"/>
      <c r="AD46" s="453"/>
      <c r="AE46" s="453"/>
      <c r="AF46" s="453"/>
      <c r="AG46" s="453"/>
      <c r="AH46" s="453"/>
      <c r="AI46" s="454"/>
      <c r="AK46" s="425" t="s">
        <v>687</v>
      </c>
      <c r="AL46" s="425"/>
      <c r="AM46" s="425"/>
      <c r="AN46" s="425"/>
      <c r="AO46" s="425"/>
      <c r="AP46" s="425"/>
      <c r="AQ46" s="42"/>
      <c r="AR46" s="43"/>
      <c r="AW46" s="23"/>
      <c r="AX46" s="23"/>
      <c r="AY46" s="23"/>
      <c r="AZ46" s="23"/>
      <c r="BA46" s="23"/>
      <c r="BB46" s="23"/>
      <c r="BC46" s="50"/>
      <c r="BD46" s="51"/>
      <c r="BE46" s="23"/>
      <c r="BF46" s="23"/>
      <c r="BG46" s="23"/>
      <c r="BH46" s="23"/>
      <c r="BI46" s="23"/>
      <c r="BJ46" s="23"/>
      <c r="BK46" s="23"/>
      <c r="BL46" s="23"/>
      <c r="BM46" s="23"/>
      <c r="BN46" s="23"/>
      <c r="BO46" s="23"/>
      <c r="BP46" s="23"/>
      <c r="BQ46" s="23"/>
      <c r="BR46" s="23"/>
      <c r="BS46" s="23"/>
      <c r="BT46" s="23"/>
      <c r="BU46" s="23"/>
      <c r="BV46" s="23"/>
      <c r="BW46" s="23"/>
      <c r="BX46" s="23"/>
      <c r="BY46" s="23"/>
      <c r="BZ46" s="23"/>
      <c r="CA46" s="23"/>
      <c r="CB46" s="23"/>
    </row>
    <row r="47" spans="1:80" ht="18" customHeight="1">
      <c r="A47" s="36" t="s">
        <v>189</v>
      </c>
      <c r="B47" s="404">
        <v>0.29236111111111113</v>
      </c>
      <c r="C47" s="404"/>
      <c r="D47" s="404"/>
      <c r="E47" s="404"/>
      <c r="F47" s="288" t="s">
        <v>689</v>
      </c>
      <c r="G47" s="288"/>
      <c r="H47" s="288"/>
      <c r="I47" s="288"/>
      <c r="J47" s="288"/>
      <c r="K47" s="288"/>
      <c r="L47" s="288"/>
      <c r="M47" s="288"/>
      <c r="N47" s="288"/>
      <c r="O47" s="288"/>
      <c r="P47" s="288"/>
      <c r="Q47" s="288"/>
      <c r="R47" s="288"/>
      <c r="S47" s="288"/>
      <c r="T47" s="288"/>
      <c r="U47" s="288"/>
      <c r="V47" s="288"/>
      <c r="W47" s="288"/>
      <c r="X47" s="288"/>
      <c r="Y47" s="288"/>
      <c r="Z47" s="288"/>
      <c r="AA47" s="288"/>
      <c r="AB47" s="288"/>
      <c r="AC47" s="288"/>
      <c r="AD47" s="288"/>
      <c r="AE47" s="288"/>
      <c r="AF47" s="288"/>
      <c r="AG47" s="288"/>
      <c r="AH47" s="288"/>
      <c r="AI47" s="289"/>
      <c r="AK47" s="425" t="s">
        <v>688</v>
      </c>
      <c r="AL47" s="425"/>
      <c r="AM47" s="425"/>
      <c r="AN47" s="425"/>
      <c r="AO47" s="425"/>
      <c r="AP47" s="425"/>
      <c r="AQ47" s="42"/>
      <c r="AR47" s="43"/>
      <c r="AS47" s="120" t="s">
        <v>189</v>
      </c>
      <c r="AT47" s="43" t="s">
        <v>689</v>
      </c>
      <c r="AU47" s="43"/>
      <c r="BC47" s="50"/>
      <c r="BD47" s="51"/>
    </row>
    <row r="48" spans="1:80" ht="18" customHeight="1">
      <c r="A48" s="36"/>
      <c r="B48" s="404"/>
      <c r="C48" s="404"/>
      <c r="D48" s="404"/>
      <c r="E48" s="404"/>
      <c r="F48" s="288"/>
      <c r="G48" s="288"/>
      <c r="H48" s="288"/>
      <c r="I48" s="288"/>
      <c r="J48" s="288"/>
      <c r="K48" s="288"/>
      <c r="L48" s="288"/>
      <c r="M48" s="288"/>
      <c r="N48" s="288"/>
      <c r="O48" s="288"/>
      <c r="P48" s="288"/>
      <c r="Q48" s="288"/>
      <c r="R48" s="288"/>
      <c r="S48" s="288"/>
      <c r="T48" s="288"/>
      <c r="U48" s="288"/>
      <c r="V48" s="288"/>
      <c r="W48" s="288"/>
      <c r="X48" s="288"/>
      <c r="Y48" s="288"/>
      <c r="Z48" s="288"/>
      <c r="AA48" s="288"/>
      <c r="AB48" s="288"/>
      <c r="AC48" s="288"/>
      <c r="AD48" s="288"/>
      <c r="AE48" s="288"/>
      <c r="AF48" s="288"/>
      <c r="AG48" s="288"/>
      <c r="AH48" s="288"/>
      <c r="AI48" s="289"/>
      <c r="AK48" s="425" t="s">
        <v>690</v>
      </c>
      <c r="AL48" s="425"/>
      <c r="AM48" s="425"/>
      <c r="AN48" s="425"/>
      <c r="AO48" s="425"/>
      <c r="AP48" s="425"/>
      <c r="AQ48" s="42"/>
      <c r="AR48" s="43"/>
      <c r="AS48" s="43"/>
      <c r="AT48" s="43"/>
      <c r="AU48" s="43"/>
      <c r="BC48" s="50"/>
      <c r="BD48" s="51"/>
    </row>
    <row r="49" spans="1:61" ht="18" customHeight="1">
      <c r="A49" s="36"/>
      <c r="B49" s="404"/>
      <c r="C49" s="404"/>
      <c r="D49" s="404"/>
      <c r="E49" s="404"/>
      <c r="F49" s="288"/>
      <c r="G49" s="288"/>
      <c r="H49" s="288"/>
      <c r="I49" s="288"/>
      <c r="J49" s="288"/>
      <c r="K49" s="288"/>
      <c r="L49" s="288"/>
      <c r="M49" s="288"/>
      <c r="N49" s="288"/>
      <c r="O49" s="288"/>
      <c r="P49" s="288"/>
      <c r="Q49" s="288"/>
      <c r="R49" s="288"/>
      <c r="S49" s="288"/>
      <c r="T49" s="288"/>
      <c r="U49" s="288"/>
      <c r="V49" s="288"/>
      <c r="W49" s="288"/>
      <c r="X49" s="288"/>
      <c r="Y49" s="288"/>
      <c r="Z49" s="288"/>
      <c r="AA49" s="288"/>
      <c r="AB49" s="288"/>
      <c r="AC49" s="288"/>
      <c r="AD49" s="288"/>
      <c r="AE49" s="288"/>
      <c r="AF49" s="288"/>
      <c r="AG49" s="288"/>
      <c r="AH49" s="288"/>
      <c r="AI49" s="289"/>
      <c r="AK49" s="425" t="s">
        <v>691</v>
      </c>
      <c r="AL49" s="425"/>
      <c r="AM49" s="425"/>
      <c r="AN49" s="425"/>
      <c r="AO49" s="425"/>
      <c r="AP49" s="425"/>
      <c r="AQ49" s="42"/>
      <c r="AR49" s="43"/>
      <c r="AS49" s="43"/>
      <c r="AT49" s="43"/>
      <c r="AU49" s="43"/>
      <c r="BC49" s="50"/>
      <c r="BD49" s="51"/>
    </row>
    <row r="50" spans="1:61" ht="18" customHeight="1">
      <c r="A50" s="36"/>
      <c r="B50" s="404"/>
      <c r="C50" s="404"/>
      <c r="D50" s="404"/>
      <c r="E50" s="404"/>
      <c r="F50" s="288"/>
      <c r="G50" s="288"/>
      <c r="H50" s="288"/>
      <c r="I50" s="288"/>
      <c r="J50" s="288"/>
      <c r="K50" s="288"/>
      <c r="L50" s="288"/>
      <c r="M50" s="288"/>
      <c r="N50" s="288"/>
      <c r="O50" s="288"/>
      <c r="P50" s="288"/>
      <c r="Q50" s="288"/>
      <c r="R50" s="288"/>
      <c r="S50" s="288"/>
      <c r="T50" s="288"/>
      <c r="U50" s="288"/>
      <c r="V50" s="288"/>
      <c r="W50" s="288"/>
      <c r="X50" s="288"/>
      <c r="Y50" s="288"/>
      <c r="Z50" s="288"/>
      <c r="AA50" s="288"/>
      <c r="AB50" s="288"/>
      <c r="AC50" s="288"/>
      <c r="AD50" s="288"/>
      <c r="AE50" s="288"/>
      <c r="AF50" s="288"/>
      <c r="AG50" s="288"/>
      <c r="AH50" s="288"/>
      <c r="AI50" s="289"/>
      <c r="AK50" s="425" t="s">
        <v>692</v>
      </c>
      <c r="AL50" s="425"/>
      <c r="AM50" s="425"/>
      <c r="AN50" s="425"/>
      <c r="AO50" s="425"/>
      <c r="AP50" s="425"/>
      <c r="AQ50" s="42"/>
      <c r="AR50" s="43"/>
      <c r="AS50" s="43"/>
      <c r="AT50" s="43"/>
      <c r="AU50" s="43"/>
      <c r="BC50" s="50"/>
      <c r="BD50" s="51"/>
    </row>
    <row r="51" spans="1:61" ht="18" customHeight="1">
      <c r="A51" s="36"/>
      <c r="B51" s="404"/>
      <c r="C51" s="404"/>
      <c r="D51" s="404"/>
      <c r="E51" s="404"/>
      <c r="F51" s="288"/>
      <c r="G51" s="288"/>
      <c r="H51" s="288"/>
      <c r="I51" s="288"/>
      <c r="J51" s="288"/>
      <c r="K51" s="288"/>
      <c r="L51" s="288"/>
      <c r="M51" s="288"/>
      <c r="N51" s="288"/>
      <c r="O51" s="288"/>
      <c r="P51" s="288"/>
      <c r="Q51" s="288"/>
      <c r="R51" s="288"/>
      <c r="S51" s="288"/>
      <c r="T51" s="288"/>
      <c r="U51" s="288"/>
      <c r="V51" s="288"/>
      <c r="W51" s="288"/>
      <c r="X51" s="288"/>
      <c r="Y51" s="288"/>
      <c r="Z51" s="288"/>
      <c r="AA51" s="288"/>
      <c r="AB51" s="288"/>
      <c r="AC51" s="288"/>
      <c r="AD51" s="288"/>
      <c r="AE51" s="288"/>
      <c r="AF51" s="288"/>
      <c r="AG51" s="288"/>
      <c r="AH51" s="288"/>
      <c r="AI51" s="289"/>
      <c r="AK51" s="425" t="s">
        <v>693</v>
      </c>
      <c r="AL51" s="425"/>
      <c r="AM51" s="425"/>
      <c r="AN51" s="425"/>
      <c r="AO51" s="425"/>
      <c r="AP51" s="425"/>
      <c r="AQ51" s="42"/>
      <c r="AR51" s="43"/>
      <c r="AS51" s="43"/>
      <c r="AT51" s="43"/>
      <c r="AU51" s="43"/>
      <c r="BC51" s="50"/>
      <c r="BD51" s="51"/>
    </row>
    <row r="52" spans="1:61" ht="18" customHeight="1">
      <c r="A52" s="36"/>
      <c r="B52" s="404"/>
      <c r="C52" s="404"/>
      <c r="D52" s="404"/>
      <c r="E52" s="404"/>
      <c r="F52" s="288"/>
      <c r="G52" s="288"/>
      <c r="H52" s="288"/>
      <c r="I52" s="288"/>
      <c r="J52" s="288"/>
      <c r="K52" s="288"/>
      <c r="L52" s="288"/>
      <c r="M52" s="288"/>
      <c r="N52" s="288"/>
      <c r="O52" s="288"/>
      <c r="P52" s="288"/>
      <c r="Q52" s="288"/>
      <c r="R52" s="288"/>
      <c r="S52" s="288"/>
      <c r="T52" s="288"/>
      <c r="U52" s="288"/>
      <c r="V52" s="288"/>
      <c r="W52" s="288"/>
      <c r="X52" s="288"/>
      <c r="Y52" s="288"/>
      <c r="Z52" s="288"/>
      <c r="AA52" s="288"/>
      <c r="AB52" s="288"/>
      <c r="AC52" s="288"/>
      <c r="AD52" s="288"/>
      <c r="AE52" s="288"/>
      <c r="AF52" s="288"/>
      <c r="AG52" s="288"/>
      <c r="AH52" s="288"/>
      <c r="AI52" s="289"/>
      <c r="AK52" s="425" t="s">
        <v>694</v>
      </c>
      <c r="AL52" s="425"/>
      <c r="AM52" s="425"/>
      <c r="AN52" s="425"/>
      <c r="AO52" s="425"/>
      <c r="AP52" s="425"/>
      <c r="AQ52" s="42"/>
      <c r="AR52" s="43"/>
      <c r="AS52" s="43"/>
      <c r="AV52" s="43"/>
      <c r="AW52" s="43"/>
      <c r="AX52" s="43"/>
      <c r="AY52" s="43"/>
      <c r="AZ52" s="43"/>
      <c r="BA52" s="43"/>
      <c r="BH52" s="52"/>
      <c r="BI52" s="51"/>
    </row>
    <row r="53" spans="1:61" ht="18" customHeight="1">
      <c r="A53" s="36"/>
      <c r="B53" s="404"/>
      <c r="C53" s="404"/>
      <c r="D53" s="404"/>
      <c r="E53" s="404"/>
      <c r="F53" s="288"/>
      <c r="G53" s="288"/>
      <c r="H53" s="288"/>
      <c r="I53" s="288"/>
      <c r="J53" s="288"/>
      <c r="K53" s="288"/>
      <c r="L53" s="288"/>
      <c r="M53" s="288"/>
      <c r="N53" s="288"/>
      <c r="O53" s="288"/>
      <c r="P53" s="288"/>
      <c r="Q53" s="288"/>
      <c r="R53" s="288"/>
      <c r="S53" s="288"/>
      <c r="T53" s="288"/>
      <c r="U53" s="288"/>
      <c r="V53" s="288"/>
      <c r="W53" s="288"/>
      <c r="X53" s="288"/>
      <c r="Y53" s="288"/>
      <c r="Z53" s="288"/>
      <c r="AA53" s="288"/>
      <c r="AB53" s="288"/>
      <c r="AC53" s="288"/>
      <c r="AD53" s="288"/>
      <c r="AE53" s="288"/>
      <c r="AF53" s="288"/>
      <c r="AG53" s="288"/>
      <c r="AH53" s="288"/>
      <c r="AI53" s="289"/>
      <c r="AK53" s="425" t="s">
        <v>695</v>
      </c>
      <c r="AL53" s="425"/>
      <c r="AM53" s="425"/>
      <c r="AN53" s="425"/>
      <c r="AO53" s="425"/>
      <c r="AP53" s="425"/>
      <c r="AQ53" s="42"/>
      <c r="AR53" s="43"/>
      <c r="AS53" s="43"/>
      <c r="AT53" s="43"/>
      <c r="AU53" s="43"/>
      <c r="AV53" s="43"/>
      <c r="AW53" s="43"/>
      <c r="AX53" s="43"/>
      <c r="AY53" s="43"/>
      <c r="AZ53" s="43"/>
      <c r="BH53" s="50"/>
      <c r="BI53" s="51"/>
    </row>
    <row r="54" spans="1:61" ht="18" customHeight="1">
      <c r="A54" s="36"/>
      <c r="B54" s="404"/>
      <c r="C54" s="404"/>
      <c r="D54" s="404"/>
      <c r="E54" s="404"/>
      <c r="F54" s="288"/>
      <c r="G54" s="288"/>
      <c r="H54" s="288"/>
      <c r="I54" s="288"/>
      <c r="J54" s="288"/>
      <c r="K54" s="288"/>
      <c r="L54" s="288"/>
      <c r="M54" s="288"/>
      <c r="N54" s="288"/>
      <c r="O54" s="288"/>
      <c r="P54" s="288"/>
      <c r="Q54" s="288"/>
      <c r="R54" s="288"/>
      <c r="S54" s="288"/>
      <c r="T54" s="288"/>
      <c r="U54" s="288"/>
      <c r="V54" s="288"/>
      <c r="W54" s="288"/>
      <c r="X54" s="288"/>
      <c r="Y54" s="288"/>
      <c r="Z54" s="288"/>
      <c r="AA54" s="288"/>
      <c r="AB54" s="288"/>
      <c r="AC54" s="288"/>
      <c r="AD54" s="288"/>
      <c r="AE54" s="288"/>
      <c r="AF54" s="288"/>
      <c r="AG54" s="288"/>
      <c r="AH54" s="288"/>
      <c r="AI54" s="289"/>
      <c r="AK54" s="425" t="s">
        <v>696</v>
      </c>
      <c r="AL54" s="425"/>
      <c r="AM54" s="425"/>
      <c r="AN54" s="425"/>
      <c r="AO54" s="425"/>
      <c r="AP54" s="425"/>
      <c r="AQ54" s="42"/>
      <c r="AR54" s="43"/>
      <c r="AS54" s="43"/>
      <c r="AT54" s="43"/>
      <c r="AU54" s="43"/>
      <c r="AV54" s="43"/>
      <c r="AW54" s="43"/>
      <c r="AX54" s="43"/>
      <c r="AY54" s="43"/>
      <c r="AZ54" s="43"/>
      <c r="BH54" s="50"/>
      <c r="BI54" s="51"/>
    </row>
    <row r="55" spans="1:61" ht="18" customHeight="1">
      <c r="A55" s="36"/>
      <c r="B55" s="404"/>
      <c r="C55" s="404"/>
      <c r="D55" s="404"/>
      <c r="E55" s="404"/>
      <c r="F55" s="288"/>
      <c r="G55" s="288"/>
      <c r="H55" s="288"/>
      <c r="I55" s="288"/>
      <c r="J55" s="288"/>
      <c r="K55" s="288"/>
      <c r="L55" s="288"/>
      <c r="M55" s="288"/>
      <c r="N55" s="288"/>
      <c r="O55" s="288"/>
      <c r="P55" s="288"/>
      <c r="Q55" s="288"/>
      <c r="R55" s="288"/>
      <c r="S55" s="288"/>
      <c r="T55" s="288"/>
      <c r="U55" s="288"/>
      <c r="V55" s="288"/>
      <c r="W55" s="288"/>
      <c r="X55" s="288"/>
      <c r="Y55" s="288"/>
      <c r="Z55" s="288"/>
      <c r="AA55" s="288"/>
      <c r="AB55" s="288"/>
      <c r="AC55" s="288"/>
      <c r="AD55" s="288"/>
      <c r="AE55" s="288"/>
      <c r="AF55" s="288"/>
      <c r="AG55" s="288"/>
      <c r="AH55" s="288"/>
      <c r="AI55" s="289"/>
      <c r="AK55" s="425" t="s">
        <v>697</v>
      </c>
      <c r="AL55" s="425"/>
      <c r="AM55" s="425"/>
      <c r="AN55" s="425"/>
      <c r="AO55" s="425"/>
      <c r="AP55" s="425"/>
      <c r="AQ55" s="42"/>
      <c r="AR55" s="43"/>
      <c r="AS55" s="43"/>
      <c r="AT55" s="43"/>
      <c r="AU55" s="43"/>
      <c r="AV55" s="43"/>
      <c r="AW55" s="43"/>
      <c r="AX55" s="43"/>
      <c r="AY55" s="43"/>
      <c r="AZ55" s="43"/>
      <c r="BH55" s="50"/>
      <c r="BI55" s="51"/>
    </row>
    <row r="56" spans="1:61" ht="18" customHeight="1">
      <c r="A56" s="36"/>
      <c r="B56" s="404"/>
      <c r="C56" s="404"/>
      <c r="D56" s="404"/>
      <c r="E56" s="404"/>
      <c r="F56" s="288"/>
      <c r="G56" s="288"/>
      <c r="H56" s="288"/>
      <c r="I56" s="288"/>
      <c r="J56" s="288"/>
      <c r="K56" s="288"/>
      <c r="L56" s="288"/>
      <c r="M56" s="288"/>
      <c r="N56" s="288"/>
      <c r="O56" s="288"/>
      <c r="P56" s="288"/>
      <c r="Q56" s="288"/>
      <c r="R56" s="288"/>
      <c r="S56" s="288"/>
      <c r="T56" s="288"/>
      <c r="U56" s="288"/>
      <c r="V56" s="288"/>
      <c r="W56" s="288"/>
      <c r="X56" s="288"/>
      <c r="Y56" s="288"/>
      <c r="Z56" s="288"/>
      <c r="AA56" s="288"/>
      <c r="AB56" s="288"/>
      <c r="AC56" s="288"/>
      <c r="AD56" s="288"/>
      <c r="AE56" s="288"/>
      <c r="AF56" s="288"/>
      <c r="AG56" s="288"/>
      <c r="AH56" s="288"/>
      <c r="AI56" s="289"/>
      <c r="AK56" s="425" t="s">
        <v>698</v>
      </c>
      <c r="AL56" s="425"/>
      <c r="AM56" s="425"/>
      <c r="AN56" s="425"/>
      <c r="AO56" s="425"/>
      <c r="AP56" s="425"/>
      <c r="AQ56" s="42"/>
      <c r="AR56" s="43"/>
      <c r="AS56" s="43"/>
      <c r="AT56" s="43"/>
      <c r="AU56" s="43"/>
      <c r="AV56" s="43"/>
      <c r="AW56" s="43"/>
      <c r="AX56" s="43"/>
      <c r="AY56" s="43"/>
      <c r="AZ56" s="43"/>
      <c r="BH56" s="52"/>
      <c r="BI56" s="51"/>
    </row>
    <row r="57" spans="1:61" ht="18" customHeight="1">
      <c r="A57" s="36"/>
      <c r="B57" s="404"/>
      <c r="C57" s="404"/>
      <c r="D57" s="404"/>
      <c r="E57" s="404"/>
      <c r="F57" s="288"/>
      <c r="G57" s="288"/>
      <c r="H57" s="288"/>
      <c r="I57" s="288"/>
      <c r="J57" s="288"/>
      <c r="K57" s="288"/>
      <c r="L57" s="288"/>
      <c r="M57" s="288"/>
      <c r="N57" s="288"/>
      <c r="O57" s="288"/>
      <c r="P57" s="288"/>
      <c r="Q57" s="288"/>
      <c r="R57" s="288"/>
      <c r="S57" s="288"/>
      <c r="T57" s="288"/>
      <c r="U57" s="288"/>
      <c r="V57" s="288"/>
      <c r="W57" s="288"/>
      <c r="X57" s="288"/>
      <c r="Y57" s="288"/>
      <c r="Z57" s="288"/>
      <c r="AA57" s="288"/>
      <c r="AB57" s="288"/>
      <c r="AC57" s="288"/>
      <c r="AD57" s="288"/>
      <c r="AE57" s="288"/>
      <c r="AF57" s="288"/>
      <c r="AG57" s="288"/>
      <c r="AH57" s="288"/>
      <c r="AI57" s="289"/>
      <c r="AK57" s="425" t="s">
        <v>699</v>
      </c>
      <c r="AL57" s="425"/>
      <c r="AM57" s="425"/>
      <c r="AN57" s="425"/>
      <c r="AO57" s="425"/>
      <c r="AP57" s="425"/>
      <c r="AQ57" s="42"/>
      <c r="AR57" s="43"/>
      <c r="AS57" s="43"/>
      <c r="AT57" s="43"/>
      <c r="AU57" s="43"/>
      <c r="AV57" s="43"/>
      <c r="AW57" s="43"/>
      <c r="AX57" s="43"/>
      <c r="AY57" s="43"/>
      <c r="AZ57" s="43"/>
      <c r="BH57" s="50"/>
      <c r="BI57" s="51"/>
    </row>
    <row r="58" spans="1:61" ht="18" customHeight="1">
      <c r="A58" s="36"/>
      <c r="B58" s="404"/>
      <c r="C58" s="404"/>
      <c r="D58" s="404"/>
      <c r="E58" s="404"/>
      <c r="F58" s="288"/>
      <c r="G58" s="288"/>
      <c r="H58" s="288"/>
      <c r="I58" s="288"/>
      <c r="J58" s="288"/>
      <c r="K58" s="288"/>
      <c r="L58" s="288"/>
      <c r="M58" s="288"/>
      <c r="N58" s="288"/>
      <c r="O58" s="288"/>
      <c r="P58" s="288"/>
      <c r="Q58" s="288"/>
      <c r="R58" s="288"/>
      <c r="S58" s="288"/>
      <c r="T58" s="288"/>
      <c r="U58" s="288"/>
      <c r="V58" s="288"/>
      <c r="W58" s="288"/>
      <c r="X58" s="288"/>
      <c r="Y58" s="288"/>
      <c r="Z58" s="288"/>
      <c r="AA58" s="288"/>
      <c r="AB58" s="288"/>
      <c r="AC58" s="288"/>
      <c r="AD58" s="288"/>
      <c r="AE58" s="288"/>
      <c r="AF58" s="288"/>
      <c r="AG58" s="288"/>
      <c r="AH58" s="288"/>
      <c r="AI58" s="289"/>
      <c r="AK58" s="425" t="s">
        <v>700</v>
      </c>
      <c r="AL58" s="425"/>
      <c r="AM58" s="425"/>
      <c r="AN58" s="425"/>
      <c r="AO58" s="425"/>
      <c r="AP58" s="425"/>
      <c r="AQ58" s="42"/>
      <c r="AR58" s="43"/>
      <c r="AS58" s="43"/>
      <c r="AT58" s="43"/>
      <c r="AU58" s="43"/>
      <c r="AV58" s="43"/>
      <c r="AW58" s="43"/>
      <c r="AX58" s="43"/>
      <c r="AY58" s="43"/>
      <c r="AZ58" s="43"/>
      <c r="BH58" s="50"/>
      <c r="BI58" s="51"/>
    </row>
    <row r="59" spans="1:61" ht="18" customHeight="1">
      <c r="A59" s="36"/>
      <c r="B59" s="404"/>
      <c r="C59" s="404"/>
      <c r="D59" s="404"/>
      <c r="E59" s="404"/>
      <c r="F59" s="288"/>
      <c r="G59" s="288"/>
      <c r="H59" s="288"/>
      <c r="I59" s="288"/>
      <c r="J59" s="288"/>
      <c r="K59" s="288"/>
      <c r="L59" s="288"/>
      <c r="M59" s="288"/>
      <c r="N59" s="288"/>
      <c r="O59" s="288"/>
      <c r="P59" s="288"/>
      <c r="Q59" s="288"/>
      <c r="R59" s="288"/>
      <c r="S59" s="288"/>
      <c r="T59" s="288"/>
      <c r="U59" s="288"/>
      <c r="V59" s="288"/>
      <c r="W59" s="288"/>
      <c r="X59" s="288"/>
      <c r="Y59" s="288"/>
      <c r="Z59" s="288"/>
      <c r="AA59" s="288"/>
      <c r="AB59" s="288"/>
      <c r="AC59" s="288"/>
      <c r="AD59" s="288"/>
      <c r="AE59" s="288"/>
      <c r="AF59" s="288"/>
      <c r="AG59" s="288"/>
      <c r="AH59" s="288"/>
      <c r="AI59" s="289"/>
      <c r="AK59" s="425" t="s">
        <v>701</v>
      </c>
      <c r="AL59" s="425"/>
      <c r="AM59" s="425"/>
      <c r="AN59" s="425"/>
      <c r="AO59" s="425"/>
      <c r="AP59" s="425"/>
      <c r="AQ59" s="42"/>
      <c r="AR59" s="43"/>
      <c r="AS59" s="43"/>
      <c r="AT59" s="43"/>
      <c r="AU59" s="43"/>
      <c r="AV59" s="43"/>
      <c r="AW59" s="43"/>
      <c r="AX59" s="43"/>
      <c r="AY59" s="43"/>
      <c r="AZ59" s="43"/>
      <c r="BH59" s="50"/>
      <c r="BI59" s="51"/>
    </row>
    <row r="60" spans="1:61" ht="18" customHeight="1">
      <c r="A60" s="36"/>
      <c r="B60" s="404"/>
      <c r="C60" s="404"/>
      <c r="D60" s="404"/>
      <c r="E60" s="404"/>
      <c r="F60" s="288"/>
      <c r="G60" s="288"/>
      <c r="H60" s="288"/>
      <c r="I60" s="288"/>
      <c r="J60" s="288"/>
      <c r="K60" s="288"/>
      <c r="L60" s="288"/>
      <c r="M60" s="288"/>
      <c r="N60" s="288"/>
      <c r="O60" s="288"/>
      <c r="P60" s="288"/>
      <c r="Q60" s="288"/>
      <c r="R60" s="288"/>
      <c r="S60" s="288"/>
      <c r="T60" s="288"/>
      <c r="U60" s="288"/>
      <c r="V60" s="288"/>
      <c r="W60" s="288"/>
      <c r="X60" s="288"/>
      <c r="Y60" s="288"/>
      <c r="Z60" s="288"/>
      <c r="AA60" s="288"/>
      <c r="AB60" s="288"/>
      <c r="AC60" s="288"/>
      <c r="AD60" s="288"/>
      <c r="AE60" s="288"/>
      <c r="AF60" s="288"/>
      <c r="AG60" s="288"/>
      <c r="AH60" s="288"/>
      <c r="AI60" s="289"/>
      <c r="AK60" s="425" t="s">
        <v>702</v>
      </c>
      <c r="AL60" s="425"/>
      <c r="AM60" s="425"/>
      <c r="AN60" s="425"/>
      <c r="AO60" s="425"/>
      <c r="AP60" s="425"/>
      <c r="AQ60" s="42"/>
      <c r="AR60" s="43"/>
      <c r="AS60" s="43"/>
      <c r="AT60" s="43"/>
      <c r="AU60" s="43"/>
      <c r="AV60" s="43"/>
      <c r="AW60" s="43"/>
      <c r="AX60" s="43"/>
      <c r="AY60" s="43"/>
      <c r="AZ60" s="43"/>
      <c r="BH60" s="52"/>
      <c r="BI60" s="51"/>
    </row>
    <row r="61" spans="1:61" ht="18" customHeight="1">
      <c r="A61" s="36"/>
      <c r="B61" s="404"/>
      <c r="C61" s="404"/>
      <c r="D61" s="404"/>
      <c r="E61" s="404"/>
      <c r="F61" s="288"/>
      <c r="G61" s="288"/>
      <c r="H61" s="288"/>
      <c r="I61" s="288"/>
      <c r="J61" s="288"/>
      <c r="K61" s="288"/>
      <c r="L61" s="288"/>
      <c r="M61" s="288"/>
      <c r="N61" s="288"/>
      <c r="O61" s="288"/>
      <c r="P61" s="288"/>
      <c r="Q61" s="288"/>
      <c r="R61" s="288"/>
      <c r="S61" s="288"/>
      <c r="T61" s="288"/>
      <c r="U61" s="288"/>
      <c r="V61" s="288"/>
      <c r="W61" s="288"/>
      <c r="X61" s="288"/>
      <c r="Y61" s="288"/>
      <c r="Z61" s="288"/>
      <c r="AA61" s="288"/>
      <c r="AB61" s="288"/>
      <c r="AC61" s="288"/>
      <c r="AD61" s="288"/>
      <c r="AE61" s="288"/>
      <c r="AF61" s="288"/>
      <c r="AG61" s="288"/>
      <c r="AH61" s="288"/>
      <c r="AI61" s="289"/>
      <c r="AK61" s="425" t="s">
        <v>703</v>
      </c>
      <c r="AL61" s="425"/>
      <c r="AM61" s="425"/>
      <c r="AN61" s="425"/>
      <c r="AO61" s="425"/>
      <c r="AP61" s="425"/>
      <c r="AQ61" s="42"/>
      <c r="AR61" s="43"/>
      <c r="AS61" s="43"/>
      <c r="AT61" s="43"/>
      <c r="AU61" s="43"/>
      <c r="AV61" s="43"/>
      <c r="AW61" s="43"/>
      <c r="AX61" s="43"/>
      <c r="AY61" s="43"/>
      <c r="AZ61" s="43"/>
      <c r="BH61" s="50"/>
      <c r="BI61" s="51"/>
    </row>
    <row r="62" spans="1:61" ht="18" customHeight="1">
      <c r="A62" s="36"/>
      <c r="B62" s="404"/>
      <c r="C62" s="404"/>
      <c r="D62" s="404"/>
      <c r="E62" s="404"/>
      <c r="F62" s="288"/>
      <c r="G62" s="288"/>
      <c r="H62" s="288"/>
      <c r="I62" s="288"/>
      <c r="J62" s="288"/>
      <c r="K62" s="288"/>
      <c r="L62" s="288"/>
      <c r="M62" s="288"/>
      <c r="N62" s="288"/>
      <c r="O62" s="288"/>
      <c r="P62" s="288"/>
      <c r="Q62" s="288"/>
      <c r="R62" s="288"/>
      <c r="S62" s="288"/>
      <c r="T62" s="288"/>
      <c r="U62" s="288"/>
      <c r="V62" s="288"/>
      <c r="W62" s="288"/>
      <c r="X62" s="288"/>
      <c r="Y62" s="288"/>
      <c r="Z62" s="288"/>
      <c r="AA62" s="288"/>
      <c r="AB62" s="288"/>
      <c r="AC62" s="288"/>
      <c r="AD62" s="288"/>
      <c r="AE62" s="288"/>
      <c r="AF62" s="288"/>
      <c r="AG62" s="288"/>
      <c r="AH62" s="288"/>
      <c r="AI62" s="289"/>
      <c r="AK62" s="425"/>
      <c r="AL62" s="425"/>
      <c r="AM62" s="425"/>
      <c r="AN62" s="425"/>
      <c r="AO62" s="425"/>
      <c r="AP62" s="425"/>
      <c r="AQ62" s="42"/>
      <c r="AR62" s="43"/>
      <c r="AS62" s="43"/>
      <c r="AT62" s="43"/>
      <c r="AU62" s="43"/>
      <c r="AV62" s="43"/>
      <c r="AW62" s="43"/>
      <c r="AX62" s="43"/>
      <c r="AY62" s="43"/>
      <c r="AZ62" s="43"/>
      <c r="BH62" s="50"/>
      <c r="BI62" s="51"/>
    </row>
    <row r="63" spans="1:61" ht="18" customHeight="1">
      <c r="A63" s="36"/>
      <c r="B63" s="404"/>
      <c r="C63" s="404"/>
      <c r="D63" s="404"/>
      <c r="E63" s="404"/>
      <c r="F63" s="288"/>
      <c r="G63" s="288"/>
      <c r="H63" s="288"/>
      <c r="I63" s="288"/>
      <c r="J63" s="288"/>
      <c r="K63" s="288"/>
      <c r="L63" s="288"/>
      <c r="M63" s="288"/>
      <c r="N63" s="288"/>
      <c r="O63" s="288"/>
      <c r="P63" s="288"/>
      <c r="Q63" s="288"/>
      <c r="R63" s="288"/>
      <c r="S63" s="288"/>
      <c r="T63" s="288"/>
      <c r="U63" s="288"/>
      <c r="V63" s="288"/>
      <c r="W63" s="288"/>
      <c r="X63" s="288"/>
      <c r="Y63" s="288"/>
      <c r="Z63" s="288"/>
      <c r="AA63" s="288"/>
      <c r="AB63" s="288"/>
      <c r="AC63" s="288"/>
      <c r="AD63" s="288"/>
      <c r="AE63" s="288"/>
      <c r="AF63" s="288"/>
      <c r="AG63" s="288"/>
      <c r="AH63" s="288"/>
      <c r="AI63" s="289"/>
      <c r="AK63" s="425"/>
      <c r="AL63" s="425"/>
      <c r="AM63" s="425"/>
      <c r="AN63" s="425"/>
      <c r="AO63" s="425"/>
      <c r="AP63" s="425"/>
      <c r="AQ63" s="42"/>
      <c r="AR63" s="43"/>
      <c r="AS63" s="43"/>
      <c r="AT63" s="43"/>
      <c r="AU63" s="43"/>
      <c r="AV63" s="43"/>
      <c r="AW63" s="43"/>
      <c r="AX63" s="43"/>
      <c r="AY63" s="43"/>
      <c r="AZ63" s="43"/>
      <c r="BH63" s="52"/>
      <c r="BI63" s="51"/>
    </row>
    <row r="64" spans="1:61" ht="18" customHeight="1">
      <c r="A64" s="36"/>
      <c r="B64" s="404"/>
      <c r="C64" s="404"/>
      <c r="D64" s="404"/>
      <c r="E64" s="404"/>
      <c r="F64" s="288"/>
      <c r="G64" s="288"/>
      <c r="H64" s="288"/>
      <c r="I64" s="288"/>
      <c r="J64" s="288"/>
      <c r="K64" s="288"/>
      <c r="L64" s="288"/>
      <c r="M64" s="288"/>
      <c r="N64" s="288"/>
      <c r="O64" s="288"/>
      <c r="P64" s="288"/>
      <c r="Q64" s="288"/>
      <c r="R64" s="288"/>
      <c r="S64" s="288"/>
      <c r="T64" s="288"/>
      <c r="U64" s="288"/>
      <c r="V64" s="288"/>
      <c r="W64" s="288"/>
      <c r="X64" s="288"/>
      <c r="Y64" s="288"/>
      <c r="Z64" s="288"/>
      <c r="AA64" s="288"/>
      <c r="AB64" s="288"/>
      <c r="AC64" s="288"/>
      <c r="AD64" s="288"/>
      <c r="AE64" s="288"/>
      <c r="AF64" s="288"/>
      <c r="AG64" s="288"/>
      <c r="AH64" s="288"/>
      <c r="AI64" s="289"/>
      <c r="AK64" s="425"/>
      <c r="AL64" s="425"/>
      <c r="AM64" s="425"/>
      <c r="AN64" s="425"/>
      <c r="AO64" s="425"/>
      <c r="AP64" s="425"/>
      <c r="AQ64" s="42"/>
      <c r="AR64" s="43"/>
      <c r="AS64" s="43"/>
      <c r="AT64" s="43"/>
      <c r="AU64" s="43"/>
      <c r="AV64" s="43"/>
      <c r="AW64" s="43"/>
      <c r="AX64" s="43"/>
      <c r="AY64" s="43"/>
      <c r="AZ64" s="43"/>
      <c r="BH64" s="52"/>
      <c r="BI64" s="51"/>
    </row>
    <row r="65" spans="1:61" ht="18" customHeight="1">
      <c r="A65" s="36"/>
      <c r="B65" s="404"/>
      <c r="C65" s="404"/>
      <c r="D65" s="404"/>
      <c r="E65" s="404"/>
      <c r="F65" s="288"/>
      <c r="G65" s="288"/>
      <c r="H65" s="288"/>
      <c r="I65" s="288"/>
      <c r="J65" s="288"/>
      <c r="K65" s="288"/>
      <c r="L65" s="288"/>
      <c r="M65" s="288"/>
      <c r="N65" s="288"/>
      <c r="O65" s="288"/>
      <c r="P65" s="288"/>
      <c r="Q65" s="288"/>
      <c r="R65" s="288"/>
      <c r="S65" s="288"/>
      <c r="T65" s="288"/>
      <c r="U65" s="288"/>
      <c r="V65" s="288"/>
      <c r="W65" s="288"/>
      <c r="X65" s="288"/>
      <c r="Y65" s="288"/>
      <c r="Z65" s="288"/>
      <c r="AA65" s="288"/>
      <c r="AB65" s="288"/>
      <c r="AC65" s="288"/>
      <c r="AD65" s="288"/>
      <c r="AE65" s="288"/>
      <c r="AF65" s="288"/>
      <c r="AG65" s="288"/>
      <c r="AH65" s="288"/>
      <c r="AI65" s="289"/>
      <c r="AK65" s="425"/>
      <c r="AL65" s="425"/>
      <c r="AM65" s="425"/>
      <c r="AN65" s="425"/>
      <c r="AO65" s="425"/>
      <c r="AP65" s="425"/>
      <c r="AQ65" s="42"/>
      <c r="AR65" s="43"/>
      <c r="AS65" s="43"/>
      <c r="AT65" s="43"/>
      <c r="AU65" s="43"/>
      <c r="AV65" s="43"/>
      <c r="AW65" s="43"/>
      <c r="AX65" s="43"/>
      <c r="AY65" s="43"/>
      <c r="AZ65" s="43"/>
      <c r="BH65" s="50"/>
      <c r="BI65" s="51"/>
    </row>
    <row r="66" spans="1:61" ht="18" customHeight="1">
      <c r="A66" s="36"/>
      <c r="B66" s="404"/>
      <c r="C66" s="404"/>
      <c r="D66" s="404"/>
      <c r="E66" s="404"/>
      <c r="F66" s="288"/>
      <c r="G66" s="288"/>
      <c r="H66" s="288"/>
      <c r="I66" s="288"/>
      <c r="J66" s="288"/>
      <c r="K66" s="288"/>
      <c r="L66" s="288"/>
      <c r="M66" s="288"/>
      <c r="N66" s="288"/>
      <c r="O66" s="288"/>
      <c r="P66" s="288"/>
      <c r="Q66" s="288"/>
      <c r="R66" s="288"/>
      <c r="S66" s="288"/>
      <c r="T66" s="288"/>
      <c r="U66" s="288"/>
      <c r="V66" s="288"/>
      <c r="W66" s="288"/>
      <c r="X66" s="288"/>
      <c r="Y66" s="288"/>
      <c r="Z66" s="288"/>
      <c r="AA66" s="288"/>
      <c r="AB66" s="288"/>
      <c r="AC66" s="288"/>
      <c r="AD66" s="288"/>
      <c r="AE66" s="288"/>
      <c r="AF66" s="288"/>
      <c r="AG66" s="288"/>
      <c r="AH66" s="288"/>
      <c r="AI66" s="289"/>
      <c r="AK66" s="425"/>
      <c r="AL66" s="425"/>
      <c r="AM66" s="425"/>
      <c r="AN66" s="425"/>
      <c r="AO66" s="425"/>
      <c r="AP66" s="425"/>
      <c r="AQ66" s="42"/>
      <c r="AR66" s="43"/>
      <c r="AS66" s="43"/>
      <c r="AT66" s="43"/>
      <c r="AU66" s="43"/>
      <c r="AV66" s="43"/>
      <c r="AW66" s="43"/>
      <c r="AX66" s="43"/>
      <c r="AY66" s="43"/>
      <c r="AZ66" s="43"/>
      <c r="BH66" s="50"/>
      <c r="BI66" s="51"/>
    </row>
    <row r="67" spans="1:61" ht="18" customHeight="1">
      <c r="A67" s="36"/>
      <c r="B67" s="404"/>
      <c r="C67" s="404"/>
      <c r="D67" s="404"/>
      <c r="E67" s="404"/>
      <c r="F67" s="288"/>
      <c r="G67" s="288"/>
      <c r="H67" s="288"/>
      <c r="I67" s="288"/>
      <c r="J67" s="288"/>
      <c r="K67" s="288"/>
      <c r="L67" s="288"/>
      <c r="M67" s="288"/>
      <c r="N67" s="288"/>
      <c r="O67" s="288"/>
      <c r="P67" s="288"/>
      <c r="Q67" s="288"/>
      <c r="R67" s="288"/>
      <c r="S67" s="288"/>
      <c r="T67" s="288"/>
      <c r="U67" s="288"/>
      <c r="V67" s="288"/>
      <c r="W67" s="288"/>
      <c r="X67" s="288"/>
      <c r="Y67" s="288"/>
      <c r="Z67" s="288"/>
      <c r="AA67" s="288"/>
      <c r="AB67" s="288"/>
      <c r="AC67" s="288"/>
      <c r="AD67" s="288"/>
      <c r="AE67" s="288"/>
      <c r="AF67" s="288"/>
      <c r="AG67" s="288"/>
      <c r="AH67" s="288"/>
      <c r="AI67" s="289"/>
      <c r="AK67" s="425"/>
      <c r="AL67" s="425"/>
      <c r="AM67" s="425"/>
      <c r="AN67" s="425"/>
      <c r="AO67" s="425"/>
      <c r="AP67" s="425"/>
      <c r="AQ67" s="67"/>
      <c r="AR67" s="43"/>
      <c r="AS67" s="43"/>
      <c r="AT67" s="43"/>
      <c r="AU67" s="43"/>
      <c r="AV67" s="43"/>
      <c r="AW67" s="43"/>
      <c r="AX67" s="43"/>
      <c r="AY67" s="43"/>
      <c r="AZ67" s="43"/>
      <c r="BH67" s="50"/>
      <c r="BI67" s="51"/>
    </row>
    <row r="68" spans="1:61" ht="18" customHeight="1">
      <c r="A68" s="36"/>
      <c r="B68" s="404"/>
      <c r="C68" s="404"/>
      <c r="D68" s="404"/>
      <c r="E68" s="404"/>
      <c r="F68" s="288"/>
      <c r="G68" s="288"/>
      <c r="H68" s="288"/>
      <c r="I68" s="288"/>
      <c r="J68" s="288"/>
      <c r="K68" s="288"/>
      <c r="L68" s="288"/>
      <c r="M68" s="288"/>
      <c r="N68" s="288"/>
      <c r="O68" s="288"/>
      <c r="P68" s="288"/>
      <c r="Q68" s="288"/>
      <c r="R68" s="288"/>
      <c r="S68" s="288"/>
      <c r="T68" s="288"/>
      <c r="U68" s="288"/>
      <c r="V68" s="288"/>
      <c r="W68" s="288"/>
      <c r="X68" s="288"/>
      <c r="Y68" s="288"/>
      <c r="Z68" s="288"/>
      <c r="AA68" s="288"/>
      <c r="AB68" s="288"/>
      <c r="AC68" s="288"/>
      <c r="AD68" s="288"/>
      <c r="AE68" s="288"/>
      <c r="AF68" s="288"/>
      <c r="AG68" s="288"/>
      <c r="AH68" s="288"/>
      <c r="AI68" s="289"/>
      <c r="AK68" s="425"/>
      <c r="AL68" s="425"/>
      <c r="AM68" s="425"/>
      <c r="AN68" s="425"/>
      <c r="AO68" s="425"/>
      <c r="AP68" s="425"/>
      <c r="AQ68" s="67"/>
      <c r="AR68" s="43"/>
      <c r="AS68" s="43"/>
      <c r="AT68" s="43"/>
      <c r="AU68" s="43"/>
      <c r="AV68" s="43"/>
      <c r="AW68" s="43"/>
      <c r="AX68" s="43"/>
      <c r="AY68" s="43"/>
      <c r="AZ68" s="43"/>
      <c r="BH68" s="50"/>
      <c r="BI68" s="51"/>
    </row>
    <row r="69" spans="1:61" ht="18" customHeight="1">
      <c r="A69" s="36"/>
      <c r="B69" s="404"/>
      <c r="C69" s="404"/>
      <c r="D69" s="404"/>
      <c r="E69" s="404"/>
      <c r="F69" s="288"/>
      <c r="G69" s="288"/>
      <c r="H69" s="288"/>
      <c r="I69" s="288"/>
      <c r="J69" s="288"/>
      <c r="K69" s="288"/>
      <c r="L69" s="288"/>
      <c r="M69" s="288"/>
      <c r="N69" s="288"/>
      <c r="O69" s="288"/>
      <c r="P69" s="288"/>
      <c r="Q69" s="288"/>
      <c r="R69" s="288"/>
      <c r="S69" s="288"/>
      <c r="T69" s="288"/>
      <c r="U69" s="288"/>
      <c r="V69" s="288"/>
      <c r="W69" s="288"/>
      <c r="X69" s="288"/>
      <c r="Y69" s="288"/>
      <c r="Z69" s="288"/>
      <c r="AA69" s="288"/>
      <c r="AB69" s="288"/>
      <c r="AC69" s="288"/>
      <c r="AD69" s="288"/>
      <c r="AE69" s="288"/>
      <c r="AF69" s="288"/>
      <c r="AG69" s="288"/>
      <c r="AH69" s="288"/>
      <c r="AI69" s="289"/>
      <c r="AK69" s="425"/>
      <c r="AL69" s="425"/>
      <c r="AM69" s="425"/>
      <c r="AN69" s="425"/>
      <c r="AO69" s="425"/>
      <c r="AP69" s="425"/>
      <c r="AQ69" s="42"/>
      <c r="AR69" s="43"/>
      <c r="AS69" s="43"/>
      <c r="AT69" s="43"/>
      <c r="AU69" s="43"/>
      <c r="AV69" s="43"/>
      <c r="AW69" s="43"/>
      <c r="AX69" s="43"/>
      <c r="AY69" s="43"/>
      <c r="AZ69" s="43"/>
      <c r="BH69" s="50"/>
      <c r="BI69" s="51"/>
    </row>
    <row r="70" spans="1:61" ht="18" customHeight="1">
      <c r="A70" s="36"/>
      <c r="B70" s="404"/>
      <c r="C70" s="404"/>
      <c r="D70" s="404"/>
      <c r="E70" s="404"/>
      <c r="F70" s="288"/>
      <c r="G70" s="288"/>
      <c r="H70" s="288"/>
      <c r="I70" s="288"/>
      <c r="J70" s="288"/>
      <c r="K70" s="288"/>
      <c r="L70" s="288"/>
      <c r="M70" s="288"/>
      <c r="N70" s="288"/>
      <c r="O70" s="288"/>
      <c r="P70" s="288"/>
      <c r="Q70" s="288"/>
      <c r="R70" s="288"/>
      <c r="S70" s="288"/>
      <c r="T70" s="288"/>
      <c r="U70" s="288"/>
      <c r="V70" s="288"/>
      <c r="W70" s="288"/>
      <c r="X70" s="288"/>
      <c r="Y70" s="288"/>
      <c r="Z70" s="288"/>
      <c r="AA70" s="288"/>
      <c r="AB70" s="288"/>
      <c r="AC70" s="288"/>
      <c r="AD70" s="288"/>
      <c r="AE70" s="288"/>
      <c r="AF70" s="288"/>
      <c r="AG70" s="288"/>
      <c r="AH70" s="288"/>
      <c r="AI70" s="289"/>
      <c r="AK70" s="425"/>
      <c r="AL70" s="425"/>
      <c r="AM70" s="425"/>
      <c r="AN70" s="425"/>
      <c r="AO70" s="425"/>
      <c r="AP70" s="425"/>
      <c r="AQ70" s="42"/>
      <c r="AR70" s="43"/>
      <c r="AS70" s="43"/>
      <c r="AT70" s="43"/>
      <c r="AU70" s="43"/>
      <c r="AV70" s="43"/>
      <c r="AW70" s="43"/>
      <c r="AX70" s="43"/>
      <c r="AY70" s="43"/>
      <c r="AZ70" s="43"/>
      <c r="BH70" s="50"/>
      <c r="BI70" s="51"/>
    </row>
    <row r="71" spans="1:61" ht="18" customHeight="1">
      <c r="A71" s="36"/>
      <c r="B71" s="404"/>
      <c r="C71" s="404"/>
      <c r="D71" s="404"/>
      <c r="E71" s="404"/>
      <c r="F71" s="288"/>
      <c r="G71" s="288"/>
      <c r="H71" s="288"/>
      <c r="I71" s="288"/>
      <c r="J71" s="288"/>
      <c r="K71" s="288"/>
      <c r="L71" s="288"/>
      <c r="M71" s="288"/>
      <c r="N71" s="288"/>
      <c r="O71" s="288"/>
      <c r="P71" s="288"/>
      <c r="Q71" s="288"/>
      <c r="R71" s="288"/>
      <c r="S71" s="288"/>
      <c r="T71" s="288"/>
      <c r="U71" s="288"/>
      <c r="V71" s="288"/>
      <c r="W71" s="288"/>
      <c r="X71" s="288"/>
      <c r="Y71" s="288"/>
      <c r="Z71" s="288"/>
      <c r="AA71" s="288"/>
      <c r="AB71" s="288"/>
      <c r="AC71" s="288"/>
      <c r="AD71" s="288"/>
      <c r="AE71" s="288"/>
      <c r="AF71" s="288"/>
      <c r="AG71" s="288"/>
      <c r="AH71" s="288"/>
      <c r="AI71" s="289"/>
      <c r="AK71" s="425"/>
      <c r="AL71" s="425"/>
      <c r="AM71" s="425"/>
      <c r="AN71" s="425"/>
      <c r="AO71" s="425"/>
      <c r="AP71" s="425"/>
      <c r="AQ71" s="42"/>
      <c r="AR71" s="43"/>
      <c r="AS71" s="43"/>
      <c r="AT71" s="43"/>
      <c r="AU71" s="43"/>
      <c r="AV71" s="43"/>
      <c r="AW71" s="43"/>
      <c r="AX71" s="43"/>
      <c r="AY71" s="43"/>
      <c r="AZ71" s="43"/>
      <c r="BH71" s="52"/>
      <c r="BI71" s="51"/>
    </row>
    <row r="72" spans="1:61" ht="18" customHeight="1">
      <c r="A72" s="36"/>
      <c r="B72" s="404"/>
      <c r="C72" s="404"/>
      <c r="D72" s="404"/>
      <c r="E72" s="404"/>
      <c r="F72" s="288"/>
      <c r="G72" s="288"/>
      <c r="H72" s="288"/>
      <c r="I72" s="288"/>
      <c r="J72" s="288"/>
      <c r="K72" s="288"/>
      <c r="L72" s="288"/>
      <c r="M72" s="288"/>
      <c r="N72" s="288"/>
      <c r="O72" s="288"/>
      <c r="P72" s="288"/>
      <c r="Q72" s="288"/>
      <c r="R72" s="288"/>
      <c r="S72" s="288"/>
      <c r="T72" s="288"/>
      <c r="U72" s="288"/>
      <c r="V72" s="288"/>
      <c r="W72" s="288"/>
      <c r="X72" s="288"/>
      <c r="Y72" s="288"/>
      <c r="Z72" s="288"/>
      <c r="AA72" s="288"/>
      <c r="AB72" s="288"/>
      <c r="AC72" s="288"/>
      <c r="AD72" s="288"/>
      <c r="AE72" s="288"/>
      <c r="AF72" s="288"/>
      <c r="AG72" s="288"/>
      <c r="AH72" s="288"/>
      <c r="AI72" s="289"/>
      <c r="AK72" s="425"/>
      <c r="AL72" s="425"/>
      <c r="AM72" s="425"/>
      <c r="AN72" s="425"/>
      <c r="AO72" s="425"/>
      <c r="AP72" s="425"/>
      <c r="AQ72" s="42"/>
      <c r="AR72" s="43"/>
      <c r="AS72" s="43"/>
      <c r="AT72" s="43"/>
      <c r="AU72" s="43"/>
      <c r="AV72" s="43"/>
      <c r="AW72" s="43"/>
      <c r="AX72" s="43"/>
      <c r="AY72" s="43"/>
      <c r="AZ72" s="43"/>
      <c r="BH72" s="53"/>
      <c r="BI72" s="51"/>
    </row>
    <row r="73" spans="1:61" ht="18" customHeight="1">
      <c r="A73" s="36"/>
      <c r="B73" s="404"/>
      <c r="C73" s="404"/>
      <c r="D73" s="404"/>
      <c r="E73" s="404"/>
      <c r="F73" s="288"/>
      <c r="G73" s="288"/>
      <c r="H73" s="288"/>
      <c r="I73" s="288"/>
      <c r="J73" s="288"/>
      <c r="K73" s="288"/>
      <c r="L73" s="288"/>
      <c r="M73" s="288"/>
      <c r="N73" s="288"/>
      <c r="O73" s="288"/>
      <c r="P73" s="288"/>
      <c r="Q73" s="288"/>
      <c r="R73" s="288"/>
      <c r="S73" s="288"/>
      <c r="T73" s="288"/>
      <c r="U73" s="288"/>
      <c r="V73" s="288"/>
      <c r="W73" s="288"/>
      <c r="X73" s="288"/>
      <c r="Y73" s="288"/>
      <c r="Z73" s="288"/>
      <c r="AA73" s="288"/>
      <c r="AB73" s="288"/>
      <c r="AC73" s="288"/>
      <c r="AD73" s="288"/>
      <c r="AE73" s="288"/>
      <c r="AF73" s="288"/>
      <c r="AG73" s="288"/>
      <c r="AH73" s="288"/>
      <c r="AI73" s="289"/>
      <c r="AK73" s="425"/>
      <c r="AL73" s="425"/>
      <c r="AM73" s="425"/>
      <c r="AN73" s="425"/>
      <c r="AO73" s="425"/>
      <c r="AP73" s="425"/>
      <c r="AQ73" s="42"/>
      <c r="AR73" s="43"/>
      <c r="AS73" s="43"/>
      <c r="AT73" s="43"/>
      <c r="AU73" s="43"/>
      <c r="AV73" s="43"/>
      <c r="AW73" s="43"/>
      <c r="AX73" s="43"/>
      <c r="AY73" s="43"/>
      <c r="AZ73" s="43"/>
      <c r="BH73" s="54"/>
      <c r="BI73" s="51"/>
    </row>
    <row r="74" spans="1:61" ht="18" customHeight="1">
      <c r="A74" s="36"/>
      <c r="B74" s="404"/>
      <c r="C74" s="404"/>
      <c r="D74" s="404"/>
      <c r="E74" s="404"/>
      <c r="F74" s="288"/>
      <c r="G74" s="288"/>
      <c r="H74" s="288"/>
      <c r="I74" s="288"/>
      <c r="J74" s="288"/>
      <c r="K74" s="288"/>
      <c r="L74" s="288"/>
      <c r="M74" s="288"/>
      <c r="N74" s="288"/>
      <c r="O74" s="288"/>
      <c r="P74" s="288"/>
      <c r="Q74" s="288"/>
      <c r="R74" s="288"/>
      <c r="S74" s="288"/>
      <c r="T74" s="288"/>
      <c r="U74" s="288"/>
      <c r="V74" s="288"/>
      <c r="W74" s="288"/>
      <c r="X74" s="288"/>
      <c r="Y74" s="288"/>
      <c r="Z74" s="288"/>
      <c r="AA74" s="288"/>
      <c r="AB74" s="288"/>
      <c r="AC74" s="288"/>
      <c r="AD74" s="288"/>
      <c r="AE74" s="288"/>
      <c r="AF74" s="288"/>
      <c r="AG74" s="288"/>
      <c r="AH74" s="288"/>
      <c r="AI74" s="289"/>
      <c r="AK74" s="425"/>
      <c r="AL74" s="425"/>
      <c r="AM74" s="425"/>
      <c r="AN74" s="425"/>
      <c r="AO74" s="425"/>
      <c r="AP74" s="425"/>
      <c r="AQ74" s="42"/>
      <c r="AR74" s="43"/>
      <c r="AS74" s="43"/>
      <c r="AT74" s="43"/>
      <c r="AU74" s="43"/>
      <c r="AV74" s="43"/>
      <c r="AW74" s="43"/>
      <c r="AX74" s="43"/>
      <c r="AY74" s="43"/>
      <c r="AZ74" s="43"/>
      <c r="BH74" s="54"/>
      <c r="BI74" s="51"/>
    </row>
    <row r="75" spans="1:61" ht="18" customHeight="1">
      <c r="A75" s="36"/>
      <c r="B75" s="404"/>
      <c r="C75" s="404"/>
      <c r="D75" s="404"/>
      <c r="E75" s="404"/>
      <c r="F75" s="288"/>
      <c r="G75" s="288"/>
      <c r="H75" s="288"/>
      <c r="I75" s="288"/>
      <c r="J75" s="288"/>
      <c r="K75" s="288"/>
      <c r="L75" s="288"/>
      <c r="M75" s="288"/>
      <c r="N75" s="288"/>
      <c r="O75" s="288"/>
      <c r="P75" s="288"/>
      <c r="Q75" s="288"/>
      <c r="R75" s="288"/>
      <c r="S75" s="288"/>
      <c r="T75" s="288"/>
      <c r="U75" s="288"/>
      <c r="V75" s="288"/>
      <c r="W75" s="288"/>
      <c r="X75" s="288"/>
      <c r="Y75" s="288"/>
      <c r="Z75" s="288"/>
      <c r="AA75" s="288"/>
      <c r="AB75" s="288"/>
      <c r="AC75" s="288"/>
      <c r="AD75" s="288"/>
      <c r="AE75" s="288"/>
      <c r="AF75" s="288"/>
      <c r="AG75" s="288"/>
      <c r="AH75" s="288"/>
      <c r="AI75" s="289"/>
      <c r="AK75" s="425"/>
      <c r="AL75" s="425"/>
      <c r="AM75" s="425"/>
      <c r="AN75" s="425"/>
      <c r="AO75" s="425"/>
      <c r="AP75" s="425"/>
      <c r="AQ75" s="42"/>
      <c r="AR75" s="43"/>
      <c r="AS75" s="43"/>
      <c r="AT75" s="43"/>
      <c r="AU75" s="43"/>
      <c r="AV75" s="43"/>
      <c r="AW75" s="43"/>
      <c r="AX75" s="43"/>
      <c r="AY75" s="43"/>
      <c r="AZ75" s="43"/>
      <c r="BH75" s="53"/>
      <c r="BI75" s="51"/>
    </row>
    <row r="76" spans="1:61" ht="18" customHeight="1">
      <c r="A76" s="36"/>
      <c r="B76" s="404"/>
      <c r="C76" s="404"/>
      <c r="D76" s="404"/>
      <c r="E76" s="404"/>
      <c r="F76" s="288"/>
      <c r="G76" s="288"/>
      <c r="H76" s="288"/>
      <c r="I76" s="288"/>
      <c r="J76" s="288"/>
      <c r="K76" s="288"/>
      <c r="L76" s="288"/>
      <c r="M76" s="288"/>
      <c r="N76" s="288"/>
      <c r="O76" s="288"/>
      <c r="P76" s="288"/>
      <c r="Q76" s="288"/>
      <c r="R76" s="288"/>
      <c r="S76" s="288"/>
      <c r="T76" s="288"/>
      <c r="U76" s="288"/>
      <c r="V76" s="288"/>
      <c r="W76" s="288"/>
      <c r="X76" s="288"/>
      <c r="Y76" s="288"/>
      <c r="Z76" s="288"/>
      <c r="AA76" s="288"/>
      <c r="AB76" s="288"/>
      <c r="AC76" s="288"/>
      <c r="AD76" s="288"/>
      <c r="AE76" s="288"/>
      <c r="AF76" s="288"/>
      <c r="AG76" s="288"/>
      <c r="AH76" s="288"/>
      <c r="AI76" s="289"/>
      <c r="AK76" s="425"/>
      <c r="AL76" s="425"/>
      <c r="AM76" s="425"/>
      <c r="AN76" s="425"/>
      <c r="AO76" s="425"/>
      <c r="AP76" s="425"/>
      <c r="AQ76" s="42"/>
      <c r="AR76" s="43"/>
      <c r="AS76" s="43"/>
      <c r="AT76" s="43"/>
      <c r="AU76" s="43"/>
      <c r="AV76" s="43"/>
      <c r="AW76" s="43"/>
      <c r="AX76" s="43"/>
      <c r="AY76" s="43"/>
      <c r="AZ76" s="43"/>
      <c r="BH76" s="53"/>
      <c r="BI76" s="51"/>
    </row>
    <row r="77" spans="1:61" ht="18" customHeight="1">
      <c r="A77" s="36"/>
      <c r="B77" s="404"/>
      <c r="C77" s="404"/>
      <c r="D77" s="404"/>
      <c r="E77" s="404"/>
      <c r="F77" s="288"/>
      <c r="G77" s="288"/>
      <c r="H77" s="288"/>
      <c r="I77" s="288"/>
      <c r="J77" s="288"/>
      <c r="K77" s="288"/>
      <c r="L77" s="288"/>
      <c r="M77" s="288"/>
      <c r="N77" s="288"/>
      <c r="O77" s="288"/>
      <c r="P77" s="288"/>
      <c r="Q77" s="288"/>
      <c r="R77" s="288"/>
      <c r="S77" s="288"/>
      <c r="T77" s="288"/>
      <c r="U77" s="288"/>
      <c r="V77" s="288"/>
      <c r="W77" s="288"/>
      <c r="X77" s="288"/>
      <c r="Y77" s="288"/>
      <c r="Z77" s="288"/>
      <c r="AA77" s="288"/>
      <c r="AB77" s="288"/>
      <c r="AC77" s="288"/>
      <c r="AD77" s="288"/>
      <c r="AE77" s="288"/>
      <c r="AF77" s="288"/>
      <c r="AG77" s="288"/>
      <c r="AH77" s="288"/>
      <c r="AI77" s="289"/>
      <c r="AK77" s="425"/>
      <c r="AL77" s="425"/>
      <c r="AM77" s="425"/>
      <c r="AN77" s="425"/>
      <c r="AO77" s="425"/>
      <c r="AP77" s="425"/>
      <c r="AQ77" s="42"/>
      <c r="AR77" s="43"/>
      <c r="AS77" s="43"/>
      <c r="AT77" s="43"/>
      <c r="AU77" s="43"/>
      <c r="AV77" s="43"/>
      <c r="AW77" s="43"/>
      <c r="AX77" s="43"/>
      <c r="AY77" s="43"/>
      <c r="AZ77" s="43"/>
      <c r="BH77" s="54"/>
      <c r="BI77" s="51"/>
    </row>
    <row r="78" spans="1:61" ht="18" customHeight="1">
      <c r="A78" s="36"/>
      <c r="B78" s="404"/>
      <c r="C78" s="404"/>
      <c r="D78" s="404"/>
      <c r="E78" s="404"/>
      <c r="F78" s="288"/>
      <c r="G78" s="288"/>
      <c r="H78" s="288"/>
      <c r="I78" s="288"/>
      <c r="J78" s="288"/>
      <c r="K78" s="288"/>
      <c r="L78" s="288"/>
      <c r="M78" s="288"/>
      <c r="N78" s="288"/>
      <c r="O78" s="288"/>
      <c r="P78" s="288"/>
      <c r="Q78" s="288"/>
      <c r="R78" s="288"/>
      <c r="S78" s="288"/>
      <c r="T78" s="288"/>
      <c r="U78" s="288"/>
      <c r="V78" s="288"/>
      <c r="W78" s="288"/>
      <c r="X78" s="288"/>
      <c r="Y78" s="288"/>
      <c r="Z78" s="288"/>
      <c r="AA78" s="288"/>
      <c r="AB78" s="288"/>
      <c r="AC78" s="288"/>
      <c r="AD78" s="288"/>
      <c r="AE78" s="288"/>
      <c r="AF78" s="288"/>
      <c r="AG78" s="288"/>
      <c r="AH78" s="288"/>
      <c r="AI78" s="289"/>
      <c r="AK78" s="425"/>
      <c r="AL78" s="425"/>
      <c r="AM78" s="425"/>
      <c r="AN78" s="425"/>
      <c r="AO78" s="425"/>
      <c r="AP78" s="425"/>
      <c r="AQ78" s="42"/>
      <c r="AR78" s="43"/>
      <c r="AS78" s="43"/>
      <c r="AT78" s="43"/>
      <c r="AU78" s="43"/>
      <c r="AV78" s="43"/>
      <c r="AW78" s="43"/>
      <c r="AX78" s="43"/>
      <c r="AY78" s="43"/>
      <c r="AZ78" s="43"/>
      <c r="BH78" s="54"/>
      <c r="BI78" s="51"/>
    </row>
    <row r="79" spans="1:61" ht="18" customHeight="1">
      <c r="A79" s="36"/>
      <c r="B79" s="404"/>
      <c r="C79" s="404"/>
      <c r="D79" s="404"/>
      <c r="E79" s="404"/>
      <c r="F79" s="288"/>
      <c r="G79" s="288"/>
      <c r="H79" s="288"/>
      <c r="I79" s="288"/>
      <c r="J79" s="288"/>
      <c r="K79" s="288"/>
      <c r="L79" s="288"/>
      <c r="M79" s="288"/>
      <c r="N79" s="288"/>
      <c r="O79" s="288"/>
      <c r="P79" s="288"/>
      <c r="Q79" s="288"/>
      <c r="R79" s="288"/>
      <c r="S79" s="288"/>
      <c r="T79" s="288"/>
      <c r="U79" s="288"/>
      <c r="V79" s="288"/>
      <c r="W79" s="288"/>
      <c r="X79" s="288"/>
      <c r="Y79" s="288"/>
      <c r="Z79" s="288"/>
      <c r="AA79" s="288"/>
      <c r="AB79" s="288"/>
      <c r="AC79" s="288"/>
      <c r="AD79" s="288"/>
      <c r="AE79" s="288"/>
      <c r="AF79" s="288"/>
      <c r="AG79" s="288"/>
      <c r="AH79" s="288"/>
      <c r="AI79" s="289"/>
      <c r="AK79" s="425"/>
      <c r="AL79" s="425"/>
      <c r="AM79" s="425"/>
      <c r="AN79" s="425"/>
      <c r="AO79" s="425"/>
      <c r="AP79" s="425"/>
      <c r="AQ79" s="42"/>
      <c r="AR79" s="43"/>
      <c r="AS79" s="43"/>
      <c r="AT79" s="43"/>
      <c r="AU79" s="43"/>
      <c r="AV79" s="43"/>
      <c r="AW79" s="43"/>
      <c r="AX79" s="43"/>
      <c r="AY79" s="43"/>
      <c r="AZ79" s="43"/>
      <c r="BH79" s="54"/>
      <c r="BI79" s="51"/>
    </row>
    <row r="80" spans="1:61" ht="18" customHeight="1">
      <c r="A80" s="37"/>
      <c r="B80" s="466"/>
      <c r="C80" s="466"/>
      <c r="D80" s="466"/>
      <c r="E80" s="466"/>
      <c r="F80" s="467"/>
      <c r="G80" s="467"/>
      <c r="H80" s="467"/>
      <c r="I80" s="467"/>
      <c r="J80" s="467"/>
      <c r="K80" s="467"/>
      <c r="L80" s="467"/>
      <c r="M80" s="467"/>
      <c r="N80" s="467"/>
      <c r="O80" s="467"/>
      <c r="P80" s="467"/>
      <c r="Q80" s="467"/>
      <c r="R80" s="467"/>
      <c r="S80" s="467"/>
      <c r="T80" s="467"/>
      <c r="U80" s="467"/>
      <c r="V80" s="467"/>
      <c r="W80" s="467"/>
      <c r="X80" s="467"/>
      <c r="Y80" s="467"/>
      <c r="Z80" s="467"/>
      <c r="AA80" s="467"/>
      <c r="AB80" s="467"/>
      <c r="AC80" s="467"/>
      <c r="AD80" s="467"/>
      <c r="AE80" s="467"/>
      <c r="AF80" s="467"/>
      <c r="AG80" s="467"/>
      <c r="AH80" s="467"/>
      <c r="AI80" s="468"/>
      <c r="AK80" s="425"/>
      <c r="AL80" s="425"/>
      <c r="AM80" s="425"/>
      <c r="AN80" s="425"/>
      <c r="AO80" s="425"/>
      <c r="AP80" s="425"/>
      <c r="AQ80" s="42"/>
      <c r="AR80" s="43"/>
      <c r="AS80" s="43"/>
      <c r="AT80" s="43"/>
      <c r="AU80" s="43"/>
      <c r="AV80" s="43"/>
      <c r="AW80" s="43"/>
      <c r="AX80" s="43"/>
      <c r="AY80" s="43"/>
      <c r="AZ80" s="43"/>
      <c r="BH80" s="54"/>
      <c r="BI80" s="51"/>
    </row>
    <row r="81" spans="1:61" ht="18" customHeight="1">
      <c r="A81" s="406" t="s">
        <v>704</v>
      </c>
      <c r="B81" s="407"/>
      <c r="C81" s="407"/>
      <c r="D81" s="407"/>
      <c r="E81" s="407"/>
      <c r="F81" s="407"/>
      <c r="G81" s="407"/>
      <c r="H81" s="407"/>
      <c r="I81" s="407"/>
      <c r="J81" s="407"/>
      <c r="K81" s="407"/>
      <c r="L81" s="407"/>
      <c r="M81" s="407"/>
      <c r="N81" s="407"/>
      <c r="O81" s="407"/>
      <c r="P81" s="407"/>
      <c r="Q81" s="407"/>
      <c r="R81" s="407"/>
      <c r="S81" s="407"/>
      <c r="T81" s="407"/>
      <c r="U81" s="407"/>
      <c r="V81" s="407"/>
      <c r="W81" s="407"/>
      <c r="X81" s="407"/>
      <c r="Y81" s="407"/>
      <c r="Z81" s="407"/>
      <c r="AA81" s="407"/>
      <c r="AB81" s="407"/>
      <c r="AC81" s="407"/>
      <c r="AD81" s="407"/>
      <c r="AE81" s="407"/>
      <c r="AF81" s="407"/>
      <c r="AG81" s="407"/>
      <c r="AH81" s="407"/>
      <c r="AI81" s="408"/>
      <c r="AK81" s="425"/>
      <c r="AL81" s="425"/>
      <c r="AM81" s="425"/>
      <c r="AN81" s="425"/>
      <c r="AO81" s="425"/>
      <c r="AP81" s="425"/>
      <c r="AQ81" s="42"/>
      <c r="AR81" s="43"/>
      <c r="AS81" s="43"/>
      <c r="AT81" s="43"/>
      <c r="AU81" s="43"/>
      <c r="AV81" s="43"/>
      <c r="AW81" s="43"/>
      <c r="AX81" s="43"/>
      <c r="AY81" s="43"/>
      <c r="AZ81" s="43"/>
      <c r="BH81" s="53"/>
      <c r="BI81" s="51"/>
    </row>
    <row r="82" spans="1:61" ht="18" customHeight="1">
      <c r="A82" s="38"/>
      <c r="B82" s="465">
        <v>45644</v>
      </c>
      <c r="C82" s="465"/>
      <c r="D82" s="465"/>
      <c r="E82" s="465"/>
      <c r="F82" s="288" t="s">
        <v>837</v>
      </c>
      <c r="G82" s="288"/>
      <c r="H82" s="288"/>
      <c r="I82" s="288"/>
      <c r="J82" s="288"/>
      <c r="K82" s="288"/>
      <c r="L82" s="288"/>
      <c r="M82" s="288"/>
      <c r="N82" s="288"/>
      <c r="O82" s="288"/>
      <c r="P82" s="288"/>
      <c r="Q82" s="288"/>
      <c r="R82" s="288"/>
      <c r="S82" s="288"/>
      <c r="T82" s="288"/>
      <c r="U82" s="288"/>
      <c r="V82" s="288"/>
      <c r="W82" s="288"/>
      <c r="X82" s="288"/>
      <c r="Y82" s="288"/>
      <c r="Z82" s="288"/>
      <c r="AA82" s="288"/>
      <c r="AB82" s="288"/>
      <c r="AC82" s="288"/>
      <c r="AD82" s="288"/>
      <c r="AE82" s="288"/>
      <c r="AF82" s="288"/>
      <c r="AG82" s="288"/>
      <c r="AH82" s="288"/>
      <c r="AI82" s="289"/>
      <c r="AK82" s="425"/>
      <c r="AL82" s="425"/>
      <c r="AM82" s="425"/>
      <c r="AN82" s="425"/>
      <c r="AO82" s="425"/>
      <c r="AP82" s="425"/>
      <c r="AQ82" s="42"/>
      <c r="AR82" s="43"/>
      <c r="AS82" s="43"/>
      <c r="AT82" s="43"/>
      <c r="AU82" s="43"/>
      <c r="AV82" s="43"/>
      <c r="AW82" s="43"/>
      <c r="AX82" s="43"/>
      <c r="AY82" s="43"/>
      <c r="AZ82" s="43"/>
      <c r="BH82" s="53"/>
      <c r="BI82" s="51"/>
    </row>
    <row r="83" spans="1:61" ht="18" customHeight="1">
      <c r="A83" s="38"/>
      <c r="B83" s="465">
        <v>46160</v>
      </c>
      <c r="C83" s="465"/>
      <c r="D83" s="465"/>
      <c r="E83" s="465"/>
      <c r="F83" s="288" t="s">
        <v>838</v>
      </c>
      <c r="G83" s="288"/>
      <c r="H83" s="288"/>
      <c r="I83" s="288"/>
      <c r="J83" s="288"/>
      <c r="K83" s="288"/>
      <c r="L83" s="288"/>
      <c r="M83" s="288"/>
      <c r="N83" s="288"/>
      <c r="O83" s="288"/>
      <c r="P83" s="288"/>
      <c r="Q83" s="288"/>
      <c r="R83" s="288"/>
      <c r="S83" s="288"/>
      <c r="T83" s="288"/>
      <c r="U83" s="288"/>
      <c r="V83" s="288"/>
      <c r="W83" s="288"/>
      <c r="X83" s="288"/>
      <c r="Y83" s="288"/>
      <c r="Z83" s="288"/>
      <c r="AA83" s="288"/>
      <c r="AB83" s="288"/>
      <c r="AC83" s="288"/>
      <c r="AD83" s="288"/>
      <c r="AE83" s="288"/>
      <c r="AF83" s="288"/>
      <c r="AG83" s="288"/>
      <c r="AH83" s="288"/>
      <c r="AI83" s="289"/>
      <c r="AK83" s="425"/>
      <c r="AL83" s="425"/>
      <c r="AM83" s="425"/>
      <c r="AN83" s="425"/>
      <c r="AO83" s="425"/>
      <c r="AP83" s="425"/>
      <c r="AQ83" s="42"/>
      <c r="AR83" s="43"/>
      <c r="AS83" s="43"/>
      <c r="AT83" s="43"/>
      <c r="AU83" s="43"/>
      <c r="AV83" s="43"/>
      <c r="AW83" s="43"/>
      <c r="AX83" s="43"/>
      <c r="AY83" s="43"/>
      <c r="AZ83" s="43"/>
      <c r="BH83" s="53"/>
      <c r="BI83" s="51"/>
    </row>
    <row r="84" spans="1:61" ht="18" customHeight="1">
      <c r="A84" s="38"/>
      <c r="B84" s="465"/>
      <c r="C84" s="465"/>
      <c r="D84" s="465"/>
      <c r="E84" s="465"/>
      <c r="F84" s="288"/>
      <c r="G84" s="288"/>
      <c r="H84" s="288"/>
      <c r="I84" s="288"/>
      <c r="J84" s="288"/>
      <c r="K84" s="288"/>
      <c r="L84" s="288"/>
      <c r="M84" s="288"/>
      <c r="N84" s="288"/>
      <c r="O84" s="288"/>
      <c r="P84" s="288"/>
      <c r="Q84" s="288"/>
      <c r="R84" s="288"/>
      <c r="S84" s="288"/>
      <c r="T84" s="288"/>
      <c r="U84" s="288"/>
      <c r="V84" s="288"/>
      <c r="W84" s="288"/>
      <c r="X84" s="288"/>
      <c r="Y84" s="288"/>
      <c r="Z84" s="288"/>
      <c r="AA84" s="288"/>
      <c r="AB84" s="288"/>
      <c r="AC84" s="288"/>
      <c r="AD84" s="288"/>
      <c r="AE84" s="288"/>
      <c r="AF84" s="288"/>
      <c r="AG84" s="288"/>
      <c r="AH84" s="288"/>
      <c r="AI84" s="289"/>
      <c r="AK84" s="425"/>
      <c r="AL84" s="425"/>
      <c r="AM84" s="425"/>
      <c r="AN84" s="425"/>
      <c r="AO84" s="425"/>
      <c r="AP84" s="425"/>
      <c r="AQ84" s="42"/>
      <c r="AR84" s="43"/>
      <c r="AS84" s="43"/>
      <c r="AT84" s="43"/>
      <c r="AU84" s="43"/>
      <c r="AV84" s="43"/>
      <c r="AW84" s="43"/>
      <c r="AX84" s="43"/>
      <c r="AY84" s="43"/>
      <c r="AZ84" s="43"/>
    </row>
    <row r="85" spans="1:61" ht="18" customHeight="1">
      <c r="A85" s="38"/>
      <c r="B85" s="465"/>
      <c r="C85" s="465"/>
      <c r="D85" s="465"/>
      <c r="E85" s="465"/>
      <c r="F85" s="288"/>
      <c r="G85" s="288"/>
      <c r="H85" s="288"/>
      <c r="I85" s="288"/>
      <c r="J85" s="288"/>
      <c r="K85" s="288"/>
      <c r="L85" s="288"/>
      <c r="M85" s="288"/>
      <c r="N85" s="288"/>
      <c r="O85" s="288"/>
      <c r="P85" s="288"/>
      <c r="Q85" s="288"/>
      <c r="R85" s="288"/>
      <c r="S85" s="288"/>
      <c r="T85" s="288"/>
      <c r="U85" s="288"/>
      <c r="V85" s="288"/>
      <c r="W85" s="288"/>
      <c r="X85" s="288"/>
      <c r="Y85" s="288"/>
      <c r="Z85" s="288"/>
      <c r="AA85" s="288"/>
      <c r="AB85" s="288"/>
      <c r="AC85" s="288"/>
      <c r="AD85" s="288"/>
      <c r="AE85" s="288"/>
      <c r="AF85" s="288"/>
      <c r="AG85" s="288"/>
      <c r="AH85" s="288"/>
      <c r="AI85" s="289"/>
      <c r="AK85" s="425"/>
      <c r="AL85" s="425"/>
      <c r="AM85" s="425"/>
      <c r="AN85" s="425"/>
      <c r="AO85" s="425"/>
      <c r="AP85" s="425"/>
      <c r="AQ85" s="42"/>
      <c r="AR85" s="43"/>
      <c r="AS85" s="43"/>
      <c r="AT85" s="43"/>
      <c r="AU85" s="43"/>
      <c r="AV85" s="43"/>
      <c r="AW85" s="43"/>
      <c r="AX85" s="43"/>
      <c r="AY85" s="43"/>
      <c r="AZ85" s="43"/>
    </row>
    <row r="86" spans="1:61" ht="18" customHeight="1" thickBot="1">
      <c r="A86" s="41"/>
      <c r="B86" s="540"/>
      <c r="C86" s="540"/>
      <c r="D86" s="540"/>
      <c r="E86" s="540"/>
      <c r="F86" s="541"/>
      <c r="G86" s="541"/>
      <c r="H86" s="541"/>
      <c r="I86" s="541"/>
      <c r="J86" s="541"/>
      <c r="K86" s="541"/>
      <c r="L86" s="541"/>
      <c r="M86" s="541"/>
      <c r="N86" s="541"/>
      <c r="O86" s="541"/>
      <c r="P86" s="541"/>
      <c r="Q86" s="541"/>
      <c r="R86" s="541"/>
      <c r="S86" s="541"/>
      <c r="T86" s="541"/>
      <c r="U86" s="541"/>
      <c r="V86" s="541"/>
      <c r="W86" s="541"/>
      <c r="X86" s="541"/>
      <c r="Y86" s="541"/>
      <c r="Z86" s="541"/>
      <c r="AA86" s="541"/>
      <c r="AB86" s="541"/>
      <c r="AC86" s="541"/>
      <c r="AD86" s="541"/>
      <c r="AE86" s="541"/>
      <c r="AF86" s="541"/>
      <c r="AG86" s="541"/>
      <c r="AH86" s="541"/>
      <c r="AI86" s="542"/>
      <c r="AK86" s="425"/>
      <c r="AL86" s="425"/>
      <c r="AM86" s="425"/>
      <c r="AN86" s="425"/>
      <c r="AO86" s="425"/>
      <c r="AP86" s="425"/>
      <c r="AQ86" s="42"/>
      <c r="AR86" s="43"/>
      <c r="AS86" s="43"/>
      <c r="AT86" s="43"/>
      <c r="AU86" s="43"/>
      <c r="AV86" s="43"/>
      <c r="AW86" s="43"/>
      <c r="AX86" s="43"/>
      <c r="AY86" s="43"/>
      <c r="AZ86" s="43"/>
    </row>
    <row r="87" spans="1:61" ht="14.1" customHeight="1">
      <c r="AK87" s="438"/>
      <c r="AL87" s="438"/>
      <c r="AM87" s="438"/>
      <c r="AN87" s="438"/>
      <c r="AO87" s="438"/>
      <c r="AP87" s="438"/>
      <c r="AQ87" s="119"/>
    </row>
    <row r="88" spans="1:61" ht="14.1" customHeight="1">
      <c r="AK88" s="437"/>
      <c r="AL88" s="437"/>
      <c r="AM88" s="437"/>
      <c r="AN88" s="437"/>
      <c r="AO88" s="437"/>
      <c r="AP88" s="437"/>
      <c r="AQ88" s="120"/>
    </row>
    <row r="89" spans="1:61" ht="14.1" customHeight="1">
      <c r="AK89" s="437"/>
      <c r="AL89" s="437"/>
      <c r="AM89" s="437"/>
      <c r="AN89" s="437"/>
      <c r="AO89" s="437"/>
      <c r="AP89" s="437"/>
      <c r="AQ89" s="120"/>
    </row>
    <row r="90" spans="1:61" ht="14.1" customHeight="1"/>
    <row r="91" spans="1:61" ht="14.1" customHeight="1"/>
    <row r="92" spans="1:61" ht="14.1" customHeight="1"/>
    <row r="93" spans="1:61" ht="14.1" customHeight="1"/>
    <row r="94" spans="1:61" ht="14.1" customHeight="1"/>
    <row r="95" spans="1:61" ht="14.1" customHeight="1"/>
    <row r="96" spans="1:61" ht="14.1" customHeight="1"/>
    <row r="97" ht="14.1" customHeight="1"/>
    <row r="98" ht="14.1" customHeight="1"/>
    <row r="99" ht="14.1" customHeight="1"/>
    <row r="100" ht="14.1" customHeight="1"/>
    <row r="101" ht="14.1" customHeight="1"/>
    <row r="102" ht="14.1" customHeight="1"/>
    <row r="103" ht="14.1" customHeight="1"/>
    <row r="104" ht="14.1" customHeight="1"/>
    <row r="105" ht="14.1" customHeight="1"/>
    <row r="106" ht="14.1" customHeight="1"/>
    <row r="107" ht="14.1" customHeight="1"/>
    <row r="108" ht="14.1" customHeight="1"/>
    <row r="109" ht="14.1" customHeight="1"/>
    <row r="110" ht="14.1" customHeight="1"/>
    <row r="111" ht="14.1" customHeight="1"/>
    <row r="112" ht="14.1" customHeight="1"/>
    <row r="113" ht="14.1" customHeight="1"/>
    <row r="114" ht="14.1" customHeight="1"/>
    <row r="115" ht="14.1" customHeight="1"/>
    <row r="116" ht="14.1" customHeight="1"/>
    <row r="117" ht="14.1" customHeight="1"/>
    <row r="118" ht="14.1" customHeight="1"/>
    <row r="119" ht="14.1" customHeight="1"/>
    <row r="120" ht="14.1" customHeight="1"/>
    <row r="121" ht="14.1" customHeight="1"/>
    <row r="122" ht="14.1" customHeight="1"/>
    <row r="123" ht="14.1" customHeight="1"/>
    <row r="124" ht="14.1" customHeight="1"/>
    <row r="125" ht="14.1" customHeight="1"/>
    <row r="126" ht="14.1" customHeight="1"/>
    <row r="127" ht="14.1" customHeight="1"/>
    <row r="128" ht="14.1" customHeight="1"/>
    <row r="129" ht="14.1" customHeight="1"/>
    <row r="130" ht="14.1" customHeight="1"/>
    <row r="131" ht="14.1" customHeight="1"/>
    <row r="132" ht="14.1" customHeight="1"/>
    <row r="133" ht="14.1" customHeight="1"/>
    <row r="134" ht="14.1" customHeight="1"/>
    <row r="135" ht="14.1" customHeight="1"/>
    <row r="136" ht="14.1" customHeight="1"/>
    <row r="137" ht="14.1" customHeight="1"/>
    <row r="138" ht="14.1" customHeight="1"/>
    <row r="139" ht="14.1" customHeight="1"/>
    <row r="140" ht="14.1" customHeight="1"/>
    <row r="141" ht="14.1" customHeight="1"/>
    <row r="142" ht="14.1" customHeight="1"/>
    <row r="143" ht="14.1" customHeight="1"/>
    <row r="144" ht="14.1" customHeight="1"/>
    <row r="145" ht="14.1" customHeight="1"/>
    <row r="146" ht="14.1" customHeight="1"/>
    <row r="147" ht="14.1" customHeight="1"/>
    <row r="148" ht="14.1" customHeight="1"/>
    <row r="149" ht="14.1" customHeight="1"/>
    <row r="150" ht="14.1" customHeight="1"/>
    <row r="151" ht="14.1" customHeight="1"/>
    <row r="152" ht="14.1" customHeight="1"/>
    <row r="153" ht="14.1" customHeight="1"/>
    <row r="154" ht="14.1" customHeight="1"/>
    <row r="155" ht="14.1" customHeight="1"/>
    <row r="156" ht="14.1" customHeight="1"/>
    <row r="157" ht="14.1" customHeight="1"/>
    <row r="158" ht="14.1" customHeight="1"/>
    <row r="159" ht="14.1" customHeight="1"/>
    <row r="160" ht="14.1" customHeight="1"/>
    <row r="161" ht="14.1" customHeight="1"/>
    <row r="162" ht="14.1" customHeight="1"/>
    <row r="163" ht="14.1" customHeight="1"/>
    <row r="164" ht="14.1" customHeight="1"/>
    <row r="165" ht="14.1" customHeight="1"/>
    <row r="166" ht="14.1" customHeight="1"/>
    <row r="167" ht="14.1" customHeight="1"/>
    <row r="168" ht="14.1" customHeight="1"/>
    <row r="169" ht="14.1" customHeight="1"/>
    <row r="170" ht="14.1" customHeight="1"/>
    <row r="171" ht="14.1" customHeight="1"/>
    <row r="172" ht="14.1" customHeight="1"/>
    <row r="173" ht="14.1" customHeight="1"/>
    <row r="174" ht="14.1" customHeight="1"/>
    <row r="175" ht="14.1" customHeight="1"/>
    <row r="176" ht="14.1" customHeight="1"/>
    <row r="177" ht="14.1" customHeight="1"/>
    <row r="178" ht="14.1" customHeight="1"/>
    <row r="179" ht="14.1" customHeight="1"/>
    <row r="180" ht="14.1" customHeight="1"/>
    <row r="181" ht="14.1" customHeight="1"/>
    <row r="182" ht="14.1" customHeight="1"/>
    <row r="183" ht="14.1" customHeight="1"/>
    <row r="184" ht="14.1" customHeight="1"/>
    <row r="185" ht="14.1" customHeight="1"/>
    <row r="186" ht="14.1" customHeight="1"/>
    <row r="187" ht="14.1" customHeight="1"/>
    <row r="188" ht="14.1" customHeight="1"/>
    <row r="189" ht="14.1" customHeight="1"/>
    <row r="190" ht="14.1" customHeight="1"/>
    <row r="191" ht="14.1" customHeight="1"/>
    <row r="192" ht="14.1" customHeight="1"/>
    <row r="193" ht="14.1" customHeight="1"/>
    <row r="194" ht="14.1" customHeight="1"/>
    <row r="195" ht="14.1" customHeight="1"/>
    <row r="196" ht="14.1" customHeight="1"/>
    <row r="197" ht="14.1" customHeight="1"/>
    <row r="198" ht="14.1" customHeight="1"/>
    <row r="199" ht="14.1" customHeight="1"/>
    <row r="200" ht="14.1" customHeight="1"/>
    <row r="201" ht="14.1" customHeight="1"/>
    <row r="202" ht="14.1" customHeight="1"/>
    <row r="203" ht="14.1" customHeight="1"/>
    <row r="204" ht="14.1" customHeight="1"/>
    <row r="205" ht="14.1" customHeight="1"/>
    <row r="206" ht="14.1" customHeight="1"/>
    <row r="207" ht="14.1" customHeight="1"/>
    <row r="208" ht="14.1" customHeight="1"/>
    <row r="209" ht="14.1" customHeight="1"/>
    <row r="210" ht="14.1" customHeight="1"/>
    <row r="211" ht="14.1" customHeight="1"/>
    <row r="212" ht="14.1" customHeight="1"/>
    <row r="213" ht="14.1" customHeight="1"/>
    <row r="214" ht="14.1" customHeight="1"/>
    <row r="215" ht="14.1" customHeight="1"/>
    <row r="216" ht="14.1" customHeight="1"/>
    <row r="217" ht="14.1" customHeight="1"/>
    <row r="218" ht="14.1" customHeight="1"/>
    <row r="219" ht="14.1" customHeight="1"/>
    <row r="220" ht="14.1" customHeight="1"/>
    <row r="221" ht="14.1" customHeight="1"/>
    <row r="222" ht="14.1" customHeight="1"/>
    <row r="223" ht="14.1" customHeight="1"/>
    <row r="224" ht="14.1" customHeight="1"/>
    <row r="225" ht="14.1" customHeight="1"/>
    <row r="226" ht="14.1" customHeight="1"/>
    <row r="227" ht="14.1" customHeight="1"/>
    <row r="228" ht="14.1" customHeight="1"/>
    <row r="229" ht="14.1" customHeight="1"/>
    <row r="230" ht="14.1" customHeight="1"/>
    <row r="231" ht="14.1" customHeight="1"/>
    <row r="232" ht="14.1" customHeight="1"/>
    <row r="233" ht="14.1" customHeight="1"/>
    <row r="234" ht="14.1" customHeight="1"/>
    <row r="235" ht="14.1" customHeight="1"/>
    <row r="236" ht="14.1" customHeight="1"/>
    <row r="237" ht="14.1" customHeight="1"/>
    <row r="238" ht="14.1" customHeight="1"/>
    <row r="239" ht="14.1" customHeight="1"/>
    <row r="240" ht="14.1" customHeight="1"/>
    <row r="241" ht="14.1" customHeight="1"/>
    <row r="242" ht="14.1" customHeight="1"/>
    <row r="243" ht="14.1" customHeight="1"/>
    <row r="244" ht="14.1" customHeight="1"/>
    <row r="245" ht="14.1" customHeight="1"/>
    <row r="246" ht="14.1" customHeight="1"/>
    <row r="247" ht="14.1" customHeight="1"/>
    <row r="248" ht="14.1" customHeight="1"/>
    <row r="249" ht="14.1" customHeight="1"/>
    <row r="250" ht="14.1" customHeight="1"/>
    <row r="251" ht="14.1" customHeight="1"/>
    <row r="252" ht="14.1" customHeight="1"/>
    <row r="253" ht="14.1" customHeight="1"/>
    <row r="254" ht="14.1" customHeight="1"/>
    <row r="255" ht="14.1" customHeight="1"/>
    <row r="256" ht="14.1" customHeight="1"/>
    <row r="257" ht="14.1" customHeight="1"/>
    <row r="258" ht="14.1" customHeight="1"/>
    <row r="259" ht="14.1" customHeight="1"/>
    <row r="260" ht="14.1" customHeight="1"/>
    <row r="261" ht="14.1" customHeight="1"/>
    <row r="262" ht="14.1" customHeight="1"/>
    <row r="263" ht="14.1" customHeight="1"/>
    <row r="264" ht="14.1" customHeight="1"/>
    <row r="265" ht="14.1" customHeight="1"/>
    <row r="266" ht="14.1" customHeight="1"/>
  </sheetData>
  <sheetProtection algorithmName="SHA-512" hashValue="0loLJCJhL4ad+e9W1BFBlntzNt2hf75qC+V2eugpQkoXMOcFlTwiL5DSpVRXAf1cyQ/kgBnOXO/4cSPzCUKn4A==" saltValue="4etb9yyOEqZ9UduJqdtb6g==" spinCount="100000" sheet="1" autoFilter="0"/>
  <mergeCells count="381">
    <mergeCell ref="A1:S3"/>
    <mergeCell ref="T1:Z3"/>
    <mergeCell ref="AD1:AI1"/>
    <mergeCell ref="AD2:AF4"/>
    <mergeCell ref="AG2:AI4"/>
    <mergeCell ref="A4:S5"/>
    <mergeCell ref="AK7:AP8"/>
    <mergeCell ref="AQ7:AQ8"/>
    <mergeCell ref="V8:X8"/>
    <mergeCell ref="A9:AI9"/>
    <mergeCell ref="AK9:AP9"/>
    <mergeCell ref="A10:H10"/>
    <mergeCell ref="I10:J10"/>
    <mergeCell ref="K10:L10"/>
    <mergeCell ref="M10:T10"/>
    <mergeCell ref="U10:V10"/>
    <mergeCell ref="O7:P8"/>
    <mergeCell ref="Q7:R8"/>
    <mergeCell ref="S7:T8"/>
    <mergeCell ref="V7:X7"/>
    <mergeCell ref="Y7:AA8"/>
    <mergeCell ref="AB7:AI8"/>
    <mergeCell ref="A7:E8"/>
    <mergeCell ref="F7:F8"/>
    <mergeCell ref="G7:I8"/>
    <mergeCell ref="J7:J8"/>
    <mergeCell ref="K7:M8"/>
    <mergeCell ref="N7:N8"/>
    <mergeCell ref="W10:X10"/>
    <mergeCell ref="Y10:AF10"/>
    <mergeCell ref="AG10:AH10"/>
    <mergeCell ref="AK10:AP10"/>
    <mergeCell ref="A11:H11"/>
    <mergeCell ref="I11:J11"/>
    <mergeCell ref="K11:L11"/>
    <mergeCell ref="M11:T11"/>
    <mergeCell ref="U11:V11"/>
    <mergeCell ref="W11:X11"/>
    <mergeCell ref="Y11:AF11"/>
    <mergeCell ref="AG11:AH11"/>
    <mergeCell ref="AK11:AP11"/>
    <mergeCell ref="A12:H12"/>
    <mergeCell ref="I12:J12"/>
    <mergeCell ref="K12:L12"/>
    <mergeCell ref="M12:T12"/>
    <mergeCell ref="U12:V12"/>
    <mergeCell ref="W12:X12"/>
    <mergeCell ref="Y12:AF12"/>
    <mergeCell ref="AG12:AH12"/>
    <mergeCell ref="AK12:AP12"/>
    <mergeCell ref="A13:H13"/>
    <mergeCell ref="I13:J13"/>
    <mergeCell ref="K13:L13"/>
    <mergeCell ref="M13:T13"/>
    <mergeCell ref="U13:V13"/>
    <mergeCell ref="W13:X13"/>
    <mergeCell ref="Y13:AF13"/>
    <mergeCell ref="AG13:AH13"/>
    <mergeCell ref="AK13:AP13"/>
    <mergeCell ref="A14:AI14"/>
    <mergeCell ref="AK14:AP14"/>
    <mergeCell ref="B15:I15"/>
    <mergeCell ref="J15:L15"/>
    <mergeCell ref="M15:N15"/>
    <mergeCell ref="O15:V15"/>
    <mergeCell ref="W15:Y15"/>
    <mergeCell ref="Z15:AA15"/>
    <mergeCell ref="AB15:AG15"/>
    <mergeCell ref="A18:E18"/>
    <mergeCell ref="F18:AI18"/>
    <mergeCell ref="AK18:AP18"/>
    <mergeCell ref="B19:E19"/>
    <mergeCell ref="F19:AI19"/>
    <mergeCell ref="AK19:AP19"/>
    <mergeCell ref="AH15:AI15"/>
    <mergeCell ref="AK15:AP15"/>
    <mergeCell ref="A16:AI16"/>
    <mergeCell ref="AK16:AP16"/>
    <mergeCell ref="A17:E17"/>
    <mergeCell ref="F17:AI17"/>
    <mergeCell ref="AK17:AP17"/>
    <mergeCell ref="B20:E20"/>
    <mergeCell ref="F20:AI20"/>
    <mergeCell ref="AK20:AP20"/>
    <mergeCell ref="AR20:AR23"/>
    <mergeCell ref="B21:E21"/>
    <mergeCell ref="F21:AI21"/>
    <mergeCell ref="AK21:AP21"/>
    <mergeCell ref="B22:E22"/>
    <mergeCell ref="F22:AI22"/>
    <mergeCell ref="AK22:AP22"/>
    <mergeCell ref="BA23:BB23"/>
    <mergeCell ref="B24:E24"/>
    <mergeCell ref="F24:AI24"/>
    <mergeCell ref="AK24:AP24"/>
    <mergeCell ref="AY24:AZ24"/>
    <mergeCell ref="BA24:BB24"/>
    <mergeCell ref="AS22:AT22"/>
    <mergeCell ref="AU22:AV22"/>
    <mergeCell ref="AY22:AZ22"/>
    <mergeCell ref="BA22:BB22"/>
    <mergeCell ref="B23:E23"/>
    <mergeCell ref="F23:AI23"/>
    <mergeCell ref="AK23:AP23"/>
    <mergeCell ref="AS23:AT23"/>
    <mergeCell ref="AU23:AV23"/>
    <mergeCell ref="AY23:AZ23"/>
    <mergeCell ref="B27:E27"/>
    <mergeCell ref="F27:AI27"/>
    <mergeCell ref="AK27:AP27"/>
    <mergeCell ref="AS27:AT27"/>
    <mergeCell ref="AU27:AW27"/>
    <mergeCell ref="AY27:BB27"/>
    <mergeCell ref="B25:E25"/>
    <mergeCell ref="F25:AI25"/>
    <mergeCell ref="AK25:AP25"/>
    <mergeCell ref="AY25:AZ25"/>
    <mergeCell ref="BA25:BB25"/>
    <mergeCell ref="B26:E26"/>
    <mergeCell ref="F26:AI26"/>
    <mergeCell ref="AK26:AP26"/>
    <mergeCell ref="AS26:AW26"/>
    <mergeCell ref="BA28:BB28"/>
    <mergeCell ref="B29:E29"/>
    <mergeCell ref="F29:AI29"/>
    <mergeCell ref="AK29:AP29"/>
    <mergeCell ref="AS29:AT29"/>
    <mergeCell ref="AU29:AW29"/>
    <mergeCell ref="AY29:AZ29"/>
    <mergeCell ref="BA29:BB29"/>
    <mergeCell ref="B28:E28"/>
    <mergeCell ref="F28:AI28"/>
    <mergeCell ref="AK28:AP28"/>
    <mergeCell ref="AS28:AT28"/>
    <mergeCell ref="AU28:AW28"/>
    <mergeCell ref="AY28:AZ28"/>
    <mergeCell ref="A32:AI32"/>
    <mergeCell ref="AK32:AP32"/>
    <mergeCell ref="AS32:AT32"/>
    <mergeCell ref="AU32:AW32"/>
    <mergeCell ref="AY32:AZ32"/>
    <mergeCell ref="BA32:BB32"/>
    <mergeCell ref="BA30:BB30"/>
    <mergeCell ref="B31:E31"/>
    <mergeCell ref="F31:AI31"/>
    <mergeCell ref="AK31:AP31"/>
    <mergeCell ref="AS31:AT31"/>
    <mergeCell ref="AU31:AW31"/>
    <mergeCell ref="AY31:AZ31"/>
    <mergeCell ref="BA31:BB31"/>
    <mergeCell ref="B30:E30"/>
    <mergeCell ref="F30:AI30"/>
    <mergeCell ref="AK30:AP30"/>
    <mergeCell ref="AS30:AT30"/>
    <mergeCell ref="AU30:AW30"/>
    <mergeCell ref="AY30:AZ30"/>
    <mergeCell ref="BA33:BB33"/>
    <mergeCell ref="B34:E34"/>
    <mergeCell ref="F34:AI34"/>
    <mergeCell ref="AK34:AP34"/>
    <mergeCell ref="AS34:AT34"/>
    <mergeCell ref="AU34:AW34"/>
    <mergeCell ref="AY34:AZ34"/>
    <mergeCell ref="BA34:BB34"/>
    <mergeCell ref="B33:E33"/>
    <mergeCell ref="F33:AI33"/>
    <mergeCell ref="AK33:AP33"/>
    <mergeCell ref="AS33:AT33"/>
    <mergeCell ref="AU33:AW33"/>
    <mergeCell ref="AY33:AZ33"/>
    <mergeCell ref="AY35:AZ35"/>
    <mergeCell ref="BA35:BB35"/>
    <mergeCell ref="A36:E36"/>
    <mergeCell ref="F36:K36"/>
    <mergeCell ref="L36:O36"/>
    <mergeCell ref="P36:R36"/>
    <mergeCell ref="T36:V36"/>
    <mergeCell ref="W36:AB36"/>
    <mergeCell ref="AC36:AI36"/>
    <mergeCell ref="B35:E35"/>
    <mergeCell ref="F35:V35"/>
    <mergeCell ref="W35:AB35"/>
    <mergeCell ref="AC35:AI35"/>
    <mergeCell ref="AK35:AP35"/>
    <mergeCell ref="AS35:AT35"/>
    <mergeCell ref="AK36:AP36"/>
    <mergeCell ref="AS36:AT36"/>
    <mergeCell ref="AU36:AW36"/>
    <mergeCell ref="AU35:AW35"/>
    <mergeCell ref="A39:AI39"/>
    <mergeCell ref="AK39:AP39"/>
    <mergeCell ref="AS39:AT39"/>
    <mergeCell ref="AV39:AW39"/>
    <mergeCell ref="A38:E38"/>
    <mergeCell ref="F38:K38"/>
    <mergeCell ref="L38:O38"/>
    <mergeCell ref="P38:V38"/>
    <mergeCell ref="W38:AB38"/>
    <mergeCell ref="AC38:AI38"/>
    <mergeCell ref="AD40:AI40"/>
    <mergeCell ref="A37:E37"/>
    <mergeCell ref="F37:AI37"/>
    <mergeCell ref="AK40:AP40"/>
    <mergeCell ref="AS40:AT40"/>
    <mergeCell ref="AV40:AW40"/>
    <mergeCell ref="A41:D41"/>
    <mergeCell ref="E41:G41"/>
    <mergeCell ref="I41:K41"/>
    <mergeCell ref="L41:R41"/>
    <mergeCell ref="S41:V41"/>
    <mergeCell ref="W41:Y41"/>
    <mergeCell ref="AA41:AC41"/>
    <mergeCell ref="AD41:AI41"/>
    <mergeCell ref="AK41:AP41"/>
    <mergeCell ref="A40:D40"/>
    <mergeCell ref="E40:K40"/>
    <mergeCell ref="L40:R40"/>
    <mergeCell ref="S40:V40"/>
    <mergeCell ref="W40:AC40"/>
    <mergeCell ref="AK37:AP37"/>
    <mergeCell ref="AS37:AT37"/>
    <mergeCell ref="AU37:AW37"/>
    <mergeCell ref="AK38:AP38"/>
    <mergeCell ref="A42:D42"/>
    <mergeCell ref="E42:G42"/>
    <mergeCell ref="I42:K42"/>
    <mergeCell ref="L42:R42"/>
    <mergeCell ref="S42:V42"/>
    <mergeCell ref="W42:Y42"/>
    <mergeCell ref="AA42:AC42"/>
    <mergeCell ref="AK42:AP42"/>
    <mergeCell ref="AS42:AW42"/>
    <mergeCell ref="A43:D43"/>
    <mergeCell ref="E43:G43"/>
    <mergeCell ref="I43:K43"/>
    <mergeCell ref="L43:R43"/>
    <mergeCell ref="S43:V43"/>
    <mergeCell ref="W43:Y43"/>
    <mergeCell ref="AA43:AC43"/>
    <mergeCell ref="A44:D44"/>
    <mergeCell ref="E44:G44"/>
    <mergeCell ref="I44:K44"/>
    <mergeCell ref="L44:R44"/>
    <mergeCell ref="S44:V44"/>
    <mergeCell ref="W44:Y44"/>
    <mergeCell ref="AA44:AC44"/>
    <mergeCell ref="AD44:AI44"/>
    <mergeCell ref="AD42:AI42"/>
    <mergeCell ref="AK44:AP44"/>
    <mergeCell ref="R45:U45"/>
    <mergeCell ref="W45:X45"/>
    <mergeCell ref="Z45:AA45"/>
    <mergeCell ref="AC45:AD45"/>
    <mergeCell ref="AE45:AF45"/>
    <mergeCell ref="AK45:AP45"/>
    <mergeCell ref="AD43:AI43"/>
    <mergeCell ref="AK43:AP43"/>
    <mergeCell ref="B49:E49"/>
    <mergeCell ref="F49:AI49"/>
    <mergeCell ref="AK49:AP49"/>
    <mergeCell ref="B50:E50"/>
    <mergeCell ref="F50:AI50"/>
    <mergeCell ref="AK50:AP50"/>
    <mergeCell ref="A46:AI46"/>
    <mergeCell ref="AK46:AP46"/>
    <mergeCell ref="B47:E47"/>
    <mergeCell ref="F47:AI47"/>
    <mergeCell ref="AK47:AP47"/>
    <mergeCell ref="B48:E48"/>
    <mergeCell ref="F48:AI48"/>
    <mergeCell ref="AK48:AP48"/>
    <mergeCell ref="B53:E53"/>
    <mergeCell ref="F53:AI53"/>
    <mergeCell ref="AK53:AP53"/>
    <mergeCell ref="B54:E54"/>
    <mergeCell ref="F54:AI54"/>
    <mergeCell ref="AK54:AP54"/>
    <mergeCell ref="B51:E51"/>
    <mergeCell ref="F51:AI51"/>
    <mergeCell ref="AK51:AP51"/>
    <mergeCell ref="B52:E52"/>
    <mergeCell ref="F52:AI52"/>
    <mergeCell ref="AK52:AP52"/>
    <mergeCell ref="B57:E57"/>
    <mergeCell ref="F57:AI57"/>
    <mergeCell ref="AK57:AP57"/>
    <mergeCell ref="B58:E58"/>
    <mergeCell ref="F58:AI58"/>
    <mergeCell ref="AK58:AP58"/>
    <mergeCell ref="B55:E55"/>
    <mergeCell ref="F55:AI55"/>
    <mergeCell ref="AK55:AP55"/>
    <mergeCell ref="B56:E56"/>
    <mergeCell ref="F56:AI56"/>
    <mergeCell ref="AK56:AP56"/>
    <mergeCell ref="B61:E61"/>
    <mergeCell ref="F61:AI61"/>
    <mergeCell ref="AK61:AP61"/>
    <mergeCell ref="B62:E62"/>
    <mergeCell ref="F62:AI62"/>
    <mergeCell ref="AK62:AP62"/>
    <mergeCell ref="B59:E59"/>
    <mergeCell ref="F59:AI59"/>
    <mergeCell ref="AK59:AP59"/>
    <mergeCell ref="B60:E60"/>
    <mergeCell ref="F60:AI60"/>
    <mergeCell ref="AK60:AP60"/>
    <mergeCell ref="B65:E65"/>
    <mergeCell ref="F65:AI65"/>
    <mergeCell ref="AK65:AP65"/>
    <mergeCell ref="B66:E66"/>
    <mergeCell ref="F66:AI66"/>
    <mergeCell ref="AK66:AP66"/>
    <mergeCell ref="B63:E63"/>
    <mergeCell ref="F63:AI63"/>
    <mergeCell ref="AK63:AP63"/>
    <mergeCell ref="B64:E64"/>
    <mergeCell ref="F64:AI64"/>
    <mergeCell ref="AK64:AP64"/>
    <mergeCell ref="B69:E69"/>
    <mergeCell ref="F69:AI69"/>
    <mergeCell ref="AK69:AP69"/>
    <mergeCell ref="B70:E70"/>
    <mergeCell ref="F70:AI70"/>
    <mergeCell ref="AK70:AP70"/>
    <mergeCell ref="B67:E67"/>
    <mergeCell ref="F67:AI67"/>
    <mergeCell ref="AK67:AP67"/>
    <mergeCell ref="B68:E68"/>
    <mergeCell ref="F68:AI68"/>
    <mergeCell ref="AK68:AP68"/>
    <mergeCell ref="B73:E73"/>
    <mergeCell ref="F73:AI73"/>
    <mergeCell ref="AK73:AP73"/>
    <mergeCell ref="B74:E74"/>
    <mergeCell ref="F74:AI74"/>
    <mergeCell ref="AK74:AP74"/>
    <mergeCell ref="B71:E71"/>
    <mergeCell ref="F71:AI71"/>
    <mergeCell ref="AK71:AP71"/>
    <mergeCell ref="B72:E72"/>
    <mergeCell ref="F72:AI72"/>
    <mergeCell ref="AK72:AP72"/>
    <mergeCell ref="B77:E77"/>
    <mergeCell ref="F77:AI77"/>
    <mergeCell ref="AK77:AP77"/>
    <mergeCell ref="B78:E78"/>
    <mergeCell ref="F78:AI78"/>
    <mergeCell ref="AK78:AP78"/>
    <mergeCell ref="B75:E75"/>
    <mergeCell ref="F75:AI75"/>
    <mergeCell ref="AK75:AP75"/>
    <mergeCell ref="B76:E76"/>
    <mergeCell ref="F76:AI76"/>
    <mergeCell ref="AK76:AP76"/>
    <mergeCell ref="A81:AI81"/>
    <mergeCell ref="AK81:AP81"/>
    <mergeCell ref="B82:E82"/>
    <mergeCell ref="F82:AI82"/>
    <mergeCell ref="AK82:AP82"/>
    <mergeCell ref="B83:E83"/>
    <mergeCell ref="F83:AI83"/>
    <mergeCell ref="AK83:AP83"/>
    <mergeCell ref="B79:E79"/>
    <mergeCell ref="F79:AI79"/>
    <mergeCell ref="AK79:AP79"/>
    <mergeCell ref="B80:E80"/>
    <mergeCell ref="F80:AI80"/>
    <mergeCell ref="AK80:AP80"/>
    <mergeCell ref="B86:E86"/>
    <mergeCell ref="F86:AI86"/>
    <mergeCell ref="AK86:AP86"/>
    <mergeCell ref="AK87:AP87"/>
    <mergeCell ref="AK88:AP88"/>
    <mergeCell ref="AK89:AP89"/>
    <mergeCell ref="B84:E84"/>
    <mergeCell ref="F84:AI84"/>
    <mergeCell ref="AK84:AP84"/>
    <mergeCell ref="B85:E85"/>
    <mergeCell ref="F85:AI85"/>
    <mergeCell ref="AK85:AP85"/>
  </mergeCells>
  <phoneticPr fontId="2"/>
  <conditionalFormatting sqref="AQ20:AQ28 AQ30:AQ31 AQ9 AQ11:AQ12 AQ14 AQ33:AQ34">
    <cfRule type="containsBlanks" dxfId="59" priority="12">
      <formula>LEN(TRIM(AQ9))=0</formula>
    </cfRule>
  </conditionalFormatting>
  <conditionalFormatting sqref="BC11:CF11">
    <cfRule type="containsText" dxfId="58" priority="8" operator="containsText" text="青">
      <formula>NOT(ISERROR(SEARCH("青",BC11)))</formula>
    </cfRule>
    <cfRule type="containsText" dxfId="57" priority="9" operator="containsText" text="緑">
      <formula>NOT(ISERROR(SEARCH("緑",BC11)))</formula>
    </cfRule>
    <cfRule type="containsText" dxfId="56" priority="10" operator="containsText" text="黄">
      <formula>NOT(ISERROR(SEARCH("黄",BC11)))</formula>
    </cfRule>
    <cfRule type="containsText" dxfId="55" priority="11" operator="containsText" text="赤">
      <formula>NOT(ISERROR(SEARCH("赤",BC11)))</formula>
    </cfRule>
  </conditionalFormatting>
  <conditionalFormatting sqref="V7:X8">
    <cfRule type="containsBlanks" dxfId="54" priority="7">
      <formula>LEN(TRIM(V7))=0</formula>
    </cfRule>
  </conditionalFormatting>
  <conditionalFormatting sqref="AB7:AI8">
    <cfRule type="containsBlanks" dxfId="53" priority="6">
      <formula>LEN(TRIM(AB7))=0</formula>
    </cfRule>
  </conditionalFormatting>
  <conditionalFormatting sqref="A7:E8 G7:I8 K7:M8 O7:P8">
    <cfRule type="containsBlanks" dxfId="52" priority="5">
      <formula>LEN(TRIM(A7))=0</formula>
    </cfRule>
  </conditionalFormatting>
  <conditionalFormatting sqref="W15:Y15 AH15:AI15 J15:L15">
    <cfRule type="containsBlanks" dxfId="51" priority="4">
      <formula>LEN(TRIM(J15))=0</formula>
    </cfRule>
  </conditionalFormatting>
  <conditionalFormatting sqref="L41:R44">
    <cfRule type="cellIs" dxfId="50" priority="1" operator="equal">
      <formula>0</formula>
    </cfRule>
  </conditionalFormatting>
  <conditionalFormatting sqref="P36:R36 T36:V36 L38:O38 AC38:AI38 AC36:AI36">
    <cfRule type="containsBlanks" dxfId="49" priority="3">
      <formula>LEN(TRIM(L36))=0</formula>
    </cfRule>
  </conditionalFormatting>
  <conditionalFormatting sqref="W41:Y44 AA41:AI44">
    <cfRule type="cellIs" dxfId="48" priority="2" operator="equal">
      <formula>0</formula>
    </cfRule>
  </conditionalFormatting>
  <printOptions horizontalCentered="1" verticalCentered="1"/>
  <pageMargins left="0.70866141732283472" right="0.59055118110236227" top="0.55118110236220474" bottom="0.55118110236220474" header="0.31496062992125984" footer="0.31496062992125984"/>
  <pageSetup paperSize="9" orientation="portrait" horizontalDpi="300" verticalDpi="300" r:id="rId1"/>
  <headerFooter scaleWithDoc="0" alignWithMargins="0">
    <oddFooter>&amp;C&amp;P&amp;Rヒトトヒト株式会社</oddFooter>
  </headerFooter>
  <rowBreaks count="1" manualBreakCount="1">
    <brk id="44" max="34" man="1"/>
  </rowBreaks>
  <drawing r:id="rId2"/>
  <extLst>
    <ext xmlns:x14="http://schemas.microsoft.com/office/spreadsheetml/2009/9/main" uri="{CCE6A557-97BC-4b89-ADB6-D9C93CAAB3DF}">
      <x14:dataValidations xmlns:xm="http://schemas.microsoft.com/office/excel/2006/main" count="6">
        <x14:dataValidation type="list" allowBlank="1" showInputMessage="1" showErrorMessage="1" xr:uid="{BAF77878-19FD-4DAC-AC6C-181AFB7BA064}">
          <x14:formula1>
            <xm:f>初期値!$C$12:$C$27</xm:f>
          </x14:formula1>
          <xm:sqref>P36:R36 T36:V36</xm:sqref>
        </x14:dataValidation>
        <x14:dataValidation type="list" allowBlank="1" showInputMessage="1" showErrorMessage="1" xr:uid="{394EEB68-C052-4A06-A19D-E81B4E16F29C}">
          <x14:formula1>
            <xm:f>初期値!$G$12:$G$24</xm:f>
          </x14:formula1>
          <xm:sqref>V7:X8</xm:sqref>
        </x14:dataValidation>
        <x14:dataValidation type="list" allowBlank="1" showInputMessage="1" showErrorMessage="1" xr:uid="{A0B9A186-9F22-489D-BA9A-93123C109466}">
          <x14:formula1>
            <xm:f>初期値!$E$12:$E$13</xm:f>
          </x14:formula1>
          <xm:sqref>L38:O38 AC38:AI38 AC36:AI36</xm:sqref>
        </x14:dataValidation>
        <x14:dataValidation type="list" allowBlank="1" showInputMessage="1" showErrorMessage="1" xr:uid="{10AA4DEB-E3B6-416B-B486-C5D31D52E562}">
          <x14:formula1>
            <xm:f>初期値!$N$22:$N$23</xm:f>
          </x14:formula1>
          <xm:sqref>AW23</xm:sqref>
        </x14:dataValidation>
        <x14:dataValidation type="list" allowBlank="1" showInputMessage="1" showErrorMessage="1" xr:uid="{C59253EC-3AE5-427C-9E06-286FE2D604A8}">
          <x14:formula1>
            <xm:f>初期値!$P$12:$P$27</xm:f>
          </x14:formula1>
          <xm:sqref>BA24:BB24 BA22:BB22 BA28:BB28 BA30:BB30 BA32:BB32 BA34:BB34</xm:sqref>
        </x14:dataValidation>
        <x14:dataValidation type="list" allowBlank="1" showInputMessage="1" showErrorMessage="1" xr:uid="{4009E45D-6826-4DCB-8B27-1DC9CD807CF1}">
          <x14:formula1>
            <xm:f>初期値!$N$12:$N$19</xm:f>
          </x14:formula1>
          <xm:sqref>AU22:AV22</xm:sqref>
        </x14:dataValidation>
      </x14:dataValidations>
    </ext>
  </extLst>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BA85B0D-1221-4CBC-B579-6C534F5AC04D}">
  <sheetPr codeName="Sheet34"/>
  <dimension ref="A1:CG266"/>
  <sheetViews>
    <sheetView topLeftCell="A9" zoomScaleNormal="100" zoomScaleSheetLayoutView="100" workbookViewId="0">
      <selection activeCell="F28" sqref="F28:AI28"/>
    </sheetView>
  </sheetViews>
  <sheetFormatPr defaultColWidth="8.875" defaultRowHeight="13.5"/>
  <cols>
    <col min="1" max="42" width="2.25" style="23" customWidth="1"/>
    <col min="43" max="43" width="6" style="23" bestFit="1" customWidth="1"/>
    <col min="44" max="44" width="4.5" style="23" bestFit="1" customWidth="1"/>
    <col min="45" max="45" width="6" style="23" bestFit="1" customWidth="1"/>
    <col min="46" max="46" width="4.5" style="23" bestFit="1" customWidth="1"/>
    <col min="47" max="47" width="9" style="23" bestFit="1" customWidth="1"/>
    <col min="48" max="48" width="8.5" style="23" bestFit="1" customWidth="1"/>
    <col min="49" max="49" width="7.5" style="23" bestFit="1" customWidth="1"/>
    <col min="50" max="50" width="6.5" style="23" bestFit="1" customWidth="1"/>
    <col min="51" max="51" width="7.5" style="23" bestFit="1" customWidth="1"/>
    <col min="52" max="52" width="2.125" style="23" customWidth="1"/>
    <col min="53" max="54" width="7.375" style="23" customWidth="1"/>
    <col min="55" max="63" width="3.625" style="23" bestFit="1" customWidth="1"/>
    <col min="64" max="84" width="4" style="23" bestFit="1" customWidth="1"/>
    <col min="85" max="16384" width="8.875" style="23"/>
  </cols>
  <sheetData>
    <row r="1" spans="1:85" ht="14.1" customHeight="1">
      <c r="A1" s="510" t="s">
        <v>551</v>
      </c>
      <c r="B1" s="510"/>
      <c r="C1" s="510"/>
      <c r="D1" s="510"/>
      <c r="E1" s="510"/>
      <c r="F1" s="510"/>
      <c r="G1" s="510"/>
      <c r="H1" s="510"/>
      <c r="I1" s="510"/>
      <c r="J1" s="510"/>
      <c r="K1" s="510"/>
      <c r="L1" s="510"/>
      <c r="M1" s="510"/>
      <c r="N1" s="510"/>
      <c r="O1" s="510"/>
      <c r="P1" s="510"/>
      <c r="Q1" s="510"/>
      <c r="R1" s="510"/>
      <c r="S1" s="510"/>
      <c r="T1" s="388"/>
      <c r="U1" s="388"/>
      <c r="V1" s="388"/>
      <c r="W1" s="388"/>
      <c r="X1" s="388"/>
      <c r="Y1" s="388"/>
      <c r="Z1" s="388"/>
      <c r="AA1" s="24"/>
      <c r="AB1" s="32"/>
      <c r="AD1" s="252" t="s">
        <v>167</v>
      </c>
      <c r="AE1" s="252"/>
      <c r="AF1" s="252"/>
      <c r="AG1" s="252"/>
      <c r="AH1" s="252"/>
      <c r="AI1" s="252"/>
      <c r="AM1" s="123">
        <v>27</v>
      </c>
      <c r="BB1"/>
    </row>
    <row r="2" spans="1:85" ht="14.1" customHeight="1">
      <c r="A2" s="510"/>
      <c r="B2" s="510"/>
      <c r="C2" s="510"/>
      <c r="D2" s="510"/>
      <c r="E2" s="510"/>
      <c r="F2" s="510"/>
      <c r="G2" s="510"/>
      <c r="H2" s="510"/>
      <c r="I2" s="510"/>
      <c r="J2" s="510"/>
      <c r="K2" s="510"/>
      <c r="L2" s="510"/>
      <c r="M2" s="510"/>
      <c r="N2" s="510"/>
      <c r="O2" s="510"/>
      <c r="P2" s="510"/>
      <c r="Q2" s="510"/>
      <c r="R2" s="510"/>
      <c r="S2" s="510"/>
      <c r="T2" s="388"/>
      <c r="U2" s="388"/>
      <c r="V2" s="388"/>
      <c r="W2" s="388"/>
      <c r="X2" s="388"/>
      <c r="Y2" s="388"/>
      <c r="Z2" s="388"/>
      <c r="AA2" s="25"/>
      <c r="AB2" s="31"/>
      <c r="AD2" s="253"/>
      <c r="AE2" s="253"/>
      <c r="AF2" s="253"/>
      <c r="AG2" s="253"/>
      <c r="AH2" s="253"/>
      <c r="AI2" s="253"/>
      <c r="BA2"/>
    </row>
    <row r="3" spans="1:85" ht="14.1" customHeight="1">
      <c r="A3" s="510"/>
      <c r="B3" s="510"/>
      <c r="C3" s="510"/>
      <c r="D3" s="510"/>
      <c r="E3" s="510"/>
      <c r="F3" s="510"/>
      <c r="G3" s="510"/>
      <c r="H3" s="510"/>
      <c r="I3" s="510"/>
      <c r="J3" s="510"/>
      <c r="K3" s="510"/>
      <c r="L3" s="510"/>
      <c r="M3" s="510"/>
      <c r="N3" s="510"/>
      <c r="O3" s="510"/>
      <c r="P3" s="510"/>
      <c r="Q3" s="510"/>
      <c r="R3" s="510"/>
      <c r="S3" s="510"/>
      <c r="T3" s="388"/>
      <c r="U3" s="388"/>
      <c r="V3" s="388"/>
      <c r="W3" s="388"/>
      <c r="X3" s="388"/>
      <c r="Y3" s="388"/>
      <c r="Z3" s="388"/>
      <c r="AA3" s="25"/>
      <c r="AB3" s="31"/>
      <c r="AD3" s="253"/>
      <c r="AE3" s="253"/>
      <c r="AF3" s="253"/>
      <c r="AG3" s="253"/>
      <c r="AH3" s="253"/>
      <c r="AI3" s="253"/>
      <c r="BA3"/>
    </row>
    <row r="4" spans="1:85" ht="14.1" customHeight="1">
      <c r="A4" s="395" t="s">
        <v>552</v>
      </c>
      <c r="B4" s="395"/>
      <c r="C4" s="395"/>
      <c r="D4" s="395"/>
      <c r="E4" s="395"/>
      <c r="F4" s="395"/>
      <c r="G4" s="395"/>
      <c r="H4" s="395"/>
      <c r="I4" s="395"/>
      <c r="J4" s="395"/>
      <c r="K4" s="395"/>
      <c r="L4" s="395"/>
      <c r="M4" s="395"/>
      <c r="N4" s="395"/>
      <c r="O4" s="395"/>
      <c r="P4" s="395"/>
      <c r="Q4" s="395"/>
      <c r="R4" s="395"/>
      <c r="S4" s="395"/>
      <c r="T4" s="155"/>
      <c r="U4" s="155"/>
      <c r="V4" s="155"/>
      <c r="W4" s="155"/>
      <c r="X4" s="155"/>
      <c r="Y4" s="155"/>
      <c r="Z4" s="155"/>
      <c r="AA4" s="26"/>
      <c r="AB4" s="31"/>
      <c r="AD4" s="253"/>
      <c r="AE4" s="253"/>
      <c r="AF4" s="253"/>
      <c r="AG4" s="253"/>
      <c r="AH4" s="253"/>
      <c r="AI4" s="253"/>
      <c r="BA4"/>
    </row>
    <row r="5" spans="1:85" ht="14.1" customHeight="1">
      <c r="A5" s="395"/>
      <c r="B5" s="395"/>
      <c r="C5" s="395"/>
      <c r="D5" s="395"/>
      <c r="E5" s="395"/>
      <c r="F5" s="395"/>
      <c r="G5" s="395"/>
      <c r="H5" s="395"/>
      <c r="I5" s="395"/>
      <c r="J5" s="395"/>
      <c r="K5" s="395"/>
      <c r="L5" s="395"/>
      <c r="M5" s="395"/>
      <c r="N5" s="395"/>
      <c r="O5" s="395"/>
      <c r="P5" s="395"/>
      <c r="Q5" s="395"/>
      <c r="R5" s="395"/>
      <c r="S5" s="395"/>
      <c r="T5" s="155"/>
      <c r="U5" s="155"/>
      <c r="V5" s="155"/>
      <c r="W5" s="155"/>
      <c r="X5" s="155"/>
      <c r="Y5" s="155"/>
      <c r="Z5" s="155"/>
      <c r="AA5" s="26"/>
      <c r="AB5" s="31"/>
      <c r="AC5" s="31"/>
      <c r="AD5" s="31"/>
      <c r="AE5" s="31"/>
      <c r="AF5" s="31"/>
      <c r="AG5" s="31"/>
      <c r="AH5" s="31"/>
      <c r="AI5" s="31"/>
      <c r="BA5"/>
    </row>
    <row r="6" spans="1:85" ht="14.1" customHeight="1" thickBot="1">
      <c r="A6" s="27"/>
      <c r="B6" s="27"/>
      <c r="C6" s="27"/>
      <c r="D6" s="27"/>
      <c r="E6" s="27"/>
      <c r="F6" s="27"/>
      <c r="G6" s="27"/>
      <c r="H6" s="27"/>
      <c r="I6" s="27"/>
      <c r="BA6"/>
    </row>
    <row r="7" spans="1:85" ht="12" customHeight="1">
      <c r="A7" s="255">
        <f>DATE(初期値!A2,初期値!A3,AM1)</f>
        <v>46200</v>
      </c>
      <c r="B7" s="256"/>
      <c r="C7" s="256"/>
      <c r="D7" s="256"/>
      <c r="E7" s="256"/>
      <c r="F7" s="259" t="s">
        <v>169</v>
      </c>
      <c r="G7" s="236">
        <f>$A$7</f>
        <v>46200</v>
      </c>
      <c r="H7" s="236"/>
      <c r="I7" s="236"/>
      <c r="J7" s="239" t="s">
        <v>170</v>
      </c>
      <c r="K7" s="261">
        <f>$A$7</f>
        <v>46200</v>
      </c>
      <c r="L7" s="261"/>
      <c r="M7" s="261"/>
      <c r="N7" s="239" t="s">
        <v>3</v>
      </c>
      <c r="O7" s="520">
        <f>$A$7</f>
        <v>46200</v>
      </c>
      <c r="P7" s="520"/>
      <c r="Q7" s="239" t="s">
        <v>292</v>
      </c>
      <c r="R7" s="240"/>
      <c r="S7" s="522" t="s">
        <v>553</v>
      </c>
      <c r="T7" s="244"/>
      <c r="U7" s="29" t="s">
        <v>554</v>
      </c>
      <c r="V7" s="518" t="s">
        <v>63</v>
      </c>
      <c r="W7" s="518"/>
      <c r="X7" s="518"/>
      <c r="Y7" s="511" t="s">
        <v>555</v>
      </c>
      <c r="Z7" s="512"/>
      <c r="AA7" s="513"/>
      <c r="AB7" s="244" t="str">
        <f>L43</f>
        <v>山本喜久</v>
      </c>
      <c r="AC7" s="244"/>
      <c r="AD7" s="244"/>
      <c r="AE7" s="244"/>
      <c r="AF7" s="244"/>
      <c r="AG7" s="244"/>
      <c r="AH7" s="244"/>
      <c r="AI7" s="245"/>
      <c r="AK7" s="425" t="s">
        <v>556</v>
      </c>
      <c r="AL7" s="425"/>
      <c r="AM7" s="425"/>
      <c r="AN7" s="425"/>
      <c r="AO7" s="425"/>
      <c r="AP7" s="425"/>
      <c r="AQ7" s="439" t="s">
        <v>557</v>
      </c>
      <c r="AR7" s="43"/>
      <c r="AS7" s="43"/>
      <c r="AT7" s="43"/>
      <c r="AU7" s="43"/>
      <c r="AV7" s="43"/>
      <c r="AW7" s="43"/>
      <c r="AX7" s="43"/>
      <c r="AY7" s="43"/>
      <c r="AZ7" s="43"/>
      <c r="BA7"/>
    </row>
    <row r="8" spans="1:85" ht="12" customHeight="1" thickBot="1">
      <c r="A8" s="257"/>
      <c r="B8" s="258"/>
      <c r="C8" s="258"/>
      <c r="D8" s="258"/>
      <c r="E8" s="258"/>
      <c r="F8" s="260"/>
      <c r="G8" s="237"/>
      <c r="H8" s="237"/>
      <c r="I8" s="237"/>
      <c r="J8" s="242"/>
      <c r="K8" s="262"/>
      <c r="L8" s="262"/>
      <c r="M8" s="262"/>
      <c r="N8" s="242"/>
      <c r="O8" s="521"/>
      <c r="P8" s="521"/>
      <c r="Q8" s="242"/>
      <c r="R8" s="243"/>
      <c r="S8" s="523"/>
      <c r="T8" s="246"/>
      <c r="U8" s="33" t="s">
        <v>558</v>
      </c>
      <c r="V8" s="519" t="s">
        <v>37</v>
      </c>
      <c r="W8" s="519"/>
      <c r="X8" s="519"/>
      <c r="Y8" s="514"/>
      <c r="Z8" s="515"/>
      <c r="AA8" s="516"/>
      <c r="AB8" s="246"/>
      <c r="AC8" s="246"/>
      <c r="AD8" s="246"/>
      <c r="AE8" s="246"/>
      <c r="AF8" s="246"/>
      <c r="AG8" s="246"/>
      <c r="AH8" s="246"/>
      <c r="AI8" s="247"/>
      <c r="AK8" s="425"/>
      <c r="AL8" s="425"/>
      <c r="AM8" s="425"/>
      <c r="AN8" s="425"/>
      <c r="AO8" s="425"/>
      <c r="AP8" s="425"/>
      <c r="AQ8" s="439"/>
      <c r="AR8" s="43"/>
      <c r="AS8" s="43"/>
      <c r="AT8" s="43"/>
      <c r="AU8" s="43"/>
      <c r="AV8" s="43"/>
      <c r="AW8" s="43"/>
      <c r="AX8" s="43"/>
      <c r="AY8" s="43"/>
      <c r="AZ8" s="43"/>
      <c r="BA8"/>
    </row>
    <row r="9" spans="1:85" ht="18" customHeight="1">
      <c r="A9" s="507" t="s">
        <v>559</v>
      </c>
      <c r="B9" s="508"/>
      <c r="C9" s="508"/>
      <c r="D9" s="508"/>
      <c r="E9" s="508"/>
      <c r="F9" s="508"/>
      <c r="G9" s="508"/>
      <c r="H9" s="508"/>
      <c r="I9" s="508"/>
      <c r="J9" s="508"/>
      <c r="K9" s="508"/>
      <c r="L9" s="508"/>
      <c r="M9" s="508"/>
      <c r="N9" s="508"/>
      <c r="O9" s="508"/>
      <c r="P9" s="508"/>
      <c r="Q9" s="508"/>
      <c r="R9" s="508"/>
      <c r="S9" s="508"/>
      <c r="T9" s="508"/>
      <c r="U9" s="508"/>
      <c r="V9" s="508"/>
      <c r="W9" s="508"/>
      <c r="X9" s="508"/>
      <c r="Y9" s="508"/>
      <c r="Z9" s="508"/>
      <c r="AA9" s="508"/>
      <c r="AB9" s="508"/>
      <c r="AC9" s="508"/>
      <c r="AD9" s="508"/>
      <c r="AE9" s="508"/>
      <c r="AF9" s="508"/>
      <c r="AG9" s="508"/>
      <c r="AH9" s="508"/>
      <c r="AI9" s="509"/>
      <c r="AK9" s="440" t="s">
        <v>560</v>
      </c>
      <c r="AL9" s="440"/>
      <c r="AM9" s="440"/>
      <c r="AN9" s="440"/>
      <c r="AO9" s="440"/>
      <c r="AP9" s="440"/>
      <c r="AQ9" s="42">
        <v>48</v>
      </c>
      <c r="AR9" s="43"/>
      <c r="AS9" s="44" t="s">
        <v>561</v>
      </c>
      <c r="AT9" s="44" t="s">
        <v>562</v>
      </c>
      <c r="AU9" s="44" t="s">
        <v>563</v>
      </c>
      <c r="AV9" s="44" t="s">
        <v>564</v>
      </c>
      <c r="AW9" s="45" t="s">
        <v>565</v>
      </c>
      <c r="AX9" s="45" t="s">
        <v>566</v>
      </c>
      <c r="AY9" s="44" t="s">
        <v>567</v>
      </c>
      <c r="AZ9" s="43"/>
      <c r="BB9" s="49" t="s">
        <v>568</v>
      </c>
      <c r="BC9" s="43"/>
      <c r="BD9" s="43"/>
      <c r="BE9" s="43"/>
      <c r="BF9" s="43"/>
      <c r="BG9" s="43"/>
      <c r="BH9" s="43"/>
      <c r="BI9" s="43"/>
      <c r="BJ9" s="43"/>
      <c r="BK9" s="43"/>
      <c r="BL9" s="43"/>
      <c r="BM9" s="43"/>
      <c r="BN9" s="43"/>
      <c r="BO9" s="43"/>
      <c r="BP9" s="43"/>
      <c r="BQ9" s="43"/>
      <c r="BR9" s="43"/>
      <c r="BS9" s="43"/>
      <c r="BT9" s="43"/>
      <c r="BU9" s="43"/>
      <c r="BV9" s="43"/>
      <c r="BW9" s="43"/>
      <c r="BX9" s="43"/>
      <c r="BY9" s="43"/>
      <c r="BZ9" s="43"/>
      <c r="CA9" s="43"/>
      <c r="CB9" s="43"/>
      <c r="CC9" s="43"/>
      <c r="CD9" s="43"/>
      <c r="CE9" s="43"/>
      <c r="CF9" s="43"/>
      <c r="CG9" s="43"/>
    </row>
    <row r="10" spans="1:85" ht="18" customHeight="1">
      <c r="A10" s="265" t="s">
        <v>569</v>
      </c>
      <c r="B10" s="266"/>
      <c r="C10" s="266"/>
      <c r="D10" s="266"/>
      <c r="E10" s="266"/>
      <c r="F10" s="266"/>
      <c r="G10" s="266"/>
      <c r="H10" s="266"/>
      <c r="I10" s="264">
        <f>AQ14</f>
        <v>0</v>
      </c>
      <c r="J10" s="264"/>
      <c r="K10" s="267" t="s">
        <v>176</v>
      </c>
      <c r="L10" s="268"/>
      <c r="M10" s="269" t="s">
        <v>570</v>
      </c>
      <c r="N10" s="266"/>
      <c r="O10" s="266"/>
      <c r="P10" s="266"/>
      <c r="Q10" s="266"/>
      <c r="R10" s="266"/>
      <c r="S10" s="266"/>
      <c r="T10" s="266"/>
      <c r="U10" s="264">
        <f>AQ37</f>
        <v>0</v>
      </c>
      <c r="V10" s="264"/>
      <c r="W10" s="267" t="s">
        <v>176</v>
      </c>
      <c r="X10" s="268"/>
      <c r="Y10" s="269" t="s">
        <v>571</v>
      </c>
      <c r="Z10" s="266"/>
      <c r="AA10" s="266"/>
      <c r="AB10" s="266"/>
      <c r="AC10" s="266"/>
      <c r="AD10" s="266"/>
      <c r="AE10" s="266"/>
      <c r="AF10" s="266"/>
      <c r="AG10" s="264">
        <f>AQ26+AQ25</f>
        <v>0</v>
      </c>
      <c r="AH10" s="264"/>
      <c r="AI10" s="28" t="s">
        <v>176</v>
      </c>
      <c r="AK10" s="440" t="s">
        <v>572</v>
      </c>
      <c r="AL10" s="440"/>
      <c r="AM10" s="440"/>
      <c r="AN10" s="440"/>
      <c r="AO10" s="440"/>
      <c r="AP10" s="440"/>
      <c r="AQ10" s="42"/>
      <c r="AR10" s="43"/>
      <c r="AS10" s="46">
        <v>1</v>
      </c>
      <c r="AT10" s="46"/>
      <c r="AU10" s="46" t="s">
        <v>20</v>
      </c>
      <c r="AV10" s="47" t="s">
        <v>573</v>
      </c>
      <c r="AW10" s="47" t="s">
        <v>574</v>
      </c>
      <c r="AX10" s="47">
        <v>0.33333333333333331</v>
      </c>
      <c r="AY10" s="47">
        <v>0.83333333333333337</v>
      </c>
      <c r="AZ10" s="43"/>
      <c r="BB10" s="49" t="s">
        <v>95</v>
      </c>
      <c r="BC10" s="120">
        <v>1</v>
      </c>
      <c r="BD10" s="120">
        <v>2</v>
      </c>
      <c r="BE10" s="120">
        <v>3</v>
      </c>
      <c r="BF10" s="120">
        <v>4</v>
      </c>
      <c r="BG10" s="120">
        <v>5</v>
      </c>
      <c r="BH10" s="120">
        <v>6</v>
      </c>
      <c r="BI10" s="120">
        <v>7</v>
      </c>
      <c r="BJ10" s="120">
        <v>8</v>
      </c>
      <c r="BK10" s="120">
        <v>9</v>
      </c>
      <c r="BL10" s="120">
        <v>10</v>
      </c>
      <c r="BM10" s="120">
        <v>11</v>
      </c>
      <c r="BN10" s="120">
        <v>12</v>
      </c>
      <c r="BO10" s="120">
        <v>13</v>
      </c>
      <c r="BP10" s="120">
        <v>14</v>
      </c>
      <c r="BQ10" s="120">
        <v>15</v>
      </c>
      <c r="BR10" s="120">
        <v>16</v>
      </c>
      <c r="BS10" s="120">
        <v>17</v>
      </c>
      <c r="BT10" s="120">
        <v>18</v>
      </c>
      <c r="BU10" s="120">
        <v>19</v>
      </c>
      <c r="BV10" s="120">
        <v>20</v>
      </c>
      <c r="BW10" s="120">
        <v>21</v>
      </c>
      <c r="BX10" s="120">
        <v>22</v>
      </c>
      <c r="BY10" s="120">
        <v>23</v>
      </c>
      <c r="BZ10" s="120">
        <v>24</v>
      </c>
      <c r="CA10" s="120">
        <v>25</v>
      </c>
      <c r="CB10" s="120">
        <v>26</v>
      </c>
      <c r="CC10" s="120">
        <v>27</v>
      </c>
      <c r="CD10" s="120">
        <v>28</v>
      </c>
      <c r="CE10" s="120">
        <v>29</v>
      </c>
      <c r="CF10" s="120">
        <v>30</v>
      </c>
      <c r="CG10" s="43"/>
    </row>
    <row r="11" spans="1:85" ht="18" customHeight="1">
      <c r="A11" s="265" t="s">
        <v>575</v>
      </c>
      <c r="B11" s="266"/>
      <c r="C11" s="266"/>
      <c r="D11" s="266"/>
      <c r="E11" s="266"/>
      <c r="F11" s="266"/>
      <c r="G11" s="266"/>
      <c r="H11" s="266"/>
      <c r="I11" s="264">
        <f>AQ27</f>
        <v>0</v>
      </c>
      <c r="J11" s="264"/>
      <c r="K11" s="267" t="s">
        <v>176</v>
      </c>
      <c r="L11" s="268"/>
      <c r="M11" s="269" t="s">
        <v>576</v>
      </c>
      <c r="N11" s="266"/>
      <c r="O11" s="266"/>
      <c r="P11" s="266"/>
      <c r="Q11" s="266"/>
      <c r="R11" s="266"/>
      <c r="S11" s="266"/>
      <c r="T11" s="266"/>
      <c r="U11" s="264">
        <f>AQ36</f>
        <v>0</v>
      </c>
      <c r="V11" s="264"/>
      <c r="W11" s="267" t="s">
        <v>176</v>
      </c>
      <c r="X11" s="268"/>
      <c r="Y11" s="269" t="s">
        <v>577</v>
      </c>
      <c r="Z11" s="266"/>
      <c r="AA11" s="266"/>
      <c r="AB11" s="266"/>
      <c r="AC11" s="266"/>
      <c r="AD11" s="266"/>
      <c r="AE11" s="266"/>
      <c r="AF11" s="266"/>
      <c r="AG11" s="264">
        <f>AQ34</f>
        <v>0</v>
      </c>
      <c r="AH11" s="264"/>
      <c r="AI11" s="28" t="s">
        <v>176</v>
      </c>
      <c r="AK11" s="441" t="s">
        <v>578</v>
      </c>
      <c r="AL11" s="442"/>
      <c r="AM11" s="442"/>
      <c r="AN11" s="442"/>
      <c r="AO11" s="442"/>
      <c r="AP11" s="443"/>
      <c r="AQ11" s="42">
        <v>26</v>
      </c>
      <c r="AR11" s="43"/>
      <c r="AS11" s="46">
        <v>2</v>
      </c>
      <c r="AT11" s="46"/>
      <c r="AU11" s="46"/>
      <c r="AV11" s="47" t="s">
        <v>579</v>
      </c>
      <c r="AW11" s="47" t="s">
        <v>580</v>
      </c>
      <c r="AX11" s="47">
        <v>0.33333333333333331</v>
      </c>
      <c r="AY11" s="47">
        <v>0.58333333333333337</v>
      </c>
      <c r="AZ11" s="43"/>
      <c r="BB11" s="121" t="s">
        <v>581</v>
      </c>
      <c r="BC11" s="138" t="s">
        <v>582</v>
      </c>
      <c r="BD11" s="138" t="s">
        <v>583</v>
      </c>
      <c r="BE11" s="138" t="s">
        <v>584</v>
      </c>
      <c r="BF11" s="138" t="s">
        <v>585</v>
      </c>
      <c r="BG11" s="139" t="s">
        <v>584</v>
      </c>
      <c r="BH11" s="138" t="s">
        <v>582</v>
      </c>
      <c r="BI11" s="138" t="s">
        <v>585</v>
      </c>
      <c r="BJ11" s="138" t="s">
        <v>583</v>
      </c>
      <c r="BK11" s="138" t="s">
        <v>584</v>
      </c>
      <c r="BL11" s="138" t="s">
        <v>583</v>
      </c>
      <c r="BM11" s="138" t="s">
        <v>585</v>
      </c>
      <c r="BN11" s="138" t="s">
        <v>582</v>
      </c>
      <c r="BO11" s="138" t="s">
        <v>584</v>
      </c>
      <c r="BP11" s="138" t="s">
        <v>585</v>
      </c>
      <c r="BQ11" s="138" t="s">
        <v>583</v>
      </c>
      <c r="BR11" s="138" t="s">
        <v>585</v>
      </c>
      <c r="BS11" s="138" t="s">
        <v>584</v>
      </c>
      <c r="BT11" s="138" t="s">
        <v>582</v>
      </c>
      <c r="BU11" s="138" t="s">
        <v>583</v>
      </c>
      <c r="BV11" s="138" t="s">
        <v>585</v>
      </c>
      <c r="BW11" s="138" t="s">
        <v>582</v>
      </c>
      <c r="BX11" s="138" t="s">
        <v>584</v>
      </c>
      <c r="BY11" s="138" t="s">
        <v>585</v>
      </c>
      <c r="BZ11" s="138" t="s">
        <v>583</v>
      </c>
      <c r="CA11" s="138" t="s">
        <v>582</v>
      </c>
      <c r="CB11" s="138" t="s">
        <v>585</v>
      </c>
      <c r="CC11" s="138" t="s">
        <v>584</v>
      </c>
      <c r="CD11" s="138" t="s">
        <v>582</v>
      </c>
      <c r="CE11" s="138" t="s">
        <v>585</v>
      </c>
      <c r="CF11" s="138" t="s">
        <v>583</v>
      </c>
      <c r="CG11" s="43"/>
    </row>
    <row r="12" spans="1:85" ht="18" customHeight="1">
      <c r="A12" s="265" t="s">
        <v>586</v>
      </c>
      <c r="B12" s="266"/>
      <c r="C12" s="266"/>
      <c r="D12" s="266"/>
      <c r="E12" s="266"/>
      <c r="F12" s="266"/>
      <c r="G12" s="266"/>
      <c r="H12" s="266"/>
      <c r="I12" s="264">
        <f>AQ33</f>
        <v>0</v>
      </c>
      <c r="J12" s="264"/>
      <c r="K12" s="267" t="s">
        <v>176</v>
      </c>
      <c r="L12" s="268"/>
      <c r="M12" s="269" t="s">
        <v>587</v>
      </c>
      <c r="N12" s="266"/>
      <c r="O12" s="266"/>
      <c r="P12" s="266"/>
      <c r="Q12" s="266"/>
      <c r="R12" s="266"/>
      <c r="S12" s="266"/>
      <c r="T12" s="266"/>
      <c r="U12" s="264">
        <f>AQ24</f>
        <v>0</v>
      </c>
      <c r="V12" s="264"/>
      <c r="W12" s="267" t="s">
        <v>176</v>
      </c>
      <c r="X12" s="268"/>
      <c r="Y12" s="269" t="s">
        <v>588</v>
      </c>
      <c r="Z12" s="266"/>
      <c r="AA12" s="266"/>
      <c r="AB12" s="266"/>
      <c r="AC12" s="266"/>
      <c r="AD12" s="266"/>
      <c r="AE12" s="266"/>
      <c r="AF12" s="266"/>
      <c r="AG12" s="264">
        <f>AQ20+AQ21+AQ22+AQ23</f>
        <v>0</v>
      </c>
      <c r="AH12" s="264"/>
      <c r="AI12" s="28" t="s">
        <v>176</v>
      </c>
      <c r="AK12" s="441" t="s">
        <v>589</v>
      </c>
      <c r="AL12" s="442"/>
      <c r="AM12" s="442"/>
      <c r="AN12" s="442"/>
      <c r="AO12" s="442"/>
      <c r="AP12" s="443"/>
      <c r="AQ12" s="42">
        <v>23</v>
      </c>
      <c r="AR12" s="43"/>
      <c r="AS12" s="46">
        <v>3</v>
      </c>
      <c r="AT12" s="46"/>
      <c r="AU12" s="46"/>
      <c r="AV12" s="47" t="s">
        <v>590</v>
      </c>
      <c r="AW12" s="47" t="s">
        <v>574</v>
      </c>
      <c r="AX12" s="47">
        <v>0.58333333333333337</v>
      </c>
      <c r="AY12" s="47">
        <v>0.83333333333333337</v>
      </c>
      <c r="AZ12" s="43"/>
      <c r="BB12" s="49"/>
      <c r="BC12" s="43"/>
      <c r="BD12" s="43"/>
      <c r="BE12" s="43"/>
      <c r="BF12" s="43"/>
      <c r="BG12" s="43"/>
      <c r="BH12" s="43"/>
      <c r="BI12" s="43"/>
      <c r="BJ12" s="43"/>
      <c r="BK12" s="43"/>
      <c r="BL12" s="43"/>
      <c r="BM12" s="43"/>
      <c r="BN12" s="43"/>
      <c r="BO12" s="43"/>
      <c r="BP12" s="43"/>
      <c r="BQ12" s="43"/>
      <c r="BR12" s="43"/>
      <c r="BS12" s="43"/>
      <c r="BT12" s="43"/>
      <c r="BU12" s="43"/>
      <c r="BV12" s="43"/>
      <c r="BW12" s="43"/>
      <c r="BX12" s="43"/>
      <c r="BY12" s="43"/>
      <c r="BZ12" s="43"/>
      <c r="CA12" s="43"/>
      <c r="CB12" s="43"/>
      <c r="CC12" s="43"/>
      <c r="CD12" s="43"/>
      <c r="CE12" s="43"/>
      <c r="CF12" s="43"/>
      <c r="CG12" s="43"/>
    </row>
    <row r="13" spans="1:85" ht="18" customHeight="1" thickBot="1">
      <c r="A13" s="517" t="s">
        <v>591</v>
      </c>
      <c r="B13" s="277"/>
      <c r="C13" s="277"/>
      <c r="D13" s="277"/>
      <c r="E13" s="277"/>
      <c r="F13" s="277"/>
      <c r="G13" s="277"/>
      <c r="H13" s="277"/>
      <c r="I13" s="272">
        <f>AQ30+AQ31</f>
        <v>0</v>
      </c>
      <c r="J13" s="272"/>
      <c r="K13" s="273" t="s">
        <v>176</v>
      </c>
      <c r="L13" s="274"/>
      <c r="M13" s="276" t="s">
        <v>592</v>
      </c>
      <c r="N13" s="277"/>
      <c r="O13" s="277"/>
      <c r="P13" s="277"/>
      <c r="Q13" s="277"/>
      <c r="R13" s="277"/>
      <c r="S13" s="277"/>
      <c r="T13" s="277"/>
      <c r="U13" s="272">
        <f>AQ28</f>
        <v>0</v>
      </c>
      <c r="V13" s="272"/>
      <c r="W13" s="273" t="s">
        <v>176</v>
      </c>
      <c r="X13" s="274"/>
      <c r="Y13" s="276" t="s">
        <v>593</v>
      </c>
      <c r="Z13" s="277"/>
      <c r="AA13" s="277"/>
      <c r="AB13" s="277"/>
      <c r="AC13" s="277"/>
      <c r="AD13" s="277"/>
      <c r="AE13" s="277"/>
      <c r="AF13" s="277"/>
      <c r="AG13" s="272">
        <f>AQ13</f>
        <v>0</v>
      </c>
      <c r="AH13" s="272"/>
      <c r="AI13" s="34" t="s">
        <v>176</v>
      </c>
      <c r="AK13" s="425" t="s">
        <v>594</v>
      </c>
      <c r="AL13" s="425"/>
      <c r="AM13" s="425"/>
      <c r="AN13" s="425"/>
      <c r="AO13" s="425"/>
      <c r="AP13" s="425"/>
      <c r="AQ13" s="42"/>
      <c r="AR13" s="43"/>
      <c r="AS13" s="46">
        <v>4</v>
      </c>
      <c r="AT13" s="46"/>
      <c r="AU13" s="46" t="s">
        <v>28</v>
      </c>
      <c r="AV13" s="47" t="s">
        <v>595</v>
      </c>
      <c r="AW13" s="47" t="s">
        <v>596</v>
      </c>
      <c r="AX13" s="47">
        <v>0.33333333333333331</v>
      </c>
      <c r="AY13" s="47">
        <v>0.83333333333333337</v>
      </c>
      <c r="AZ13" s="43"/>
      <c r="BB13" s="121" t="s">
        <v>597</v>
      </c>
      <c r="BC13" s="140" t="s">
        <v>20</v>
      </c>
      <c r="BD13" s="140" t="s">
        <v>119</v>
      </c>
      <c r="BE13" s="140" t="s">
        <v>20</v>
      </c>
      <c r="BF13" s="140" t="s">
        <v>20</v>
      </c>
      <c r="BG13" s="140" t="s">
        <v>20</v>
      </c>
      <c r="BH13" s="140" t="s">
        <v>20</v>
      </c>
      <c r="BI13" s="140" t="s">
        <v>80</v>
      </c>
      <c r="BJ13" s="140" t="s">
        <v>20</v>
      </c>
      <c r="BK13" s="140" t="s">
        <v>20</v>
      </c>
      <c r="BL13" s="140" t="s">
        <v>20</v>
      </c>
      <c r="BM13" s="140" t="s">
        <v>20</v>
      </c>
      <c r="BN13" s="140" t="s">
        <v>20</v>
      </c>
      <c r="BO13" s="140" t="s">
        <v>119</v>
      </c>
      <c r="BP13" s="140" t="s">
        <v>119</v>
      </c>
      <c r="BQ13" s="140" t="s">
        <v>20</v>
      </c>
      <c r="BR13" s="140" t="s">
        <v>119</v>
      </c>
      <c r="BS13" s="140" t="s">
        <v>20</v>
      </c>
      <c r="BT13" s="140" t="s">
        <v>20</v>
      </c>
      <c r="BU13" s="140" t="s">
        <v>20</v>
      </c>
      <c r="BV13" s="140" t="s">
        <v>119</v>
      </c>
      <c r="BW13" s="140" t="s">
        <v>119</v>
      </c>
      <c r="BX13" s="140" t="s">
        <v>20</v>
      </c>
      <c r="BY13" s="140" t="s">
        <v>119</v>
      </c>
      <c r="BZ13" s="140" t="s">
        <v>20</v>
      </c>
      <c r="CA13" s="140" t="s">
        <v>119</v>
      </c>
      <c r="CB13" s="140" t="s">
        <v>20</v>
      </c>
      <c r="CC13" s="140" t="s">
        <v>20</v>
      </c>
      <c r="CD13" s="140" t="s">
        <v>119</v>
      </c>
      <c r="CE13" s="140" t="s">
        <v>20</v>
      </c>
      <c r="CF13" s="140" t="s">
        <v>119</v>
      </c>
      <c r="CG13" s="43"/>
    </row>
    <row r="14" spans="1:85" ht="18" customHeight="1" thickBot="1">
      <c r="A14" s="452" t="s">
        <v>598</v>
      </c>
      <c r="B14" s="453"/>
      <c r="C14" s="453"/>
      <c r="D14" s="453"/>
      <c r="E14" s="453"/>
      <c r="F14" s="453"/>
      <c r="G14" s="453"/>
      <c r="H14" s="453"/>
      <c r="I14" s="453"/>
      <c r="J14" s="453"/>
      <c r="K14" s="453"/>
      <c r="L14" s="453"/>
      <c r="M14" s="453"/>
      <c r="N14" s="453"/>
      <c r="O14" s="453"/>
      <c r="P14" s="453"/>
      <c r="Q14" s="453"/>
      <c r="R14" s="453"/>
      <c r="S14" s="453"/>
      <c r="T14" s="453"/>
      <c r="U14" s="453"/>
      <c r="V14" s="453"/>
      <c r="W14" s="453"/>
      <c r="X14" s="453"/>
      <c r="Y14" s="453"/>
      <c r="Z14" s="453"/>
      <c r="AA14" s="453"/>
      <c r="AB14" s="453"/>
      <c r="AC14" s="453"/>
      <c r="AD14" s="453"/>
      <c r="AE14" s="453"/>
      <c r="AF14" s="453"/>
      <c r="AG14" s="453"/>
      <c r="AH14" s="453"/>
      <c r="AI14" s="454"/>
      <c r="AK14" s="440" t="s">
        <v>599</v>
      </c>
      <c r="AL14" s="440"/>
      <c r="AM14" s="440"/>
      <c r="AN14" s="440"/>
      <c r="AO14" s="440"/>
      <c r="AP14" s="440"/>
      <c r="AQ14" s="42"/>
      <c r="AR14" s="43"/>
      <c r="AS14" s="46">
        <v>5</v>
      </c>
      <c r="AT14" s="46"/>
      <c r="AU14" s="46" t="s">
        <v>602</v>
      </c>
      <c r="AV14" s="47" t="s">
        <v>600</v>
      </c>
      <c r="AW14" s="47" t="s">
        <v>596</v>
      </c>
      <c r="AX14" s="47">
        <v>0.33333333333333331</v>
      </c>
      <c r="AY14" s="47">
        <v>0.83333333333333337</v>
      </c>
      <c r="AZ14" s="43"/>
      <c r="BB14" s="121" t="s">
        <v>601</v>
      </c>
      <c r="BC14" s="162" t="s">
        <v>28</v>
      </c>
      <c r="BD14" s="162" t="s">
        <v>602</v>
      </c>
      <c r="BE14" s="162" t="s">
        <v>602</v>
      </c>
      <c r="BF14" s="162" t="s">
        <v>28</v>
      </c>
      <c r="BG14" s="162" t="s">
        <v>602</v>
      </c>
      <c r="BH14" s="162" t="s">
        <v>602</v>
      </c>
      <c r="BI14" s="162" t="s">
        <v>28</v>
      </c>
      <c r="BJ14" s="162" t="s">
        <v>28</v>
      </c>
      <c r="BK14" s="162" t="s">
        <v>602</v>
      </c>
      <c r="BL14" s="162" t="s">
        <v>28</v>
      </c>
      <c r="BM14" s="162" t="s">
        <v>602</v>
      </c>
      <c r="BN14" s="162" t="s">
        <v>28</v>
      </c>
      <c r="BO14" s="162" t="s">
        <v>28</v>
      </c>
      <c r="BP14" s="162" t="s">
        <v>76</v>
      </c>
      <c r="BQ14" s="162" t="s">
        <v>28</v>
      </c>
      <c r="BR14" s="162" t="s">
        <v>602</v>
      </c>
      <c r="BS14" s="162" t="s">
        <v>28</v>
      </c>
      <c r="BT14" s="162" t="s">
        <v>602</v>
      </c>
      <c r="BU14" s="162" t="s">
        <v>28</v>
      </c>
      <c r="BV14" s="162" t="s">
        <v>602</v>
      </c>
      <c r="BW14" s="162" t="s">
        <v>28</v>
      </c>
      <c r="BX14" s="162" t="s">
        <v>28</v>
      </c>
      <c r="BY14" s="162" t="s">
        <v>602</v>
      </c>
      <c r="BZ14" s="162" t="s">
        <v>28</v>
      </c>
      <c r="CA14" s="162" t="s">
        <v>602</v>
      </c>
      <c r="CB14" s="162" t="s">
        <v>28</v>
      </c>
      <c r="CC14" s="162" t="s">
        <v>28</v>
      </c>
      <c r="CD14" s="162" t="s">
        <v>76</v>
      </c>
      <c r="CE14" s="162" t="s">
        <v>28</v>
      </c>
      <c r="CF14" s="162" t="s">
        <v>602</v>
      </c>
      <c r="CG14" s="43"/>
    </row>
    <row r="15" spans="1:85" ht="18" customHeight="1" thickBot="1">
      <c r="A15" s="30" t="s">
        <v>189</v>
      </c>
      <c r="B15" s="264" t="s">
        <v>603</v>
      </c>
      <c r="C15" s="264"/>
      <c r="D15" s="264"/>
      <c r="E15" s="264"/>
      <c r="F15" s="264"/>
      <c r="G15" s="264"/>
      <c r="H15" s="264"/>
      <c r="I15" s="264"/>
      <c r="J15" s="278">
        <f>AQ9+AQ10</f>
        <v>48</v>
      </c>
      <c r="K15" s="278"/>
      <c r="L15" s="278"/>
      <c r="M15" s="264" t="s">
        <v>176</v>
      </c>
      <c r="N15" s="264"/>
      <c r="O15" s="264" t="s">
        <v>604</v>
      </c>
      <c r="P15" s="264"/>
      <c r="Q15" s="264"/>
      <c r="R15" s="264"/>
      <c r="S15" s="264"/>
      <c r="T15" s="264"/>
      <c r="U15" s="264"/>
      <c r="V15" s="264"/>
      <c r="W15" s="278">
        <f>AQ11+AQ12</f>
        <v>49</v>
      </c>
      <c r="X15" s="278"/>
      <c r="Y15" s="278"/>
      <c r="Z15" s="264" t="s">
        <v>176</v>
      </c>
      <c r="AA15" s="264"/>
      <c r="AB15" s="503" t="s">
        <v>605</v>
      </c>
      <c r="AC15" s="503"/>
      <c r="AD15" s="503"/>
      <c r="AE15" s="503"/>
      <c r="AF15" s="503"/>
      <c r="AG15" s="503"/>
      <c r="AH15" s="281" t="s">
        <v>584</v>
      </c>
      <c r="AI15" s="282"/>
      <c r="AK15" s="425" t="s">
        <v>606</v>
      </c>
      <c r="AL15" s="425"/>
      <c r="AM15" s="425"/>
      <c r="AN15" s="425"/>
      <c r="AO15" s="425"/>
      <c r="AP15" s="425"/>
      <c r="AQ15" s="42"/>
      <c r="AR15" s="43"/>
      <c r="AS15" s="46">
        <v>6</v>
      </c>
      <c r="AT15" s="46"/>
      <c r="AU15" s="46"/>
      <c r="AV15" s="47" t="s">
        <v>607</v>
      </c>
      <c r="AW15" s="47" t="s">
        <v>596</v>
      </c>
      <c r="AX15" s="47">
        <v>0.33333333333333331</v>
      </c>
      <c r="AY15" s="47">
        <v>0.83333333333333337</v>
      </c>
      <c r="AZ15" s="43"/>
      <c r="BB15" s="121" t="s">
        <v>31</v>
      </c>
      <c r="BC15" s="163" t="s">
        <v>119</v>
      </c>
      <c r="BD15" s="164"/>
      <c r="BE15" s="165" t="s">
        <v>28</v>
      </c>
      <c r="BF15" s="165" t="s">
        <v>119</v>
      </c>
      <c r="BG15" s="164"/>
      <c r="BH15" s="164"/>
      <c r="BI15" s="164"/>
      <c r="BJ15" s="164"/>
      <c r="BK15" s="165" t="s">
        <v>119</v>
      </c>
      <c r="BL15" s="165" t="s">
        <v>602</v>
      </c>
      <c r="BM15" s="165" t="s">
        <v>119</v>
      </c>
      <c r="BN15" s="165" t="s">
        <v>602</v>
      </c>
      <c r="BO15" s="164"/>
      <c r="BP15" s="164"/>
      <c r="BQ15" s="165" t="s">
        <v>608</v>
      </c>
      <c r="BR15" s="165" t="s">
        <v>20</v>
      </c>
      <c r="BS15" s="165" t="s">
        <v>602</v>
      </c>
      <c r="BT15" s="165" t="s">
        <v>119</v>
      </c>
      <c r="BU15" s="165" t="s">
        <v>602</v>
      </c>
      <c r="BV15" s="164"/>
      <c r="BW15" s="164"/>
      <c r="BX15" s="165" t="s">
        <v>119</v>
      </c>
      <c r="BY15" s="165" t="s">
        <v>20</v>
      </c>
      <c r="BZ15" s="165" t="s">
        <v>602</v>
      </c>
      <c r="CA15" s="165" t="s">
        <v>20</v>
      </c>
      <c r="CB15" s="165" t="s">
        <v>602</v>
      </c>
      <c r="CC15" s="165" t="s">
        <v>602</v>
      </c>
      <c r="CD15" s="164"/>
      <c r="CE15" s="165" t="s">
        <v>119</v>
      </c>
      <c r="CF15" s="165" t="s">
        <v>20</v>
      </c>
      <c r="CG15" s="43"/>
    </row>
    <row r="16" spans="1:85" ht="18" customHeight="1">
      <c r="A16" s="504" t="s">
        <v>609</v>
      </c>
      <c r="B16" s="505"/>
      <c r="C16" s="505"/>
      <c r="D16" s="505"/>
      <c r="E16" s="505"/>
      <c r="F16" s="505"/>
      <c r="G16" s="505"/>
      <c r="H16" s="505"/>
      <c r="I16" s="505"/>
      <c r="J16" s="505"/>
      <c r="K16" s="505"/>
      <c r="L16" s="505"/>
      <c r="M16" s="505"/>
      <c r="N16" s="505"/>
      <c r="O16" s="505"/>
      <c r="P16" s="505"/>
      <c r="Q16" s="505"/>
      <c r="R16" s="505"/>
      <c r="S16" s="505"/>
      <c r="T16" s="505"/>
      <c r="U16" s="505"/>
      <c r="V16" s="505"/>
      <c r="W16" s="505"/>
      <c r="X16" s="505"/>
      <c r="Y16" s="505"/>
      <c r="Z16" s="505"/>
      <c r="AA16" s="505"/>
      <c r="AB16" s="505"/>
      <c r="AC16" s="505"/>
      <c r="AD16" s="505"/>
      <c r="AE16" s="505"/>
      <c r="AF16" s="505"/>
      <c r="AG16" s="505"/>
      <c r="AH16" s="505"/>
      <c r="AI16" s="506"/>
      <c r="AK16" s="425" t="s">
        <v>610</v>
      </c>
      <c r="AL16" s="425"/>
      <c r="AM16" s="425"/>
      <c r="AN16" s="425"/>
      <c r="AO16" s="425"/>
      <c r="AP16" s="425"/>
      <c r="AQ16" s="42"/>
      <c r="AR16" s="43"/>
      <c r="AS16" s="46">
        <v>7</v>
      </c>
      <c r="AT16" s="46"/>
      <c r="AU16" s="46" t="s">
        <v>42</v>
      </c>
      <c r="AV16" s="47" t="s">
        <v>611</v>
      </c>
      <c r="AW16" s="47" t="s">
        <v>612</v>
      </c>
      <c r="AX16" s="47">
        <v>0.83333333333333337</v>
      </c>
      <c r="AY16" s="47" t="s">
        <v>613</v>
      </c>
      <c r="AZ16" s="43"/>
      <c r="BB16" s="121" t="s">
        <v>614</v>
      </c>
      <c r="BC16" s="142" t="s">
        <v>20</v>
      </c>
      <c r="BD16" s="140" t="s">
        <v>67</v>
      </c>
      <c r="BE16" s="142" t="s">
        <v>42</v>
      </c>
      <c r="BF16" s="142" t="s">
        <v>20</v>
      </c>
      <c r="BG16" s="142" t="s">
        <v>42</v>
      </c>
      <c r="BH16" s="142" t="s">
        <v>61</v>
      </c>
      <c r="BI16" s="142" t="s">
        <v>67</v>
      </c>
      <c r="BJ16" s="142" t="s">
        <v>67</v>
      </c>
      <c r="BK16" s="142" t="s">
        <v>42</v>
      </c>
      <c r="BL16" s="142" t="s">
        <v>42</v>
      </c>
      <c r="BM16" s="142" t="s">
        <v>67</v>
      </c>
      <c r="BN16" s="142" t="s">
        <v>67</v>
      </c>
      <c r="BO16" s="142" t="s">
        <v>42</v>
      </c>
      <c r="BP16" s="142" t="s">
        <v>67</v>
      </c>
      <c r="BQ16" s="142" t="s">
        <v>20</v>
      </c>
      <c r="BR16" s="142" t="s">
        <v>71</v>
      </c>
      <c r="BS16" s="142" t="s">
        <v>67</v>
      </c>
      <c r="BT16" s="142" t="s">
        <v>67</v>
      </c>
      <c r="BU16" s="142" t="s">
        <v>61</v>
      </c>
      <c r="BV16" s="142" t="s">
        <v>42</v>
      </c>
      <c r="BW16" s="142" t="s">
        <v>49</v>
      </c>
      <c r="BX16" s="142" t="s">
        <v>20</v>
      </c>
      <c r="BY16" s="142" t="s">
        <v>71</v>
      </c>
      <c r="BZ16" s="142" t="s">
        <v>42</v>
      </c>
      <c r="CA16" s="142" t="s">
        <v>20</v>
      </c>
      <c r="CB16" s="142" t="s">
        <v>61</v>
      </c>
      <c r="CC16" s="142" t="s">
        <v>42</v>
      </c>
      <c r="CD16" s="142" t="s">
        <v>49</v>
      </c>
      <c r="CE16" s="142" t="s">
        <v>20</v>
      </c>
      <c r="CF16" s="143" t="s">
        <v>71</v>
      </c>
      <c r="CG16" s="43"/>
    </row>
    <row r="17" spans="1:85" ht="18" customHeight="1">
      <c r="A17" s="396" t="s">
        <v>615</v>
      </c>
      <c r="B17" s="397"/>
      <c r="C17" s="397"/>
      <c r="D17" s="397"/>
      <c r="E17" s="397"/>
      <c r="F17" s="398" t="s">
        <v>616</v>
      </c>
      <c r="G17" s="398"/>
      <c r="H17" s="398"/>
      <c r="I17" s="398"/>
      <c r="J17" s="398"/>
      <c r="K17" s="398"/>
      <c r="L17" s="398"/>
      <c r="M17" s="398"/>
      <c r="N17" s="398"/>
      <c r="O17" s="398"/>
      <c r="P17" s="398"/>
      <c r="Q17" s="398"/>
      <c r="R17" s="398"/>
      <c r="S17" s="398"/>
      <c r="T17" s="398"/>
      <c r="U17" s="398"/>
      <c r="V17" s="398"/>
      <c r="W17" s="398"/>
      <c r="X17" s="398"/>
      <c r="Y17" s="398"/>
      <c r="Z17" s="398"/>
      <c r="AA17" s="398"/>
      <c r="AB17" s="398"/>
      <c r="AC17" s="398"/>
      <c r="AD17" s="398"/>
      <c r="AE17" s="398"/>
      <c r="AF17" s="398"/>
      <c r="AG17" s="398"/>
      <c r="AH17" s="398"/>
      <c r="AI17" s="399"/>
      <c r="AK17" s="425" t="s">
        <v>617</v>
      </c>
      <c r="AL17" s="425"/>
      <c r="AM17" s="425"/>
      <c r="AN17" s="425"/>
      <c r="AO17" s="425"/>
      <c r="AP17" s="425"/>
      <c r="AQ17" s="42"/>
      <c r="AR17" s="43"/>
      <c r="AS17" s="46">
        <v>8</v>
      </c>
      <c r="AT17" s="46"/>
      <c r="AU17" s="46" t="s">
        <v>61</v>
      </c>
      <c r="AV17" s="47" t="s">
        <v>618</v>
      </c>
      <c r="AW17" s="47" t="s">
        <v>612</v>
      </c>
      <c r="AX17" s="47">
        <v>0.83333333333333337</v>
      </c>
      <c r="AY17" s="47" t="s">
        <v>613</v>
      </c>
      <c r="AZ17" s="43"/>
      <c r="BB17" s="121" t="s">
        <v>619</v>
      </c>
      <c r="BC17" s="141" t="s">
        <v>67</v>
      </c>
      <c r="BD17" s="140" t="s">
        <v>42</v>
      </c>
      <c r="BE17" s="141" t="s">
        <v>71</v>
      </c>
      <c r="BF17" s="140" t="s">
        <v>67</v>
      </c>
      <c r="BG17" s="140" t="s">
        <v>61</v>
      </c>
      <c r="BH17" s="140" t="s">
        <v>42</v>
      </c>
      <c r="BI17" s="140" t="s">
        <v>49</v>
      </c>
      <c r="BJ17" s="140" t="s">
        <v>61</v>
      </c>
      <c r="BK17" s="140" t="s">
        <v>71</v>
      </c>
      <c r="BL17" s="140" t="s">
        <v>67</v>
      </c>
      <c r="BM17" s="140" t="s">
        <v>49</v>
      </c>
      <c r="BN17" s="140" t="s">
        <v>49</v>
      </c>
      <c r="BO17" s="140" t="s">
        <v>61</v>
      </c>
      <c r="BP17" s="140" t="s">
        <v>49</v>
      </c>
      <c r="BQ17" s="140" t="s">
        <v>67</v>
      </c>
      <c r="BR17" s="140" t="s">
        <v>42</v>
      </c>
      <c r="BS17" s="140" t="s">
        <v>42</v>
      </c>
      <c r="BT17" s="140" t="s">
        <v>49</v>
      </c>
      <c r="BU17" s="140" t="s">
        <v>42</v>
      </c>
      <c r="BV17" s="140" t="s">
        <v>61</v>
      </c>
      <c r="BW17" s="140" t="s">
        <v>71</v>
      </c>
      <c r="BX17" s="140" t="s">
        <v>67</v>
      </c>
      <c r="BY17" s="140" t="s">
        <v>42</v>
      </c>
      <c r="BZ17" s="140" t="s">
        <v>67</v>
      </c>
      <c r="CA17" s="140" t="s">
        <v>67</v>
      </c>
      <c r="CB17" s="140" t="s">
        <v>49</v>
      </c>
      <c r="CC17" s="140" t="s">
        <v>61</v>
      </c>
      <c r="CD17" s="140" t="s">
        <v>71</v>
      </c>
      <c r="CE17" s="140" t="s">
        <v>67</v>
      </c>
      <c r="CF17" s="140" t="s">
        <v>42</v>
      </c>
      <c r="CG17" s="43"/>
    </row>
    <row r="18" spans="1:85" ht="18" customHeight="1">
      <c r="A18" s="501" t="s">
        <v>620</v>
      </c>
      <c r="B18" s="502"/>
      <c r="C18" s="502"/>
      <c r="D18" s="502"/>
      <c r="E18" s="502"/>
      <c r="F18" s="400" t="s">
        <v>616</v>
      </c>
      <c r="G18" s="400"/>
      <c r="H18" s="400"/>
      <c r="I18" s="400"/>
      <c r="J18" s="400"/>
      <c r="K18" s="400"/>
      <c r="L18" s="400"/>
      <c r="M18" s="400"/>
      <c r="N18" s="400"/>
      <c r="O18" s="400"/>
      <c r="P18" s="400"/>
      <c r="Q18" s="400"/>
      <c r="R18" s="400"/>
      <c r="S18" s="400"/>
      <c r="T18" s="400"/>
      <c r="U18" s="400"/>
      <c r="V18" s="400"/>
      <c r="W18" s="400"/>
      <c r="X18" s="400"/>
      <c r="Y18" s="400"/>
      <c r="Z18" s="400"/>
      <c r="AA18" s="400"/>
      <c r="AB18" s="400"/>
      <c r="AC18" s="400"/>
      <c r="AD18" s="400"/>
      <c r="AE18" s="400"/>
      <c r="AF18" s="400"/>
      <c r="AG18" s="400"/>
      <c r="AH18" s="400"/>
      <c r="AI18" s="401"/>
      <c r="AK18" s="425" t="s">
        <v>621</v>
      </c>
      <c r="AL18" s="425"/>
      <c r="AM18" s="425"/>
      <c r="AN18" s="425"/>
      <c r="AO18" s="425"/>
      <c r="AP18" s="425"/>
      <c r="AQ18" s="42"/>
      <c r="AR18" s="43"/>
      <c r="AS18" s="46">
        <v>9</v>
      </c>
      <c r="AT18" s="46"/>
      <c r="AU18" s="46"/>
      <c r="AV18" s="47" t="s">
        <v>622</v>
      </c>
      <c r="AW18" s="47" t="s">
        <v>612</v>
      </c>
      <c r="AX18" s="47">
        <v>0.83333333333333337</v>
      </c>
      <c r="AY18" s="47" t="s">
        <v>613</v>
      </c>
      <c r="AZ18" s="43"/>
    </row>
    <row r="19" spans="1:85" ht="18" customHeight="1" thickBot="1">
      <c r="A19" s="35" t="s">
        <v>189</v>
      </c>
      <c r="B19" s="405">
        <v>0.56736111111111109</v>
      </c>
      <c r="C19" s="405"/>
      <c r="D19" s="405"/>
      <c r="E19" s="405"/>
      <c r="F19" s="402" t="s">
        <v>973</v>
      </c>
      <c r="G19" s="402"/>
      <c r="H19" s="402"/>
      <c r="I19" s="402"/>
      <c r="J19" s="402"/>
      <c r="K19" s="402"/>
      <c r="L19" s="402"/>
      <c r="M19" s="402"/>
      <c r="N19" s="402"/>
      <c r="O19" s="402"/>
      <c r="P19" s="402"/>
      <c r="Q19" s="402"/>
      <c r="R19" s="402"/>
      <c r="S19" s="402"/>
      <c r="T19" s="402"/>
      <c r="U19" s="402"/>
      <c r="V19" s="402"/>
      <c r="W19" s="402"/>
      <c r="X19" s="402"/>
      <c r="Y19" s="402"/>
      <c r="Z19" s="402"/>
      <c r="AA19" s="402"/>
      <c r="AB19" s="402"/>
      <c r="AC19" s="402"/>
      <c r="AD19" s="402"/>
      <c r="AE19" s="402"/>
      <c r="AF19" s="402"/>
      <c r="AG19" s="402"/>
      <c r="AH19" s="402"/>
      <c r="AI19" s="403"/>
      <c r="AK19" s="524" t="s">
        <v>623</v>
      </c>
      <c r="AL19" s="524"/>
      <c r="AM19" s="524"/>
      <c r="AN19" s="524"/>
      <c r="AO19" s="524"/>
      <c r="AP19" s="524"/>
      <c r="AQ19" s="58"/>
      <c r="AR19" s="43"/>
      <c r="AS19" s="46">
        <v>10</v>
      </c>
      <c r="AT19" s="46"/>
      <c r="AU19" s="46"/>
      <c r="AV19" s="47" t="s">
        <v>111</v>
      </c>
      <c r="AW19" s="47" t="s">
        <v>612</v>
      </c>
      <c r="AX19" s="47">
        <v>0.83333333333333337</v>
      </c>
      <c r="AY19" s="47" t="s">
        <v>613</v>
      </c>
      <c r="AZ19" s="43"/>
    </row>
    <row r="20" spans="1:85" ht="18" customHeight="1">
      <c r="A20" s="36" t="s">
        <v>189</v>
      </c>
      <c r="B20" s="404">
        <v>0.70347222222222228</v>
      </c>
      <c r="C20" s="404"/>
      <c r="D20" s="404"/>
      <c r="E20" s="404"/>
      <c r="F20" s="288" t="s">
        <v>1002</v>
      </c>
      <c r="G20" s="288"/>
      <c r="H20" s="288"/>
      <c r="I20" s="288"/>
      <c r="J20" s="288"/>
      <c r="K20" s="288"/>
      <c r="L20" s="288"/>
      <c r="M20" s="288"/>
      <c r="N20" s="288"/>
      <c r="O20" s="288"/>
      <c r="P20" s="288"/>
      <c r="Q20" s="288"/>
      <c r="R20" s="288"/>
      <c r="S20" s="288"/>
      <c r="T20" s="288"/>
      <c r="U20" s="288"/>
      <c r="V20" s="288"/>
      <c r="W20" s="288"/>
      <c r="X20" s="288"/>
      <c r="Y20" s="288"/>
      <c r="Z20" s="288"/>
      <c r="AA20" s="288"/>
      <c r="AB20" s="288"/>
      <c r="AC20" s="288"/>
      <c r="AD20" s="288"/>
      <c r="AE20" s="288"/>
      <c r="AF20" s="288"/>
      <c r="AG20" s="288"/>
      <c r="AH20" s="288"/>
      <c r="AI20" s="289"/>
      <c r="AK20" s="447" t="s">
        <v>624</v>
      </c>
      <c r="AL20" s="448"/>
      <c r="AM20" s="448"/>
      <c r="AN20" s="448"/>
      <c r="AO20" s="448"/>
      <c r="AP20" s="448"/>
      <c r="AQ20" s="62"/>
      <c r="AR20" s="426" t="s">
        <v>625</v>
      </c>
      <c r="AS20" s="146">
        <v>11</v>
      </c>
      <c r="AT20" s="46"/>
      <c r="AU20" s="46"/>
      <c r="AV20" s="47" t="s">
        <v>111</v>
      </c>
      <c r="AW20" s="47" t="s">
        <v>612</v>
      </c>
      <c r="AX20" s="47">
        <v>0.83333333333333337</v>
      </c>
      <c r="AY20" s="47" t="s">
        <v>613</v>
      </c>
      <c r="AZ20" s="43"/>
    </row>
    <row r="21" spans="1:85" ht="18" customHeight="1" thickBot="1">
      <c r="A21" s="36"/>
      <c r="B21" s="404"/>
      <c r="C21" s="404"/>
      <c r="D21" s="404"/>
      <c r="E21" s="404"/>
      <c r="F21" s="288" t="s">
        <v>1003</v>
      </c>
      <c r="G21" s="288"/>
      <c r="H21" s="288"/>
      <c r="I21" s="288"/>
      <c r="J21" s="288"/>
      <c r="K21" s="288"/>
      <c r="L21" s="288"/>
      <c r="M21" s="288"/>
      <c r="N21" s="288"/>
      <c r="O21" s="288"/>
      <c r="P21" s="288"/>
      <c r="Q21" s="288"/>
      <c r="R21" s="288"/>
      <c r="S21" s="288"/>
      <c r="T21" s="288"/>
      <c r="U21" s="288"/>
      <c r="V21" s="288"/>
      <c r="W21" s="288"/>
      <c r="X21" s="288"/>
      <c r="Y21" s="288"/>
      <c r="Z21" s="288"/>
      <c r="AA21" s="288"/>
      <c r="AB21" s="288"/>
      <c r="AC21" s="288"/>
      <c r="AD21" s="288"/>
      <c r="AE21" s="288"/>
      <c r="AF21" s="288"/>
      <c r="AG21" s="288"/>
      <c r="AH21" s="288"/>
      <c r="AI21" s="289"/>
      <c r="AK21" s="429" t="s">
        <v>626</v>
      </c>
      <c r="AL21" s="430"/>
      <c r="AM21" s="430"/>
      <c r="AN21" s="430"/>
      <c r="AO21" s="430"/>
      <c r="AP21" s="430"/>
      <c r="AQ21" s="63"/>
      <c r="AR21" s="427"/>
      <c r="AW21" s="43"/>
      <c r="AX21" s="43"/>
      <c r="AY21" s="43"/>
      <c r="AZ21" s="43"/>
    </row>
    <row r="22" spans="1:85" ht="18" customHeight="1">
      <c r="A22" s="36"/>
      <c r="B22" s="404">
        <v>0.70416666666666672</v>
      </c>
      <c r="C22" s="404"/>
      <c r="D22" s="404"/>
      <c r="E22" s="404"/>
      <c r="F22" s="288" t="s">
        <v>1004</v>
      </c>
      <c r="G22" s="288"/>
      <c r="H22" s="288"/>
      <c r="I22" s="288"/>
      <c r="J22" s="288"/>
      <c r="K22" s="288"/>
      <c r="L22" s="288"/>
      <c r="M22" s="288"/>
      <c r="N22" s="288"/>
      <c r="O22" s="288"/>
      <c r="P22" s="288"/>
      <c r="Q22" s="288"/>
      <c r="R22" s="288"/>
      <c r="S22" s="288"/>
      <c r="T22" s="288"/>
      <c r="U22" s="288"/>
      <c r="V22" s="288"/>
      <c r="W22" s="288"/>
      <c r="X22" s="288"/>
      <c r="Y22" s="288"/>
      <c r="Z22" s="288"/>
      <c r="AA22" s="288"/>
      <c r="AB22" s="288"/>
      <c r="AC22" s="288"/>
      <c r="AD22" s="288"/>
      <c r="AE22" s="288"/>
      <c r="AF22" s="288"/>
      <c r="AG22" s="288"/>
      <c r="AH22" s="288"/>
      <c r="AI22" s="289"/>
      <c r="AK22" s="429" t="s">
        <v>627</v>
      </c>
      <c r="AL22" s="430"/>
      <c r="AM22" s="430"/>
      <c r="AN22" s="430"/>
      <c r="AO22" s="430"/>
      <c r="AP22" s="430"/>
      <c r="AQ22" s="63"/>
      <c r="AR22" s="427"/>
      <c r="AS22" s="433" t="s">
        <v>628</v>
      </c>
      <c r="AT22" s="434"/>
      <c r="AU22" s="435"/>
      <c r="AV22" s="435"/>
      <c r="AW22" s="60" t="s">
        <v>74</v>
      </c>
      <c r="AY22" s="413" t="s">
        <v>629</v>
      </c>
      <c r="AZ22" s="413"/>
      <c r="BA22" s="412"/>
      <c r="BB22" s="412"/>
    </row>
    <row r="23" spans="1:85" ht="18" customHeight="1" thickBot="1">
      <c r="A23" s="36"/>
      <c r="B23" s="404"/>
      <c r="C23" s="404"/>
      <c r="D23" s="404"/>
      <c r="E23" s="404"/>
      <c r="F23" s="288" t="s">
        <v>1005</v>
      </c>
      <c r="G23" s="288"/>
      <c r="H23" s="288"/>
      <c r="I23" s="288"/>
      <c r="J23" s="288"/>
      <c r="K23" s="288"/>
      <c r="L23" s="288"/>
      <c r="M23" s="288"/>
      <c r="N23" s="288"/>
      <c r="O23" s="288"/>
      <c r="P23" s="288"/>
      <c r="Q23" s="288"/>
      <c r="R23" s="288"/>
      <c r="S23" s="288"/>
      <c r="T23" s="288"/>
      <c r="U23" s="288"/>
      <c r="V23" s="288"/>
      <c r="W23" s="288"/>
      <c r="X23" s="288"/>
      <c r="Y23" s="288"/>
      <c r="Z23" s="288"/>
      <c r="AA23" s="288"/>
      <c r="AB23" s="288"/>
      <c r="AC23" s="288"/>
      <c r="AD23" s="288"/>
      <c r="AE23" s="288"/>
      <c r="AF23" s="288"/>
      <c r="AG23" s="288"/>
      <c r="AH23" s="288"/>
      <c r="AI23" s="289"/>
      <c r="AK23" s="431" t="s">
        <v>630</v>
      </c>
      <c r="AL23" s="432"/>
      <c r="AM23" s="432"/>
      <c r="AN23" s="432"/>
      <c r="AO23" s="432"/>
      <c r="AP23" s="432"/>
      <c r="AQ23" s="64"/>
      <c r="AR23" s="428"/>
      <c r="AS23" s="536" t="s">
        <v>631</v>
      </c>
      <c r="AT23" s="246"/>
      <c r="AU23" s="537"/>
      <c r="AV23" s="537"/>
      <c r="AW23" s="56" t="s">
        <v>632</v>
      </c>
      <c r="AY23" s="413" t="s">
        <v>633</v>
      </c>
      <c r="AZ23" s="413"/>
      <c r="BA23" s="412"/>
      <c r="BB23" s="412"/>
    </row>
    <row r="24" spans="1:85" ht="18" customHeight="1" thickBot="1">
      <c r="A24" s="36"/>
      <c r="B24" s="404">
        <v>0.72638888888888886</v>
      </c>
      <c r="C24" s="404"/>
      <c r="D24" s="404"/>
      <c r="E24" s="404"/>
      <c r="F24" s="288" t="s">
        <v>1006</v>
      </c>
      <c r="G24" s="288"/>
      <c r="H24" s="288"/>
      <c r="I24" s="288"/>
      <c r="J24" s="288"/>
      <c r="K24" s="288"/>
      <c r="L24" s="288"/>
      <c r="M24" s="288"/>
      <c r="N24" s="288"/>
      <c r="O24" s="288"/>
      <c r="P24" s="288"/>
      <c r="Q24" s="288"/>
      <c r="R24" s="288"/>
      <c r="S24" s="288"/>
      <c r="T24" s="288"/>
      <c r="U24" s="288"/>
      <c r="V24" s="288"/>
      <c r="W24" s="288"/>
      <c r="X24" s="288"/>
      <c r="Y24" s="288"/>
      <c r="Z24" s="288"/>
      <c r="AA24" s="288"/>
      <c r="AB24" s="288"/>
      <c r="AC24" s="288"/>
      <c r="AD24" s="288"/>
      <c r="AE24" s="288"/>
      <c r="AF24" s="288"/>
      <c r="AG24" s="288"/>
      <c r="AH24" s="288"/>
      <c r="AI24" s="289"/>
      <c r="AK24" s="527" t="s">
        <v>634</v>
      </c>
      <c r="AL24" s="528"/>
      <c r="AM24" s="528"/>
      <c r="AN24" s="528"/>
      <c r="AO24" s="528"/>
      <c r="AP24" s="528"/>
      <c r="AQ24" s="65"/>
      <c r="AR24" s="43"/>
      <c r="AY24" s="413" t="s">
        <v>635</v>
      </c>
      <c r="AZ24" s="413"/>
      <c r="BA24" s="412"/>
      <c r="BB24" s="412"/>
    </row>
    <row r="25" spans="1:85" ht="18" customHeight="1">
      <c r="A25" s="36" t="s">
        <v>189</v>
      </c>
      <c r="B25" s="404">
        <v>0.82291666666666663</v>
      </c>
      <c r="C25" s="404"/>
      <c r="D25" s="404"/>
      <c r="E25" s="404"/>
      <c r="F25" s="288" t="s">
        <v>1007</v>
      </c>
      <c r="G25" s="288"/>
      <c r="H25" s="288"/>
      <c r="I25" s="288"/>
      <c r="J25" s="288"/>
      <c r="K25" s="288"/>
      <c r="L25" s="288"/>
      <c r="M25" s="288"/>
      <c r="N25" s="288"/>
      <c r="O25" s="288"/>
      <c r="P25" s="288"/>
      <c r="Q25" s="288"/>
      <c r="R25" s="288"/>
      <c r="S25" s="288"/>
      <c r="T25" s="288"/>
      <c r="U25" s="288"/>
      <c r="V25" s="288"/>
      <c r="W25" s="288"/>
      <c r="X25" s="288"/>
      <c r="Y25" s="288"/>
      <c r="Z25" s="288"/>
      <c r="AA25" s="288"/>
      <c r="AB25" s="288"/>
      <c r="AC25" s="288"/>
      <c r="AD25" s="288"/>
      <c r="AE25" s="288"/>
      <c r="AF25" s="288"/>
      <c r="AG25" s="288"/>
      <c r="AH25" s="288"/>
      <c r="AI25" s="289"/>
      <c r="AK25" s="529" t="s">
        <v>636</v>
      </c>
      <c r="AL25" s="529"/>
      <c r="AM25" s="529"/>
      <c r="AN25" s="529"/>
      <c r="AO25" s="529"/>
      <c r="AP25" s="529"/>
      <c r="AQ25" s="66"/>
      <c r="AR25" s="43"/>
      <c r="AY25" s="413" t="s">
        <v>637</v>
      </c>
      <c r="AZ25" s="413"/>
      <c r="BA25" s="412"/>
      <c r="BB25" s="412"/>
    </row>
    <row r="26" spans="1:85" ht="18" customHeight="1">
      <c r="A26" s="36" t="s">
        <v>189</v>
      </c>
      <c r="B26" s="404">
        <v>0.8666666666666667</v>
      </c>
      <c r="C26" s="404"/>
      <c r="D26" s="404"/>
      <c r="E26" s="404"/>
      <c r="F26" s="288" t="s">
        <v>1008</v>
      </c>
      <c r="G26" s="288"/>
      <c r="H26" s="288"/>
      <c r="I26" s="288"/>
      <c r="J26" s="288"/>
      <c r="K26" s="288"/>
      <c r="L26" s="288"/>
      <c r="M26" s="288"/>
      <c r="N26" s="288"/>
      <c r="O26" s="288"/>
      <c r="P26" s="288"/>
      <c r="Q26" s="288"/>
      <c r="R26" s="288"/>
      <c r="S26" s="288"/>
      <c r="T26" s="288"/>
      <c r="U26" s="288"/>
      <c r="V26" s="288"/>
      <c r="W26" s="288"/>
      <c r="X26" s="288"/>
      <c r="Y26" s="288"/>
      <c r="Z26" s="288"/>
      <c r="AA26" s="288"/>
      <c r="AB26" s="288"/>
      <c r="AC26" s="288"/>
      <c r="AD26" s="288"/>
      <c r="AE26" s="288"/>
      <c r="AF26" s="288"/>
      <c r="AG26" s="288"/>
      <c r="AH26" s="288"/>
      <c r="AI26" s="289"/>
      <c r="AK26" s="436" t="s">
        <v>638</v>
      </c>
      <c r="AL26" s="436"/>
      <c r="AM26" s="436"/>
      <c r="AN26" s="436"/>
      <c r="AO26" s="436"/>
      <c r="AP26" s="436"/>
      <c r="AQ26" s="67"/>
      <c r="AR26" s="43"/>
      <c r="AS26" s="548" t="s">
        <v>639</v>
      </c>
      <c r="AT26" s="549"/>
      <c r="AU26" s="549"/>
      <c r="AV26" s="549"/>
      <c r="AW26" s="550"/>
      <c r="AY26" s="147"/>
      <c r="AZ26" s="147"/>
      <c r="BA26" s="147"/>
      <c r="BB26" s="147"/>
    </row>
    <row r="27" spans="1:85" ht="18" customHeight="1">
      <c r="A27" s="36" t="s">
        <v>189</v>
      </c>
      <c r="B27" s="404">
        <v>0.89722222222222225</v>
      </c>
      <c r="C27" s="404"/>
      <c r="D27" s="404"/>
      <c r="E27" s="404"/>
      <c r="F27" s="288" t="s">
        <v>1009</v>
      </c>
      <c r="G27" s="288"/>
      <c r="H27" s="288"/>
      <c r="I27" s="288"/>
      <c r="J27" s="288"/>
      <c r="K27" s="288"/>
      <c r="L27" s="288"/>
      <c r="M27" s="288"/>
      <c r="N27" s="288"/>
      <c r="O27" s="288"/>
      <c r="P27" s="288"/>
      <c r="Q27" s="288"/>
      <c r="R27" s="288"/>
      <c r="S27" s="288"/>
      <c r="T27" s="288"/>
      <c r="U27" s="288"/>
      <c r="V27" s="288"/>
      <c r="W27" s="288"/>
      <c r="X27" s="288"/>
      <c r="Y27" s="288"/>
      <c r="Z27" s="288"/>
      <c r="AA27" s="288"/>
      <c r="AB27" s="288"/>
      <c r="AC27" s="288"/>
      <c r="AD27" s="288"/>
      <c r="AE27" s="288"/>
      <c r="AF27" s="288"/>
      <c r="AG27" s="288"/>
      <c r="AH27" s="288"/>
      <c r="AI27" s="289"/>
      <c r="AK27" s="436" t="s">
        <v>640</v>
      </c>
      <c r="AL27" s="436"/>
      <c r="AM27" s="436"/>
      <c r="AN27" s="436"/>
      <c r="AO27" s="436"/>
      <c r="AP27" s="436"/>
      <c r="AQ27" s="67"/>
      <c r="AR27" s="43"/>
      <c r="AS27" s="458" t="s">
        <v>641</v>
      </c>
      <c r="AT27" s="460"/>
      <c r="AU27" s="458" t="s">
        <v>642</v>
      </c>
      <c r="AV27" s="459"/>
      <c r="AW27" s="460"/>
      <c r="AY27" s="411" t="s">
        <v>643</v>
      </c>
      <c r="AZ27" s="411"/>
      <c r="BA27" s="411"/>
      <c r="BB27" s="411"/>
    </row>
    <row r="28" spans="1:85" ht="18" customHeight="1" thickBot="1">
      <c r="A28" s="36" t="s">
        <v>189</v>
      </c>
      <c r="B28" s="404">
        <v>5.5555555555555552E-2</v>
      </c>
      <c r="C28" s="404"/>
      <c r="D28" s="404"/>
      <c r="E28" s="404"/>
      <c r="F28" s="288" t="s">
        <v>1010</v>
      </c>
      <c r="G28" s="288"/>
      <c r="H28" s="288"/>
      <c r="I28" s="288"/>
      <c r="J28" s="288"/>
      <c r="K28" s="288"/>
      <c r="L28" s="288"/>
      <c r="M28" s="288"/>
      <c r="N28" s="288"/>
      <c r="O28" s="288"/>
      <c r="P28" s="288"/>
      <c r="Q28" s="288"/>
      <c r="R28" s="288"/>
      <c r="S28" s="288"/>
      <c r="T28" s="288"/>
      <c r="U28" s="288"/>
      <c r="V28" s="288"/>
      <c r="W28" s="288"/>
      <c r="X28" s="288"/>
      <c r="Y28" s="288"/>
      <c r="Z28" s="288"/>
      <c r="AA28" s="288"/>
      <c r="AB28" s="288"/>
      <c r="AC28" s="288"/>
      <c r="AD28" s="288"/>
      <c r="AE28" s="288"/>
      <c r="AF28" s="288"/>
      <c r="AG28" s="288"/>
      <c r="AH28" s="288"/>
      <c r="AI28" s="289"/>
      <c r="AK28" s="436" t="s">
        <v>644</v>
      </c>
      <c r="AL28" s="436"/>
      <c r="AM28" s="436"/>
      <c r="AN28" s="436"/>
      <c r="AO28" s="436"/>
      <c r="AP28" s="436"/>
      <c r="AQ28" s="67"/>
      <c r="AR28" s="43"/>
      <c r="AS28" s="538" t="s">
        <v>645</v>
      </c>
      <c r="AT28" s="539"/>
      <c r="AU28" s="533" t="s">
        <v>646</v>
      </c>
      <c r="AV28" s="534"/>
      <c r="AW28" s="535"/>
      <c r="AY28" s="413" t="s">
        <v>647</v>
      </c>
      <c r="AZ28" s="413"/>
      <c r="BA28" s="412"/>
      <c r="BB28" s="412"/>
    </row>
    <row r="29" spans="1:85" ht="18" customHeight="1" thickBot="1">
      <c r="A29" s="36" t="s">
        <v>189</v>
      </c>
      <c r="B29" s="404">
        <v>0.22291666666666668</v>
      </c>
      <c r="C29" s="404"/>
      <c r="D29" s="404"/>
      <c r="E29" s="404"/>
      <c r="F29" s="288" t="s">
        <v>1011</v>
      </c>
      <c r="G29" s="288"/>
      <c r="H29" s="288"/>
      <c r="I29" s="288"/>
      <c r="J29" s="288"/>
      <c r="K29" s="288"/>
      <c r="L29" s="288"/>
      <c r="M29" s="288"/>
      <c r="N29" s="288"/>
      <c r="O29" s="288"/>
      <c r="P29" s="288"/>
      <c r="Q29" s="288"/>
      <c r="R29" s="288"/>
      <c r="S29" s="288"/>
      <c r="T29" s="288"/>
      <c r="U29" s="288"/>
      <c r="V29" s="288"/>
      <c r="W29" s="288"/>
      <c r="X29" s="288"/>
      <c r="Y29" s="288"/>
      <c r="Z29" s="288"/>
      <c r="AA29" s="288"/>
      <c r="AB29" s="288"/>
      <c r="AC29" s="288"/>
      <c r="AD29" s="288"/>
      <c r="AE29" s="288"/>
      <c r="AF29" s="288"/>
      <c r="AG29" s="288"/>
      <c r="AH29" s="288"/>
      <c r="AI29" s="289"/>
      <c r="AK29" s="524"/>
      <c r="AL29" s="524"/>
      <c r="AM29" s="524"/>
      <c r="AN29" s="524"/>
      <c r="AO29" s="524"/>
      <c r="AP29" s="524"/>
      <c r="AQ29" s="58"/>
      <c r="AR29" s="43"/>
      <c r="AS29" s="551"/>
      <c r="AT29" s="552"/>
      <c r="AU29" s="434"/>
      <c r="AV29" s="434"/>
      <c r="AW29" s="553"/>
      <c r="AY29" s="413" t="s">
        <v>633</v>
      </c>
      <c r="AZ29" s="413"/>
      <c r="BA29" s="412"/>
      <c r="BB29" s="412"/>
    </row>
    <row r="30" spans="1:85" ht="18" customHeight="1">
      <c r="A30" s="36"/>
      <c r="B30" s="404"/>
      <c r="C30" s="404"/>
      <c r="D30" s="404"/>
      <c r="E30" s="404"/>
      <c r="F30" s="288" t="s">
        <v>1012</v>
      </c>
      <c r="G30" s="288"/>
      <c r="H30" s="288"/>
      <c r="I30" s="288"/>
      <c r="J30" s="288"/>
      <c r="K30" s="288"/>
      <c r="L30" s="288"/>
      <c r="M30" s="288"/>
      <c r="N30" s="288"/>
      <c r="O30" s="288"/>
      <c r="P30" s="288"/>
      <c r="Q30" s="288"/>
      <c r="R30" s="288"/>
      <c r="S30" s="288"/>
      <c r="T30" s="288"/>
      <c r="U30" s="288"/>
      <c r="V30" s="288"/>
      <c r="W30" s="288"/>
      <c r="X30" s="288"/>
      <c r="Y30" s="288"/>
      <c r="Z30" s="288"/>
      <c r="AA30" s="288"/>
      <c r="AB30" s="288"/>
      <c r="AC30" s="288"/>
      <c r="AD30" s="288"/>
      <c r="AE30" s="288"/>
      <c r="AF30" s="288"/>
      <c r="AG30" s="288"/>
      <c r="AH30" s="288"/>
      <c r="AI30" s="289"/>
      <c r="AK30" s="449" t="s">
        <v>648</v>
      </c>
      <c r="AL30" s="450"/>
      <c r="AM30" s="450"/>
      <c r="AN30" s="450"/>
      <c r="AO30" s="450"/>
      <c r="AP30" s="450"/>
      <c r="AQ30" s="62"/>
      <c r="AR30" s="43"/>
      <c r="AS30" s="554"/>
      <c r="AT30" s="532"/>
      <c r="AU30" s="439"/>
      <c r="AV30" s="439"/>
      <c r="AW30" s="555"/>
      <c r="AY30" s="413" t="s">
        <v>649</v>
      </c>
      <c r="AZ30" s="413"/>
      <c r="BA30" s="412"/>
      <c r="BB30" s="412"/>
    </row>
    <row r="31" spans="1:85" ht="18" customHeight="1" thickBot="1">
      <c r="A31" s="37" t="s">
        <v>189</v>
      </c>
      <c r="B31" s="466">
        <v>0.29166666666666669</v>
      </c>
      <c r="C31" s="466"/>
      <c r="D31" s="466"/>
      <c r="E31" s="466"/>
      <c r="F31" s="467" t="s">
        <v>689</v>
      </c>
      <c r="G31" s="467"/>
      <c r="H31" s="467"/>
      <c r="I31" s="467"/>
      <c r="J31" s="467"/>
      <c r="K31" s="467"/>
      <c r="L31" s="467"/>
      <c r="M31" s="467"/>
      <c r="N31" s="467"/>
      <c r="O31" s="467"/>
      <c r="P31" s="467"/>
      <c r="Q31" s="467"/>
      <c r="R31" s="467"/>
      <c r="S31" s="467"/>
      <c r="T31" s="467"/>
      <c r="U31" s="467"/>
      <c r="V31" s="467"/>
      <c r="W31" s="467"/>
      <c r="X31" s="467"/>
      <c r="Y31" s="467"/>
      <c r="Z31" s="467"/>
      <c r="AA31" s="467"/>
      <c r="AB31" s="467"/>
      <c r="AC31" s="467"/>
      <c r="AD31" s="467"/>
      <c r="AE31" s="467"/>
      <c r="AF31" s="467"/>
      <c r="AG31" s="467"/>
      <c r="AH31" s="467"/>
      <c r="AI31" s="468"/>
      <c r="AK31" s="451" t="s">
        <v>650</v>
      </c>
      <c r="AL31" s="416"/>
      <c r="AM31" s="416"/>
      <c r="AN31" s="416"/>
      <c r="AO31" s="416"/>
      <c r="AP31" s="416"/>
      <c r="AQ31" s="64"/>
      <c r="AR31" s="48"/>
      <c r="AS31" s="556"/>
      <c r="AT31" s="557"/>
      <c r="AU31" s="424"/>
      <c r="AV31" s="424"/>
      <c r="AW31" s="491"/>
      <c r="AY31" s="413" t="s">
        <v>637</v>
      </c>
      <c r="AZ31" s="413"/>
      <c r="BA31" s="412"/>
      <c r="BB31" s="412"/>
    </row>
    <row r="32" spans="1:85" ht="18" customHeight="1" thickBot="1">
      <c r="A32" s="406" t="s">
        <v>651</v>
      </c>
      <c r="B32" s="407"/>
      <c r="C32" s="407"/>
      <c r="D32" s="407"/>
      <c r="E32" s="407"/>
      <c r="F32" s="407"/>
      <c r="G32" s="407"/>
      <c r="H32" s="407"/>
      <c r="I32" s="407"/>
      <c r="J32" s="407"/>
      <c r="K32" s="407"/>
      <c r="L32" s="407"/>
      <c r="M32" s="407"/>
      <c r="N32" s="407"/>
      <c r="O32" s="407"/>
      <c r="P32" s="407"/>
      <c r="Q32" s="407"/>
      <c r="R32" s="407"/>
      <c r="S32" s="407"/>
      <c r="T32" s="407"/>
      <c r="U32" s="407"/>
      <c r="V32" s="407"/>
      <c r="W32" s="407"/>
      <c r="X32" s="407"/>
      <c r="Y32" s="407"/>
      <c r="Z32" s="407"/>
      <c r="AA32" s="407"/>
      <c r="AB32" s="407"/>
      <c r="AC32" s="407"/>
      <c r="AD32" s="407"/>
      <c r="AE32" s="407"/>
      <c r="AF32" s="407"/>
      <c r="AG32" s="407"/>
      <c r="AH32" s="407"/>
      <c r="AI32" s="408"/>
      <c r="AK32" s="531"/>
      <c r="AL32" s="531"/>
      <c r="AM32" s="531"/>
      <c r="AN32" s="531"/>
      <c r="AO32" s="531"/>
      <c r="AP32" s="531"/>
      <c r="AQ32" s="61"/>
      <c r="AR32" s="48"/>
      <c r="AS32" s="558"/>
      <c r="AT32" s="558"/>
      <c r="AU32" s="559"/>
      <c r="AV32" s="559"/>
      <c r="AW32" s="559"/>
      <c r="AY32" s="413" t="s">
        <v>652</v>
      </c>
      <c r="AZ32" s="413"/>
      <c r="BA32" s="412"/>
      <c r="BB32" s="412"/>
    </row>
    <row r="33" spans="1:80" ht="18" customHeight="1">
      <c r="A33" s="39"/>
      <c r="B33" s="546" t="s">
        <v>653</v>
      </c>
      <c r="C33" s="546"/>
      <c r="D33" s="546"/>
      <c r="E33" s="546"/>
      <c r="F33" s="417" t="str" cm="1">
        <f t="array" ref="F33">_xlfn.TEXTJOIN("/",TRUE,IF(AS29:AS31&lt;&gt;"",TEXT(AS29:AS31,"h:mm")&amp;" "&amp;AU29:AU31,""))</f>
        <v/>
      </c>
      <c r="G33" s="418"/>
      <c r="H33" s="418"/>
      <c r="I33" s="418"/>
      <c r="J33" s="418"/>
      <c r="K33" s="418"/>
      <c r="L33" s="418"/>
      <c r="M33" s="418"/>
      <c r="N33" s="418"/>
      <c r="O33" s="418"/>
      <c r="P33" s="418"/>
      <c r="Q33" s="418"/>
      <c r="R33" s="418"/>
      <c r="S33" s="418"/>
      <c r="T33" s="418"/>
      <c r="U33" s="418"/>
      <c r="V33" s="418"/>
      <c r="W33" s="418"/>
      <c r="X33" s="418"/>
      <c r="Y33" s="418"/>
      <c r="Z33" s="418"/>
      <c r="AA33" s="418"/>
      <c r="AB33" s="418"/>
      <c r="AC33" s="418"/>
      <c r="AD33" s="418"/>
      <c r="AE33" s="418"/>
      <c r="AF33" s="418"/>
      <c r="AG33" s="418"/>
      <c r="AH33" s="418"/>
      <c r="AI33" s="419"/>
      <c r="AK33" s="449" t="s">
        <v>654</v>
      </c>
      <c r="AL33" s="450"/>
      <c r="AM33" s="450"/>
      <c r="AN33" s="450"/>
      <c r="AO33" s="450"/>
      <c r="AP33" s="450"/>
      <c r="AQ33" s="60"/>
      <c r="AR33" s="48"/>
      <c r="AS33" s="532"/>
      <c r="AT33" s="532"/>
      <c r="AU33" s="439"/>
      <c r="AV33" s="439"/>
      <c r="AW33" s="439"/>
      <c r="AY33" s="413" t="s">
        <v>655</v>
      </c>
      <c r="AZ33" s="413"/>
      <c r="BA33" s="412"/>
      <c r="BB33" s="412"/>
    </row>
    <row r="34" spans="1:80" ht="18" customHeight="1" thickBot="1">
      <c r="A34" s="39"/>
      <c r="B34" s="546" t="s">
        <v>656</v>
      </c>
      <c r="C34" s="546"/>
      <c r="D34" s="546"/>
      <c r="E34" s="546"/>
      <c r="F34" s="420" t="s">
        <v>79</v>
      </c>
      <c r="G34" s="420"/>
      <c r="H34" s="420"/>
      <c r="I34" s="420"/>
      <c r="J34" s="420"/>
      <c r="K34" s="420"/>
      <c r="L34" s="420"/>
      <c r="M34" s="420"/>
      <c r="N34" s="420"/>
      <c r="O34" s="420"/>
      <c r="P34" s="420"/>
      <c r="Q34" s="420"/>
      <c r="R34" s="420"/>
      <c r="S34" s="420"/>
      <c r="T34" s="420"/>
      <c r="U34" s="420"/>
      <c r="V34" s="420"/>
      <c r="W34" s="420"/>
      <c r="X34" s="420"/>
      <c r="Y34" s="420"/>
      <c r="Z34" s="420"/>
      <c r="AA34" s="420"/>
      <c r="AB34" s="420"/>
      <c r="AC34" s="421"/>
      <c r="AD34" s="421"/>
      <c r="AE34" s="421"/>
      <c r="AF34" s="421"/>
      <c r="AG34" s="421"/>
      <c r="AH34" s="421"/>
      <c r="AI34" s="422"/>
      <c r="AK34" s="451" t="s">
        <v>657</v>
      </c>
      <c r="AL34" s="416"/>
      <c r="AM34" s="416"/>
      <c r="AN34" s="416"/>
      <c r="AO34" s="416"/>
      <c r="AP34" s="416"/>
      <c r="AQ34" s="56"/>
      <c r="AR34" s="48"/>
      <c r="AS34" s="532"/>
      <c r="AT34" s="532"/>
      <c r="AU34" s="439"/>
      <c r="AV34" s="439"/>
      <c r="AW34" s="439"/>
      <c r="AY34" s="413" t="s">
        <v>658</v>
      </c>
      <c r="AZ34" s="413"/>
      <c r="BA34" s="412"/>
      <c r="BB34" s="412"/>
    </row>
    <row r="35" spans="1:80" ht="18" customHeight="1" thickBot="1">
      <c r="A35" s="57"/>
      <c r="B35" s="547" t="s">
        <v>659</v>
      </c>
      <c r="C35" s="547"/>
      <c r="D35" s="547"/>
      <c r="E35" s="547"/>
      <c r="F35" s="389" t="s">
        <v>660</v>
      </c>
      <c r="G35" s="389"/>
      <c r="H35" s="389"/>
      <c r="I35" s="389"/>
      <c r="J35" s="389"/>
      <c r="K35" s="389"/>
      <c r="L35" s="389"/>
      <c r="M35" s="389"/>
      <c r="N35" s="389"/>
      <c r="O35" s="389"/>
      <c r="P35" s="389"/>
      <c r="Q35" s="389"/>
      <c r="R35" s="389"/>
      <c r="S35" s="389"/>
      <c r="T35" s="389"/>
      <c r="U35" s="389"/>
      <c r="V35" s="389"/>
      <c r="W35" s="390" t="s">
        <v>661</v>
      </c>
      <c r="X35" s="391"/>
      <c r="Y35" s="391"/>
      <c r="Z35" s="391"/>
      <c r="AA35" s="391"/>
      <c r="AB35" s="391"/>
      <c r="AC35" s="392" t="s">
        <v>662</v>
      </c>
      <c r="AD35" s="393"/>
      <c r="AE35" s="393"/>
      <c r="AF35" s="393"/>
      <c r="AG35" s="393"/>
      <c r="AH35" s="393"/>
      <c r="AI35" s="394"/>
      <c r="AK35" s="531"/>
      <c r="AL35" s="531"/>
      <c r="AM35" s="531"/>
      <c r="AN35" s="531"/>
      <c r="AO35" s="531"/>
      <c r="AP35" s="531"/>
      <c r="AQ35" s="61"/>
      <c r="AR35" s="48"/>
      <c r="AS35" s="532"/>
      <c r="AT35" s="532"/>
      <c r="AU35" s="439"/>
      <c r="AV35" s="439"/>
      <c r="AW35" s="439"/>
      <c r="AY35" s="413" t="s">
        <v>663</v>
      </c>
      <c r="AZ35" s="413"/>
      <c r="BA35" s="412"/>
      <c r="BB35" s="412"/>
    </row>
    <row r="36" spans="1:80" ht="18" customHeight="1" thickBot="1">
      <c r="A36" s="492" t="s">
        <v>664</v>
      </c>
      <c r="B36" s="493"/>
      <c r="C36" s="493"/>
      <c r="D36" s="493"/>
      <c r="E36" s="493"/>
      <c r="F36" s="498">
        <v>4.1666666666666664E-2</v>
      </c>
      <c r="G36" s="439"/>
      <c r="H36" s="439"/>
      <c r="I36" s="439"/>
      <c r="J36" s="439"/>
      <c r="K36" s="439"/>
      <c r="L36" s="499" t="s">
        <v>665</v>
      </c>
      <c r="M36" s="489"/>
      <c r="N36" s="489"/>
      <c r="O36" s="500"/>
      <c r="P36" s="410" t="s">
        <v>43</v>
      </c>
      <c r="Q36" s="410"/>
      <c r="R36" s="410"/>
      <c r="S36" s="55" t="s">
        <v>666</v>
      </c>
      <c r="T36" s="410" t="s">
        <v>62</v>
      </c>
      <c r="U36" s="410"/>
      <c r="V36" s="530"/>
      <c r="W36" s="489" t="s">
        <v>667</v>
      </c>
      <c r="X36" s="489"/>
      <c r="Y36" s="489"/>
      <c r="Z36" s="489"/>
      <c r="AA36" s="489"/>
      <c r="AB36" s="489"/>
      <c r="AC36" s="490" t="s">
        <v>722</v>
      </c>
      <c r="AD36" s="487"/>
      <c r="AE36" s="487"/>
      <c r="AF36" s="487"/>
      <c r="AG36" s="487"/>
      <c r="AH36" s="487"/>
      <c r="AI36" s="488"/>
      <c r="AK36" s="525" t="s">
        <v>668</v>
      </c>
      <c r="AL36" s="526"/>
      <c r="AM36" s="526"/>
      <c r="AN36" s="526"/>
      <c r="AO36" s="526"/>
      <c r="AP36" s="526"/>
      <c r="AQ36" s="117"/>
      <c r="AR36" s="48"/>
      <c r="AS36" s="532"/>
      <c r="AT36" s="532"/>
      <c r="AU36" s="439"/>
      <c r="AV36" s="439"/>
      <c r="AW36" s="439"/>
      <c r="BH36" s="50"/>
      <c r="BI36" s="51"/>
    </row>
    <row r="37" spans="1:80" ht="18" customHeight="1" thickBot="1">
      <c r="A37" s="494" t="s">
        <v>669</v>
      </c>
      <c r="B37" s="495"/>
      <c r="C37" s="495"/>
      <c r="D37" s="495"/>
      <c r="E37" s="495"/>
      <c r="F37" s="487"/>
      <c r="G37" s="487"/>
      <c r="H37" s="487"/>
      <c r="I37" s="487"/>
      <c r="J37" s="487"/>
      <c r="K37" s="487"/>
      <c r="L37" s="487"/>
      <c r="M37" s="487"/>
      <c r="N37" s="487"/>
      <c r="O37" s="487"/>
      <c r="P37" s="487"/>
      <c r="Q37" s="487"/>
      <c r="R37" s="487"/>
      <c r="S37" s="487"/>
      <c r="T37" s="487"/>
      <c r="U37" s="487"/>
      <c r="V37" s="487"/>
      <c r="W37" s="487"/>
      <c r="X37" s="487"/>
      <c r="Y37" s="487"/>
      <c r="Z37" s="487"/>
      <c r="AA37" s="487"/>
      <c r="AB37" s="487"/>
      <c r="AC37" s="487"/>
      <c r="AD37" s="487"/>
      <c r="AE37" s="487"/>
      <c r="AF37" s="487"/>
      <c r="AG37" s="487"/>
      <c r="AH37" s="487"/>
      <c r="AI37" s="488"/>
      <c r="AK37" s="544" t="s">
        <v>240</v>
      </c>
      <c r="AL37" s="545"/>
      <c r="AM37" s="545"/>
      <c r="AN37" s="545"/>
      <c r="AO37" s="545"/>
      <c r="AP37" s="545"/>
      <c r="AQ37" s="122"/>
      <c r="AR37" s="48"/>
      <c r="AS37" s="532"/>
      <c r="AT37" s="532"/>
      <c r="AU37" s="439"/>
      <c r="AV37" s="439"/>
      <c r="AW37" s="439"/>
      <c r="BH37" s="50"/>
      <c r="BI37" s="51"/>
    </row>
    <row r="38" spans="1:80" ht="18" customHeight="1" thickBot="1">
      <c r="A38" s="496" t="s">
        <v>670</v>
      </c>
      <c r="B38" s="497"/>
      <c r="C38" s="497"/>
      <c r="D38" s="497"/>
      <c r="E38" s="497"/>
      <c r="F38" s="416" t="s">
        <v>667</v>
      </c>
      <c r="G38" s="416"/>
      <c r="H38" s="416"/>
      <c r="I38" s="416"/>
      <c r="J38" s="416"/>
      <c r="K38" s="416"/>
      <c r="L38" s="424" t="s">
        <v>722</v>
      </c>
      <c r="M38" s="424"/>
      <c r="N38" s="424"/>
      <c r="O38" s="424"/>
      <c r="P38" s="416" t="s">
        <v>671</v>
      </c>
      <c r="Q38" s="416"/>
      <c r="R38" s="416"/>
      <c r="S38" s="416"/>
      <c r="T38" s="416"/>
      <c r="U38" s="416"/>
      <c r="V38" s="416"/>
      <c r="W38" s="416" t="s">
        <v>667</v>
      </c>
      <c r="X38" s="416"/>
      <c r="Y38" s="416"/>
      <c r="Z38" s="416"/>
      <c r="AA38" s="416"/>
      <c r="AB38" s="416"/>
      <c r="AC38" s="424" t="s">
        <v>722</v>
      </c>
      <c r="AD38" s="424"/>
      <c r="AE38" s="424"/>
      <c r="AF38" s="424"/>
      <c r="AG38" s="424"/>
      <c r="AH38" s="424"/>
      <c r="AI38" s="491"/>
      <c r="AK38" s="543"/>
      <c r="AL38" s="543"/>
      <c r="AM38" s="543"/>
      <c r="AN38" s="543"/>
      <c r="AO38" s="543"/>
      <c r="AP38" s="543"/>
      <c r="AQ38" s="59"/>
      <c r="AR38" s="48"/>
      <c r="BC38" s="50"/>
      <c r="BD38" s="51"/>
    </row>
    <row r="39" spans="1:80" ht="18" customHeight="1">
      <c r="A39" s="452" t="s">
        <v>672</v>
      </c>
      <c r="B39" s="453"/>
      <c r="C39" s="453"/>
      <c r="D39" s="453"/>
      <c r="E39" s="453"/>
      <c r="F39" s="453"/>
      <c r="G39" s="453"/>
      <c r="H39" s="453"/>
      <c r="I39" s="453"/>
      <c r="J39" s="453"/>
      <c r="K39" s="453"/>
      <c r="L39" s="453"/>
      <c r="M39" s="453"/>
      <c r="N39" s="453"/>
      <c r="O39" s="453"/>
      <c r="P39" s="453"/>
      <c r="Q39" s="453"/>
      <c r="R39" s="453"/>
      <c r="S39" s="453"/>
      <c r="T39" s="453"/>
      <c r="U39" s="453"/>
      <c r="V39" s="453"/>
      <c r="W39" s="453"/>
      <c r="X39" s="453"/>
      <c r="Y39" s="453"/>
      <c r="Z39" s="453"/>
      <c r="AA39" s="453"/>
      <c r="AB39" s="453"/>
      <c r="AC39" s="453"/>
      <c r="AD39" s="453"/>
      <c r="AE39" s="453"/>
      <c r="AF39" s="453"/>
      <c r="AG39" s="453"/>
      <c r="AH39" s="453"/>
      <c r="AI39" s="454"/>
      <c r="AK39" s="444" t="s">
        <v>673</v>
      </c>
      <c r="AL39" s="444"/>
      <c r="AM39" s="444"/>
      <c r="AN39" s="444"/>
      <c r="AO39" s="444"/>
      <c r="AP39" s="444"/>
      <c r="AQ39" s="42"/>
      <c r="AR39" s="48"/>
      <c r="AS39" s="423" t="s">
        <v>526</v>
      </c>
      <c r="AT39" s="423"/>
      <c r="AU39" s="148">
        <v>20</v>
      </c>
      <c r="AV39" s="423" t="s">
        <v>528</v>
      </c>
      <c r="AW39" s="423"/>
      <c r="BC39" s="50"/>
      <c r="BD39" s="51"/>
    </row>
    <row r="40" spans="1:80" ht="18" customHeight="1">
      <c r="A40" s="464" t="s">
        <v>674</v>
      </c>
      <c r="B40" s="459"/>
      <c r="C40" s="459"/>
      <c r="D40" s="459"/>
      <c r="E40" s="470" t="s">
        <v>675</v>
      </c>
      <c r="F40" s="471"/>
      <c r="G40" s="471"/>
      <c r="H40" s="471"/>
      <c r="I40" s="471"/>
      <c r="J40" s="471"/>
      <c r="K40" s="472"/>
      <c r="L40" s="458" t="s">
        <v>676</v>
      </c>
      <c r="M40" s="459"/>
      <c r="N40" s="459"/>
      <c r="O40" s="459"/>
      <c r="P40" s="459"/>
      <c r="Q40" s="459"/>
      <c r="R40" s="460"/>
      <c r="S40" s="458" t="s">
        <v>677</v>
      </c>
      <c r="T40" s="459"/>
      <c r="U40" s="459"/>
      <c r="V40" s="459"/>
      <c r="W40" s="470" t="s">
        <v>675</v>
      </c>
      <c r="X40" s="471"/>
      <c r="Y40" s="471"/>
      <c r="Z40" s="471"/>
      <c r="AA40" s="471"/>
      <c r="AB40" s="471"/>
      <c r="AC40" s="472"/>
      <c r="AD40" s="458" t="s">
        <v>678</v>
      </c>
      <c r="AE40" s="459"/>
      <c r="AF40" s="459"/>
      <c r="AG40" s="459"/>
      <c r="AH40" s="459"/>
      <c r="AI40" s="463"/>
      <c r="AK40" s="444" t="s">
        <v>679</v>
      </c>
      <c r="AL40" s="444"/>
      <c r="AM40" s="444"/>
      <c r="AN40" s="444"/>
      <c r="AO40" s="444"/>
      <c r="AP40" s="444"/>
      <c r="AQ40" s="42"/>
      <c r="AR40" s="48"/>
      <c r="AS40" s="423" t="s">
        <v>527</v>
      </c>
      <c r="AT40" s="423"/>
      <c r="AU40" s="148">
        <v>19</v>
      </c>
      <c r="AV40" s="560">
        <v>0.55000000000000004</v>
      </c>
      <c r="AW40" s="560"/>
      <c r="BC40" s="50"/>
      <c r="BD40" s="51"/>
    </row>
    <row r="41" spans="1:80" ht="18" customHeight="1">
      <c r="A41" s="464" t="s">
        <v>16</v>
      </c>
      <c r="B41" s="459"/>
      <c r="C41" s="459"/>
      <c r="D41" s="459"/>
      <c r="E41" s="469">
        <f>AX10</f>
        <v>0.33333333333333331</v>
      </c>
      <c r="F41" s="456"/>
      <c r="G41" s="456"/>
      <c r="H41" s="144" t="s">
        <v>680</v>
      </c>
      <c r="I41" s="456">
        <f>AY10</f>
        <v>0.83333333333333337</v>
      </c>
      <c r="J41" s="456"/>
      <c r="K41" s="457"/>
      <c r="L41" s="458" t="str">
        <f>AU10</f>
        <v>三角龍彦</v>
      </c>
      <c r="M41" s="459"/>
      <c r="N41" s="459"/>
      <c r="O41" s="459"/>
      <c r="P41" s="459"/>
      <c r="Q41" s="459"/>
      <c r="R41" s="460"/>
      <c r="S41" s="409" t="s">
        <v>31</v>
      </c>
      <c r="T41" s="410"/>
      <c r="U41" s="410"/>
      <c r="V41" s="410"/>
      <c r="W41" s="414">
        <v>0.39583333333333331</v>
      </c>
      <c r="X41" s="415"/>
      <c r="Y41" s="415"/>
      <c r="Z41" s="40" t="s">
        <v>680</v>
      </c>
      <c r="AA41" s="415">
        <v>0.77083333333333337</v>
      </c>
      <c r="AB41" s="415"/>
      <c r="AC41" s="461"/>
      <c r="AD41" s="409" t="str">
        <f>AU14</f>
        <v>木村重明</v>
      </c>
      <c r="AE41" s="410"/>
      <c r="AF41" s="410"/>
      <c r="AG41" s="410"/>
      <c r="AH41" s="410"/>
      <c r="AI41" s="462"/>
      <c r="AK41" s="444" t="s">
        <v>681</v>
      </c>
      <c r="AL41" s="444"/>
      <c r="AM41" s="444"/>
      <c r="AN41" s="444"/>
      <c r="AO41" s="444"/>
      <c r="AP41" s="444"/>
      <c r="AQ41" s="42"/>
      <c r="AR41" s="48"/>
      <c r="BC41" s="50"/>
      <c r="BD41" s="51"/>
    </row>
    <row r="42" spans="1:80" ht="18" customHeight="1">
      <c r="A42" s="464" t="s">
        <v>24</v>
      </c>
      <c r="B42" s="459"/>
      <c r="C42" s="459"/>
      <c r="D42" s="459"/>
      <c r="E42" s="469">
        <f>AX13</f>
        <v>0.33333333333333331</v>
      </c>
      <c r="F42" s="456"/>
      <c r="G42" s="456"/>
      <c r="H42" s="144" t="s">
        <v>680</v>
      </c>
      <c r="I42" s="456">
        <f>AY12</f>
        <v>0.83333333333333337</v>
      </c>
      <c r="J42" s="456"/>
      <c r="K42" s="457"/>
      <c r="L42" s="458" t="str">
        <f>AU13</f>
        <v>松葉眞</v>
      </c>
      <c r="M42" s="459"/>
      <c r="N42" s="459"/>
      <c r="O42" s="459"/>
      <c r="P42" s="459"/>
      <c r="Q42" s="459"/>
      <c r="R42" s="460"/>
      <c r="S42" s="409"/>
      <c r="T42" s="410"/>
      <c r="U42" s="410"/>
      <c r="V42" s="410"/>
      <c r="W42" s="414"/>
      <c r="X42" s="415"/>
      <c r="Y42" s="415"/>
      <c r="Z42" s="136"/>
      <c r="AA42" s="415"/>
      <c r="AB42" s="415"/>
      <c r="AC42" s="461"/>
      <c r="AD42" s="409"/>
      <c r="AE42" s="410"/>
      <c r="AF42" s="410"/>
      <c r="AG42" s="410"/>
      <c r="AH42" s="410"/>
      <c r="AI42" s="462"/>
      <c r="AK42" s="445" t="s">
        <v>682</v>
      </c>
      <c r="AL42" s="445"/>
      <c r="AM42" s="445"/>
      <c r="AN42" s="445"/>
      <c r="AO42" s="445"/>
      <c r="AP42" s="445"/>
      <c r="AQ42" s="42"/>
      <c r="AR42" s="48"/>
      <c r="AS42" s="561" t="s">
        <v>683</v>
      </c>
      <c r="AT42" s="561"/>
      <c r="AU42" s="561"/>
      <c r="AV42" s="561"/>
      <c r="AW42" s="561"/>
      <c r="BC42" s="50"/>
      <c r="BD42" s="51"/>
    </row>
    <row r="43" spans="1:80" ht="18" customHeight="1">
      <c r="A43" s="464" t="s">
        <v>38</v>
      </c>
      <c r="B43" s="459"/>
      <c r="C43" s="459"/>
      <c r="D43" s="459"/>
      <c r="E43" s="469">
        <f>AX16</f>
        <v>0.83333333333333337</v>
      </c>
      <c r="F43" s="456"/>
      <c r="G43" s="456"/>
      <c r="H43" s="144" t="s">
        <v>680</v>
      </c>
      <c r="I43" s="456" t="str">
        <f>AY16</f>
        <v>翌8:00</v>
      </c>
      <c r="J43" s="456"/>
      <c r="K43" s="457"/>
      <c r="L43" s="458" t="str">
        <f>AU16</f>
        <v>山本喜久</v>
      </c>
      <c r="M43" s="459"/>
      <c r="N43" s="459"/>
      <c r="O43" s="459"/>
      <c r="P43" s="459"/>
      <c r="Q43" s="459"/>
      <c r="R43" s="460"/>
      <c r="S43" s="409"/>
      <c r="T43" s="410"/>
      <c r="U43" s="410"/>
      <c r="V43" s="410"/>
      <c r="W43" s="414"/>
      <c r="X43" s="415"/>
      <c r="Y43" s="415"/>
      <c r="Z43" s="136"/>
      <c r="AA43" s="415"/>
      <c r="AB43" s="415"/>
      <c r="AC43" s="461"/>
      <c r="AD43" s="486"/>
      <c r="AE43" s="410"/>
      <c r="AF43" s="410"/>
      <c r="AG43" s="410"/>
      <c r="AH43" s="410"/>
      <c r="AI43" s="462"/>
      <c r="AK43" s="444" t="s">
        <v>684</v>
      </c>
      <c r="AL43" s="444"/>
      <c r="AM43" s="444"/>
      <c r="AN43" s="444"/>
      <c r="AO43" s="444"/>
      <c r="AP43" s="444"/>
      <c r="AQ43" s="42"/>
      <c r="AR43" s="43"/>
      <c r="AW43"/>
      <c r="AX43"/>
      <c r="AY43"/>
      <c r="AZ43"/>
      <c r="BA43"/>
      <c r="BB43"/>
      <c r="BC43" s="50"/>
      <c r="BD43" s="51"/>
      <c r="BE43"/>
      <c r="BF43"/>
      <c r="BG43"/>
      <c r="BH43"/>
      <c r="BI43"/>
      <c r="BJ43"/>
      <c r="BK43"/>
      <c r="BL43"/>
      <c r="BM43"/>
      <c r="BN43"/>
      <c r="BO43"/>
      <c r="BP43"/>
      <c r="BQ43"/>
      <c r="BR43"/>
      <c r="BS43"/>
      <c r="BT43"/>
      <c r="BU43"/>
      <c r="BV43"/>
      <c r="BW43"/>
      <c r="BX43"/>
      <c r="BY43"/>
      <c r="BZ43"/>
      <c r="CA43"/>
      <c r="CB43"/>
    </row>
    <row r="44" spans="1:80" ht="18" customHeight="1" thickBot="1">
      <c r="A44" s="473" t="s">
        <v>45</v>
      </c>
      <c r="B44" s="474"/>
      <c r="C44" s="474"/>
      <c r="D44" s="474"/>
      <c r="E44" s="475">
        <f>AX17</f>
        <v>0.83333333333333337</v>
      </c>
      <c r="F44" s="476"/>
      <c r="G44" s="476"/>
      <c r="H44" s="145" t="s">
        <v>680</v>
      </c>
      <c r="I44" s="476" t="str">
        <f>AY17</f>
        <v>翌8:00</v>
      </c>
      <c r="J44" s="476"/>
      <c r="K44" s="477"/>
      <c r="L44" s="478" t="str">
        <f>AU17</f>
        <v>二野宮慧太</v>
      </c>
      <c r="M44" s="478"/>
      <c r="N44" s="478"/>
      <c r="O44" s="478"/>
      <c r="P44" s="478"/>
      <c r="Q44" s="478"/>
      <c r="R44" s="478"/>
      <c r="S44" s="479"/>
      <c r="T44" s="480"/>
      <c r="U44" s="480"/>
      <c r="V44" s="480"/>
      <c r="W44" s="481"/>
      <c r="X44" s="482"/>
      <c r="Y44" s="482"/>
      <c r="Z44" s="137"/>
      <c r="AA44" s="482"/>
      <c r="AB44" s="482"/>
      <c r="AC44" s="483"/>
      <c r="AD44" s="484">
        <f>AU19</f>
        <v>0</v>
      </c>
      <c r="AE44" s="480"/>
      <c r="AF44" s="480"/>
      <c r="AG44" s="480"/>
      <c r="AH44" s="480"/>
      <c r="AI44" s="485"/>
      <c r="AK44" s="446" t="s">
        <v>685</v>
      </c>
      <c r="AL44" s="446"/>
      <c r="AM44" s="446"/>
      <c r="AN44" s="446"/>
      <c r="AO44" s="446"/>
      <c r="AP44" s="446"/>
      <c r="AQ44" s="42"/>
      <c r="AR44" s="43"/>
      <c r="BC44" s="50"/>
      <c r="BD44" s="51"/>
    </row>
    <row r="45" spans="1:80" ht="18" customHeight="1" thickBot="1">
      <c r="A45" s="27"/>
      <c r="B45" s="27"/>
      <c r="C45" s="27"/>
      <c r="D45" s="27"/>
      <c r="E45" s="27"/>
      <c r="F45" s="27"/>
      <c r="G45" s="27"/>
      <c r="H45" s="27"/>
      <c r="I45" s="27"/>
      <c r="R45" s="307">
        <f>A7</f>
        <v>46200</v>
      </c>
      <c r="S45" s="308"/>
      <c r="T45" s="308"/>
      <c r="U45" s="308"/>
      <c r="V45" s="23" t="s">
        <v>169</v>
      </c>
      <c r="W45" s="309">
        <f>G7</f>
        <v>46200</v>
      </c>
      <c r="X45" s="308"/>
      <c r="Y45" s="23" t="s">
        <v>170</v>
      </c>
      <c r="Z45" s="310">
        <f>K7</f>
        <v>46200</v>
      </c>
      <c r="AA45" s="308"/>
      <c r="AB45" s="23" t="s">
        <v>3</v>
      </c>
      <c r="AC45" s="455">
        <f>O7</f>
        <v>46200</v>
      </c>
      <c r="AD45" s="308"/>
      <c r="AE45" s="308" t="s">
        <v>292</v>
      </c>
      <c r="AF45" s="308"/>
      <c r="AK45" s="425" t="s">
        <v>686</v>
      </c>
      <c r="AL45" s="425"/>
      <c r="AM45" s="425"/>
      <c r="AN45" s="425"/>
      <c r="AO45" s="425"/>
      <c r="AP45" s="425"/>
      <c r="AQ45" s="42"/>
      <c r="AR45" s="43"/>
      <c r="BC45" s="50"/>
      <c r="BD45" s="51"/>
    </row>
    <row r="46" spans="1:80" customFormat="1" ht="18" customHeight="1">
      <c r="A46" s="452" t="s">
        <v>598</v>
      </c>
      <c r="B46" s="453"/>
      <c r="C46" s="453"/>
      <c r="D46" s="453"/>
      <c r="E46" s="453"/>
      <c r="F46" s="453"/>
      <c r="G46" s="453"/>
      <c r="H46" s="453"/>
      <c r="I46" s="453"/>
      <c r="J46" s="453"/>
      <c r="K46" s="453"/>
      <c r="L46" s="453"/>
      <c r="M46" s="453"/>
      <c r="N46" s="453"/>
      <c r="O46" s="453"/>
      <c r="P46" s="453"/>
      <c r="Q46" s="453"/>
      <c r="R46" s="453"/>
      <c r="S46" s="453"/>
      <c r="T46" s="453"/>
      <c r="U46" s="453"/>
      <c r="V46" s="453"/>
      <c r="W46" s="453"/>
      <c r="X46" s="453"/>
      <c r="Y46" s="453"/>
      <c r="Z46" s="453"/>
      <c r="AA46" s="453"/>
      <c r="AB46" s="453"/>
      <c r="AC46" s="453"/>
      <c r="AD46" s="453"/>
      <c r="AE46" s="453"/>
      <c r="AF46" s="453"/>
      <c r="AG46" s="453"/>
      <c r="AH46" s="453"/>
      <c r="AI46" s="454"/>
      <c r="AK46" s="425" t="s">
        <v>687</v>
      </c>
      <c r="AL46" s="425"/>
      <c r="AM46" s="425"/>
      <c r="AN46" s="425"/>
      <c r="AO46" s="425"/>
      <c r="AP46" s="425"/>
      <c r="AQ46" s="42"/>
      <c r="AR46" s="43"/>
      <c r="AW46" s="23"/>
      <c r="AX46" s="23"/>
      <c r="AY46" s="23"/>
      <c r="AZ46" s="23"/>
      <c r="BA46" s="23"/>
      <c r="BB46" s="23"/>
      <c r="BC46" s="50"/>
      <c r="BD46" s="51"/>
      <c r="BE46" s="23"/>
      <c r="BF46" s="23"/>
      <c r="BG46" s="23"/>
      <c r="BH46" s="23"/>
      <c r="BI46" s="23"/>
      <c r="BJ46" s="23"/>
      <c r="BK46" s="23"/>
      <c r="BL46" s="23"/>
      <c r="BM46" s="23"/>
      <c r="BN46" s="23"/>
      <c r="BO46" s="23"/>
      <c r="BP46" s="23"/>
      <c r="BQ46" s="23"/>
      <c r="BR46" s="23"/>
      <c r="BS46" s="23"/>
      <c r="BT46" s="23"/>
      <c r="BU46" s="23"/>
      <c r="BV46" s="23"/>
      <c r="BW46" s="23"/>
      <c r="BX46" s="23"/>
      <c r="BY46" s="23"/>
      <c r="BZ46" s="23"/>
      <c r="CA46" s="23"/>
      <c r="CB46" s="23"/>
    </row>
    <row r="47" spans="1:80" ht="18" customHeight="1">
      <c r="A47" s="36"/>
      <c r="B47" s="404"/>
      <c r="C47" s="404"/>
      <c r="D47" s="404"/>
      <c r="E47" s="404"/>
      <c r="F47" s="288"/>
      <c r="G47" s="288"/>
      <c r="H47" s="288"/>
      <c r="I47" s="288"/>
      <c r="J47" s="288"/>
      <c r="K47" s="288"/>
      <c r="L47" s="288"/>
      <c r="M47" s="288"/>
      <c r="N47" s="288"/>
      <c r="O47" s="288"/>
      <c r="P47" s="288"/>
      <c r="Q47" s="288"/>
      <c r="R47" s="288"/>
      <c r="S47" s="288"/>
      <c r="T47" s="288"/>
      <c r="U47" s="288"/>
      <c r="V47" s="288"/>
      <c r="W47" s="288"/>
      <c r="X47" s="288"/>
      <c r="Y47" s="288"/>
      <c r="Z47" s="288"/>
      <c r="AA47" s="288"/>
      <c r="AB47" s="288"/>
      <c r="AC47" s="288"/>
      <c r="AD47" s="288"/>
      <c r="AE47" s="288"/>
      <c r="AF47" s="288"/>
      <c r="AG47" s="288"/>
      <c r="AH47" s="288"/>
      <c r="AI47" s="289"/>
      <c r="AK47" s="425" t="s">
        <v>688</v>
      </c>
      <c r="AL47" s="425"/>
      <c r="AM47" s="425"/>
      <c r="AN47" s="425"/>
      <c r="AO47" s="425"/>
      <c r="AP47" s="425"/>
      <c r="AQ47" s="42">
        <v>1</v>
      </c>
      <c r="AR47" s="43"/>
      <c r="AS47" s="120" t="s">
        <v>189</v>
      </c>
      <c r="AT47" s="43" t="s">
        <v>728</v>
      </c>
      <c r="AU47" s="43"/>
      <c r="BC47" s="50"/>
      <c r="BD47" s="51"/>
    </row>
    <row r="48" spans="1:80" ht="18" customHeight="1">
      <c r="A48" s="36"/>
      <c r="B48" s="404"/>
      <c r="C48" s="404"/>
      <c r="D48" s="404"/>
      <c r="E48" s="404"/>
      <c r="F48" s="288"/>
      <c r="G48" s="288"/>
      <c r="H48" s="288"/>
      <c r="I48" s="288"/>
      <c r="J48" s="288"/>
      <c r="K48" s="288"/>
      <c r="L48" s="288"/>
      <c r="M48" s="288"/>
      <c r="N48" s="288"/>
      <c r="O48" s="288"/>
      <c r="P48" s="288"/>
      <c r="Q48" s="288"/>
      <c r="R48" s="288"/>
      <c r="S48" s="288"/>
      <c r="T48" s="288"/>
      <c r="U48" s="288"/>
      <c r="V48" s="288"/>
      <c r="W48" s="288"/>
      <c r="X48" s="288"/>
      <c r="Y48" s="288"/>
      <c r="Z48" s="288"/>
      <c r="AA48" s="288"/>
      <c r="AB48" s="288"/>
      <c r="AC48" s="288"/>
      <c r="AD48" s="288"/>
      <c r="AE48" s="288"/>
      <c r="AF48" s="288"/>
      <c r="AG48" s="288"/>
      <c r="AH48" s="288"/>
      <c r="AI48" s="289"/>
      <c r="AK48" s="425" t="s">
        <v>690</v>
      </c>
      <c r="AL48" s="425"/>
      <c r="AM48" s="425"/>
      <c r="AN48" s="425"/>
      <c r="AO48" s="425"/>
      <c r="AP48" s="425"/>
      <c r="AQ48" s="42"/>
      <c r="AR48" s="43"/>
      <c r="AS48" s="43"/>
      <c r="AT48" s="43"/>
      <c r="AU48" s="43"/>
      <c r="BC48" s="50"/>
      <c r="BD48" s="51"/>
    </row>
    <row r="49" spans="1:61" ht="18" customHeight="1">
      <c r="A49" s="36"/>
      <c r="B49" s="404"/>
      <c r="C49" s="404"/>
      <c r="D49" s="404"/>
      <c r="E49" s="404"/>
      <c r="F49" s="288"/>
      <c r="G49" s="288"/>
      <c r="H49" s="288"/>
      <c r="I49" s="288"/>
      <c r="J49" s="288"/>
      <c r="K49" s="288"/>
      <c r="L49" s="288"/>
      <c r="M49" s="288"/>
      <c r="N49" s="288"/>
      <c r="O49" s="288"/>
      <c r="P49" s="288"/>
      <c r="Q49" s="288"/>
      <c r="R49" s="288"/>
      <c r="S49" s="288"/>
      <c r="T49" s="288"/>
      <c r="U49" s="288"/>
      <c r="V49" s="288"/>
      <c r="W49" s="288"/>
      <c r="X49" s="288"/>
      <c r="Y49" s="288"/>
      <c r="Z49" s="288"/>
      <c r="AA49" s="288"/>
      <c r="AB49" s="288"/>
      <c r="AC49" s="288"/>
      <c r="AD49" s="288"/>
      <c r="AE49" s="288"/>
      <c r="AF49" s="288"/>
      <c r="AG49" s="288"/>
      <c r="AH49" s="288"/>
      <c r="AI49" s="289"/>
      <c r="AK49" s="425" t="s">
        <v>691</v>
      </c>
      <c r="AL49" s="425"/>
      <c r="AM49" s="425"/>
      <c r="AN49" s="425"/>
      <c r="AO49" s="425"/>
      <c r="AP49" s="425"/>
      <c r="AQ49" s="42"/>
      <c r="AR49" s="43"/>
      <c r="AS49" s="43"/>
      <c r="AT49" s="43"/>
      <c r="AU49" s="43"/>
      <c r="BC49" s="50"/>
      <c r="BD49" s="51"/>
    </row>
    <row r="50" spans="1:61" ht="18" customHeight="1">
      <c r="A50" s="36"/>
      <c r="B50" s="404"/>
      <c r="C50" s="404"/>
      <c r="D50" s="404"/>
      <c r="E50" s="404"/>
      <c r="F50" s="288"/>
      <c r="G50" s="288"/>
      <c r="H50" s="288"/>
      <c r="I50" s="288"/>
      <c r="J50" s="288"/>
      <c r="K50" s="288"/>
      <c r="L50" s="288"/>
      <c r="M50" s="288"/>
      <c r="N50" s="288"/>
      <c r="O50" s="288"/>
      <c r="P50" s="288"/>
      <c r="Q50" s="288"/>
      <c r="R50" s="288"/>
      <c r="S50" s="288"/>
      <c r="T50" s="288"/>
      <c r="U50" s="288"/>
      <c r="V50" s="288"/>
      <c r="W50" s="288"/>
      <c r="X50" s="288"/>
      <c r="Y50" s="288"/>
      <c r="Z50" s="288"/>
      <c r="AA50" s="288"/>
      <c r="AB50" s="288"/>
      <c r="AC50" s="288"/>
      <c r="AD50" s="288"/>
      <c r="AE50" s="288"/>
      <c r="AF50" s="288"/>
      <c r="AG50" s="288"/>
      <c r="AH50" s="288"/>
      <c r="AI50" s="289"/>
      <c r="AK50" s="425" t="s">
        <v>692</v>
      </c>
      <c r="AL50" s="425"/>
      <c r="AM50" s="425"/>
      <c r="AN50" s="425"/>
      <c r="AO50" s="425"/>
      <c r="AP50" s="425"/>
      <c r="AQ50" s="42"/>
      <c r="AR50" s="43"/>
      <c r="AS50" s="43"/>
      <c r="AT50" s="43"/>
      <c r="AU50" s="43"/>
      <c r="BC50" s="50"/>
      <c r="BD50" s="51"/>
    </row>
    <row r="51" spans="1:61" ht="18" customHeight="1">
      <c r="A51" s="36"/>
      <c r="B51" s="404"/>
      <c r="C51" s="404"/>
      <c r="D51" s="404"/>
      <c r="E51" s="404"/>
      <c r="F51" s="288"/>
      <c r="G51" s="288"/>
      <c r="H51" s="288"/>
      <c r="I51" s="288"/>
      <c r="J51" s="288"/>
      <c r="K51" s="288"/>
      <c r="L51" s="288"/>
      <c r="M51" s="288"/>
      <c r="N51" s="288"/>
      <c r="O51" s="288"/>
      <c r="P51" s="288"/>
      <c r="Q51" s="288"/>
      <c r="R51" s="288"/>
      <c r="S51" s="288"/>
      <c r="T51" s="288"/>
      <c r="U51" s="288"/>
      <c r="V51" s="288"/>
      <c r="W51" s="288"/>
      <c r="X51" s="288"/>
      <c r="Y51" s="288"/>
      <c r="Z51" s="288"/>
      <c r="AA51" s="288"/>
      <c r="AB51" s="288"/>
      <c r="AC51" s="288"/>
      <c r="AD51" s="288"/>
      <c r="AE51" s="288"/>
      <c r="AF51" s="288"/>
      <c r="AG51" s="288"/>
      <c r="AH51" s="288"/>
      <c r="AI51" s="289"/>
      <c r="AK51" s="425" t="s">
        <v>693</v>
      </c>
      <c r="AL51" s="425"/>
      <c r="AM51" s="425"/>
      <c r="AN51" s="425"/>
      <c r="AO51" s="425"/>
      <c r="AP51" s="425"/>
      <c r="AQ51" s="42"/>
      <c r="AR51" s="43"/>
      <c r="AS51" s="43"/>
      <c r="AT51" s="43"/>
      <c r="AU51" s="43"/>
      <c r="BC51" s="50"/>
      <c r="BD51" s="51"/>
    </row>
    <row r="52" spans="1:61" ht="18" customHeight="1">
      <c r="A52" s="36"/>
      <c r="B52" s="404"/>
      <c r="C52" s="404"/>
      <c r="D52" s="404"/>
      <c r="E52" s="404"/>
      <c r="F52" s="288"/>
      <c r="G52" s="288"/>
      <c r="H52" s="288"/>
      <c r="I52" s="288"/>
      <c r="J52" s="288"/>
      <c r="K52" s="288"/>
      <c r="L52" s="288"/>
      <c r="M52" s="288"/>
      <c r="N52" s="288"/>
      <c r="O52" s="288"/>
      <c r="P52" s="288"/>
      <c r="Q52" s="288"/>
      <c r="R52" s="288"/>
      <c r="S52" s="288"/>
      <c r="T52" s="288"/>
      <c r="U52" s="288"/>
      <c r="V52" s="288"/>
      <c r="W52" s="288"/>
      <c r="X52" s="288"/>
      <c r="Y52" s="288"/>
      <c r="Z52" s="288"/>
      <c r="AA52" s="288"/>
      <c r="AB52" s="288"/>
      <c r="AC52" s="288"/>
      <c r="AD52" s="288"/>
      <c r="AE52" s="288"/>
      <c r="AF52" s="288"/>
      <c r="AG52" s="288"/>
      <c r="AH52" s="288"/>
      <c r="AI52" s="289"/>
      <c r="AK52" s="425" t="s">
        <v>694</v>
      </c>
      <c r="AL52" s="425"/>
      <c r="AM52" s="425"/>
      <c r="AN52" s="425"/>
      <c r="AO52" s="425"/>
      <c r="AP52" s="425"/>
      <c r="AQ52" s="42"/>
      <c r="AR52" s="43"/>
      <c r="AS52" s="43"/>
      <c r="AV52" s="43"/>
      <c r="AW52" s="43"/>
      <c r="AX52" s="43"/>
      <c r="AY52" s="43"/>
      <c r="AZ52" s="43"/>
      <c r="BA52" s="43"/>
      <c r="BH52" s="52"/>
      <c r="BI52" s="51"/>
    </row>
    <row r="53" spans="1:61" ht="18" customHeight="1">
      <c r="A53" s="36"/>
      <c r="B53" s="404"/>
      <c r="C53" s="404"/>
      <c r="D53" s="404"/>
      <c r="E53" s="404"/>
      <c r="F53" s="288"/>
      <c r="G53" s="288"/>
      <c r="H53" s="288"/>
      <c r="I53" s="288"/>
      <c r="J53" s="288"/>
      <c r="K53" s="288"/>
      <c r="L53" s="288"/>
      <c r="M53" s="288"/>
      <c r="N53" s="288"/>
      <c r="O53" s="288"/>
      <c r="P53" s="288"/>
      <c r="Q53" s="288"/>
      <c r="R53" s="288"/>
      <c r="S53" s="288"/>
      <c r="T53" s="288"/>
      <c r="U53" s="288"/>
      <c r="V53" s="288"/>
      <c r="W53" s="288"/>
      <c r="X53" s="288"/>
      <c r="Y53" s="288"/>
      <c r="Z53" s="288"/>
      <c r="AA53" s="288"/>
      <c r="AB53" s="288"/>
      <c r="AC53" s="288"/>
      <c r="AD53" s="288"/>
      <c r="AE53" s="288"/>
      <c r="AF53" s="288"/>
      <c r="AG53" s="288"/>
      <c r="AH53" s="288"/>
      <c r="AI53" s="289"/>
      <c r="AK53" s="425" t="s">
        <v>695</v>
      </c>
      <c r="AL53" s="425"/>
      <c r="AM53" s="425"/>
      <c r="AN53" s="425"/>
      <c r="AO53" s="425"/>
      <c r="AP53" s="425"/>
      <c r="AQ53" s="42"/>
      <c r="AR53" s="43"/>
      <c r="AS53" s="43"/>
      <c r="AT53" s="43"/>
      <c r="AU53" s="43"/>
      <c r="AV53" s="43"/>
      <c r="AW53" s="43"/>
      <c r="AX53" s="43"/>
      <c r="AY53" s="43"/>
      <c r="AZ53" s="43"/>
      <c r="BH53" s="50"/>
      <c r="BI53" s="51"/>
    </row>
    <row r="54" spans="1:61" ht="18" customHeight="1">
      <c r="A54" s="36"/>
      <c r="B54" s="404"/>
      <c r="C54" s="404"/>
      <c r="D54" s="404"/>
      <c r="E54" s="404"/>
      <c r="F54" s="288"/>
      <c r="G54" s="288"/>
      <c r="H54" s="288"/>
      <c r="I54" s="288"/>
      <c r="J54" s="288"/>
      <c r="K54" s="288"/>
      <c r="L54" s="288"/>
      <c r="M54" s="288"/>
      <c r="N54" s="288"/>
      <c r="O54" s="288"/>
      <c r="P54" s="288"/>
      <c r="Q54" s="288"/>
      <c r="R54" s="288"/>
      <c r="S54" s="288"/>
      <c r="T54" s="288"/>
      <c r="U54" s="288"/>
      <c r="V54" s="288"/>
      <c r="W54" s="288"/>
      <c r="X54" s="288"/>
      <c r="Y54" s="288"/>
      <c r="Z54" s="288"/>
      <c r="AA54" s="288"/>
      <c r="AB54" s="288"/>
      <c r="AC54" s="288"/>
      <c r="AD54" s="288"/>
      <c r="AE54" s="288"/>
      <c r="AF54" s="288"/>
      <c r="AG54" s="288"/>
      <c r="AH54" s="288"/>
      <c r="AI54" s="289"/>
      <c r="AK54" s="425" t="s">
        <v>696</v>
      </c>
      <c r="AL54" s="425"/>
      <c r="AM54" s="425"/>
      <c r="AN54" s="425"/>
      <c r="AO54" s="425"/>
      <c r="AP54" s="425"/>
      <c r="AQ54" s="42"/>
      <c r="AR54" s="43"/>
      <c r="AS54" s="43"/>
      <c r="AT54" s="43"/>
      <c r="AU54" s="43"/>
      <c r="AV54" s="43"/>
      <c r="AW54" s="43"/>
      <c r="AX54" s="43"/>
      <c r="AY54" s="43"/>
      <c r="AZ54" s="43"/>
      <c r="BH54" s="50"/>
      <c r="BI54" s="51"/>
    </row>
    <row r="55" spans="1:61" ht="18" customHeight="1">
      <c r="A55" s="36"/>
      <c r="B55" s="404"/>
      <c r="C55" s="404"/>
      <c r="D55" s="404"/>
      <c r="E55" s="404"/>
      <c r="F55" s="288"/>
      <c r="G55" s="288"/>
      <c r="H55" s="288"/>
      <c r="I55" s="288"/>
      <c r="J55" s="288"/>
      <c r="K55" s="288"/>
      <c r="L55" s="288"/>
      <c r="M55" s="288"/>
      <c r="N55" s="288"/>
      <c r="O55" s="288"/>
      <c r="P55" s="288"/>
      <c r="Q55" s="288"/>
      <c r="R55" s="288"/>
      <c r="S55" s="288"/>
      <c r="T55" s="288"/>
      <c r="U55" s="288"/>
      <c r="V55" s="288"/>
      <c r="W55" s="288"/>
      <c r="X55" s="288"/>
      <c r="Y55" s="288"/>
      <c r="Z55" s="288"/>
      <c r="AA55" s="288"/>
      <c r="AB55" s="288"/>
      <c r="AC55" s="288"/>
      <c r="AD55" s="288"/>
      <c r="AE55" s="288"/>
      <c r="AF55" s="288"/>
      <c r="AG55" s="288"/>
      <c r="AH55" s="288"/>
      <c r="AI55" s="289"/>
      <c r="AK55" s="425" t="s">
        <v>697</v>
      </c>
      <c r="AL55" s="425"/>
      <c r="AM55" s="425"/>
      <c r="AN55" s="425"/>
      <c r="AO55" s="425"/>
      <c r="AP55" s="425"/>
      <c r="AQ55" s="42"/>
      <c r="AR55" s="43"/>
      <c r="AS55" s="43"/>
      <c r="AT55" s="43"/>
      <c r="AU55" s="43"/>
      <c r="AV55" s="43"/>
      <c r="AW55" s="43"/>
      <c r="AX55" s="43"/>
      <c r="AY55" s="43"/>
      <c r="AZ55" s="43"/>
      <c r="BH55" s="50"/>
      <c r="BI55" s="51"/>
    </row>
    <row r="56" spans="1:61" ht="18" customHeight="1">
      <c r="A56" s="36"/>
      <c r="B56" s="404"/>
      <c r="C56" s="404"/>
      <c r="D56" s="404"/>
      <c r="E56" s="404"/>
      <c r="F56" s="288"/>
      <c r="G56" s="288"/>
      <c r="H56" s="288"/>
      <c r="I56" s="288"/>
      <c r="J56" s="288"/>
      <c r="K56" s="288"/>
      <c r="L56" s="288"/>
      <c r="M56" s="288"/>
      <c r="N56" s="288"/>
      <c r="O56" s="288"/>
      <c r="P56" s="288"/>
      <c r="Q56" s="288"/>
      <c r="R56" s="288"/>
      <c r="S56" s="288"/>
      <c r="T56" s="288"/>
      <c r="U56" s="288"/>
      <c r="V56" s="288"/>
      <c r="W56" s="288"/>
      <c r="X56" s="288"/>
      <c r="Y56" s="288"/>
      <c r="Z56" s="288"/>
      <c r="AA56" s="288"/>
      <c r="AB56" s="288"/>
      <c r="AC56" s="288"/>
      <c r="AD56" s="288"/>
      <c r="AE56" s="288"/>
      <c r="AF56" s="288"/>
      <c r="AG56" s="288"/>
      <c r="AH56" s="288"/>
      <c r="AI56" s="289"/>
      <c r="AK56" s="425" t="s">
        <v>698</v>
      </c>
      <c r="AL56" s="425"/>
      <c r="AM56" s="425"/>
      <c r="AN56" s="425"/>
      <c r="AO56" s="425"/>
      <c r="AP56" s="425"/>
      <c r="AQ56" s="42"/>
      <c r="AR56" s="43"/>
      <c r="AS56" s="43"/>
      <c r="AT56" s="43"/>
      <c r="AU56" s="43"/>
      <c r="AV56" s="43"/>
      <c r="AW56" s="43"/>
      <c r="AX56" s="43"/>
      <c r="AY56" s="43"/>
      <c r="AZ56" s="43"/>
      <c r="BH56" s="52"/>
      <c r="BI56" s="51"/>
    </row>
    <row r="57" spans="1:61" ht="18" customHeight="1">
      <c r="A57" s="36"/>
      <c r="B57" s="404"/>
      <c r="C57" s="404"/>
      <c r="D57" s="404"/>
      <c r="E57" s="404"/>
      <c r="F57" s="288"/>
      <c r="G57" s="288"/>
      <c r="H57" s="288"/>
      <c r="I57" s="288"/>
      <c r="J57" s="288"/>
      <c r="K57" s="288"/>
      <c r="L57" s="288"/>
      <c r="M57" s="288"/>
      <c r="N57" s="288"/>
      <c r="O57" s="288"/>
      <c r="P57" s="288"/>
      <c r="Q57" s="288"/>
      <c r="R57" s="288"/>
      <c r="S57" s="288"/>
      <c r="T57" s="288"/>
      <c r="U57" s="288"/>
      <c r="V57" s="288"/>
      <c r="W57" s="288"/>
      <c r="X57" s="288"/>
      <c r="Y57" s="288"/>
      <c r="Z57" s="288"/>
      <c r="AA57" s="288"/>
      <c r="AB57" s="288"/>
      <c r="AC57" s="288"/>
      <c r="AD57" s="288"/>
      <c r="AE57" s="288"/>
      <c r="AF57" s="288"/>
      <c r="AG57" s="288"/>
      <c r="AH57" s="288"/>
      <c r="AI57" s="289"/>
      <c r="AK57" s="425" t="s">
        <v>699</v>
      </c>
      <c r="AL57" s="425"/>
      <c r="AM57" s="425"/>
      <c r="AN57" s="425"/>
      <c r="AO57" s="425"/>
      <c r="AP57" s="425"/>
      <c r="AQ57" s="42"/>
      <c r="AR57" s="43"/>
      <c r="AS57" s="43"/>
      <c r="AT57" s="43"/>
      <c r="AU57" s="43"/>
      <c r="AV57" s="43"/>
      <c r="AW57" s="43"/>
      <c r="AX57" s="43"/>
      <c r="AY57" s="43"/>
      <c r="AZ57" s="43"/>
      <c r="BH57" s="50"/>
      <c r="BI57" s="51"/>
    </row>
    <row r="58" spans="1:61" ht="18" customHeight="1">
      <c r="A58" s="36"/>
      <c r="B58" s="404"/>
      <c r="C58" s="404"/>
      <c r="D58" s="404"/>
      <c r="E58" s="404"/>
      <c r="F58" s="288"/>
      <c r="G58" s="288"/>
      <c r="H58" s="288"/>
      <c r="I58" s="288"/>
      <c r="J58" s="288"/>
      <c r="K58" s="288"/>
      <c r="L58" s="288"/>
      <c r="M58" s="288"/>
      <c r="N58" s="288"/>
      <c r="O58" s="288"/>
      <c r="P58" s="288"/>
      <c r="Q58" s="288"/>
      <c r="R58" s="288"/>
      <c r="S58" s="288"/>
      <c r="T58" s="288"/>
      <c r="U58" s="288"/>
      <c r="V58" s="288"/>
      <c r="W58" s="288"/>
      <c r="X58" s="288"/>
      <c r="Y58" s="288"/>
      <c r="Z58" s="288"/>
      <c r="AA58" s="288"/>
      <c r="AB58" s="288"/>
      <c r="AC58" s="288"/>
      <c r="AD58" s="288"/>
      <c r="AE58" s="288"/>
      <c r="AF58" s="288"/>
      <c r="AG58" s="288"/>
      <c r="AH58" s="288"/>
      <c r="AI58" s="289"/>
      <c r="AK58" s="425" t="s">
        <v>700</v>
      </c>
      <c r="AL58" s="425"/>
      <c r="AM58" s="425"/>
      <c r="AN58" s="425"/>
      <c r="AO58" s="425"/>
      <c r="AP58" s="425"/>
      <c r="AQ58" s="42"/>
      <c r="AR58" s="43"/>
      <c r="AS58" s="43"/>
      <c r="AT58" s="43"/>
      <c r="AU58" s="43"/>
      <c r="AV58" s="43"/>
      <c r="AW58" s="43"/>
      <c r="AX58" s="43"/>
      <c r="AY58" s="43"/>
      <c r="AZ58" s="43"/>
      <c r="BH58" s="50"/>
      <c r="BI58" s="51"/>
    </row>
    <row r="59" spans="1:61" ht="18" customHeight="1">
      <c r="A59" s="36"/>
      <c r="B59" s="404"/>
      <c r="C59" s="404"/>
      <c r="D59" s="404"/>
      <c r="E59" s="404"/>
      <c r="F59" s="288"/>
      <c r="G59" s="288"/>
      <c r="H59" s="288"/>
      <c r="I59" s="288"/>
      <c r="J59" s="288"/>
      <c r="K59" s="288"/>
      <c r="L59" s="288"/>
      <c r="M59" s="288"/>
      <c r="N59" s="288"/>
      <c r="O59" s="288"/>
      <c r="P59" s="288"/>
      <c r="Q59" s="288"/>
      <c r="R59" s="288"/>
      <c r="S59" s="288"/>
      <c r="T59" s="288"/>
      <c r="U59" s="288"/>
      <c r="V59" s="288"/>
      <c r="W59" s="288"/>
      <c r="X59" s="288"/>
      <c r="Y59" s="288"/>
      <c r="Z59" s="288"/>
      <c r="AA59" s="288"/>
      <c r="AB59" s="288"/>
      <c r="AC59" s="288"/>
      <c r="AD59" s="288"/>
      <c r="AE59" s="288"/>
      <c r="AF59" s="288"/>
      <c r="AG59" s="288"/>
      <c r="AH59" s="288"/>
      <c r="AI59" s="289"/>
      <c r="AK59" s="425" t="s">
        <v>701</v>
      </c>
      <c r="AL59" s="425"/>
      <c r="AM59" s="425"/>
      <c r="AN59" s="425"/>
      <c r="AO59" s="425"/>
      <c r="AP59" s="425"/>
      <c r="AQ59" s="42"/>
      <c r="AR59" s="43"/>
      <c r="AS59" s="43"/>
      <c r="AT59" s="43"/>
      <c r="AU59" s="43"/>
      <c r="AV59" s="43"/>
      <c r="AW59" s="43"/>
      <c r="AX59" s="43"/>
      <c r="AY59" s="43"/>
      <c r="AZ59" s="43"/>
      <c r="BH59" s="50"/>
      <c r="BI59" s="51"/>
    </row>
    <row r="60" spans="1:61" ht="18" customHeight="1">
      <c r="A60" s="36"/>
      <c r="B60" s="404"/>
      <c r="C60" s="404"/>
      <c r="D60" s="404"/>
      <c r="E60" s="404"/>
      <c r="F60" s="288"/>
      <c r="G60" s="288"/>
      <c r="H60" s="288"/>
      <c r="I60" s="288"/>
      <c r="J60" s="288"/>
      <c r="K60" s="288"/>
      <c r="L60" s="288"/>
      <c r="M60" s="288"/>
      <c r="N60" s="288"/>
      <c r="O60" s="288"/>
      <c r="P60" s="288"/>
      <c r="Q60" s="288"/>
      <c r="R60" s="288"/>
      <c r="S60" s="288"/>
      <c r="T60" s="288"/>
      <c r="U60" s="288"/>
      <c r="V60" s="288"/>
      <c r="W60" s="288"/>
      <c r="X60" s="288"/>
      <c r="Y60" s="288"/>
      <c r="Z60" s="288"/>
      <c r="AA60" s="288"/>
      <c r="AB60" s="288"/>
      <c r="AC60" s="288"/>
      <c r="AD60" s="288"/>
      <c r="AE60" s="288"/>
      <c r="AF60" s="288"/>
      <c r="AG60" s="288"/>
      <c r="AH60" s="288"/>
      <c r="AI60" s="289"/>
      <c r="AK60" s="425" t="s">
        <v>702</v>
      </c>
      <c r="AL60" s="425"/>
      <c r="AM60" s="425"/>
      <c r="AN60" s="425"/>
      <c r="AO60" s="425"/>
      <c r="AP60" s="425"/>
      <c r="AQ60" s="42"/>
      <c r="AR60" s="43"/>
      <c r="AS60" s="43"/>
      <c r="AT60" s="43"/>
      <c r="AU60" s="43"/>
      <c r="AV60" s="43"/>
      <c r="AW60" s="43"/>
      <c r="AX60" s="43"/>
      <c r="AY60" s="43"/>
      <c r="AZ60" s="43"/>
      <c r="BH60" s="52"/>
      <c r="BI60" s="51"/>
    </row>
    <row r="61" spans="1:61" ht="18" customHeight="1">
      <c r="A61" s="36"/>
      <c r="B61" s="404"/>
      <c r="C61" s="404"/>
      <c r="D61" s="404"/>
      <c r="E61" s="404"/>
      <c r="F61" s="288"/>
      <c r="G61" s="288"/>
      <c r="H61" s="288"/>
      <c r="I61" s="288"/>
      <c r="J61" s="288"/>
      <c r="K61" s="288"/>
      <c r="L61" s="288"/>
      <c r="M61" s="288"/>
      <c r="N61" s="288"/>
      <c r="O61" s="288"/>
      <c r="P61" s="288"/>
      <c r="Q61" s="288"/>
      <c r="R61" s="288"/>
      <c r="S61" s="288"/>
      <c r="T61" s="288"/>
      <c r="U61" s="288"/>
      <c r="V61" s="288"/>
      <c r="W61" s="288"/>
      <c r="X61" s="288"/>
      <c r="Y61" s="288"/>
      <c r="Z61" s="288"/>
      <c r="AA61" s="288"/>
      <c r="AB61" s="288"/>
      <c r="AC61" s="288"/>
      <c r="AD61" s="288"/>
      <c r="AE61" s="288"/>
      <c r="AF61" s="288"/>
      <c r="AG61" s="288"/>
      <c r="AH61" s="288"/>
      <c r="AI61" s="289"/>
      <c r="AK61" s="425" t="s">
        <v>703</v>
      </c>
      <c r="AL61" s="425"/>
      <c r="AM61" s="425"/>
      <c r="AN61" s="425"/>
      <c r="AO61" s="425"/>
      <c r="AP61" s="425"/>
      <c r="AQ61" s="42"/>
      <c r="AR61" s="43"/>
      <c r="AS61" s="43"/>
      <c r="AT61" s="43"/>
      <c r="AU61" s="43"/>
      <c r="AV61" s="43"/>
      <c r="AW61" s="43"/>
      <c r="AX61" s="43"/>
      <c r="AY61" s="43"/>
      <c r="AZ61" s="43"/>
      <c r="BH61" s="50"/>
      <c r="BI61" s="51"/>
    </row>
    <row r="62" spans="1:61" ht="18" customHeight="1">
      <c r="A62" s="36"/>
      <c r="B62" s="404"/>
      <c r="C62" s="404"/>
      <c r="D62" s="404"/>
      <c r="E62" s="404"/>
      <c r="F62" s="288"/>
      <c r="G62" s="288"/>
      <c r="H62" s="288"/>
      <c r="I62" s="288"/>
      <c r="J62" s="288"/>
      <c r="K62" s="288"/>
      <c r="L62" s="288"/>
      <c r="M62" s="288"/>
      <c r="N62" s="288"/>
      <c r="O62" s="288"/>
      <c r="P62" s="288"/>
      <c r="Q62" s="288"/>
      <c r="R62" s="288"/>
      <c r="S62" s="288"/>
      <c r="T62" s="288"/>
      <c r="U62" s="288"/>
      <c r="V62" s="288"/>
      <c r="W62" s="288"/>
      <c r="X62" s="288"/>
      <c r="Y62" s="288"/>
      <c r="Z62" s="288"/>
      <c r="AA62" s="288"/>
      <c r="AB62" s="288"/>
      <c r="AC62" s="288"/>
      <c r="AD62" s="288"/>
      <c r="AE62" s="288"/>
      <c r="AF62" s="288"/>
      <c r="AG62" s="288"/>
      <c r="AH62" s="288"/>
      <c r="AI62" s="289"/>
      <c r="AK62" s="425"/>
      <c r="AL62" s="425"/>
      <c r="AM62" s="425"/>
      <c r="AN62" s="425"/>
      <c r="AO62" s="425"/>
      <c r="AP62" s="425"/>
      <c r="AQ62" s="42"/>
      <c r="AR62" s="43"/>
      <c r="AS62" s="43"/>
      <c r="AT62" s="43"/>
      <c r="AU62" s="43"/>
      <c r="AV62" s="43"/>
      <c r="AW62" s="43"/>
      <c r="AX62" s="43"/>
      <c r="AY62" s="43"/>
      <c r="AZ62" s="43"/>
      <c r="BH62" s="50"/>
      <c r="BI62" s="51"/>
    </row>
    <row r="63" spans="1:61" ht="18" customHeight="1">
      <c r="A63" s="36"/>
      <c r="B63" s="404"/>
      <c r="C63" s="404"/>
      <c r="D63" s="404"/>
      <c r="E63" s="404"/>
      <c r="F63" s="288"/>
      <c r="G63" s="288"/>
      <c r="H63" s="288"/>
      <c r="I63" s="288"/>
      <c r="J63" s="288"/>
      <c r="K63" s="288"/>
      <c r="L63" s="288"/>
      <c r="M63" s="288"/>
      <c r="N63" s="288"/>
      <c r="O63" s="288"/>
      <c r="P63" s="288"/>
      <c r="Q63" s="288"/>
      <c r="R63" s="288"/>
      <c r="S63" s="288"/>
      <c r="T63" s="288"/>
      <c r="U63" s="288"/>
      <c r="V63" s="288"/>
      <c r="W63" s="288"/>
      <c r="X63" s="288"/>
      <c r="Y63" s="288"/>
      <c r="Z63" s="288"/>
      <c r="AA63" s="288"/>
      <c r="AB63" s="288"/>
      <c r="AC63" s="288"/>
      <c r="AD63" s="288"/>
      <c r="AE63" s="288"/>
      <c r="AF63" s="288"/>
      <c r="AG63" s="288"/>
      <c r="AH63" s="288"/>
      <c r="AI63" s="289"/>
      <c r="AK63" s="425"/>
      <c r="AL63" s="425"/>
      <c r="AM63" s="425"/>
      <c r="AN63" s="425"/>
      <c r="AO63" s="425"/>
      <c r="AP63" s="425"/>
      <c r="AQ63" s="42"/>
      <c r="AR63" s="43"/>
      <c r="AS63" s="43"/>
      <c r="AT63" s="43"/>
      <c r="AU63" s="43"/>
      <c r="AV63" s="43"/>
      <c r="AW63" s="43"/>
      <c r="AX63" s="43"/>
      <c r="AY63" s="43"/>
      <c r="AZ63" s="43"/>
      <c r="BH63" s="52"/>
      <c r="BI63" s="51"/>
    </row>
    <row r="64" spans="1:61" ht="18" customHeight="1">
      <c r="A64" s="36"/>
      <c r="B64" s="404"/>
      <c r="C64" s="404"/>
      <c r="D64" s="404"/>
      <c r="E64" s="404"/>
      <c r="F64" s="288"/>
      <c r="G64" s="288"/>
      <c r="H64" s="288"/>
      <c r="I64" s="288"/>
      <c r="J64" s="288"/>
      <c r="K64" s="288"/>
      <c r="L64" s="288"/>
      <c r="M64" s="288"/>
      <c r="N64" s="288"/>
      <c r="O64" s="288"/>
      <c r="P64" s="288"/>
      <c r="Q64" s="288"/>
      <c r="R64" s="288"/>
      <c r="S64" s="288"/>
      <c r="T64" s="288"/>
      <c r="U64" s="288"/>
      <c r="V64" s="288"/>
      <c r="W64" s="288"/>
      <c r="X64" s="288"/>
      <c r="Y64" s="288"/>
      <c r="Z64" s="288"/>
      <c r="AA64" s="288"/>
      <c r="AB64" s="288"/>
      <c r="AC64" s="288"/>
      <c r="AD64" s="288"/>
      <c r="AE64" s="288"/>
      <c r="AF64" s="288"/>
      <c r="AG64" s="288"/>
      <c r="AH64" s="288"/>
      <c r="AI64" s="289"/>
      <c r="AK64" s="425"/>
      <c r="AL64" s="425"/>
      <c r="AM64" s="425"/>
      <c r="AN64" s="425"/>
      <c r="AO64" s="425"/>
      <c r="AP64" s="425"/>
      <c r="AQ64" s="42"/>
      <c r="AR64" s="43"/>
      <c r="AS64" s="43"/>
      <c r="AT64" s="43"/>
      <c r="AU64" s="43"/>
      <c r="AV64" s="43"/>
      <c r="AW64" s="43"/>
      <c r="AX64" s="43"/>
      <c r="AY64" s="43"/>
      <c r="AZ64" s="43"/>
      <c r="BH64" s="52"/>
      <c r="BI64" s="51"/>
    </row>
    <row r="65" spans="1:61" ht="18" customHeight="1">
      <c r="A65" s="36"/>
      <c r="B65" s="404"/>
      <c r="C65" s="404"/>
      <c r="D65" s="404"/>
      <c r="E65" s="404"/>
      <c r="F65" s="288"/>
      <c r="G65" s="288"/>
      <c r="H65" s="288"/>
      <c r="I65" s="288"/>
      <c r="J65" s="288"/>
      <c r="K65" s="288"/>
      <c r="L65" s="288"/>
      <c r="M65" s="288"/>
      <c r="N65" s="288"/>
      <c r="O65" s="288"/>
      <c r="P65" s="288"/>
      <c r="Q65" s="288"/>
      <c r="R65" s="288"/>
      <c r="S65" s="288"/>
      <c r="T65" s="288"/>
      <c r="U65" s="288"/>
      <c r="V65" s="288"/>
      <c r="W65" s="288"/>
      <c r="X65" s="288"/>
      <c r="Y65" s="288"/>
      <c r="Z65" s="288"/>
      <c r="AA65" s="288"/>
      <c r="AB65" s="288"/>
      <c r="AC65" s="288"/>
      <c r="AD65" s="288"/>
      <c r="AE65" s="288"/>
      <c r="AF65" s="288"/>
      <c r="AG65" s="288"/>
      <c r="AH65" s="288"/>
      <c r="AI65" s="289"/>
      <c r="AK65" s="425"/>
      <c r="AL65" s="425"/>
      <c r="AM65" s="425"/>
      <c r="AN65" s="425"/>
      <c r="AO65" s="425"/>
      <c r="AP65" s="425"/>
      <c r="AQ65" s="42"/>
      <c r="AR65" s="43"/>
      <c r="AS65" s="43"/>
      <c r="AT65" s="43"/>
      <c r="AU65" s="43"/>
      <c r="AV65" s="43"/>
      <c r="AW65" s="43"/>
      <c r="AX65" s="43"/>
      <c r="AY65" s="43"/>
      <c r="AZ65" s="43"/>
      <c r="BH65" s="50"/>
      <c r="BI65" s="51"/>
    </row>
    <row r="66" spans="1:61" ht="18" customHeight="1">
      <c r="A66" s="36"/>
      <c r="B66" s="404"/>
      <c r="C66" s="404"/>
      <c r="D66" s="404"/>
      <c r="E66" s="404"/>
      <c r="F66" s="288"/>
      <c r="G66" s="288"/>
      <c r="H66" s="288"/>
      <c r="I66" s="288"/>
      <c r="J66" s="288"/>
      <c r="K66" s="288"/>
      <c r="L66" s="288"/>
      <c r="M66" s="288"/>
      <c r="N66" s="288"/>
      <c r="O66" s="288"/>
      <c r="P66" s="288"/>
      <c r="Q66" s="288"/>
      <c r="R66" s="288"/>
      <c r="S66" s="288"/>
      <c r="T66" s="288"/>
      <c r="U66" s="288"/>
      <c r="V66" s="288"/>
      <c r="W66" s="288"/>
      <c r="X66" s="288"/>
      <c r="Y66" s="288"/>
      <c r="Z66" s="288"/>
      <c r="AA66" s="288"/>
      <c r="AB66" s="288"/>
      <c r="AC66" s="288"/>
      <c r="AD66" s="288"/>
      <c r="AE66" s="288"/>
      <c r="AF66" s="288"/>
      <c r="AG66" s="288"/>
      <c r="AH66" s="288"/>
      <c r="AI66" s="289"/>
      <c r="AK66" s="425"/>
      <c r="AL66" s="425"/>
      <c r="AM66" s="425"/>
      <c r="AN66" s="425"/>
      <c r="AO66" s="425"/>
      <c r="AP66" s="425"/>
      <c r="AQ66" s="42"/>
      <c r="AR66" s="43"/>
      <c r="AS66" s="43"/>
      <c r="AT66" s="43"/>
      <c r="AU66" s="43"/>
      <c r="AV66" s="43"/>
      <c r="AW66" s="43"/>
      <c r="AX66" s="43"/>
      <c r="AY66" s="43"/>
      <c r="AZ66" s="43"/>
      <c r="BH66" s="50"/>
      <c r="BI66" s="51"/>
    </row>
    <row r="67" spans="1:61" ht="18" customHeight="1">
      <c r="A67" s="36"/>
      <c r="B67" s="404"/>
      <c r="C67" s="404"/>
      <c r="D67" s="404"/>
      <c r="E67" s="404"/>
      <c r="F67" s="288"/>
      <c r="G67" s="288"/>
      <c r="H67" s="288"/>
      <c r="I67" s="288"/>
      <c r="J67" s="288"/>
      <c r="K67" s="288"/>
      <c r="L67" s="288"/>
      <c r="M67" s="288"/>
      <c r="N67" s="288"/>
      <c r="O67" s="288"/>
      <c r="P67" s="288"/>
      <c r="Q67" s="288"/>
      <c r="R67" s="288"/>
      <c r="S67" s="288"/>
      <c r="T67" s="288"/>
      <c r="U67" s="288"/>
      <c r="V67" s="288"/>
      <c r="W67" s="288"/>
      <c r="X67" s="288"/>
      <c r="Y67" s="288"/>
      <c r="Z67" s="288"/>
      <c r="AA67" s="288"/>
      <c r="AB67" s="288"/>
      <c r="AC67" s="288"/>
      <c r="AD67" s="288"/>
      <c r="AE67" s="288"/>
      <c r="AF67" s="288"/>
      <c r="AG67" s="288"/>
      <c r="AH67" s="288"/>
      <c r="AI67" s="289"/>
      <c r="AK67" s="425"/>
      <c r="AL67" s="425"/>
      <c r="AM67" s="425"/>
      <c r="AN67" s="425"/>
      <c r="AO67" s="425"/>
      <c r="AP67" s="425"/>
      <c r="AQ67" s="67"/>
      <c r="AR67" s="43"/>
      <c r="AS67" s="43"/>
      <c r="AT67" s="43"/>
      <c r="AU67" s="43"/>
      <c r="AV67" s="43"/>
      <c r="AW67" s="43"/>
      <c r="AX67" s="43"/>
      <c r="AY67" s="43"/>
      <c r="AZ67" s="43"/>
      <c r="BH67" s="50"/>
      <c r="BI67" s="51"/>
    </row>
    <row r="68" spans="1:61" ht="18" customHeight="1">
      <c r="A68" s="36"/>
      <c r="B68" s="404"/>
      <c r="C68" s="404"/>
      <c r="D68" s="404"/>
      <c r="E68" s="404"/>
      <c r="F68" s="288"/>
      <c r="G68" s="288"/>
      <c r="H68" s="288"/>
      <c r="I68" s="288"/>
      <c r="J68" s="288"/>
      <c r="K68" s="288"/>
      <c r="L68" s="288"/>
      <c r="M68" s="288"/>
      <c r="N68" s="288"/>
      <c r="O68" s="288"/>
      <c r="P68" s="288"/>
      <c r="Q68" s="288"/>
      <c r="R68" s="288"/>
      <c r="S68" s="288"/>
      <c r="T68" s="288"/>
      <c r="U68" s="288"/>
      <c r="V68" s="288"/>
      <c r="W68" s="288"/>
      <c r="X68" s="288"/>
      <c r="Y68" s="288"/>
      <c r="Z68" s="288"/>
      <c r="AA68" s="288"/>
      <c r="AB68" s="288"/>
      <c r="AC68" s="288"/>
      <c r="AD68" s="288"/>
      <c r="AE68" s="288"/>
      <c r="AF68" s="288"/>
      <c r="AG68" s="288"/>
      <c r="AH68" s="288"/>
      <c r="AI68" s="289"/>
      <c r="AK68" s="425"/>
      <c r="AL68" s="425"/>
      <c r="AM68" s="425"/>
      <c r="AN68" s="425"/>
      <c r="AO68" s="425"/>
      <c r="AP68" s="425"/>
      <c r="AQ68" s="67"/>
      <c r="AR68" s="43"/>
      <c r="AS68" s="43"/>
      <c r="AT68" s="43"/>
      <c r="AU68" s="43"/>
      <c r="AV68" s="43"/>
      <c r="AW68" s="43"/>
      <c r="AX68" s="43"/>
      <c r="AY68" s="43"/>
      <c r="AZ68" s="43"/>
      <c r="BH68" s="50"/>
      <c r="BI68" s="51"/>
    </row>
    <row r="69" spans="1:61" ht="18" customHeight="1">
      <c r="A69" s="36"/>
      <c r="B69" s="404"/>
      <c r="C69" s="404"/>
      <c r="D69" s="404"/>
      <c r="E69" s="404"/>
      <c r="F69" s="288"/>
      <c r="G69" s="288"/>
      <c r="H69" s="288"/>
      <c r="I69" s="288"/>
      <c r="J69" s="288"/>
      <c r="K69" s="288"/>
      <c r="L69" s="288"/>
      <c r="M69" s="288"/>
      <c r="N69" s="288"/>
      <c r="O69" s="288"/>
      <c r="P69" s="288"/>
      <c r="Q69" s="288"/>
      <c r="R69" s="288"/>
      <c r="S69" s="288"/>
      <c r="T69" s="288"/>
      <c r="U69" s="288"/>
      <c r="V69" s="288"/>
      <c r="W69" s="288"/>
      <c r="X69" s="288"/>
      <c r="Y69" s="288"/>
      <c r="Z69" s="288"/>
      <c r="AA69" s="288"/>
      <c r="AB69" s="288"/>
      <c r="AC69" s="288"/>
      <c r="AD69" s="288"/>
      <c r="AE69" s="288"/>
      <c r="AF69" s="288"/>
      <c r="AG69" s="288"/>
      <c r="AH69" s="288"/>
      <c r="AI69" s="289"/>
      <c r="AK69" s="425"/>
      <c r="AL69" s="425"/>
      <c r="AM69" s="425"/>
      <c r="AN69" s="425"/>
      <c r="AO69" s="425"/>
      <c r="AP69" s="425"/>
      <c r="AQ69" s="42"/>
      <c r="AR69" s="43"/>
      <c r="AS69" s="43"/>
      <c r="AT69" s="43"/>
      <c r="AU69" s="43"/>
      <c r="AV69" s="43"/>
      <c r="AW69" s="43"/>
      <c r="AX69" s="43"/>
      <c r="AY69" s="43"/>
      <c r="AZ69" s="43"/>
      <c r="BH69" s="50"/>
      <c r="BI69" s="51"/>
    </row>
    <row r="70" spans="1:61" ht="18" customHeight="1">
      <c r="A70" s="36"/>
      <c r="B70" s="404"/>
      <c r="C70" s="404"/>
      <c r="D70" s="404"/>
      <c r="E70" s="404"/>
      <c r="F70" s="288"/>
      <c r="G70" s="288"/>
      <c r="H70" s="288"/>
      <c r="I70" s="288"/>
      <c r="J70" s="288"/>
      <c r="K70" s="288"/>
      <c r="L70" s="288"/>
      <c r="M70" s="288"/>
      <c r="N70" s="288"/>
      <c r="O70" s="288"/>
      <c r="P70" s="288"/>
      <c r="Q70" s="288"/>
      <c r="R70" s="288"/>
      <c r="S70" s="288"/>
      <c r="T70" s="288"/>
      <c r="U70" s="288"/>
      <c r="V70" s="288"/>
      <c r="W70" s="288"/>
      <c r="X70" s="288"/>
      <c r="Y70" s="288"/>
      <c r="Z70" s="288"/>
      <c r="AA70" s="288"/>
      <c r="AB70" s="288"/>
      <c r="AC70" s="288"/>
      <c r="AD70" s="288"/>
      <c r="AE70" s="288"/>
      <c r="AF70" s="288"/>
      <c r="AG70" s="288"/>
      <c r="AH70" s="288"/>
      <c r="AI70" s="289"/>
      <c r="AK70" s="425"/>
      <c r="AL70" s="425"/>
      <c r="AM70" s="425"/>
      <c r="AN70" s="425"/>
      <c r="AO70" s="425"/>
      <c r="AP70" s="425"/>
      <c r="AQ70" s="42"/>
      <c r="AR70" s="43"/>
      <c r="AS70" s="43"/>
      <c r="AT70" s="43"/>
      <c r="AU70" s="43"/>
      <c r="AV70" s="43"/>
      <c r="AW70" s="43"/>
      <c r="AX70" s="43"/>
      <c r="AY70" s="43"/>
      <c r="AZ70" s="43"/>
      <c r="BH70" s="50"/>
      <c r="BI70" s="51"/>
    </row>
    <row r="71" spans="1:61" ht="18" customHeight="1">
      <c r="A71" s="36"/>
      <c r="B71" s="404"/>
      <c r="C71" s="404"/>
      <c r="D71" s="404"/>
      <c r="E71" s="404"/>
      <c r="F71" s="288"/>
      <c r="G71" s="288"/>
      <c r="H71" s="288"/>
      <c r="I71" s="288"/>
      <c r="J71" s="288"/>
      <c r="K71" s="288"/>
      <c r="L71" s="288"/>
      <c r="M71" s="288"/>
      <c r="N71" s="288"/>
      <c r="O71" s="288"/>
      <c r="P71" s="288"/>
      <c r="Q71" s="288"/>
      <c r="R71" s="288"/>
      <c r="S71" s="288"/>
      <c r="T71" s="288"/>
      <c r="U71" s="288"/>
      <c r="V71" s="288"/>
      <c r="W71" s="288"/>
      <c r="X71" s="288"/>
      <c r="Y71" s="288"/>
      <c r="Z71" s="288"/>
      <c r="AA71" s="288"/>
      <c r="AB71" s="288"/>
      <c r="AC71" s="288"/>
      <c r="AD71" s="288"/>
      <c r="AE71" s="288"/>
      <c r="AF71" s="288"/>
      <c r="AG71" s="288"/>
      <c r="AH71" s="288"/>
      <c r="AI71" s="289"/>
      <c r="AK71" s="425"/>
      <c r="AL71" s="425"/>
      <c r="AM71" s="425"/>
      <c r="AN71" s="425"/>
      <c r="AO71" s="425"/>
      <c r="AP71" s="425"/>
      <c r="AQ71" s="42"/>
      <c r="AR71" s="43"/>
      <c r="AS71" s="43"/>
      <c r="AT71" s="43"/>
      <c r="AU71" s="43"/>
      <c r="AV71" s="43"/>
      <c r="AW71" s="43"/>
      <c r="AX71" s="43"/>
      <c r="AY71" s="43"/>
      <c r="AZ71" s="43"/>
      <c r="BH71" s="52"/>
      <c r="BI71" s="51"/>
    </row>
    <row r="72" spans="1:61" ht="18" customHeight="1">
      <c r="A72" s="36"/>
      <c r="B72" s="404"/>
      <c r="C72" s="404"/>
      <c r="D72" s="404"/>
      <c r="E72" s="404"/>
      <c r="F72" s="288"/>
      <c r="G72" s="288"/>
      <c r="H72" s="288"/>
      <c r="I72" s="288"/>
      <c r="J72" s="288"/>
      <c r="K72" s="288"/>
      <c r="L72" s="288"/>
      <c r="M72" s="288"/>
      <c r="N72" s="288"/>
      <c r="O72" s="288"/>
      <c r="P72" s="288"/>
      <c r="Q72" s="288"/>
      <c r="R72" s="288"/>
      <c r="S72" s="288"/>
      <c r="T72" s="288"/>
      <c r="U72" s="288"/>
      <c r="V72" s="288"/>
      <c r="W72" s="288"/>
      <c r="X72" s="288"/>
      <c r="Y72" s="288"/>
      <c r="Z72" s="288"/>
      <c r="AA72" s="288"/>
      <c r="AB72" s="288"/>
      <c r="AC72" s="288"/>
      <c r="AD72" s="288"/>
      <c r="AE72" s="288"/>
      <c r="AF72" s="288"/>
      <c r="AG72" s="288"/>
      <c r="AH72" s="288"/>
      <c r="AI72" s="289"/>
      <c r="AK72" s="425"/>
      <c r="AL72" s="425"/>
      <c r="AM72" s="425"/>
      <c r="AN72" s="425"/>
      <c r="AO72" s="425"/>
      <c r="AP72" s="425"/>
      <c r="AQ72" s="42"/>
      <c r="AR72" s="43"/>
      <c r="AS72" s="43"/>
      <c r="AT72" s="43"/>
      <c r="AU72" s="43"/>
      <c r="AV72" s="43"/>
      <c r="AW72" s="43"/>
      <c r="AX72" s="43"/>
      <c r="AY72" s="43"/>
      <c r="AZ72" s="43"/>
      <c r="BH72" s="53"/>
      <c r="BI72" s="51"/>
    </row>
    <row r="73" spans="1:61" ht="18" customHeight="1">
      <c r="A73" s="36"/>
      <c r="B73" s="404"/>
      <c r="C73" s="404"/>
      <c r="D73" s="404"/>
      <c r="E73" s="404"/>
      <c r="F73" s="288"/>
      <c r="G73" s="288"/>
      <c r="H73" s="288"/>
      <c r="I73" s="288"/>
      <c r="J73" s="288"/>
      <c r="K73" s="288"/>
      <c r="L73" s="288"/>
      <c r="M73" s="288"/>
      <c r="N73" s="288"/>
      <c r="O73" s="288"/>
      <c r="P73" s="288"/>
      <c r="Q73" s="288"/>
      <c r="R73" s="288"/>
      <c r="S73" s="288"/>
      <c r="T73" s="288"/>
      <c r="U73" s="288"/>
      <c r="V73" s="288"/>
      <c r="W73" s="288"/>
      <c r="X73" s="288"/>
      <c r="Y73" s="288"/>
      <c r="Z73" s="288"/>
      <c r="AA73" s="288"/>
      <c r="AB73" s="288"/>
      <c r="AC73" s="288"/>
      <c r="AD73" s="288"/>
      <c r="AE73" s="288"/>
      <c r="AF73" s="288"/>
      <c r="AG73" s="288"/>
      <c r="AH73" s="288"/>
      <c r="AI73" s="289"/>
      <c r="AK73" s="425"/>
      <c r="AL73" s="425"/>
      <c r="AM73" s="425"/>
      <c r="AN73" s="425"/>
      <c r="AO73" s="425"/>
      <c r="AP73" s="425"/>
      <c r="AQ73" s="42"/>
      <c r="AR73" s="43"/>
      <c r="AS73" s="43"/>
      <c r="AT73" s="43"/>
      <c r="AU73" s="43"/>
      <c r="AV73" s="43"/>
      <c r="AW73" s="43"/>
      <c r="AX73" s="43"/>
      <c r="AY73" s="43"/>
      <c r="AZ73" s="43"/>
      <c r="BH73" s="54"/>
      <c r="BI73" s="51"/>
    </row>
    <row r="74" spans="1:61" ht="18" customHeight="1">
      <c r="A74" s="36"/>
      <c r="B74" s="404"/>
      <c r="C74" s="404"/>
      <c r="D74" s="404"/>
      <c r="E74" s="404"/>
      <c r="F74" s="288"/>
      <c r="G74" s="288"/>
      <c r="H74" s="288"/>
      <c r="I74" s="288"/>
      <c r="J74" s="288"/>
      <c r="K74" s="288"/>
      <c r="L74" s="288"/>
      <c r="M74" s="288"/>
      <c r="N74" s="288"/>
      <c r="O74" s="288"/>
      <c r="P74" s="288"/>
      <c r="Q74" s="288"/>
      <c r="R74" s="288"/>
      <c r="S74" s="288"/>
      <c r="T74" s="288"/>
      <c r="U74" s="288"/>
      <c r="V74" s="288"/>
      <c r="W74" s="288"/>
      <c r="X74" s="288"/>
      <c r="Y74" s="288"/>
      <c r="Z74" s="288"/>
      <c r="AA74" s="288"/>
      <c r="AB74" s="288"/>
      <c r="AC74" s="288"/>
      <c r="AD74" s="288"/>
      <c r="AE74" s="288"/>
      <c r="AF74" s="288"/>
      <c r="AG74" s="288"/>
      <c r="AH74" s="288"/>
      <c r="AI74" s="289"/>
      <c r="AK74" s="425"/>
      <c r="AL74" s="425"/>
      <c r="AM74" s="425"/>
      <c r="AN74" s="425"/>
      <c r="AO74" s="425"/>
      <c r="AP74" s="425"/>
      <c r="AQ74" s="42"/>
      <c r="AR74" s="43"/>
      <c r="AS74" s="43"/>
      <c r="AT74" s="43"/>
      <c r="AU74" s="43"/>
      <c r="AV74" s="43"/>
      <c r="AW74" s="43"/>
      <c r="AX74" s="43"/>
      <c r="AY74" s="43"/>
      <c r="AZ74" s="43"/>
      <c r="BH74" s="54"/>
      <c r="BI74" s="51"/>
    </row>
    <row r="75" spans="1:61" ht="18" customHeight="1">
      <c r="A75" s="36"/>
      <c r="B75" s="404"/>
      <c r="C75" s="404"/>
      <c r="D75" s="404"/>
      <c r="E75" s="404"/>
      <c r="F75" s="288"/>
      <c r="G75" s="288"/>
      <c r="H75" s="288"/>
      <c r="I75" s="288"/>
      <c r="J75" s="288"/>
      <c r="K75" s="288"/>
      <c r="L75" s="288"/>
      <c r="M75" s="288"/>
      <c r="N75" s="288"/>
      <c r="O75" s="288"/>
      <c r="P75" s="288"/>
      <c r="Q75" s="288"/>
      <c r="R75" s="288"/>
      <c r="S75" s="288"/>
      <c r="T75" s="288"/>
      <c r="U75" s="288"/>
      <c r="V75" s="288"/>
      <c r="W75" s="288"/>
      <c r="X75" s="288"/>
      <c r="Y75" s="288"/>
      <c r="Z75" s="288"/>
      <c r="AA75" s="288"/>
      <c r="AB75" s="288"/>
      <c r="AC75" s="288"/>
      <c r="AD75" s="288"/>
      <c r="AE75" s="288"/>
      <c r="AF75" s="288"/>
      <c r="AG75" s="288"/>
      <c r="AH75" s="288"/>
      <c r="AI75" s="289"/>
      <c r="AK75" s="425"/>
      <c r="AL75" s="425"/>
      <c r="AM75" s="425"/>
      <c r="AN75" s="425"/>
      <c r="AO75" s="425"/>
      <c r="AP75" s="425"/>
      <c r="AQ75" s="42"/>
      <c r="AR75" s="43"/>
      <c r="AS75" s="43"/>
      <c r="AT75" s="43"/>
      <c r="AU75" s="43"/>
      <c r="AV75" s="43"/>
      <c r="AW75" s="43"/>
      <c r="AX75" s="43"/>
      <c r="AY75" s="43"/>
      <c r="AZ75" s="43"/>
      <c r="BH75" s="53"/>
      <c r="BI75" s="51"/>
    </row>
    <row r="76" spans="1:61" ht="18" customHeight="1">
      <c r="A76" s="36"/>
      <c r="B76" s="404"/>
      <c r="C76" s="404"/>
      <c r="D76" s="404"/>
      <c r="E76" s="404"/>
      <c r="F76" s="288"/>
      <c r="G76" s="288"/>
      <c r="H76" s="288"/>
      <c r="I76" s="288"/>
      <c r="J76" s="288"/>
      <c r="K76" s="288"/>
      <c r="L76" s="288"/>
      <c r="M76" s="288"/>
      <c r="N76" s="288"/>
      <c r="O76" s="288"/>
      <c r="P76" s="288"/>
      <c r="Q76" s="288"/>
      <c r="R76" s="288"/>
      <c r="S76" s="288"/>
      <c r="T76" s="288"/>
      <c r="U76" s="288"/>
      <c r="V76" s="288"/>
      <c r="W76" s="288"/>
      <c r="X76" s="288"/>
      <c r="Y76" s="288"/>
      <c r="Z76" s="288"/>
      <c r="AA76" s="288"/>
      <c r="AB76" s="288"/>
      <c r="AC76" s="288"/>
      <c r="AD76" s="288"/>
      <c r="AE76" s="288"/>
      <c r="AF76" s="288"/>
      <c r="AG76" s="288"/>
      <c r="AH76" s="288"/>
      <c r="AI76" s="289"/>
      <c r="AK76" s="425"/>
      <c r="AL76" s="425"/>
      <c r="AM76" s="425"/>
      <c r="AN76" s="425"/>
      <c r="AO76" s="425"/>
      <c r="AP76" s="425"/>
      <c r="AQ76" s="42"/>
      <c r="AR76" s="43"/>
      <c r="AS76" s="43"/>
      <c r="AT76" s="43"/>
      <c r="AU76" s="43"/>
      <c r="AV76" s="43"/>
      <c r="AW76" s="43"/>
      <c r="AX76" s="43"/>
      <c r="AY76" s="43"/>
      <c r="AZ76" s="43"/>
      <c r="BH76" s="53"/>
      <c r="BI76" s="51"/>
    </row>
    <row r="77" spans="1:61" ht="18" customHeight="1">
      <c r="A77" s="36"/>
      <c r="B77" s="404"/>
      <c r="C77" s="404"/>
      <c r="D77" s="404"/>
      <c r="E77" s="404"/>
      <c r="F77" s="288"/>
      <c r="G77" s="288"/>
      <c r="H77" s="288"/>
      <c r="I77" s="288"/>
      <c r="J77" s="288"/>
      <c r="K77" s="288"/>
      <c r="L77" s="288"/>
      <c r="M77" s="288"/>
      <c r="N77" s="288"/>
      <c r="O77" s="288"/>
      <c r="P77" s="288"/>
      <c r="Q77" s="288"/>
      <c r="R77" s="288"/>
      <c r="S77" s="288"/>
      <c r="T77" s="288"/>
      <c r="U77" s="288"/>
      <c r="V77" s="288"/>
      <c r="W77" s="288"/>
      <c r="X77" s="288"/>
      <c r="Y77" s="288"/>
      <c r="Z77" s="288"/>
      <c r="AA77" s="288"/>
      <c r="AB77" s="288"/>
      <c r="AC77" s="288"/>
      <c r="AD77" s="288"/>
      <c r="AE77" s="288"/>
      <c r="AF77" s="288"/>
      <c r="AG77" s="288"/>
      <c r="AH77" s="288"/>
      <c r="AI77" s="289"/>
      <c r="AK77" s="425"/>
      <c r="AL77" s="425"/>
      <c r="AM77" s="425"/>
      <c r="AN77" s="425"/>
      <c r="AO77" s="425"/>
      <c r="AP77" s="425"/>
      <c r="AQ77" s="42"/>
      <c r="AR77" s="43"/>
      <c r="AS77" s="43"/>
      <c r="AT77" s="43"/>
      <c r="AU77" s="43"/>
      <c r="AV77" s="43"/>
      <c r="AW77" s="43"/>
      <c r="AX77" s="43"/>
      <c r="AY77" s="43"/>
      <c r="AZ77" s="43"/>
      <c r="BH77" s="54"/>
      <c r="BI77" s="51"/>
    </row>
    <row r="78" spans="1:61" ht="18" customHeight="1">
      <c r="A78" s="36"/>
      <c r="B78" s="404"/>
      <c r="C78" s="404"/>
      <c r="D78" s="404"/>
      <c r="E78" s="404"/>
      <c r="F78" s="288"/>
      <c r="G78" s="288"/>
      <c r="H78" s="288"/>
      <c r="I78" s="288"/>
      <c r="J78" s="288"/>
      <c r="K78" s="288"/>
      <c r="L78" s="288"/>
      <c r="M78" s="288"/>
      <c r="N78" s="288"/>
      <c r="O78" s="288"/>
      <c r="P78" s="288"/>
      <c r="Q78" s="288"/>
      <c r="R78" s="288"/>
      <c r="S78" s="288"/>
      <c r="T78" s="288"/>
      <c r="U78" s="288"/>
      <c r="V78" s="288"/>
      <c r="W78" s="288"/>
      <c r="X78" s="288"/>
      <c r="Y78" s="288"/>
      <c r="Z78" s="288"/>
      <c r="AA78" s="288"/>
      <c r="AB78" s="288"/>
      <c r="AC78" s="288"/>
      <c r="AD78" s="288"/>
      <c r="AE78" s="288"/>
      <c r="AF78" s="288"/>
      <c r="AG78" s="288"/>
      <c r="AH78" s="288"/>
      <c r="AI78" s="289"/>
      <c r="AK78" s="425"/>
      <c r="AL78" s="425"/>
      <c r="AM78" s="425"/>
      <c r="AN78" s="425"/>
      <c r="AO78" s="425"/>
      <c r="AP78" s="425"/>
      <c r="AQ78" s="42"/>
      <c r="AR78" s="43"/>
      <c r="AS78" s="43"/>
      <c r="AT78" s="43"/>
      <c r="AU78" s="43"/>
      <c r="AV78" s="43"/>
      <c r="AW78" s="43"/>
      <c r="AX78" s="43"/>
      <c r="AY78" s="43"/>
      <c r="AZ78" s="43"/>
      <c r="BH78" s="54"/>
      <c r="BI78" s="51"/>
    </row>
    <row r="79" spans="1:61" ht="18" customHeight="1">
      <c r="A79" s="36"/>
      <c r="B79" s="404"/>
      <c r="C79" s="404"/>
      <c r="D79" s="404"/>
      <c r="E79" s="404"/>
      <c r="F79" s="288"/>
      <c r="G79" s="288"/>
      <c r="H79" s="288"/>
      <c r="I79" s="288"/>
      <c r="J79" s="288"/>
      <c r="K79" s="288"/>
      <c r="L79" s="288"/>
      <c r="M79" s="288"/>
      <c r="N79" s="288"/>
      <c r="O79" s="288"/>
      <c r="P79" s="288"/>
      <c r="Q79" s="288"/>
      <c r="R79" s="288"/>
      <c r="S79" s="288"/>
      <c r="T79" s="288"/>
      <c r="U79" s="288"/>
      <c r="V79" s="288"/>
      <c r="W79" s="288"/>
      <c r="X79" s="288"/>
      <c r="Y79" s="288"/>
      <c r="Z79" s="288"/>
      <c r="AA79" s="288"/>
      <c r="AB79" s="288"/>
      <c r="AC79" s="288"/>
      <c r="AD79" s="288"/>
      <c r="AE79" s="288"/>
      <c r="AF79" s="288"/>
      <c r="AG79" s="288"/>
      <c r="AH79" s="288"/>
      <c r="AI79" s="289"/>
      <c r="AK79" s="425"/>
      <c r="AL79" s="425"/>
      <c r="AM79" s="425"/>
      <c r="AN79" s="425"/>
      <c r="AO79" s="425"/>
      <c r="AP79" s="425"/>
      <c r="AQ79" s="42"/>
      <c r="AR79" s="43"/>
      <c r="AS79" s="43"/>
      <c r="AT79" s="43"/>
      <c r="AU79" s="43"/>
      <c r="AV79" s="43"/>
      <c r="AW79" s="43"/>
      <c r="AX79" s="43"/>
      <c r="AY79" s="43"/>
      <c r="AZ79" s="43"/>
      <c r="BH79" s="54"/>
      <c r="BI79" s="51"/>
    </row>
    <row r="80" spans="1:61" ht="18" customHeight="1">
      <c r="A80" s="37"/>
      <c r="B80" s="466"/>
      <c r="C80" s="466"/>
      <c r="D80" s="466"/>
      <c r="E80" s="466"/>
      <c r="F80" s="467"/>
      <c r="G80" s="467"/>
      <c r="H80" s="467"/>
      <c r="I80" s="467"/>
      <c r="J80" s="467"/>
      <c r="K80" s="467"/>
      <c r="L80" s="467"/>
      <c r="M80" s="467"/>
      <c r="N80" s="467"/>
      <c r="O80" s="467"/>
      <c r="P80" s="467"/>
      <c r="Q80" s="467"/>
      <c r="R80" s="467"/>
      <c r="S80" s="467"/>
      <c r="T80" s="467"/>
      <c r="U80" s="467"/>
      <c r="V80" s="467"/>
      <c r="W80" s="467"/>
      <c r="X80" s="467"/>
      <c r="Y80" s="467"/>
      <c r="Z80" s="467"/>
      <c r="AA80" s="467"/>
      <c r="AB80" s="467"/>
      <c r="AC80" s="467"/>
      <c r="AD80" s="467"/>
      <c r="AE80" s="467"/>
      <c r="AF80" s="467"/>
      <c r="AG80" s="467"/>
      <c r="AH80" s="467"/>
      <c r="AI80" s="468"/>
      <c r="AK80" s="425"/>
      <c r="AL80" s="425"/>
      <c r="AM80" s="425"/>
      <c r="AN80" s="425"/>
      <c r="AO80" s="425"/>
      <c r="AP80" s="425"/>
      <c r="AQ80" s="42"/>
      <c r="AR80" s="43"/>
      <c r="AS80" s="43"/>
      <c r="AT80" s="43"/>
      <c r="AU80" s="43"/>
      <c r="AV80" s="43"/>
      <c r="AW80" s="43"/>
      <c r="AX80" s="43"/>
      <c r="AY80" s="43"/>
      <c r="AZ80" s="43"/>
      <c r="BH80" s="54"/>
      <c r="BI80" s="51"/>
    </row>
    <row r="81" spans="1:61" ht="18" customHeight="1">
      <c r="A81" s="406" t="s">
        <v>704</v>
      </c>
      <c r="B81" s="407"/>
      <c r="C81" s="407"/>
      <c r="D81" s="407"/>
      <c r="E81" s="407"/>
      <c r="F81" s="407"/>
      <c r="G81" s="407"/>
      <c r="H81" s="407"/>
      <c r="I81" s="407"/>
      <c r="J81" s="407"/>
      <c r="K81" s="407"/>
      <c r="L81" s="407"/>
      <c r="M81" s="407"/>
      <c r="N81" s="407"/>
      <c r="O81" s="407"/>
      <c r="P81" s="407"/>
      <c r="Q81" s="407"/>
      <c r="R81" s="407"/>
      <c r="S81" s="407"/>
      <c r="T81" s="407"/>
      <c r="U81" s="407"/>
      <c r="V81" s="407"/>
      <c r="W81" s="407"/>
      <c r="X81" s="407"/>
      <c r="Y81" s="407"/>
      <c r="Z81" s="407"/>
      <c r="AA81" s="407"/>
      <c r="AB81" s="407"/>
      <c r="AC81" s="407"/>
      <c r="AD81" s="407"/>
      <c r="AE81" s="407"/>
      <c r="AF81" s="407"/>
      <c r="AG81" s="407"/>
      <c r="AH81" s="407"/>
      <c r="AI81" s="408"/>
      <c r="AK81" s="425"/>
      <c r="AL81" s="425"/>
      <c r="AM81" s="425"/>
      <c r="AN81" s="425"/>
      <c r="AO81" s="425"/>
      <c r="AP81" s="425"/>
      <c r="AQ81" s="42"/>
      <c r="AR81" s="43"/>
      <c r="AS81" s="43"/>
      <c r="AT81" s="43"/>
      <c r="AU81" s="43"/>
      <c r="AV81" s="43"/>
      <c r="AW81" s="43"/>
      <c r="AX81" s="43"/>
      <c r="AY81" s="43"/>
      <c r="AZ81" s="43"/>
      <c r="BH81" s="53"/>
      <c r="BI81" s="51"/>
    </row>
    <row r="82" spans="1:61" ht="18" customHeight="1">
      <c r="A82" s="38"/>
      <c r="B82" s="465">
        <v>45644</v>
      </c>
      <c r="C82" s="465"/>
      <c r="D82" s="465"/>
      <c r="E82" s="465"/>
      <c r="F82" s="288" t="s">
        <v>837</v>
      </c>
      <c r="G82" s="288"/>
      <c r="H82" s="288"/>
      <c r="I82" s="288"/>
      <c r="J82" s="288"/>
      <c r="K82" s="288"/>
      <c r="L82" s="288"/>
      <c r="M82" s="288"/>
      <c r="N82" s="288"/>
      <c r="O82" s="288"/>
      <c r="P82" s="288"/>
      <c r="Q82" s="288"/>
      <c r="R82" s="288"/>
      <c r="S82" s="288"/>
      <c r="T82" s="288"/>
      <c r="U82" s="288"/>
      <c r="V82" s="288"/>
      <c r="W82" s="288"/>
      <c r="X82" s="288"/>
      <c r="Y82" s="288"/>
      <c r="Z82" s="288"/>
      <c r="AA82" s="288"/>
      <c r="AB82" s="288"/>
      <c r="AC82" s="288"/>
      <c r="AD82" s="288"/>
      <c r="AE82" s="288"/>
      <c r="AF82" s="288"/>
      <c r="AG82" s="288"/>
      <c r="AH82" s="288"/>
      <c r="AI82" s="289"/>
      <c r="AK82" s="425"/>
      <c r="AL82" s="425"/>
      <c r="AM82" s="425"/>
      <c r="AN82" s="425"/>
      <c r="AO82" s="425"/>
      <c r="AP82" s="425"/>
      <c r="AQ82" s="42"/>
      <c r="AR82" s="43"/>
      <c r="AS82" s="43"/>
      <c r="AT82" s="43"/>
      <c r="AU82" s="43"/>
      <c r="AV82" s="43"/>
      <c r="AW82" s="43"/>
      <c r="AX82" s="43"/>
      <c r="AY82" s="43"/>
      <c r="AZ82" s="43"/>
      <c r="BH82" s="53"/>
      <c r="BI82" s="51"/>
    </row>
    <row r="83" spans="1:61" ht="18" customHeight="1">
      <c r="A83" s="38"/>
      <c r="B83" s="465">
        <v>46160</v>
      </c>
      <c r="C83" s="465"/>
      <c r="D83" s="465"/>
      <c r="E83" s="465"/>
      <c r="F83" s="288" t="s">
        <v>838</v>
      </c>
      <c r="G83" s="288"/>
      <c r="H83" s="288"/>
      <c r="I83" s="288"/>
      <c r="J83" s="288"/>
      <c r="K83" s="288"/>
      <c r="L83" s="288"/>
      <c r="M83" s="288"/>
      <c r="N83" s="288"/>
      <c r="O83" s="288"/>
      <c r="P83" s="288"/>
      <c r="Q83" s="288"/>
      <c r="R83" s="288"/>
      <c r="S83" s="288"/>
      <c r="T83" s="288"/>
      <c r="U83" s="288"/>
      <c r="V83" s="288"/>
      <c r="W83" s="288"/>
      <c r="X83" s="288"/>
      <c r="Y83" s="288"/>
      <c r="Z83" s="288"/>
      <c r="AA83" s="288"/>
      <c r="AB83" s="288"/>
      <c r="AC83" s="288"/>
      <c r="AD83" s="288"/>
      <c r="AE83" s="288"/>
      <c r="AF83" s="288"/>
      <c r="AG83" s="288"/>
      <c r="AH83" s="288"/>
      <c r="AI83" s="289"/>
      <c r="AK83" s="425"/>
      <c r="AL83" s="425"/>
      <c r="AM83" s="425"/>
      <c r="AN83" s="425"/>
      <c r="AO83" s="425"/>
      <c r="AP83" s="425"/>
      <c r="AQ83" s="42"/>
      <c r="AR83" s="43"/>
      <c r="AS83" s="43"/>
      <c r="AT83" s="43"/>
      <c r="AU83" s="43"/>
      <c r="AV83" s="43"/>
      <c r="AW83" s="43"/>
      <c r="AX83" s="43"/>
      <c r="AY83" s="43"/>
      <c r="AZ83" s="43"/>
      <c r="BH83" s="53"/>
      <c r="BI83" s="51"/>
    </row>
    <row r="84" spans="1:61" ht="18" customHeight="1">
      <c r="A84" s="38"/>
      <c r="B84" s="465"/>
      <c r="C84" s="465"/>
      <c r="D84" s="465"/>
      <c r="E84" s="465"/>
      <c r="F84" s="288"/>
      <c r="G84" s="288"/>
      <c r="H84" s="288"/>
      <c r="I84" s="288"/>
      <c r="J84" s="288"/>
      <c r="K84" s="288"/>
      <c r="L84" s="288"/>
      <c r="M84" s="288"/>
      <c r="N84" s="288"/>
      <c r="O84" s="288"/>
      <c r="P84" s="288"/>
      <c r="Q84" s="288"/>
      <c r="R84" s="288"/>
      <c r="S84" s="288"/>
      <c r="T84" s="288"/>
      <c r="U84" s="288"/>
      <c r="V84" s="288"/>
      <c r="W84" s="288"/>
      <c r="X84" s="288"/>
      <c r="Y84" s="288"/>
      <c r="Z84" s="288"/>
      <c r="AA84" s="288"/>
      <c r="AB84" s="288"/>
      <c r="AC84" s="288"/>
      <c r="AD84" s="288"/>
      <c r="AE84" s="288"/>
      <c r="AF84" s="288"/>
      <c r="AG84" s="288"/>
      <c r="AH84" s="288"/>
      <c r="AI84" s="289"/>
      <c r="AK84" s="425"/>
      <c r="AL84" s="425"/>
      <c r="AM84" s="425"/>
      <c r="AN84" s="425"/>
      <c r="AO84" s="425"/>
      <c r="AP84" s="425"/>
      <c r="AQ84" s="42"/>
      <c r="AR84" s="43"/>
      <c r="AS84" s="43"/>
      <c r="AT84" s="43"/>
      <c r="AU84" s="43"/>
      <c r="AV84" s="43"/>
      <c r="AW84" s="43"/>
      <c r="AX84" s="43"/>
      <c r="AY84" s="43"/>
      <c r="AZ84" s="43"/>
    </row>
    <row r="85" spans="1:61" ht="18" customHeight="1">
      <c r="A85" s="38"/>
      <c r="B85" s="465"/>
      <c r="C85" s="465"/>
      <c r="D85" s="465"/>
      <c r="E85" s="465"/>
      <c r="F85" s="288"/>
      <c r="G85" s="288"/>
      <c r="H85" s="288"/>
      <c r="I85" s="288"/>
      <c r="J85" s="288"/>
      <c r="K85" s="288"/>
      <c r="L85" s="288"/>
      <c r="M85" s="288"/>
      <c r="N85" s="288"/>
      <c r="O85" s="288"/>
      <c r="P85" s="288"/>
      <c r="Q85" s="288"/>
      <c r="R85" s="288"/>
      <c r="S85" s="288"/>
      <c r="T85" s="288"/>
      <c r="U85" s="288"/>
      <c r="V85" s="288"/>
      <c r="W85" s="288"/>
      <c r="X85" s="288"/>
      <c r="Y85" s="288"/>
      <c r="Z85" s="288"/>
      <c r="AA85" s="288"/>
      <c r="AB85" s="288"/>
      <c r="AC85" s="288"/>
      <c r="AD85" s="288"/>
      <c r="AE85" s="288"/>
      <c r="AF85" s="288"/>
      <c r="AG85" s="288"/>
      <c r="AH85" s="288"/>
      <c r="AI85" s="289"/>
      <c r="AK85" s="425"/>
      <c r="AL85" s="425"/>
      <c r="AM85" s="425"/>
      <c r="AN85" s="425"/>
      <c r="AO85" s="425"/>
      <c r="AP85" s="425"/>
      <c r="AQ85" s="42"/>
      <c r="AR85" s="43"/>
      <c r="AS85" s="43"/>
      <c r="AT85" s="43"/>
      <c r="AU85" s="43"/>
      <c r="AV85" s="43"/>
      <c r="AW85" s="43"/>
      <c r="AX85" s="43"/>
      <c r="AY85" s="43"/>
      <c r="AZ85" s="43"/>
    </row>
    <row r="86" spans="1:61" ht="18" customHeight="1" thickBot="1">
      <c r="A86" s="41"/>
      <c r="B86" s="540"/>
      <c r="C86" s="540"/>
      <c r="D86" s="540"/>
      <c r="E86" s="540"/>
      <c r="F86" s="541"/>
      <c r="G86" s="541"/>
      <c r="H86" s="541"/>
      <c r="I86" s="541"/>
      <c r="J86" s="541"/>
      <c r="K86" s="541"/>
      <c r="L86" s="541"/>
      <c r="M86" s="541"/>
      <c r="N86" s="541"/>
      <c r="O86" s="541"/>
      <c r="P86" s="541"/>
      <c r="Q86" s="541"/>
      <c r="R86" s="541"/>
      <c r="S86" s="541"/>
      <c r="T86" s="541"/>
      <c r="U86" s="541"/>
      <c r="V86" s="541"/>
      <c r="W86" s="541"/>
      <c r="X86" s="541"/>
      <c r="Y86" s="541"/>
      <c r="Z86" s="541"/>
      <c r="AA86" s="541"/>
      <c r="AB86" s="541"/>
      <c r="AC86" s="541"/>
      <c r="AD86" s="541"/>
      <c r="AE86" s="541"/>
      <c r="AF86" s="541"/>
      <c r="AG86" s="541"/>
      <c r="AH86" s="541"/>
      <c r="AI86" s="542"/>
      <c r="AK86" s="425"/>
      <c r="AL86" s="425"/>
      <c r="AM86" s="425"/>
      <c r="AN86" s="425"/>
      <c r="AO86" s="425"/>
      <c r="AP86" s="425"/>
      <c r="AQ86" s="42"/>
      <c r="AR86" s="43"/>
      <c r="AS86" s="43"/>
      <c r="AT86" s="43"/>
      <c r="AU86" s="43"/>
      <c r="AV86" s="43"/>
      <c r="AW86" s="43"/>
      <c r="AX86" s="43"/>
      <c r="AY86" s="43"/>
      <c r="AZ86" s="43"/>
    </row>
    <row r="87" spans="1:61" ht="14.1" customHeight="1">
      <c r="AK87" s="438"/>
      <c r="AL87" s="438"/>
      <c r="AM87" s="438"/>
      <c r="AN87" s="438"/>
      <c r="AO87" s="438"/>
      <c r="AP87" s="438"/>
      <c r="AQ87" s="119"/>
    </row>
    <row r="88" spans="1:61" ht="14.1" customHeight="1">
      <c r="AK88" s="437"/>
      <c r="AL88" s="437"/>
      <c r="AM88" s="437"/>
      <c r="AN88" s="437"/>
      <c r="AO88" s="437"/>
      <c r="AP88" s="437"/>
      <c r="AQ88" s="120"/>
    </row>
    <row r="89" spans="1:61" ht="14.1" customHeight="1">
      <c r="AK89" s="437"/>
      <c r="AL89" s="437"/>
      <c r="AM89" s="437"/>
      <c r="AN89" s="437"/>
      <c r="AO89" s="437"/>
      <c r="AP89" s="437"/>
      <c r="AQ89" s="120"/>
    </row>
    <row r="90" spans="1:61" ht="14.1" customHeight="1"/>
    <row r="91" spans="1:61" ht="14.1" customHeight="1"/>
    <row r="92" spans="1:61" ht="14.1" customHeight="1"/>
    <row r="93" spans="1:61" ht="14.1" customHeight="1"/>
    <row r="94" spans="1:61" ht="14.1" customHeight="1"/>
    <row r="95" spans="1:61" ht="14.1" customHeight="1"/>
    <row r="96" spans="1:61" ht="14.1" customHeight="1"/>
    <row r="97" ht="14.1" customHeight="1"/>
    <row r="98" ht="14.1" customHeight="1"/>
    <row r="99" ht="14.1" customHeight="1"/>
    <row r="100" ht="14.1" customHeight="1"/>
    <row r="101" ht="14.1" customHeight="1"/>
    <row r="102" ht="14.1" customHeight="1"/>
    <row r="103" ht="14.1" customHeight="1"/>
    <row r="104" ht="14.1" customHeight="1"/>
    <row r="105" ht="14.1" customHeight="1"/>
    <row r="106" ht="14.1" customHeight="1"/>
    <row r="107" ht="14.1" customHeight="1"/>
    <row r="108" ht="14.1" customHeight="1"/>
    <row r="109" ht="14.1" customHeight="1"/>
    <row r="110" ht="14.1" customHeight="1"/>
    <row r="111" ht="14.1" customHeight="1"/>
    <row r="112" ht="14.1" customHeight="1"/>
    <row r="113" ht="14.1" customHeight="1"/>
    <row r="114" ht="14.1" customHeight="1"/>
    <row r="115" ht="14.1" customHeight="1"/>
    <row r="116" ht="14.1" customHeight="1"/>
    <row r="117" ht="14.1" customHeight="1"/>
    <row r="118" ht="14.1" customHeight="1"/>
    <row r="119" ht="14.1" customHeight="1"/>
    <row r="120" ht="14.1" customHeight="1"/>
    <row r="121" ht="14.1" customHeight="1"/>
    <row r="122" ht="14.1" customHeight="1"/>
    <row r="123" ht="14.1" customHeight="1"/>
    <row r="124" ht="14.1" customHeight="1"/>
    <row r="125" ht="14.1" customHeight="1"/>
    <row r="126" ht="14.1" customHeight="1"/>
    <row r="127" ht="14.1" customHeight="1"/>
    <row r="128" ht="14.1" customHeight="1"/>
    <row r="129" ht="14.1" customHeight="1"/>
    <row r="130" ht="14.1" customHeight="1"/>
    <row r="131" ht="14.1" customHeight="1"/>
    <row r="132" ht="14.1" customHeight="1"/>
    <row r="133" ht="14.1" customHeight="1"/>
    <row r="134" ht="14.1" customHeight="1"/>
    <row r="135" ht="14.1" customHeight="1"/>
    <row r="136" ht="14.1" customHeight="1"/>
    <row r="137" ht="14.1" customHeight="1"/>
    <row r="138" ht="14.1" customHeight="1"/>
    <row r="139" ht="14.1" customHeight="1"/>
    <row r="140" ht="14.1" customHeight="1"/>
    <row r="141" ht="14.1" customHeight="1"/>
    <row r="142" ht="14.1" customHeight="1"/>
    <row r="143" ht="14.1" customHeight="1"/>
    <row r="144" ht="14.1" customHeight="1"/>
    <row r="145" ht="14.1" customHeight="1"/>
    <row r="146" ht="14.1" customHeight="1"/>
    <row r="147" ht="14.1" customHeight="1"/>
    <row r="148" ht="14.1" customHeight="1"/>
    <row r="149" ht="14.1" customHeight="1"/>
    <row r="150" ht="14.1" customHeight="1"/>
    <row r="151" ht="14.1" customHeight="1"/>
    <row r="152" ht="14.1" customHeight="1"/>
    <row r="153" ht="14.1" customHeight="1"/>
    <row r="154" ht="14.1" customHeight="1"/>
    <row r="155" ht="14.1" customHeight="1"/>
    <row r="156" ht="14.1" customHeight="1"/>
    <row r="157" ht="14.1" customHeight="1"/>
    <row r="158" ht="14.1" customHeight="1"/>
    <row r="159" ht="14.1" customHeight="1"/>
    <row r="160" ht="14.1" customHeight="1"/>
    <row r="161" ht="14.1" customHeight="1"/>
    <row r="162" ht="14.1" customHeight="1"/>
    <row r="163" ht="14.1" customHeight="1"/>
    <row r="164" ht="14.1" customHeight="1"/>
    <row r="165" ht="14.1" customHeight="1"/>
    <row r="166" ht="14.1" customHeight="1"/>
    <row r="167" ht="14.1" customHeight="1"/>
    <row r="168" ht="14.1" customHeight="1"/>
    <row r="169" ht="14.1" customHeight="1"/>
    <row r="170" ht="14.1" customHeight="1"/>
    <row r="171" ht="14.1" customHeight="1"/>
    <row r="172" ht="14.1" customHeight="1"/>
    <row r="173" ht="14.1" customHeight="1"/>
    <row r="174" ht="14.1" customHeight="1"/>
    <row r="175" ht="14.1" customHeight="1"/>
    <row r="176" ht="14.1" customHeight="1"/>
    <row r="177" ht="14.1" customHeight="1"/>
    <row r="178" ht="14.1" customHeight="1"/>
    <row r="179" ht="14.1" customHeight="1"/>
    <row r="180" ht="14.1" customHeight="1"/>
    <row r="181" ht="14.1" customHeight="1"/>
    <row r="182" ht="14.1" customHeight="1"/>
    <row r="183" ht="14.1" customHeight="1"/>
    <row r="184" ht="14.1" customHeight="1"/>
    <row r="185" ht="14.1" customHeight="1"/>
    <row r="186" ht="14.1" customHeight="1"/>
    <row r="187" ht="14.1" customHeight="1"/>
    <row r="188" ht="14.1" customHeight="1"/>
    <row r="189" ht="14.1" customHeight="1"/>
    <row r="190" ht="14.1" customHeight="1"/>
    <row r="191" ht="14.1" customHeight="1"/>
    <row r="192" ht="14.1" customHeight="1"/>
    <row r="193" ht="14.1" customHeight="1"/>
    <row r="194" ht="14.1" customHeight="1"/>
    <row r="195" ht="14.1" customHeight="1"/>
    <row r="196" ht="14.1" customHeight="1"/>
    <row r="197" ht="14.1" customHeight="1"/>
    <row r="198" ht="14.1" customHeight="1"/>
    <row r="199" ht="14.1" customHeight="1"/>
    <row r="200" ht="14.1" customHeight="1"/>
    <row r="201" ht="14.1" customHeight="1"/>
    <row r="202" ht="14.1" customHeight="1"/>
    <row r="203" ht="14.1" customHeight="1"/>
    <row r="204" ht="14.1" customHeight="1"/>
    <row r="205" ht="14.1" customHeight="1"/>
    <row r="206" ht="14.1" customHeight="1"/>
    <row r="207" ht="14.1" customHeight="1"/>
    <row r="208" ht="14.1" customHeight="1"/>
    <row r="209" ht="14.1" customHeight="1"/>
    <row r="210" ht="14.1" customHeight="1"/>
    <row r="211" ht="14.1" customHeight="1"/>
    <row r="212" ht="14.1" customHeight="1"/>
    <row r="213" ht="14.1" customHeight="1"/>
    <row r="214" ht="14.1" customHeight="1"/>
    <row r="215" ht="14.1" customHeight="1"/>
    <row r="216" ht="14.1" customHeight="1"/>
    <row r="217" ht="14.1" customHeight="1"/>
    <row r="218" ht="14.1" customHeight="1"/>
    <row r="219" ht="14.1" customHeight="1"/>
    <row r="220" ht="14.1" customHeight="1"/>
    <row r="221" ht="14.1" customHeight="1"/>
    <row r="222" ht="14.1" customHeight="1"/>
    <row r="223" ht="14.1" customHeight="1"/>
    <row r="224" ht="14.1" customHeight="1"/>
    <row r="225" ht="14.1" customHeight="1"/>
    <row r="226" ht="14.1" customHeight="1"/>
    <row r="227" ht="14.1" customHeight="1"/>
    <row r="228" ht="14.1" customHeight="1"/>
    <row r="229" ht="14.1" customHeight="1"/>
    <row r="230" ht="14.1" customHeight="1"/>
    <row r="231" ht="14.1" customHeight="1"/>
    <row r="232" ht="14.1" customHeight="1"/>
    <row r="233" ht="14.1" customHeight="1"/>
    <row r="234" ht="14.1" customHeight="1"/>
    <row r="235" ht="14.1" customHeight="1"/>
    <row r="236" ht="14.1" customHeight="1"/>
    <row r="237" ht="14.1" customHeight="1"/>
    <row r="238" ht="14.1" customHeight="1"/>
    <row r="239" ht="14.1" customHeight="1"/>
    <row r="240" ht="14.1" customHeight="1"/>
    <row r="241" ht="14.1" customHeight="1"/>
    <row r="242" ht="14.1" customHeight="1"/>
    <row r="243" ht="14.1" customHeight="1"/>
    <row r="244" ht="14.1" customHeight="1"/>
    <row r="245" ht="14.1" customHeight="1"/>
    <row r="246" ht="14.1" customHeight="1"/>
    <row r="247" ht="14.1" customHeight="1"/>
    <row r="248" ht="14.1" customHeight="1"/>
    <row r="249" ht="14.1" customHeight="1"/>
    <row r="250" ht="14.1" customHeight="1"/>
    <row r="251" ht="14.1" customHeight="1"/>
    <row r="252" ht="14.1" customHeight="1"/>
    <row r="253" ht="14.1" customHeight="1"/>
    <row r="254" ht="14.1" customHeight="1"/>
    <row r="255" ht="14.1" customHeight="1"/>
    <row r="256" ht="14.1" customHeight="1"/>
    <row r="257" ht="14.1" customHeight="1"/>
    <row r="258" ht="14.1" customHeight="1"/>
    <row r="259" ht="14.1" customHeight="1"/>
    <row r="260" ht="14.1" customHeight="1"/>
    <row r="261" ht="14.1" customHeight="1"/>
    <row r="262" ht="14.1" customHeight="1"/>
    <row r="263" ht="14.1" customHeight="1"/>
    <row r="264" ht="14.1" customHeight="1"/>
    <row r="265" ht="14.1" customHeight="1"/>
    <row r="266" ht="14.1" customHeight="1"/>
  </sheetData>
  <sheetProtection algorithmName="SHA-512" hashValue="0loLJCJhL4ad+e9W1BFBlntzNt2hf75qC+V2eugpQkoXMOcFlTwiL5DSpVRXAf1cyQ/kgBnOXO/4cSPzCUKn4A==" saltValue="4etb9yyOEqZ9UduJqdtb6g==" spinCount="100000" sheet="1" autoFilter="0"/>
  <mergeCells count="381">
    <mergeCell ref="A1:S3"/>
    <mergeCell ref="T1:Z3"/>
    <mergeCell ref="AD1:AI1"/>
    <mergeCell ref="AD2:AF4"/>
    <mergeCell ref="AG2:AI4"/>
    <mergeCell ref="A4:S5"/>
    <mergeCell ref="AK7:AP8"/>
    <mergeCell ref="AQ7:AQ8"/>
    <mergeCell ref="V8:X8"/>
    <mergeCell ref="A9:AI9"/>
    <mergeCell ref="AK9:AP9"/>
    <mergeCell ref="A10:H10"/>
    <mergeCell ref="I10:J10"/>
    <mergeCell ref="K10:L10"/>
    <mergeCell ref="M10:T10"/>
    <mergeCell ref="U10:V10"/>
    <mergeCell ref="O7:P8"/>
    <mergeCell ref="Q7:R8"/>
    <mergeCell ref="S7:T8"/>
    <mergeCell ref="V7:X7"/>
    <mergeCell ref="Y7:AA8"/>
    <mergeCell ref="AB7:AI8"/>
    <mergeCell ref="A7:E8"/>
    <mergeCell ref="F7:F8"/>
    <mergeCell ref="G7:I8"/>
    <mergeCell ref="J7:J8"/>
    <mergeCell ref="K7:M8"/>
    <mergeCell ref="N7:N8"/>
    <mergeCell ref="W10:X10"/>
    <mergeCell ref="Y10:AF10"/>
    <mergeCell ref="AG10:AH10"/>
    <mergeCell ref="AK10:AP10"/>
    <mergeCell ref="A11:H11"/>
    <mergeCell ref="I11:J11"/>
    <mergeCell ref="K11:L11"/>
    <mergeCell ref="M11:T11"/>
    <mergeCell ref="U11:V11"/>
    <mergeCell ref="W11:X11"/>
    <mergeCell ref="Y11:AF11"/>
    <mergeCell ref="AG11:AH11"/>
    <mergeCell ref="AK11:AP11"/>
    <mergeCell ref="A12:H12"/>
    <mergeCell ref="I12:J12"/>
    <mergeCell ref="K12:L12"/>
    <mergeCell ref="M12:T12"/>
    <mergeCell ref="U12:V12"/>
    <mergeCell ref="W12:X12"/>
    <mergeCell ref="Y12:AF12"/>
    <mergeCell ref="AG12:AH12"/>
    <mergeCell ref="AK12:AP12"/>
    <mergeCell ref="A13:H13"/>
    <mergeCell ref="I13:J13"/>
    <mergeCell ref="K13:L13"/>
    <mergeCell ref="M13:T13"/>
    <mergeCell ref="U13:V13"/>
    <mergeCell ref="W13:X13"/>
    <mergeCell ref="Y13:AF13"/>
    <mergeCell ref="AG13:AH13"/>
    <mergeCell ref="AK13:AP13"/>
    <mergeCell ref="A14:AI14"/>
    <mergeCell ref="AK14:AP14"/>
    <mergeCell ref="B15:I15"/>
    <mergeCell ref="J15:L15"/>
    <mergeCell ref="M15:N15"/>
    <mergeCell ref="O15:V15"/>
    <mergeCell ref="W15:Y15"/>
    <mergeCell ref="Z15:AA15"/>
    <mergeCell ref="AB15:AG15"/>
    <mergeCell ref="A18:E18"/>
    <mergeCell ref="F18:AI18"/>
    <mergeCell ref="AK18:AP18"/>
    <mergeCell ref="B19:E19"/>
    <mergeCell ref="F19:AI19"/>
    <mergeCell ref="AK19:AP19"/>
    <mergeCell ref="AH15:AI15"/>
    <mergeCell ref="AK15:AP15"/>
    <mergeCell ref="A16:AI16"/>
    <mergeCell ref="AK16:AP16"/>
    <mergeCell ref="A17:E17"/>
    <mergeCell ref="F17:AI17"/>
    <mergeCell ref="AK17:AP17"/>
    <mergeCell ref="B20:E20"/>
    <mergeCell ref="F20:AI20"/>
    <mergeCell ref="AK20:AP20"/>
    <mergeCell ref="AR20:AR23"/>
    <mergeCell ref="B21:E21"/>
    <mergeCell ref="F21:AI21"/>
    <mergeCell ref="AK21:AP21"/>
    <mergeCell ref="B22:E22"/>
    <mergeCell ref="F22:AI22"/>
    <mergeCell ref="AK22:AP22"/>
    <mergeCell ref="BA23:BB23"/>
    <mergeCell ref="B24:E24"/>
    <mergeCell ref="F24:AI24"/>
    <mergeCell ref="AK24:AP24"/>
    <mergeCell ref="AY24:AZ24"/>
    <mergeCell ref="BA24:BB24"/>
    <mergeCell ref="AS22:AT22"/>
    <mergeCell ref="AU22:AV22"/>
    <mergeCell ref="AY22:AZ22"/>
    <mergeCell ref="BA22:BB22"/>
    <mergeCell ref="B23:E23"/>
    <mergeCell ref="F23:AI23"/>
    <mergeCell ref="AK23:AP23"/>
    <mergeCell ref="AS23:AT23"/>
    <mergeCell ref="AU23:AV23"/>
    <mergeCell ref="AY23:AZ23"/>
    <mergeCell ref="B27:E27"/>
    <mergeCell ref="F27:AI27"/>
    <mergeCell ref="AK27:AP27"/>
    <mergeCell ref="AS27:AT27"/>
    <mergeCell ref="AU27:AW27"/>
    <mergeCell ref="AY27:BB27"/>
    <mergeCell ref="B25:E25"/>
    <mergeCell ref="F25:AI25"/>
    <mergeCell ref="AK25:AP25"/>
    <mergeCell ref="AY25:AZ25"/>
    <mergeCell ref="BA25:BB25"/>
    <mergeCell ref="B26:E26"/>
    <mergeCell ref="F26:AI26"/>
    <mergeCell ref="AK26:AP26"/>
    <mergeCell ref="AS26:AW26"/>
    <mergeCell ref="BA28:BB28"/>
    <mergeCell ref="B29:E29"/>
    <mergeCell ref="F29:AI29"/>
    <mergeCell ref="AK29:AP29"/>
    <mergeCell ref="AS29:AT29"/>
    <mergeCell ref="AU29:AW29"/>
    <mergeCell ref="AY29:AZ29"/>
    <mergeCell ref="BA29:BB29"/>
    <mergeCell ref="B28:E28"/>
    <mergeCell ref="F28:AI28"/>
    <mergeCell ref="AK28:AP28"/>
    <mergeCell ref="AS28:AT28"/>
    <mergeCell ref="AU28:AW28"/>
    <mergeCell ref="AY28:AZ28"/>
    <mergeCell ref="A32:AI32"/>
    <mergeCell ref="AK32:AP32"/>
    <mergeCell ref="AS32:AT32"/>
    <mergeCell ref="AU32:AW32"/>
    <mergeCell ref="AY32:AZ32"/>
    <mergeCell ref="BA32:BB32"/>
    <mergeCell ref="BA30:BB30"/>
    <mergeCell ref="B31:E31"/>
    <mergeCell ref="F31:AI31"/>
    <mergeCell ref="AK31:AP31"/>
    <mergeCell ref="AS31:AT31"/>
    <mergeCell ref="AU31:AW31"/>
    <mergeCell ref="AY31:AZ31"/>
    <mergeCell ref="BA31:BB31"/>
    <mergeCell ref="B30:E30"/>
    <mergeCell ref="F30:AI30"/>
    <mergeCell ref="AK30:AP30"/>
    <mergeCell ref="AS30:AT30"/>
    <mergeCell ref="AU30:AW30"/>
    <mergeCell ref="AY30:AZ30"/>
    <mergeCell ref="BA33:BB33"/>
    <mergeCell ref="B34:E34"/>
    <mergeCell ref="F34:AI34"/>
    <mergeCell ref="AK34:AP34"/>
    <mergeCell ref="AS34:AT34"/>
    <mergeCell ref="AU34:AW34"/>
    <mergeCell ref="AY34:AZ34"/>
    <mergeCell ref="BA34:BB34"/>
    <mergeCell ref="B33:E33"/>
    <mergeCell ref="F33:AI33"/>
    <mergeCell ref="AK33:AP33"/>
    <mergeCell ref="AS33:AT33"/>
    <mergeCell ref="AU33:AW33"/>
    <mergeCell ref="AY33:AZ33"/>
    <mergeCell ref="AY35:AZ35"/>
    <mergeCell ref="BA35:BB35"/>
    <mergeCell ref="A36:E36"/>
    <mergeCell ref="F36:K36"/>
    <mergeCell ref="L36:O36"/>
    <mergeCell ref="P36:R36"/>
    <mergeCell ref="T36:V36"/>
    <mergeCell ref="W36:AB36"/>
    <mergeCell ref="AC36:AI36"/>
    <mergeCell ref="B35:E35"/>
    <mergeCell ref="F35:V35"/>
    <mergeCell ref="W35:AB35"/>
    <mergeCell ref="AC35:AI35"/>
    <mergeCell ref="AK35:AP35"/>
    <mergeCell ref="AS35:AT35"/>
    <mergeCell ref="AK36:AP36"/>
    <mergeCell ref="AS36:AT36"/>
    <mergeCell ref="AU36:AW36"/>
    <mergeCell ref="AU35:AW35"/>
    <mergeCell ref="A39:AI39"/>
    <mergeCell ref="AK39:AP39"/>
    <mergeCell ref="AS39:AT39"/>
    <mergeCell ref="AV39:AW39"/>
    <mergeCell ref="A38:E38"/>
    <mergeCell ref="F38:K38"/>
    <mergeCell ref="L38:O38"/>
    <mergeCell ref="P38:V38"/>
    <mergeCell ref="W38:AB38"/>
    <mergeCell ref="AC38:AI38"/>
    <mergeCell ref="AD40:AI40"/>
    <mergeCell ref="A37:E37"/>
    <mergeCell ref="F37:AI37"/>
    <mergeCell ref="AK40:AP40"/>
    <mergeCell ref="AS40:AT40"/>
    <mergeCell ref="AV40:AW40"/>
    <mergeCell ref="A41:D41"/>
    <mergeCell ref="E41:G41"/>
    <mergeCell ref="I41:K41"/>
    <mergeCell ref="L41:R41"/>
    <mergeCell ref="S41:V41"/>
    <mergeCell ref="W41:Y41"/>
    <mergeCell ref="AA41:AC41"/>
    <mergeCell ref="AD41:AI41"/>
    <mergeCell ref="AK41:AP41"/>
    <mergeCell ref="A40:D40"/>
    <mergeCell ref="E40:K40"/>
    <mergeCell ref="L40:R40"/>
    <mergeCell ref="S40:V40"/>
    <mergeCell ref="W40:AC40"/>
    <mergeCell ref="AK37:AP37"/>
    <mergeCell ref="AS37:AT37"/>
    <mergeCell ref="AU37:AW37"/>
    <mergeCell ref="AK38:AP38"/>
    <mergeCell ref="A42:D42"/>
    <mergeCell ref="E42:G42"/>
    <mergeCell ref="I42:K42"/>
    <mergeCell ref="L42:R42"/>
    <mergeCell ref="S42:V42"/>
    <mergeCell ref="W42:Y42"/>
    <mergeCell ref="AA42:AC42"/>
    <mergeCell ref="AK42:AP42"/>
    <mergeCell ref="AS42:AW42"/>
    <mergeCell ref="A43:D43"/>
    <mergeCell ref="E43:G43"/>
    <mergeCell ref="I43:K43"/>
    <mergeCell ref="L43:R43"/>
    <mergeCell ref="S43:V43"/>
    <mergeCell ref="W43:Y43"/>
    <mergeCell ref="AA43:AC43"/>
    <mergeCell ref="A44:D44"/>
    <mergeCell ref="E44:G44"/>
    <mergeCell ref="I44:K44"/>
    <mergeCell ref="L44:R44"/>
    <mergeCell ref="S44:V44"/>
    <mergeCell ref="W44:Y44"/>
    <mergeCell ref="AA44:AC44"/>
    <mergeCell ref="AD44:AI44"/>
    <mergeCell ref="AD42:AI42"/>
    <mergeCell ref="AK44:AP44"/>
    <mergeCell ref="R45:U45"/>
    <mergeCell ref="W45:X45"/>
    <mergeCell ref="Z45:AA45"/>
    <mergeCell ref="AC45:AD45"/>
    <mergeCell ref="AE45:AF45"/>
    <mergeCell ref="AK45:AP45"/>
    <mergeCell ref="AD43:AI43"/>
    <mergeCell ref="AK43:AP43"/>
    <mergeCell ref="B49:E49"/>
    <mergeCell ref="F49:AI49"/>
    <mergeCell ref="AK49:AP49"/>
    <mergeCell ref="B50:E50"/>
    <mergeCell ref="F50:AI50"/>
    <mergeCell ref="AK50:AP50"/>
    <mergeCell ref="A46:AI46"/>
    <mergeCell ref="AK46:AP46"/>
    <mergeCell ref="B47:E47"/>
    <mergeCell ref="F47:AI47"/>
    <mergeCell ref="AK47:AP47"/>
    <mergeCell ref="B48:E48"/>
    <mergeCell ref="F48:AI48"/>
    <mergeCell ref="AK48:AP48"/>
    <mergeCell ref="B53:E53"/>
    <mergeCell ref="F53:AI53"/>
    <mergeCell ref="AK53:AP53"/>
    <mergeCell ref="B54:E54"/>
    <mergeCell ref="F54:AI54"/>
    <mergeCell ref="AK54:AP54"/>
    <mergeCell ref="B51:E51"/>
    <mergeCell ref="F51:AI51"/>
    <mergeCell ref="AK51:AP51"/>
    <mergeCell ref="B52:E52"/>
    <mergeCell ref="F52:AI52"/>
    <mergeCell ref="AK52:AP52"/>
    <mergeCell ref="B57:E57"/>
    <mergeCell ref="F57:AI57"/>
    <mergeCell ref="AK57:AP57"/>
    <mergeCell ref="B58:E58"/>
    <mergeCell ref="F58:AI58"/>
    <mergeCell ref="AK58:AP58"/>
    <mergeCell ref="B55:E55"/>
    <mergeCell ref="F55:AI55"/>
    <mergeCell ref="AK55:AP55"/>
    <mergeCell ref="B56:E56"/>
    <mergeCell ref="F56:AI56"/>
    <mergeCell ref="AK56:AP56"/>
    <mergeCell ref="B61:E61"/>
    <mergeCell ref="F61:AI61"/>
    <mergeCell ref="AK61:AP61"/>
    <mergeCell ref="B62:E62"/>
    <mergeCell ref="F62:AI62"/>
    <mergeCell ref="AK62:AP62"/>
    <mergeCell ref="B59:E59"/>
    <mergeCell ref="F59:AI59"/>
    <mergeCell ref="AK59:AP59"/>
    <mergeCell ref="B60:E60"/>
    <mergeCell ref="F60:AI60"/>
    <mergeCell ref="AK60:AP60"/>
    <mergeCell ref="B65:E65"/>
    <mergeCell ref="F65:AI65"/>
    <mergeCell ref="AK65:AP65"/>
    <mergeCell ref="B66:E66"/>
    <mergeCell ref="F66:AI66"/>
    <mergeCell ref="AK66:AP66"/>
    <mergeCell ref="B63:E63"/>
    <mergeCell ref="F63:AI63"/>
    <mergeCell ref="AK63:AP63"/>
    <mergeCell ref="B64:E64"/>
    <mergeCell ref="F64:AI64"/>
    <mergeCell ref="AK64:AP64"/>
    <mergeCell ref="B69:E69"/>
    <mergeCell ref="F69:AI69"/>
    <mergeCell ref="AK69:AP69"/>
    <mergeCell ref="B70:E70"/>
    <mergeCell ref="F70:AI70"/>
    <mergeCell ref="AK70:AP70"/>
    <mergeCell ref="B67:E67"/>
    <mergeCell ref="F67:AI67"/>
    <mergeCell ref="AK67:AP67"/>
    <mergeCell ref="B68:E68"/>
    <mergeCell ref="F68:AI68"/>
    <mergeCell ref="AK68:AP68"/>
    <mergeCell ref="B73:E73"/>
    <mergeCell ref="F73:AI73"/>
    <mergeCell ref="AK73:AP73"/>
    <mergeCell ref="B74:E74"/>
    <mergeCell ref="F74:AI74"/>
    <mergeCell ref="AK74:AP74"/>
    <mergeCell ref="B71:E71"/>
    <mergeCell ref="F71:AI71"/>
    <mergeCell ref="AK71:AP71"/>
    <mergeCell ref="B72:E72"/>
    <mergeCell ref="F72:AI72"/>
    <mergeCell ref="AK72:AP72"/>
    <mergeCell ref="B77:E77"/>
    <mergeCell ref="F77:AI77"/>
    <mergeCell ref="AK77:AP77"/>
    <mergeCell ref="B78:E78"/>
    <mergeCell ref="F78:AI78"/>
    <mergeCell ref="AK78:AP78"/>
    <mergeCell ref="B75:E75"/>
    <mergeCell ref="F75:AI75"/>
    <mergeCell ref="AK75:AP75"/>
    <mergeCell ref="B76:E76"/>
    <mergeCell ref="F76:AI76"/>
    <mergeCell ref="AK76:AP76"/>
    <mergeCell ref="A81:AI81"/>
    <mergeCell ref="AK81:AP81"/>
    <mergeCell ref="B82:E82"/>
    <mergeCell ref="F82:AI82"/>
    <mergeCell ref="AK82:AP82"/>
    <mergeCell ref="B83:E83"/>
    <mergeCell ref="F83:AI83"/>
    <mergeCell ref="AK83:AP83"/>
    <mergeCell ref="B79:E79"/>
    <mergeCell ref="F79:AI79"/>
    <mergeCell ref="AK79:AP79"/>
    <mergeCell ref="B80:E80"/>
    <mergeCell ref="F80:AI80"/>
    <mergeCell ref="AK80:AP80"/>
    <mergeCell ref="B86:E86"/>
    <mergeCell ref="F86:AI86"/>
    <mergeCell ref="AK86:AP86"/>
    <mergeCell ref="AK87:AP87"/>
    <mergeCell ref="AK88:AP88"/>
    <mergeCell ref="AK89:AP89"/>
    <mergeCell ref="B84:E84"/>
    <mergeCell ref="F84:AI84"/>
    <mergeCell ref="AK84:AP84"/>
    <mergeCell ref="B85:E85"/>
    <mergeCell ref="F85:AI85"/>
    <mergeCell ref="AK85:AP85"/>
  </mergeCells>
  <phoneticPr fontId="2"/>
  <conditionalFormatting sqref="AQ20:AQ28 AQ30:AQ31 AQ9 AQ11:AQ12 AQ14 AQ33:AQ34">
    <cfRule type="containsBlanks" dxfId="47" priority="12">
      <formula>LEN(TRIM(AQ9))=0</formula>
    </cfRule>
  </conditionalFormatting>
  <conditionalFormatting sqref="BC11:CF11">
    <cfRule type="containsText" dxfId="46" priority="8" operator="containsText" text="青">
      <formula>NOT(ISERROR(SEARCH("青",BC11)))</formula>
    </cfRule>
    <cfRule type="containsText" dxfId="45" priority="9" operator="containsText" text="緑">
      <formula>NOT(ISERROR(SEARCH("緑",BC11)))</formula>
    </cfRule>
    <cfRule type="containsText" dxfId="44" priority="10" operator="containsText" text="黄">
      <formula>NOT(ISERROR(SEARCH("黄",BC11)))</formula>
    </cfRule>
    <cfRule type="containsText" dxfId="43" priority="11" operator="containsText" text="赤">
      <formula>NOT(ISERROR(SEARCH("赤",BC11)))</formula>
    </cfRule>
  </conditionalFormatting>
  <conditionalFormatting sqref="V7:X8">
    <cfRule type="containsBlanks" dxfId="42" priority="7">
      <formula>LEN(TRIM(V7))=0</formula>
    </cfRule>
  </conditionalFormatting>
  <conditionalFormatting sqref="AB7:AI8">
    <cfRule type="containsBlanks" dxfId="41" priority="6">
      <formula>LEN(TRIM(AB7))=0</formula>
    </cfRule>
  </conditionalFormatting>
  <conditionalFormatting sqref="A7:E8 G7:I8 K7:M8 O7:P8">
    <cfRule type="containsBlanks" dxfId="40" priority="5">
      <formula>LEN(TRIM(A7))=0</formula>
    </cfRule>
  </conditionalFormatting>
  <conditionalFormatting sqref="W15:Y15 AH15:AI15 J15:L15">
    <cfRule type="containsBlanks" dxfId="39" priority="4">
      <formula>LEN(TRIM(J15))=0</formula>
    </cfRule>
  </conditionalFormatting>
  <conditionalFormatting sqref="L41:R44">
    <cfRule type="cellIs" dxfId="38" priority="1" operator="equal">
      <formula>0</formula>
    </cfRule>
  </conditionalFormatting>
  <conditionalFormatting sqref="P36:R36 T36:V36 L38:O38 AC38:AI38 AC36:AI36">
    <cfRule type="containsBlanks" dxfId="37" priority="3">
      <formula>LEN(TRIM(L36))=0</formula>
    </cfRule>
  </conditionalFormatting>
  <conditionalFormatting sqref="W41:Y44 AA41:AI44">
    <cfRule type="cellIs" dxfId="36" priority="2" operator="equal">
      <formula>0</formula>
    </cfRule>
  </conditionalFormatting>
  <printOptions horizontalCentered="1" verticalCentered="1"/>
  <pageMargins left="0.70866141732283472" right="0.59055118110236227" top="0.55118110236220474" bottom="0.55118110236220474" header="0.31496062992125984" footer="0.31496062992125984"/>
  <pageSetup paperSize="9" orientation="portrait" horizontalDpi="300" verticalDpi="300" r:id="rId1"/>
  <headerFooter scaleWithDoc="0" alignWithMargins="0">
    <oddFooter>&amp;C&amp;P&amp;Rヒトトヒト株式会社</oddFooter>
  </headerFooter>
  <rowBreaks count="1" manualBreakCount="1">
    <brk id="44" max="34" man="1"/>
  </rowBreaks>
  <drawing r:id="rId2"/>
  <extLst>
    <ext xmlns:x14="http://schemas.microsoft.com/office/spreadsheetml/2009/9/main" uri="{CCE6A557-97BC-4b89-ADB6-D9C93CAAB3DF}">
      <x14:dataValidations xmlns:xm="http://schemas.microsoft.com/office/excel/2006/main" count="6">
        <x14:dataValidation type="list" allowBlank="1" showInputMessage="1" showErrorMessage="1" xr:uid="{AF4B3E8F-3AC0-4051-8A51-B3D53EAF1BAD}">
          <x14:formula1>
            <xm:f>初期値!$C$12:$C$27</xm:f>
          </x14:formula1>
          <xm:sqref>P36:R36 T36:V36</xm:sqref>
        </x14:dataValidation>
        <x14:dataValidation type="list" allowBlank="1" showInputMessage="1" showErrorMessage="1" xr:uid="{00E802D4-45EA-45FA-BD7A-B1E36BA95FA6}">
          <x14:formula1>
            <xm:f>初期値!$G$12:$G$24</xm:f>
          </x14:formula1>
          <xm:sqref>V7:X8</xm:sqref>
        </x14:dataValidation>
        <x14:dataValidation type="list" allowBlank="1" showInputMessage="1" showErrorMessage="1" xr:uid="{0CED3B4A-7BA9-4C9E-B278-316D9912F35B}">
          <x14:formula1>
            <xm:f>初期値!$E$12:$E$13</xm:f>
          </x14:formula1>
          <xm:sqref>L38:O38 AC38:AI38 AC36:AI36</xm:sqref>
        </x14:dataValidation>
        <x14:dataValidation type="list" allowBlank="1" showInputMessage="1" showErrorMessage="1" xr:uid="{F7E6A710-22E1-4C36-9240-32B74E310D7A}">
          <x14:formula1>
            <xm:f>初期値!$N$22:$N$23</xm:f>
          </x14:formula1>
          <xm:sqref>AW23</xm:sqref>
        </x14:dataValidation>
        <x14:dataValidation type="list" allowBlank="1" showInputMessage="1" showErrorMessage="1" xr:uid="{6DF239D9-5CDE-426D-8607-6EAEDAC561AF}">
          <x14:formula1>
            <xm:f>初期値!$P$12:$P$27</xm:f>
          </x14:formula1>
          <xm:sqref>BA24:BB24 BA22:BB22 BA28:BB28 BA30:BB30 BA32:BB32 BA34:BB34</xm:sqref>
        </x14:dataValidation>
        <x14:dataValidation type="list" allowBlank="1" showInputMessage="1" showErrorMessage="1" xr:uid="{534CAA0B-537B-4997-AA8A-BE965E56DC65}">
          <x14:formula1>
            <xm:f>初期値!$N$12:$N$19</xm:f>
          </x14:formula1>
          <xm:sqref>AU22:AV22</xm:sqref>
        </x14:dataValidation>
      </x14:dataValidations>
    </ext>
  </extLst>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DC39AEE-1B36-4561-B09D-C54FC6C39615}">
  <sheetPr codeName="Sheet35"/>
  <dimension ref="A1:CG266"/>
  <sheetViews>
    <sheetView zoomScaleNormal="100" zoomScaleSheetLayoutView="100" workbookViewId="0">
      <selection activeCell="F29" sqref="F29:AI29"/>
    </sheetView>
  </sheetViews>
  <sheetFormatPr defaultColWidth="8.875" defaultRowHeight="13.5"/>
  <cols>
    <col min="1" max="42" width="2.25" style="23" customWidth="1"/>
    <col min="43" max="43" width="6" style="23" bestFit="1" customWidth="1"/>
    <col min="44" max="44" width="4.5" style="23" bestFit="1" customWidth="1"/>
    <col min="45" max="45" width="6" style="23" bestFit="1" customWidth="1"/>
    <col min="46" max="46" width="4.5" style="23" bestFit="1" customWidth="1"/>
    <col min="47" max="47" width="9" style="23" bestFit="1" customWidth="1"/>
    <col min="48" max="48" width="8.5" style="23" bestFit="1" customWidth="1"/>
    <col min="49" max="49" width="7.5" style="23" bestFit="1" customWidth="1"/>
    <col min="50" max="50" width="6.5" style="23" bestFit="1" customWidth="1"/>
    <col min="51" max="51" width="7.5" style="23" bestFit="1" customWidth="1"/>
    <col min="52" max="52" width="2.125" style="23" customWidth="1"/>
    <col min="53" max="54" width="7.375" style="23" customWidth="1"/>
    <col min="55" max="63" width="3.625" style="23" bestFit="1" customWidth="1"/>
    <col min="64" max="84" width="4" style="23" bestFit="1" customWidth="1"/>
    <col min="85" max="16384" width="8.875" style="23"/>
  </cols>
  <sheetData>
    <row r="1" spans="1:85" ht="14.1" customHeight="1">
      <c r="A1" s="510" t="s">
        <v>551</v>
      </c>
      <c r="B1" s="510"/>
      <c r="C1" s="510"/>
      <c r="D1" s="510"/>
      <c r="E1" s="510"/>
      <c r="F1" s="510"/>
      <c r="G1" s="510"/>
      <c r="H1" s="510"/>
      <c r="I1" s="510"/>
      <c r="J1" s="510"/>
      <c r="K1" s="510"/>
      <c r="L1" s="510"/>
      <c r="M1" s="510"/>
      <c r="N1" s="510"/>
      <c r="O1" s="510"/>
      <c r="P1" s="510"/>
      <c r="Q1" s="510"/>
      <c r="R1" s="510"/>
      <c r="S1" s="510"/>
      <c r="T1" s="388"/>
      <c r="U1" s="388"/>
      <c r="V1" s="388"/>
      <c r="W1" s="388"/>
      <c r="X1" s="388"/>
      <c r="Y1" s="388"/>
      <c r="Z1" s="388"/>
      <c r="AA1" s="24"/>
      <c r="AB1" s="32"/>
      <c r="AD1" s="252" t="s">
        <v>167</v>
      </c>
      <c r="AE1" s="252"/>
      <c r="AF1" s="252"/>
      <c r="AG1" s="252"/>
      <c r="AH1" s="252"/>
      <c r="AI1" s="252"/>
      <c r="AM1" s="123">
        <v>28</v>
      </c>
      <c r="BB1"/>
    </row>
    <row r="2" spans="1:85" ht="14.1" customHeight="1">
      <c r="A2" s="510"/>
      <c r="B2" s="510"/>
      <c r="C2" s="510"/>
      <c r="D2" s="510"/>
      <c r="E2" s="510"/>
      <c r="F2" s="510"/>
      <c r="G2" s="510"/>
      <c r="H2" s="510"/>
      <c r="I2" s="510"/>
      <c r="J2" s="510"/>
      <c r="K2" s="510"/>
      <c r="L2" s="510"/>
      <c r="M2" s="510"/>
      <c r="N2" s="510"/>
      <c r="O2" s="510"/>
      <c r="P2" s="510"/>
      <c r="Q2" s="510"/>
      <c r="R2" s="510"/>
      <c r="S2" s="510"/>
      <c r="T2" s="388"/>
      <c r="U2" s="388"/>
      <c r="V2" s="388"/>
      <c r="W2" s="388"/>
      <c r="X2" s="388"/>
      <c r="Y2" s="388"/>
      <c r="Z2" s="388"/>
      <c r="AA2" s="25"/>
      <c r="AB2" s="31"/>
      <c r="AD2" s="253"/>
      <c r="AE2" s="253"/>
      <c r="AF2" s="253"/>
      <c r="AG2" s="253"/>
      <c r="AH2" s="253"/>
      <c r="AI2" s="253"/>
      <c r="BA2"/>
    </row>
    <row r="3" spans="1:85" ht="14.1" customHeight="1">
      <c r="A3" s="510"/>
      <c r="B3" s="510"/>
      <c r="C3" s="510"/>
      <c r="D3" s="510"/>
      <c r="E3" s="510"/>
      <c r="F3" s="510"/>
      <c r="G3" s="510"/>
      <c r="H3" s="510"/>
      <c r="I3" s="510"/>
      <c r="J3" s="510"/>
      <c r="K3" s="510"/>
      <c r="L3" s="510"/>
      <c r="M3" s="510"/>
      <c r="N3" s="510"/>
      <c r="O3" s="510"/>
      <c r="P3" s="510"/>
      <c r="Q3" s="510"/>
      <c r="R3" s="510"/>
      <c r="S3" s="510"/>
      <c r="T3" s="388"/>
      <c r="U3" s="388"/>
      <c r="V3" s="388"/>
      <c r="W3" s="388"/>
      <c r="X3" s="388"/>
      <c r="Y3" s="388"/>
      <c r="Z3" s="388"/>
      <c r="AA3" s="25"/>
      <c r="AB3" s="31"/>
      <c r="AD3" s="253"/>
      <c r="AE3" s="253"/>
      <c r="AF3" s="253"/>
      <c r="AG3" s="253"/>
      <c r="AH3" s="253"/>
      <c r="AI3" s="253"/>
      <c r="BA3"/>
    </row>
    <row r="4" spans="1:85" ht="14.1" customHeight="1">
      <c r="A4" s="395" t="s">
        <v>552</v>
      </c>
      <c r="B4" s="395"/>
      <c r="C4" s="395"/>
      <c r="D4" s="395"/>
      <c r="E4" s="395"/>
      <c r="F4" s="395"/>
      <c r="G4" s="395"/>
      <c r="H4" s="395"/>
      <c r="I4" s="395"/>
      <c r="J4" s="395"/>
      <c r="K4" s="395"/>
      <c r="L4" s="395"/>
      <c r="M4" s="395"/>
      <c r="N4" s="395"/>
      <c r="O4" s="395"/>
      <c r="P4" s="395"/>
      <c r="Q4" s="395"/>
      <c r="R4" s="395"/>
      <c r="S4" s="395"/>
      <c r="T4" s="155"/>
      <c r="U4" s="155"/>
      <c r="V4" s="155"/>
      <c r="W4" s="155"/>
      <c r="X4" s="155"/>
      <c r="Y4" s="155"/>
      <c r="Z4" s="155"/>
      <c r="AA4" s="26"/>
      <c r="AB4" s="31"/>
      <c r="AD4" s="253"/>
      <c r="AE4" s="253"/>
      <c r="AF4" s="253"/>
      <c r="AG4" s="253"/>
      <c r="AH4" s="253"/>
      <c r="AI4" s="253"/>
      <c r="BA4"/>
    </row>
    <row r="5" spans="1:85" ht="14.1" customHeight="1">
      <c r="A5" s="395"/>
      <c r="B5" s="395"/>
      <c r="C5" s="395"/>
      <c r="D5" s="395"/>
      <c r="E5" s="395"/>
      <c r="F5" s="395"/>
      <c r="G5" s="395"/>
      <c r="H5" s="395"/>
      <c r="I5" s="395"/>
      <c r="J5" s="395"/>
      <c r="K5" s="395"/>
      <c r="L5" s="395"/>
      <c r="M5" s="395"/>
      <c r="N5" s="395"/>
      <c r="O5" s="395"/>
      <c r="P5" s="395"/>
      <c r="Q5" s="395"/>
      <c r="R5" s="395"/>
      <c r="S5" s="395"/>
      <c r="T5" s="155"/>
      <c r="U5" s="155"/>
      <c r="V5" s="155"/>
      <c r="W5" s="155"/>
      <c r="X5" s="155"/>
      <c r="Y5" s="155"/>
      <c r="Z5" s="155"/>
      <c r="AA5" s="26"/>
      <c r="AB5" s="31"/>
      <c r="AC5" s="31"/>
      <c r="AD5" s="31"/>
      <c r="AE5" s="31"/>
      <c r="AF5" s="31"/>
      <c r="AG5" s="31"/>
      <c r="AH5" s="31"/>
      <c r="AI5" s="31"/>
      <c r="BA5"/>
    </row>
    <row r="6" spans="1:85" ht="14.1" customHeight="1" thickBot="1">
      <c r="A6" s="27"/>
      <c r="B6" s="27"/>
      <c r="C6" s="27"/>
      <c r="D6" s="27"/>
      <c r="E6" s="27"/>
      <c r="F6" s="27"/>
      <c r="G6" s="27"/>
      <c r="H6" s="27"/>
      <c r="I6" s="27"/>
      <c r="BA6"/>
    </row>
    <row r="7" spans="1:85" ht="12" customHeight="1">
      <c r="A7" s="255">
        <f>DATE(初期値!A2,初期値!A3,AM1)</f>
        <v>46201</v>
      </c>
      <c r="B7" s="256"/>
      <c r="C7" s="256"/>
      <c r="D7" s="256"/>
      <c r="E7" s="256"/>
      <c r="F7" s="259" t="s">
        <v>169</v>
      </c>
      <c r="G7" s="236">
        <f>$A$7</f>
        <v>46201</v>
      </c>
      <c r="H7" s="236"/>
      <c r="I7" s="236"/>
      <c r="J7" s="239" t="s">
        <v>170</v>
      </c>
      <c r="K7" s="261">
        <f>$A$7</f>
        <v>46201</v>
      </c>
      <c r="L7" s="261"/>
      <c r="M7" s="261"/>
      <c r="N7" s="239" t="s">
        <v>3</v>
      </c>
      <c r="O7" s="520">
        <f>$A$7</f>
        <v>46201</v>
      </c>
      <c r="P7" s="520"/>
      <c r="Q7" s="239" t="s">
        <v>292</v>
      </c>
      <c r="R7" s="240"/>
      <c r="S7" s="522" t="s">
        <v>553</v>
      </c>
      <c r="T7" s="244"/>
      <c r="U7" s="29" t="s">
        <v>554</v>
      </c>
      <c r="V7" s="518" t="s">
        <v>63</v>
      </c>
      <c r="W7" s="518"/>
      <c r="X7" s="518"/>
      <c r="Y7" s="511" t="s">
        <v>555</v>
      </c>
      <c r="Z7" s="512"/>
      <c r="AA7" s="513"/>
      <c r="AB7" s="244" t="str">
        <f>L43</f>
        <v>末廣信行</v>
      </c>
      <c r="AC7" s="244"/>
      <c r="AD7" s="244"/>
      <c r="AE7" s="244"/>
      <c r="AF7" s="244"/>
      <c r="AG7" s="244"/>
      <c r="AH7" s="244"/>
      <c r="AI7" s="245"/>
      <c r="AK7" s="425" t="s">
        <v>556</v>
      </c>
      <c r="AL7" s="425"/>
      <c r="AM7" s="425"/>
      <c r="AN7" s="425"/>
      <c r="AO7" s="425"/>
      <c r="AP7" s="425"/>
      <c r="AQ7" s="439" t="s">
        <v>557</v>
      </c>
      <c r="AR7" s="43"/>
      <c r="AS7" s="43"/>
      <c r="AT7" s="43"/>
      <c r="AU7" s="43"/>
      <c r="AV7" s="43"/>
      <c r="AW7" s="43"/>
      <c r="AX7" s="43"/>
      <c r="AY7" s="43"/>
      <c r="AZ7" s="43"/>
      <c r="BA7"/>
    </row>
    <row r="8" spans="1:85" ht="12" customHeight="1" thickBot="1">
      <c r="A8" s="257"/>
      <c r="B8" s="258"/>
      <c r="C8" s="258"/>
      <c r="D8" s="258"/>
      <c r="E8" s="258"/>
      <c r="F8" s="260"/>
      <c r="G8" s="237"/>
      <c r="H8" s="237"/>
      <c r="I8" s="237"/>
      <c r="J8" s="242"/>
      <c r="K8" s="262"/>
      <c r="L8" s="262"/>
      <c r="M8" s="262"/>
      <c r="N8" s="242"/>
      <c r="O8" s="521"/>
      <c r="P8" s="521"/>
      <c r="Q8" s="242"/>
      <c r="R8" s="243"/>
      <c r="S8" s="523"/>
      <c r="T8" s="246"/>
      <c r="U8" s="33" t="s">
        <v>558</v>
      </c>
      <c r="V8" s="519" t="s">
        <v>63</v>
      </c>
      <c r="W8" s="519"/>
      <c r="X8" s="519"/>
      <c r="Y8" s="514"/>
      <c r="Z8" s="515"/>
      <c r="AA8" s="516"/>
      <c r="AB8" s="246"/>
      <c r="AC8" s="246"/>
      <c r="AD8" s="246"/>
      <c r="AE8" s="246"/>
      <c r="AF8" s="246"/>
      <c r="AG8" s="246"/>
      <c r="AH8" s="246"/>
      <c r="AI8" s="247"/>
      <c r="AK8" s="425"/>
      <c r="AL8" s="425"/>
      <c r="AM8" s="425"/>
      <c r="AN8" s="425"/>
      <c r="AO8" s="425"/>
      <c r="AP8" s="425"/>
      <c r="AQ8" s="439"/>
      <c r="AR8" s="43"/>
      <c r="AS8" s="43"/>
      <c r="AT8" s="43"/>
      <c r="AU8" s="43"/>
      <c r="AV8" s="43"/>
      <c r="AW8" s="43"/>
      <c r="AX8" s="43"/>
      <c r="AY8" s="43"/>
      <c r="AZ8" s="43"/>
      <c r="BA8"/>
    </row>
    <row r="9" spans="1:85" ht="18" customHeight="1">
      <c r="A9" s="507" t="s">
        <v>559</v>
      </c>
      <c r="B9" s="508"/>
      <c r="C9" s="508"/>
      <c r="D9" s="508"/>
      <c r="E9" s="508"/>
      <c r="F9" s="508"/>
      <c r="G9" s="508"/>
      <c r="H9" s="508"/>
      <c r="I9" s="508"/>
      <c r="J9" s="508"/>
      <c r="K9" s="508"/>
      <c r="L9" s="508"/>
      <c r="M9" s="508"/>
      <c r="N9" s="508"/>
      <c r="O9" s="508"/>
      <c r="P9" s="508"/>
      <c r="Q9" s="508"/>
      <c r="R9" s="508"/>
      <c r="S9" s="508"/>
      <c r="T9" s="508"/>
      <c r="U9" s="508"/>
      <c r="V9" s="508"/>
      <c r="W9" s="508"/>
      <c r="X9" s="508"/>
      <c r="Y9" s="508"/>
      <c r="Z9" s="508"/>
      <c r="AA9" s="508"/>
      <c r="AB9" s="508"/>
      <c r="AC9" s="508"/>
      <c r="AD9" s="508"/>
      <c r="AE9" s="508"/>
      <c r="AF9" s="508"/>
      <c r="AG9" s="508"/>
      <c r="AH9" s="508"/>
      <c r="AI9" s="509"/>
      <c r="AK9" s="440" t="s">
        <v>560</v>
      </c>
      <c r="AL9" s="440"/>
      <c r="AM9" s="440"/>
      <c r="AN9" s="440"/>
      <c r="AO9" s="440"/>
      <c r="AP9" s="440"/>
      <c r="AQ9" s="42">
        <v>6</v>
      </c>
      <c r="AR9" s="43"/>
      <c r="AS9" s="44" t="s">
        <v>561</v>
      </c>
      <c r="AT9" s="44" t="s">
        <v>562</v>
      </c>
      <c r="AU9" s="44" t="s">
        <v>563</v>
      </c>
      <c r="AV9" s="44" t="s">
        <v>564</v>
      </c>
      <c r="AW9" s="45" t="s">
        <v>565</v>
      </c>
      <c r="AX9" s="45" t="s">
        <v>566</v>
      </c>
      <c r="AY9" s="44" t="s">
        <v>567</v>
      </c>
      <c r="AZ9" s="43"/>
      <c r="BB9" s="49" t="s">
        <v>568</v>
      </c>
      <c r="BC9" s="43"/>
      <c r="BD9" s="43"/>
      <c r="BE9" s="43"/>
      <c r="BF9" s="43"/>
      <c r="BG9" s="43"/>
      <c r="BH9" s="43"/>
      <c r="BI9" s="43"/>
      <c r="BJ9" s="43"/>
      <c r="BK9" s="43"/>
      <c r="BL9" s="43"/>
      <c r="BM9" s="43"/>
      <c r="BN9" s="43"/>
      <c r="BO9" s="43"/>
      <c r="BP9" s="43"/>
      <c r="BQ9" s="43"/>
      <c r="BR9" s="43"/>
      <c r="BS9" s="43"/>
      <c r="BT9" s="43"/>
      <c r="BU9" s="43"/>
      <c r="BV9" s="43"/>
      <c r="BW9" s="43"/>
      <c r="BX9" s="43"/>
      <c r="BY9" s="43"/>
      <c r="BZ9" s="43"/>
      <c r="CA9" s="43"/>
      <c r="CB9" s="43"/>
      <c r="CC9" s="43"/>
      <c r="CD9" s="43"/>
      <c r="CE9" s="43"/>
      <c r="CF9" s="43"/>
      <c r="CG9" s="43"/>
    </row>
    <row r="10" spans="1:85" ht="18" customHeight="1">
      <c r="A10" s="265" t="s">
        <v>569</v>
      </c>
      <c r="B10" s="266"/>
      <c r="C10" s="266"/>
      <c r="D10" s="266"/>
      <c r="E10" s="266"/>
      <c r="F10" s="266"/>
      <c r="G10" s="266"/>
      <c r="H10" s="266"/>
      <c r="I10" s="264">
        <f>AQ14</f>
        <v>2</v>
      </c>
      <c r="J10" s="264"/>
      <c r="K10" s="267" t="s">
        <v>176</v>
      </c>
      <c r="L10" s="268"/>
      <c r="M10" s="269" t="s">
        <v>570</v>
      </c>
      <c r="N10" s="266"/>
      <c r="O10" s="266"/>
      <c r="P10" s="266"/>
      <c r="Q10" s="266"/>
      <c r="R10" s="266"/>
      <c r="S10" s="266"/>
      <c r="T10" s="266"/>
      <c r="U10" s="264">
        <f>AQ37</f>
        <v>0</v>
      </c>
      <c r="V10" s="264"/>
      <c r="W10" s="267" t="s">
        <v>176</v>
      </c>
      <c r="X10" s="268"/>
      <c r="Y10" s="269" t="s">
        <v>571</v>
      </c>
      <c r="Z10" s="266"/>
      <c r="AA10" s="266"/>
      <c r="AB10" s="266"/>
      <c r="AC10" s="266"/>
      <c r="AD10" s="266"/>
      <c r="AE10" s="266"/>
      <c r="AF10" s="266"/>
      <c r="AG10" s="264">
        <f>AQ26+AQ25</f>
        <v>0</v>
      </c>
      <c r="AH10" s="264"/>
      <c r="AI10" s="28" t="s">
        <v>176</v>
      </c>
      <c r="AK10" s="440" t="s">
        <v>572</v>
      </c>
      <c r="AL10" s="440"/>
      <c r="AM10" s="440"/>
      <c r="AN10" s="440"/>
      <c r="AO10" s="440"/>
      <c r="AP10" s="440"/>
      <c r="AQ10" s="42"/>
      <c r="AR10" s="43"/>
      <c r="AS10" s="46">
        <v>1</v>
      </c>
      <c r="AT10" s="46"/>
      <c r="AU10" s="46" t="s">
        <v>119</v>
      </c>
      <c r="AV10" s="47" t="s">
        <v>573</v>
      </c>
      <c r="AW10" s="47" t="s">
        <v>574</v>
      </c>
      <c r="AX10" s="47">
        <v>0.33333333333333331</v>
      </c>
      <c r="AY10" s="47">
        <v>0.83333333333333337</v>
      </c>
      <c r="AZ10" s="43"/>
      <c r="BB10" s="49" t="s">
        <v>95</v>
      </c>
      <c r="BC10" s="120">
        <v>1</v>
      </c>
      <c r="BD10" s="120">
        <v>2</v>
      </c>
      <c r="BE10" s="120">
        <v>3</v>
      </c>
      <c r="BF10" s="120">
        <v>4</v>
      </c>
      <c r="BG10" s="120">
        <v>5</v>
      </c>
      <c r="BH10" s="120">
        <v>6</v>
      </c>
      <c r="BI10" s="120">
        <v>7</v>
      </c>
      <c r="BJ10" s="120">
        <v>8</v>
      </c>
      <c r="BK10" s="120">
        <v>9</v>
      </c>
      <c r="BL10" s="120">
        <v>10</v>
      </c>
      <c r="BM10" s="120">
        <v>11</v>
      </c>
      <c r="BN10" s="120">
        <v>12</v>
      </c>
      <c r="BO10" s="120">
        <v>13</v>
      </c>
      <c r="BP10" s="120">
        <v>14</v>
      </c>
      <c r="BQ10" s="120">
        <v>15</v>
      </c>
      <c r="BR10" s="120">
        <v>16</v>
      </c>
      <c r="BS10" s="120">
        <v>17</v>
      </c>
      <c r="BT10" s="120">
        <v>18</v>
      </c>
      <c r="BU10" s="120">
        <v>19</v>
      </c>
      <c r="BV10" s="120">
        <v>20</v>
      </c>
      <c r="BW10" s="120">
        <v>21</v>
      </c>
      <c r="BX10" s="120">
        <v>22</v>
      </c>
      <c r="BY10" s="120">
        <v>23</v>
      </c>
      <c r="BZ10" s="120">
        <v>24</v>
      </c>
      <c r="CA10" s="120">
        <v>25</v>
      </c>
      <c r="CB10" s="120">
        <v>26</v>
      </c>
      <c r="CC10" s="120">
        <v>27</v>
      </c>
      <c r="CD10" s="120">
        <v>28</v>
      </c>
      <c r="CE10" s="120">
        <v>29</v>
      </c>
      <c r="CF10" s="120">
        <v>30</v>
      </c>
      <c r="CG10" s="43"/>
    </row>
    <row r="11" spans="1:85" ht="18" customHeight="1">
      <c r="A11" s="265" t="s">
        <v>575</v>
      </c>
      <c r="B11" s="266"/>
      <c r="C11" s="266"/>
      <c r="D11" s="266"/>
      <c r="E11" s="266"/>
      <c r="F11" s="266"/>
      <c r="G11" s="266"/>
      <c r="H11" s="266"/>
      <c r="I11" s="264">
        <f>AQ27</f>
        <v>0</v>
      </c>
      <c r="J11" s="264"/>
      <c r="K11" s="267" t="s">
        <v>176</v>
      </c>
      <c r="L11" s="268"/>
      <c r="M11" s="269" t="s">
        <v>576</v>
      </c>
      <c r="N11" s="266"/>
      <c r="O11" s="266"/>
      <c r="P11" s="266"/>
      <c r="Q11" s="266"/>
      <c r="R11" s="266"/>
      <c r="S11" s="266"/>
      <c r="T11" s="266"/>
      <c r="U11" s="264">
        <f>AQ36</f>
        <v>0</v>
      </c>
      <c r="V11" s="264"/>
      <c r="W11" s="267" t="s">
        <v>176</v>
      </c>
      <c r="X11" s="268"/>
      <c r="Y11" s="269" t="s">
        <v>577</v>
      </c>
      <c r="Z11" s="266"/>
      <c r="AA11" s="266"/>
      <c r="AB11" s="266"/>
      <c r="AC11" s="266"/>
      <c r="AD11" s="266"/>
      <c r="AE11" s="266"/>
      <c r="AF11" s="266"/>
      <c r="AG11" s="264">
        <f>AQ34</f>
        <v>0</v>
      </c>
      <c r="AH11" s="264"/>
      <c r="AI11" s="28" t="s">
        <v>176</v>
      </c>
      <c r="AK11" s="441" t="s">
        <v>578</v>
      </c>
      <c r="AL11" s="442"/>
      <c r="AM11" s="442"/>
      <c r="AN11" s="442"/>
      <c r="AO11" s="442"/>
      <c r="AP11" s="443"/>
      <c r="AQ11" s="42">
        <v>26</v>
      </c>
      <c r="AR11" s="43"/>
      <c r="AS11" s="46">
        <v>2</v>
      </c>
      <c r="AT11" s="46"/>
      <c r="AU11" s="46"/>
      <c r="AV11" s="47" t="s">
        <v>579</v>
      </c>
      <c r="AW11" s="47" t="s">
        <v>580</v>
      </c>
      <c r="AX11" s="47">
        <v>0.33333333333333331</v>
      </c>
      <c r="AY11" s="47">
        <v>0.58333333333333337</v>
      </c>
      <c r="AZ11" s="43"/>
      <c r="BB11" s="121" t="s">
        <v>581</v>
      </c>
      <c r="BC11" s="138" t="s">
        <v>582</v>
      </c>
      <c r="BD11" s="138" t="s">
        <v>583</v>
      </c>
      <c r="BE11" s="138" t="s">
        <v>584</v>
      </c>
      <c r="BF11" s="138" t="s">
        <v>585</v>
      </c>
      <c r="BG11" s="139" t="s">
        <v>584</v>
      </c>
      <c r="BH11" s="138" t="s">
        <v>582</v>
      </c>
      <c r="BI11" s="138" t="s">
        <v>585</v>
      </c>
      <c r="BJ11" s="138" t="s">
        <v>583</v>
      </c>
      <c r="BK11" s="138" t="s">
        <v>584</v>
      </c>
      <c r="BL11" s="138" t="s">
        <v>583</v>
      </c>
      <c r="BM11" s="138" t="s">
        <v>585</v>
      </c>
      <c r="BN11" s="138" t="s">
        <v>582</v>
      </c>
      <c r="BO11" s="138" t="s">
        <v>584</v>
      </c>
      <c r="BP11" s="138" t="s">
        <v>585</v>
      </c>
      <c r="BQ11" s="138" t="s">
        <v>583</v>
      </c>
      <c r="BR11" s="138" t="s">
        <v>585</v>
      </c>
      <c r="BS11" s="138" t="s">
        <v>584</v>
      </c>
      <c r="BT11" s="138" t="s">
        <v>582</v>
      </c>
      <c r="BU11" s="138" t="s">
        <v>583</v>
      </c>
      <c r="BV11" s="138" t="s">
        <v>585</v>
      </c>
      <c r="BW11" s="138" t="s">
        <v>582</v>
      </c>
      <c r="BX11" s="138" t="s">
        <v>584</v>
      </c>
      <c r="BY11" s="138" t="s">
        <v>585</v>
      </c>
      <c r="BZ11" s="138" t="s">
        <v>583</v>
      </c>
      <c r="CA11" s="138" t="s">
        <v>582</v>
      </c>
      <c r="CB11" s="138" t="s">
        <v>585</v>
      </c>
      <c r="CC11" s="138" t="s">
        <v>584</v>
      </c>
      <c r="CD11" s="138" t="s">
        <v>582</v>
      </c>
      <c r="CE11" s="138" t="s">
        <v>585</v>
      </c>
      <c r="CF11" s="138" t="s">
        <v>583</v>
      </c>
      <c r="CG11" s="43"/>
    </row>
    <row r="12" spans="1:85" ht="18" customHeight="1">
      <c r="A12" s="265" t="s">
        <v>586</v>
      </c>
      <c r="B12" s="266"/>
      <c r="C12" s="266"/>
      <c r="D12" s="266"/>
      <c r="E12" s="266"/>
      <c r="F12" s="266"/>
      <c r="G12" s="266"/>
      <c r="H12" s="266"/>
      <c r="I12" s="264">
        <f>AQ33</f>
        <v>0</v>
      </c>
      <c r="J12" s="264"/>
      <c r="K12" s="267" t="s">
        <v>176</v>
      </c>
      <c r="L12" s="268"/>
      <c r="M12" s="269" t="s">
        <v>587</v>
      </c>
      <c r="N12" s="266"/>
      <c r="O12" s="266"/>
      <c r="P12" s="266"/>
      <c r="Q12" s="266"/>
      <c r="R12" s="266"/>
      <c r="S12" s="266"/>
      <c r="T12" s="266"/>
      <c r="U12" s="264">
        <f>AQ24</f>
        <v>0</v>
      </c>
      <c r="V12" s="264"/>
      <c r="W12" s="267" t="s">
        <v>176</v>
      </c>
      <c r="X12" s="268"/>
      <c r="Y12" s="269" t="s">
        <v>588</v>
      </c>
      <c r="Z12" s="266"/>
      <c r="AA12" s="266"/>
      <c r="AB12" s="266"/>
      <c r="AC12" s="266"/>
      <c r="AD12" s="266"/>
      <c r="AE12" s="266"/>
      <c r="AF12" s="266"/>
      <c r="AG12" s="264">
        <f>AQ20+AQ21+AQ22+AQ23</f>
        <v>0</v>
      </c>
      <c r="AH12" s="264"/>
      <c r="AI12" s="28" t="s">
        <v>176</v>
      </c>
      <c r="AK12" s="441" t="s">
        <v>589</v>
      </c>
      <c r="AL12" s="442"/>
      <c r="AM12" s="442"/>
      <c r="AN12" s="442"/>
      <c r="AO12" s="442"/>
      <c r="AP12" s="443"/>
      <c r="AQ12" s="42">
        <v>12</v>
      </c>
      <c r="AR12" s="43"/>
      <c r="AS12" s="46">
        <v>3</v>
      </c>
      <c r="AT12" s="46"/>
      <c r="AU12" s="46"/>
      <c r="AV12" s="47" t="s">
        <v>590</v>
      </c>
      <c r="AW12" s="47" t="s">
        <v>574</v>
      </c>
      <c r="AX12" s="47">
        <v>0.58333333333333337</v>
      </c>
      <c r="AY12" s="47">
        <v>0.83333333333333337</v>
      </c>
      <c r="AZ12" s="43"/>
      <c r="BB12" s="49"/>
      <c r="BC12" s="43"/>
      <c r="BD12" s="43"/>
      <c r="BE12" s="43"/>
      <c r="BF12" s="43"/>
      <c r="BG12" s="43"/>
      <c r="BH12" s="43"/>
      <c r="BI12" s="43"/>
      <c r="BJ12" s="43"/>
      <c r="BK12" s="43"/>
      <c r="BL12" s="43"/>
      <c r="BM12" s="43"/>
      <c r="BN12" s="43"/>
      <c r="BO12" s="43"/>
      <c r="BP12" s="43"/>
      <c r="BQ12" s="43"/>
      <c r="BR12" s="43"/>
      <c r="BS12" s="43"/>
      <c r="BT12" s="43"/>
      <c r="BU12" s="43"/>
      <c r="BV12" s="43"/>
      <c r="BW12" s="43"/>
      <c r="BX12" s="43"/>
      <c r="BY12" s="43"/>
      <c r="BZ12" s="43"/>
      <c r="CA12" s="43"/>
      <c r="CB12" s="43"/>
      <c r="CC12" s="43"/>
      <c r="CD12" s="43"/>
      <c r="CE12" s="43"/>
      <c r="CF12" s="43"/>
      <c r="CG12" s="43"/>
    </row>
    <row r="13" spans="1:85" ht="18" customHeight="1" thickBot="1">
      <c r="A13" s="517" t="s">
        <v>591</v>
      </c>
      <c r="B13" s="277"/>
      <c r="C13" s="277"/>
      <c r="D13" s="277"/>
      <c r="E13" s="277"/>
      <c r="F13" s="277"/>
      <c r="G13" s="277"/>
      <c r="H13" s="277"/>
      <c r="I13" s="272">
        <f>AQ30+AQ31</f>
        <v>0</v>
      </c>
      <c r="J13" s="272"/>
      <c r="K13" s="273" t="s">
        <v>176</v>
      </c>
      <c r="L13" s="274"/>
      <c r="M13" s="276" t="s">
        <v>592</v>
      </c>
      <c r="N13" s="277"/>
      <c r="O13" s="277"/>
      <c r="P13" s="277"/>
      <c r="Q13" s="277"/>
      <c r="R13" s="277"/>
      <c r="S13" s="277"/>
      <c r="T13" s="277"/>
      <c r="U13" s="272">
        <f>AQ28</f>
        <v>0</v>
      </c>
      <c r="V13" s="272"/>
      <c r="W13" s="273" t="s">
        <v>176</v>
      </c>
      <c r="X13" s="274"/>
      <c r="Y13" s="276" t="s">
        <v>593</v>
      </c>
      <c r="Z13" s="277"/>
      <c r="AA13" s="277"/>
      <c r="AB13" s="277"/>
      <c r="AC13" s="277"/>
      <c r="AD13" s="277"/>
      <c r="AE13" s="277"/>
      <c r="AF13" s="277"/>
      <c r="AG13" s="272">
        <f>AQ13</f>
        <v>0</v>
      </c>
      <c r="AH13" s="272"/>
      <c r="AI13" s="34" t="s">
        <v>176</v>
      </c>
      <c r="AK13" s="425" t="s">
        <v>594</v>
      </c>
      <c r="AL13" s="425"/>
      <c r="AM13" s="425"/>
      <c r="AN13" s="425"/>
      <c r="AO13" s="425"/>
      <c r="AP13" s="425"/>
      <c r="AQ13" s="42"/>
      <c r="AR13" s="43"/>
      <c r="AS13" s="46">
        <v>4</v>
      </c>
      <c r="AT13" s="46"/>
      <c r="AU13" s="46" t="s">
        <v>76</v>
      </c>
      <c r="AV13" s="47" t="s">
        <v>595</v>
      </c>
      <c r="AW13" s="47" t="s">
        <v>596</v>
      </c>
      <c r="AX13" s="47">
        <v>0.33333333333333331</v>
      </c>
      <c r="AY13" s="47">
        <v>0.83333333333333337</v>
      </c>
      <c r="AZ13" s="43"/>
      <c r="BB13" s="121" t="s">
        <v>597</v>
      </c>
      <c r="BC13" s="140" t="s">
        <v>20</v>
      </c>
      <c r="BD13" s="140" t="s">
        <v>119</v>
      </c>
      <c r="BE13" s="140" t="s">
        <v>20</v>
      </c>
      <c r="BF13" s="140" t="s">
        <v>20</v>
      </c>
      <c r="BG13" s="140" t="s">
        <v>20</v>
      </c>
      <c r="BH13" s="140" t="s">
        <v>20</v>
      </c>
      <c r="BI13" s="140" t="s">
        <v>80</v>
      </c>
      <c r="BJ13" s="140" t="s">
        <v>20</v>
      </c>
      <c r="BK13" s="140" t="s">
        <v>20</v>
      </c>
      <c r="BL13" s="140" t="s">
        <v>20</v>
      </c>
      <c r="BM13" s="140" t="s">
        <v>20</v>
      </c>
      <c r="BN13" s="140" t="s">
        <v>20</v>
      </c>
      <c r="BO13" s="140" t="s">
        <v>119</v>
      </c>
      <c r="BP13" s="140" t="s">
        <v>119</v>
      </c>
      <c r="BQ13" s="140" t="s">
        <v>20</v>
      </c>
      <c r="BR13" s="140" t="s">
        <v>119</v>
      </c>
      <c r="BS13" s="140" t="s">
        <v>20</v>
      </c>
      <c r="BT13" s="140" t="s">
        <v>20</v>
      </c>
      <c r="BU13" s="140" t="s">
        <v>20</v>
      </c>
      <c r="BV13" s="140" t="s">
        <v>119</v>
      </c>
      <c r="BW13" s="140" t="s">
        <v>119</v>
      </c>
      <c r="BX13" s="140" t="s">
        <v>20</v>
      </c>
      <c r="BY13" s="140" t="s">
        <v>119</v>
      </c>
      <c r="BZ13" s="140" t="s">
        <v>20</v>
      </c>
      <c r="CA13" s="140" t="s">
        <v>119</v>
      </c>
      <c r="CB13" s="140" t="s">
        <v>20</v>
      </c>
      <c r="CC13" s="140" t="s">
        <v>20</v>
      </c>
      <c r="CD13" s="140" t="s">
        <v>119</v>
      </c>
      <c r="CE13" s="140" t="s">
        <v>20</v>
      </c>
      <c r="CF13" s="140" t="s">
        <v>119</v>
      </c>
      <c r="CG13" s="43"/>
    </row>
    <row r="14" spans="1:85" ht="18" customHeight="1" thickBot="1">
      <c r="A14" s="452" t="s">
        <v>598</v>
      </c>
      <c r="B14" s="453"/>
      <c r="C14" s="453"/>
      <c r="D14" s="453"/>
      <c r="E14" s="453"/>
      <c r="F14" s="453"/>
      <c r="G14" s="453"/>
      <c r="H14" s="453"/>
      <c r="I14" s="453"/>
      <c r="J14" s="453"/>
      <c r="K14" s="453"/>
      <c r="L14" s="453"/>
      <c r="M14" s="453"/>
      <c r="N14" s="453"/>
      <c r="O14" s="453"/>
      <c r="P14" s="453"/>
      <c r="Q14" s="453"/>
      <c r="R14" s="453"/>
      <c r="S14" s="453"/>
      <c r="T14" s="453"/>
      <c r="U14" s="453"/>
      <c r="V14" s="453"/>
      <c r="W14" s="453"/>
      <c r="X14" s="453"/>
      <c r="Y14" s="453"/>
      <c r="Z14" s="453"/>
      <c r="AA14" s="453"/>
      <c r="AB14" s="453"/>
      <c r="AC14" s="453"/>
      <c r="AD14" s="453"/>
      <c r="AE14" s="453"/>
      <c r="AF14" s="453"/>
      <c r="AG14" s="453"/>
      <c r="AH14" s="453"/>
      <c r="AI14" s="454"/>
      <c r="AK14" s="440" t="s">
        <v>599</v>
      </c>
      <c r="AL14" s="440"/>
      <c r="AM14" s="440"/>
      <c r="AN14" s="440"/>
      <c r="AO14" s="440"/>
      <c r="AP14" s="440"/>
      <c r="AQ14" s="42">
        <v>2</v>
      </c>
      <c r="AR14" s="43"/>
      <c r="AS14" s="46">
        <v>5</v>
      </c>
      <c r="AT14" s="46"/>
      <c r="AU14" s="46"/>
      <c r="AV14" s="47" t="s">
        <v>600</v>
      </c>
      <c r="AW14" s="47" t="s">
        <v>596</v>
      </c>
      <c r="AX14" s="47">
        <v>0.33333333333333331</v>
      </c>
      <c r="AY14" s="47">
        <v>0.83333333333333337</v>
      </c>
      <c r="AZ14" s="43"/>
      <c r="BB14" s="121" t="s">
        <v>601</v>
      </c>
      <c r="BC14" s="162" t="s">
        <v>28</v>
      </c>
      <c r="BD14" s="162" t="s">
        <v>602</v>
      </c>
      <c r="BE14" s="162" t="s">
        <v>602</v>
      </c>
      <c r="BF14" s="162" t="s">
        <v>28</v>
      </c>
      <c r="BG14" s="162" t="s">
        <v>602</v>
      </c>
      <c r="BH14" s="162" t="s">
        <v>602</v>
      </c>
      <c r="BI14" s="162" t="s">
        <v>28</v>
      </c>
      <c r="BJ14" s="162" t="s">
        <v>28</v>
      </c>
      <c r="BK14" s="162" t="s">
        <v>602</v>
      </c>
      <c r="BL14" s="162" t="s">
        <v>28</v>
      </c>
      <c r="BM14" s="162" t="s">
        <v>602</v>
      </c>
      <c r="BN14" s="162" t="s">
        <v>28</v>
      </c>
      <c r="BO14" s="162" t="s">
        <v>28</v>
      </c>
      <c r="BP14" s="162" t="s">
        <v>76</v>
      </c>
      <c r="BQ14" s="162" t="s">
        <v>28</v>
      </c>
      <c r="BR14" s="162" t="s">
        <v>602</v>
      </c>
      <c r="BS14" s="162" t="s">
        <v>28</v>
      </c>
      <c r="BT14" s="162" t="s">
        <v>602</v>
      </c>
      <c r="BU14" s="162" t="s">
        <v>28</v>
      </c>
      <c r="BV14" s="162" t="s">
        <v>602</v>
      </c>
      <c r="BW14" s="162" t="s">
        <v>28</v>
      </c>
      <c r="BX14" s="162" t="s">
        <v>28</v>
      </c>
      <c r="BY14" s="162" t="s">
        <v>602</v>
      </c>
      <c r="BZ14" s="162" t="s">
        <v>28</v>
      </c>
      <c r="CA14" s="162" t="s">
        <v>602</v>
      </c>
      <c r="CB14" s="162" t="s">
        <v>28</v>
      </c>
      <c r="CC14" s="162" t="s">
        <v>28</v>
      </c>
      <c r="CD14" s="162" t="s">
        <v>76</v>
      </c>
      <c r="CE14" s="162" t="s">
        <v>28</v>
      </c>
      <c r="CF14" s="162" t="s">
        <v>602</v>
      </c>
      <c r="CG14" s="43"/>
    </row>
    <row r="15" spans="1:85" ht="18" customHeight="1" thickBot="1">
      <c r="A15" s="30" t="s">
        <v>189</v>
      </c>
      <c r="B15" s="264" t="s">
        <v>603</v>
      </c>
      <c r="C15" s="264"/>
      <c r="D15" s="264"/>
      <c r="E15" s="264"/>
      <c r="F15" s="264"/>
      <c r="G15" s="264"/>
      <c r="H15" s="264"/>
      <c r="I15" s="264"/>
      <c r="J15" s="278">
        <f>AQ9+AQ10</f>
        <v>6</v>
      </c>
      <c r="K15" s="278"/>
      <c r="L15" s="278"/>
      <c r="M15" s="264" t="s">
        <v>176</v>
      </c>
      <c r="N15" s="264"/>
      <c r="O15" s="264" t="s">
        <v>604</v>
      </c>
      <c r="P15" s="264"/>
      <c r="Q15" s="264"/>
      <c r="R15" s="264"/>
      <c r="S15" s="264"/>
      <c r="T15" s="264"/>
      <c r="U15" s="264"/>
      <c r="V15" s="264"/>
      <c r="W15" s="278">
        <f>AQ11+AQ12</f>
        <v>38</v>
      </c>
      <c r="X15" s="278"/>
      <c r="Y15" s="278"/>
      <c r="Z15" s="264" t="s">
        <v>176</v>
      </c>
      <c r="AA15" s="264"/>
      <c r="AB15" s="503" t="s">
        <v>605</v>
      </c>
      <c r="AC15" s="503"/>
      <c r="AD15" s="503"/>
      <c r="AE15" s="503"/>
      <c r="AF15" s="503"/>
      <c r="AG15" s="503"/>
      <c r="AH15" s="281" t="s">
        <v>582</v>
      </c>
      <c r="AI15" s="282"/>
      <c r="AK15" s="425" t="s">
        <v>606</v>
      </c>
      <c r="AL15" s="425"/>
      <c r="AM15" s="425"/>
      <c r="AN15" s="425"/>
      <c r="AO15" s="425"/>
      <c r="AP15" s="425"/>
      <c r="AQ15" s="42"/>
      <c r="AR15" s="43"/>
      <c r="AS15" s="46">
        <v>6</v>
      </c>
      <c r="AT15" s="46"/>
      <c r="AU15" s="46"/>
      <c r="AV15" s="47" t="s">
        <v>607</v>
      </c>
      <c r="AW15" s="47" t="s">
        <v>596</v>
      </c>
      <c r="AX15" s="47">
        <v>0.33333333333333331</v>
      </c>
      <c r="AY15" s="47">
        <v>0.83333333333333337</v>
      </c>
      <c r="AZ15" s="43"/>
      <c r="BB15" s="121" t="s">
        <v>31</v>
      </c>
      <c r="BC15" s="163" t="s">
        <v>119</v>
      </c>
      <c r="BD15" s="164"/>
      <c r="BE15" s="165" t="s">
        <v>28</v>
      </c>
      <c r="BF15" s="165" t="s">
        <v>119</v>
      </c>
      <c r="BG15" s="164"/>
      <c r="BH15" s="164"/>
      <c r="BI15" s="164"/>
      <c r="BJ15" s="164"/>
      <c r="BK15" s="165" t="s">
        <v>119</v>
      </c>
      <c r="BL15" s="165" t="s">
        <v>602</v>
      </c>
      <c r="BM15" s="165" t="s">
        <v>119</v>
      </c>
      <c r="BN15" s="165" t="s">
        <v>602</v>
      </c>
      <c r="BO15" s="164"/>
      <c r="BP15" s="164"/>
      <c r="BQ15" s="165" t="s">
        <v>608</v>
      </c>
      <c r="BR15" s="165" t="s">
        <v>20</v>
      </c>
      <c r="BS15" s="165" t="s">
        <v>602</v>
      </c>
      <c r="BT15" s="165" t="s">
        <v>119</v>
      </c>
      <c r="BU15" s="165" t="s">
        <v>602</v>
      </c>
      <c r="BV15" s="164"/>
      <c r="BW15" s="164"/>
      <c r="BX15" s="165" t="s">
        <v>119</v>
      </c>
      <c r="BY15" s="165" t="s">
        <v>20</v>
      </c>
      <c r="BZ15" s="165" t="s">
        <v>602</v>
      </c>
      <c r="CA15" s="165" t="s">
        <v>20</v>
      </c>
      <c r="CB15" s="165" t="s">
        <v>602</v>
      </c>
      <c r="CC15" s="165" t="s">
        <v>602</v>
      </c>
      <c r="CD15" s="164"/>
      <c r="CE15" s="165" t="s">
        <v>119</v>
      </c>
      <c r="CF15" s="165" t="s">
        <v>20</v>
      </c>
      <c r="CG15" s="43"/>
    </row>
    <row r="16" spans="1:85" ht="18" customHeight="1">
      <c r="A16" s="504" t="s">
        <v>609</v>
      </c>
      <c r="B16" s="505"/>
      <c r="C16" s="505"/>
      <c r="D16" s="505"/>
      <c r="E16" s="505"/>
      <c r="F16" s="505"/>
      <c r="G16" s="505"/>
      <c r="H16" s="505"/>
      <c r="I16" s="505"/>
      <c r="J16" s="505"/>
      <c r="K16" s="505"/>
      <c r="L16" s="505"/>
      <c r="M16" s="505"/>
      <c r="N16" s="505"/>
      <c r="O16" s="505"/>
      <c r="P16" s="505"/>
      <c r="Q16" s="505"/>
      <c r="R16" s="505"/>
      <c r="S16" s="505"/>
      <c r="T16" s="505"/>
      <c r="U16" s="505"/>
      <c r="V16" s="505"/>
      <c r="W16" s="505"/>
      <c r="X16" s="505"/>
      <c r="Y16" s="505"/>
      <c r="Z16" s="505"/>
      <c r="AA16" s="505"/>
      <c r="AB16" s="505"/>
      <c r="AC16" s="505"/>
      <c r="AD16" s="505"/>
      <c r="AE16" s="505"/>
      <c r="AF16" s="505"/>
      <c r="AG16" s="505"/>
      <c r="AH16" s="505"/>
      <c r="AI16" s="506"/>
      <c r="AK16" s="425" t="s">
        <v>610</v>
      </c>
      <c r="AL16" s="425"/>
      <c r="AM16" s="425"/>
      <c r="AN16" s="425"/>
      <c r="AO16" s="425"/>
      <c r="AP16" s="425"/>
      <c r="AQ16" s="42"/>
      <c r="AR16" s="43"/>
      <c r="AS16" s="46">
        <v>7</v>
      </c>
      <c r="AT16" s="46"/>
      <c r="AU16" s="46" t="s">
        <v>49</v>
      </c>
      <c r="AV16" s="47" t="s">
        <v>611</v>
      </c>
      <c r="AW16" s="47" t="s">
        <v>612</v>
      </c>
      <c r="AX16" s="47">
        <v>0.83333333333333337</v>
      </c>
      <c r="AY16" s="47" t="s">
        <v>613</v>
      </c>
      <c r="AZ16" s="43"/>
      <c r="BB16" s="121" t="s">
        <v>614</v>
      </c>
      <c r="BC16" s="142" t="s">
        <v>20</v>
      </c>
      <c r="BD16" s="140" t="s">
        <v>67</v>
      </c>
      <c r="BE16" s="142" t="s">
        <v>42</v>
      </c>
      <c r="BF16" s="142" t="s">
        <v>20</v>
      </c>
      <c r="BG16" s="142" t="s">
        <v>42</v>
      </c>
      <c r="BH16" s="142" t="s">
        <v>61</v>
      </c>
      <c r="BI16" s="142" t="s">
        <v>67</v>
      </c>
      <c r="BJ16" s="142" t="s">
        <v>67</v>
      </c>
      <c r="BK16" s="142" t="s">
        <v>42</v>
      </c>
      <c r="BL16" s="142" t="s">
        <v>42</v>
      </c>
      <c r="BM16" s="142" t="s">
        <v>67</v>
      </c>
      <c r="BN16" s="142" t="s">
        <v>67</v>
      </c>
      <c r="BO16" s="142" t="s">
        <v>42</v>
      </c>
      <c r="BP16" s="142" t="s">
        <v>67</v>
      </c>
      <c r="BQ16" s="142" t="s">
        <v>20</v>
      </c>
      <c r="BR16" s="142" t="s">
        <v>71</v>
      </c>
      <c r="BS16" s="142" t="s">
        <v>67</v>
      </c>
      <c r="BT16" s="142" t="s">
        <v>67</v>
      </c>
      <c r="BU16" s="142" t="s">
        <v>61</v>
      </c>
      <c r="BV16" s="142" t="s">
        <v>42</v>
      </c>
      <c r="BW16" s="142" t="s">
        <v>49</v>
      </c>
      <c r="BX16" s="142" t="s">
        <v>20</v>
      </c>
      <c r="BY16" s="142" t="s">
        <v>71</v>
      </c>
      <c r="BZ16" s="142" t="s">
        <v>42</v>
      </c>
      <c r="CA16" s="142" t="s">
        <v>20</v>
      </c>
      <c r="CB16" s="142" t="s">
        <v>61</v>
      </c>
      <c r="CC16" s="142" t="s">
        <v>42</v>
      </c>
      <c r="CD16" s="142" t="s">
        <v>49</v>
      </c>
      <c r="CE16" s="142" t="s">
        <v>20</v>
      </c>
      <c r="CF16" s="143" t="s">
        <v>71</v>
      </c>
      <c r="CG16" s="43"/>
    </row>
    <row r="17" spans="1:85" ht="18" customHeight="1">
      <c r="A17" s="396" t="s">
        <v>615</v>
      </c>
      <c r="B17" s="397"/>
      <c r="C17" s="397"/>
      <c r="D17" s="397"/>
      <c r="E17" s="397"/>
      <c r="F17" s="398" t="s">
        <v>616</v>
      </c>
      <c r="G17" s="398"/>
      <c r="H17" s="398"/>
      <c r="I17" s="398"/>
      <c r="J17" s="398"/>
      <c r="K17" s="398"/>
      <c r="L17" s="398"/>
      <c r="M17" s="398"/>
      <c r="N17" s="398"/>
      <c r="O17" s="398"/>
      <c r="P17" s="398"/>
      <c r="Q17" s="398"/>
      <c r="R17" s="398"/>
      <c r="S17" s="398"/>
      <c r="T17" s="398"/>
      <c r="U17" s="398"/>
      <c r="V17" s="398"/>
      <c r="W17" s="398"/>
      <c r="X17" s="398"/>
      <c r="Y17" s="398"/>
      <c r="Z17" s="398"/>
      <c r="AA17" s="398"/>
      <c r="AB17" s="398"/>
      <c r="AC17" s="398"/>
      <c r="AD17" s="398"/>
      <c r="AE17" s="398"/>
      <c r="AF17" s="398"/>
      <c r="AG17" s="398"/>
      <c r="AH17" s="398"/>
      <c r="AI17" s="399"/>
      <c r="AK17" s="425" t="s">
        <v>617</v>
      </c>
      <c r="AL17" s="425"/>
      <c r="AM17" s="425"/>
      <c r="AN17" s="425"/>
      <c r="AO17" s="425"/>
      <c r="AP17" s="425"/>
      <c r="AQ17" s="42"/>
      <c r="AR17" s="43"/>
      <c r="AS17" s="46">
        <v>8</v>
      </c>
      <c r="AT17" s="46"/>
      <c r="AU17" s="46" t="s">
        <v>71</v>
      </c>
      <c r="AV17" s="47" t="s">
        <v>618</v>
      </c>
      <c r="AW17" s="47" t="s">
        <v>612</v>
      </c>
      <c r="AX17" s="47">
        <v>0.83333333333333337</v>
      </c>
      <c r="AY17" s="47" t="s">
        <v>613</v>
      </c>
      <c r="AZ17" s="43"/>
      <c r="BB17" s="121" t="s">
        <v>619</v>
      </c>
      <c r="BC17" s="141" t="s">
        <v>67</v>
      </c>
      <c r="BD17" s="140" t="s">
        <v>42</v>
      </c>
      <c r="BE17" s="141" t="s">
        <v>71</v>
      </c>
      <c r="BF17" s="140" t="s">
        <v>67</v>
      </c>
      <c r="BG17" s="140" t="s">
        <v>61</v>
      </c>
      <c r="BH17" s="140" t="s">
        <v>42</v>
      </c>
      <c r="BI17" s="140" t="s">
        <v>49</v>
      </c>
      <c r="BJ17" s="140" t="s">
        <v>61</v>
      </c>
      <c r="BK17" s="140" t="s">
        <v>71</v>
      </c>
      <c r="BL17" s="140" t="s">
        <v>67</v>
      </c>
      <c r="BM17" s="140" t="s">
        <v>49</v>
      </c>
      <c r="BN17" s="140" t="s">
        <v>49</v>
      </c>
      <c r="BO17" s="140" t="s">
        <v>61</v>
      </c>
      <c r="BP17" s="140" t="s">
        <v>49</v>
      </c>
      <c r="BQ17" s="140" t="s">
        <v>67</v>
      </c>
      <c r="BR17" s="140" t="s">
        <v>42</v>
      </c>
      <c r="BS17" s="140" t="s">
        <v>42</v>
      </c>
      <c r="BT17" s="140" t="s">
        <v>49</v>
      </c>
      <c r="BU17" s="140" t="s">
        <v>42</v>
      </c>
      <c r="BV17" s="140" t="s">
        <v>61</v>
      </c>
      <c r="BW17" s="140" t="s">
        <v>71</v>
      </c>
      <c r="BX17" s="140" t="s">
        <v>67</v>
      </c>
      <c r="BY17" s="140" t="s">
        <v>42</v>
      </c>
      <c r="BZ17" s="140" t="s">
        <v>67</v>
      </c>
      <c r="CA17" s="140" t="s">
        <v>67</v>
      </c>
      <c r="CB17" s="140" t="s">
        <v>49</v>
      </c>
      <c r="CC17" s="140" t="s">
        <v>61</v>
      </c>
      <c r="CD17" s="140" t="s">
        <v>71</v>
      </c>
      <c r="CE17" s="140" t="s">
        <v>67</v>
      </c>
      <c r="CF17" s="140" t="s">
        <v>42</v>
      </c>
      <c r="CG17" s="43"/>
    </row>
    <row r="18" spans="1:85" ht="18" customHeight="1">
      <c r="A18" s="501" t="s">
        <v>620</v>
      </c>
      <c r="B18" s="502"/>
      <c r="C18" s="502"/>
      <c r="D18" s="502"/>
      <c r="E18" s="502"/>
      <c r="F18" s="400" t="s">
        <v>616</v>
      </c>
      <c r="G18" s="400"/>
      <c r="H18" s="400"/>
      <c r="I18" s="400"/>
      <c r="J18" s="400"/>
      <c r="K18" s="400"/>
      <c r="L18" s="400"/>
      <c r="M18" s="400"/>
      <c r="N18" s="400"/>
      <c r="O18" s="400"/>
      <c r="P18" s="400"/>
      <c r="Q18" s="400"/>
      <c r="R18" s="400"/>
      <c r="S18" s="400"/>
      <c r="T18" s="400"/>
      <c r="U18" s="400"/>
      <c r="V18" s="400"/>
      <c r="W18" s="400"/>
      <c r="X18" s="400"/>
      <c r="Y18" s="400"/>
      <c r="Z18" s="400"/>
      <c r="AA18" s="400"/>
      <c r="AB18" s="400"/>
      <c r="AC18" s="400"/>
      <c r="AD18" s="400"/>
      <c r="AE18" s="400"/>
      <c r="AF18" s="400"/>
      <c r="AG18" s="400"/>
      <c r="AH18" s="400"/>
      <c r="AI18" s="401"/>
      <c r="AK18" s="425" t="s">
        <v>621</v>
      </c>
      <c r="AL18" s="425"/>
      <c r="AM18" s="425"/>
      <c r="AN18" s="425"/>
      <c r="AO18" s="425"/>
      <c r="AP18" s="425"/>
      <c r="AQ18" s="42"/>
      <c r="AR18" s="43"/>
      <c r="AS18" s="46">
        <v>9</v>
      </c>
      <c r="AT18" s="46"/>
      <c r="AU18" s="46"/>
      <c r="AV18" s="47" t="s">
        <v>622</v>
      </c>
      <c r="AW18" s="47" t="s">
        <v>612</v>
      </c>
      <c r="AX18" s="47">
        <v>0.83333333333333337</v>
      </c>
      <c r="AY18" s="47" t="s">
        <v>613</v>
      </c>
      <c r="AZ18" s="43"/>
    </row>
    <row r="19" spans="1:85" ht="18" customHeight="1" thickBot="1">
      <c r="A19" s="35" t="s">
        <v>189</v>
      </c>
      <c r="B19" s="405">
        <v>0.57291666666666663</v>
      </c>
      <c r="C19" s="405"/>
      <c r="D19" s="405"/>
      <c r="E19" s="405"/>
      <c r="F19" s="402" t="s">
        <v>973</v>
      </c>
      <c r="G19" s="402"/>
      <c r="H19" s="402"/>
      <c r="I19" s="402"/>
      <c r="J19" s="402"/>
      <c r="K19" s="402"/>
      <c r="L19" s="402"/>
      <c r="M19" s="402"/>
      <c r="N19" s="402"/>
      <c r="O19" s="402"/>
      <c r="P19" s="402"/>
      <c r="Q19" s="402"/>
      <c r="R19" s="402"/>
      <c r="S19" s="402"/>
      <c r="T19" s="402"/>
      <c r="U19" s="402"/>
      <c r="V19" s="402"/>
      <c r="W19" s="402"/>
      <c r="X19" s="402"/>
      <c r="Y19" s="402"/>
      <c r="Z19" s="402"/>
      <c r="AA19" s="402"/>
      <c r="AB19" s="402"/>
      <c r="AC19" s="402"/>
      <c r="AD19" s="402"/>
      <c r="AE19" s="402"/>
      <c r="AF19" s="402"/>
      <c r="AG19" s="402"/>
      <c r="AH19" s="402"/>
      <c r="AI19" s="403"/>
      <c r="AK19" s="524" t="s">
        <v>623</v>
      </c>
      <c r="AL19" s="524"/>
      <c r="AM19" s="524"/>
      <c r="AN19" s="524"/>
      <c r="AO19" s="524"/>
      <c r="AP19" s="524"/>
      <c r="AQ19" s="58"/>
      <c r="AR19" s="43"/>
      <c r="AS19" s="46">
        <v>10</v>
      </c>
      <c r="AT19" s="46"/>
      <c r="AU19" s="46"/>
      <c r="AV19" s="47" t="s">
        <v>111</v>
      </c>
      <c r="AW19" s="47" t="s">
        <v>612</v>
      </c>
      <c r="AX19" s="47">
        <v>0.83333333333333337</v>
      </c>
      <c r="AY19" s="47" t="s">
        <v>613</v>
      </c>
      <c r="AZ19" s="43"/>
    </row>
    <row r="20" spans="1:85" ht="18" customHeight="1">
      <c r="A20" s="36" t="s">
        <v>935</v>
      </c>
      <c r="B20" s="404">
        <v>0.8520833333333333</v>
      </c>
      <c r="C20" s="404"/>
      <c r="D20" s="404"/>
      <c r="E20" s="404"/>
      <c r="F20" s="288" t="s">
        <v>1008</v>
      </c>
      <c r="G20" s="288"/>
      <c r="H20" s="288"/>
      <c r="I20" s="288"/>
      <c r="J20" s="288"/>
      <c r="K20" s="288"/>
      <c r="L20" s="288"/>
      <c r="M20" s="288"/>
      <c r="N20" s="288"/>
      <c r="O20" s="288"/>
      <c r="P20" s="288"/>
      <c r="Q20" s="288"/>
      <c r="R20" s="288"/>
      <c r="S20" s="288"/>
      <c r="T20" s="288"/>
      <c r="U20" s="288"/>
      <c r="V20" s="288"/>
      <c r="W20" s="288"/>
      <c r="X20" s="288"/>
      <c r="Y20" s="288"/>
      <c r="Z20" s="288"/>
      <c r="AA20" s="288"/>
      <c r="AB20" s="288"/>
      <c r="AC20" s="288"/>
      <c r="AD20" s="288"/>
      <c r="AE20" s="288"/>
      <c r="AF20" s="288"/>
      <c r="AG20" s="288"/>
      <c r="AH20" s="288"/>
      <c r="AI20" s="289"/>
      <c r="AK20" s="447" t="s">
        <v>624</v>
      </c>
      <c r="AL20" s="448"/>
      <c r="AM20" s="448"/>
      <c r="AN20" s="448"/>
      <c r="AO20" s="448"/>
      <c r="AP20" s="448"/>
      <c r="AQ20" s="62"/>
      <c r="AR20" s="426" t="s">
        <v>625</v>
      </c>
      <c r="AS20" s="146">
        <v>11</v>
      </c>
      <c r="AT20" s="46"/>
      <c r="AU20" s="46"/>
      <c r="AV20" s="47" t="s">
        <v>111</v>
      </c>
      <c r="AW20" s="47" t="s">
        <v>612</v>
      </c>
      <c r="AX20" s="47">
        <v>0.83333333333333337</v>
      </c>
      <c r="AY20" s="47" t="s">
        <v>613</v>
      </c>
      <c r="AZ20" s="43"/>
    </row>
    <row r="21" spans="1:85" ht="18" customHeight="1" thickBot="1">
      <c r="A21" s="36" t="s">
        <v>935</v>
      </c>
      <c r="B21" s="404">
        <v>0.88888888888888884</v>
      </c>
      <c r="C21" s="404"/>
      <c r="D21" s="404"/>
      <c r="E21" s="404"/>
      <c r="F21" s="288" t="s">
        <v>973</v>
      </c>
      <c r="G21" s="288"/>
      <c r="H21" s="288"/>
      <c r="I21" s="288"/>
      <c r="J21" s="288"/>
      <c r="K21" s="288"/>
      <c r="L21" s="288"/>
      <c r="M21" s="288"/>
      <c r="N21" s="288"/>
      <c r="O21" s="288"/>
      <c r="P21" s="288"/>
      <c r="Q21" s="288"/>
      <c r="R21" s="288"/>
      <c r="S21" s="288"/>
      <c r="T21" s="288"/>
      <c r="U21" s="288"/>
      <c r="V21" s="288"/>
      <c r="W21" s="288"/>
      <c r="X21" s="288"/>
      <c r="Y21" s="288"/>
      <c r="Z21" s="288"/>
      <c r="AA21" s="288"/>
      <c r="AB21" s="288"/>
      <c r="AC21" s="288"/>
      <c r="AD21" s="288"/>
      <c r="AE21" s="288"/>
      <c r="AF21" s="288"/>
      <c r="AG21" s="288"/>
      <c r="AH21" s="288"/>
      <c r="AI21" s="289"/>
      <c r="AK21" s="429" t="s">
        <v>626</v>
      </c>
      <c r="AL21" s="430"/>
      <c r="AM21" s="430"/>
      <c r="AN21" s="430"/>
      <c r="AO21" s="430"/>
      <c r="AP21" s="430"/>
      <c r="AQ21" s="63"/>
      <c r="AR21" s="427"/>
      <c r="AW21" s="43"/>
      <c r="AX21" s="43"/>
      <c r="AY21" s="43"/>
      <c r="AZ21" s="43"/>
    </row>
    <row r="22" spans="1:85" ht="18" customHeight="1">
      <c r="A22" s="36" t="s">
        <v>935</v>
      </c>
      <c r="B22" s="404">
        <v>0.77430555555555558</v>
      </c>
      <c r="C22" s="404"/>
      <c r="D22" s="404"/>
      <c r="E22" s="404"/>
      <c r="F22" s="288" t="s">
        <v>1013</v>
      </c>
      <c r="G22" s="288"/>
      <c r="H22" s="288"/>
      <c r="I22" s="288"/>
      <c r="J22" s="288"/>
      <c r="K22" s="288"/>
      <c r="L22" s="288"/>
      <c r="M22" s="288"/>
      <c r="N22" s="288"/>
      <c r="O22" s="288"/>
      <c r="P22" s="288"/>
      <c r="Q22" s="288"/>
      <c r="R22" s="288"/>
      <c r="S22" s="288"/>
      <c r="T22" s="288"/>
      <c r="U22" s="288"/>
      <c r="V22" s="288"/>
      <c r="W22" s="288"/>
      <c r="X22" s="288"/>
      <c r="Y22" s="288"/>
      <c r="Z22" s="288"/>
      <c r="AA22" s="288"/>
      <c r="AB22" s="288"/>
      <c r="AC22" s="288"/>
      <c r="AD22" s="288"/>
      <c r="AE22" s="288"/>
      <c r="AF22" s="288"/>
      <c r="AG22" s="288"/>
      <c r="AH22" s="288"/>
      <c r="AI22" s="289"/>
      <c r="AK22" s="429" t="s">
        <v>627</v>
      </c>
      <c r="AL22" s="430"/>
      <c r="AM22" s="430"/>
      <c r="AN22" s="430"/>
      <c r="AO22" s="430"/>
      <c r="AP22" s="430"/>
      <c r="AQ22" s="63"/>
      <c r="AR22" s="427"/>
      <c r="AS22" s="433" t="s">
        <v>628</v>
      </c>
      <c r="AT22" s="434"/>
      <c r="AU22" s="435"/>
      <c r="AV22" s="435"/>
      <c r="AW22" s="60" t="s">
        <v>74</v>
      </c>
      <c r="AY22" s="413" t="s">
        <v>629</v>
      </c>
      <c r="AZ22" s="413"/>
      <c r="BA22" s="412"/>
      <c r="BB22" s="412"/>
    </row>
    <row r="23" spans="1:85" ht="18" customHeight="1" thickBot="1">
      <c r="A23" s="36"/>
      <c r="B23" s="404"/>
      <c r="C23" s="404"/>
      <c r="D23" s="404"/>
      <c r="E23" s="404"/>
      <c r="F23" s="288" t="s">
        <v>1014</v>
      </c>
      <c r="G23" s="288"/>
      <c r="H23" s="288"/>
      <c r="I23" s="288"/>
      <c r="J23" s="288"/>
      <c r="K23" s="288"/>
      <c r="L23" s="288"/>
      <c r="M23" s="288"/>
      <c r="N23" s="288"/>
      <c r="O23" s="288"/>
      <c r="P23" s="288"/>
      <c r="Q23" s="288"/>
      <c r="R23" s="288"/>
      <c r="S23" s="288"/>
      <c r="T23" s="288"/>
      <c r="U23" s="288"/>
      <c r="V23" s="288"/>
      <c r="W23" s="288"/>
      <c r="X23" s="288"/>
      <c r="Y23" s="288"/>
      <c r="Z23" s="288"/>
      <c r="AA23" s="288"/>
      <c r="AB23" s="288"/>
      <c r="AC23" s="288"/>
      <c r="AD23" s="288"/>
      <c r="AE23" s="288"/>
      <c r="AF23" s="288"/>
      <c r="AG23" s="288"/>
      <c r="AH23" s="288"/>
      <c r="AI23" s="289"/>
      <c r="AK23" s="431" t="s">
        <v>630</v>
      </c>
      <c r="AL23" s="432"/>
      <c r="AM23" s="432"/>
      <c r="AN23" s="432"/>
      <c r="AO23" s="432"/>
      <c r="AP23" s="432"/>
      <c r="AQ23" s="64"/>
      <c r="AR23" s="428"/>
      <c r="AS23" s="536" t="s">
        <v>631</v>
      </c>
      <c r="AT23" s="246"/>
      <c r="AU23" s="537"/>
      <c r="AV23" s="537"/>
      <c r="AW23" s="56" t="s">
        <v>632</v>
      </c>
      <c r="AY23" s="413" t="s">
        <v>633</v>
      </c>
      <c r="AZ23" s="413"/>
      <c r="BA23" s="412"/>
      <c r="BB23" s="412"/>
    </row>
    <row r="24" spans="1:85" ht="18" customHeight="1" thickBot="1">
      <c r="A24" s="36"/>
      <c r="B24" s="404">
        <v>0.90972222222222221</v>
      </c>
      <c r="C24" s="404"/>
      <c r="D24" s="404"/>
      <c r="E24" s="404"/>
      <c r="F24" s="288" t="s">
        <v>1015</v>
      </c>
      <c r="G24" s="288"/>
      <c r="H24" s="288"/>
      <c r="I24" s="288"/>
      <c r="J24" s="288"/>
      <c r="K24" s="288"/>
      <c r="L24" s="288"/>
      <c r="M24" s="288"/>
      <c r="N24" s="288"/>
      <c r="O24" s="288"/>
      <c r="P24" s="288"/>
      <c r="Q24" s="288"/>
      <c r="R24" s="288"/>
      <c r="S24" s="288"/>
      <c r="T24" s="288"/>
      <c r="U24" s="288"/>
      <c r="V24" s="288"/>
      <c r="W24" s="288"/>
      <c r="X24" s="288"/>
      <c r="Y24" s="288"/>
      <c r="Z24" s="288"/>
      <c r="AA24" s="288"/>
      <c r="AB24" s="288"/>
      <c r="AC24" s="288"/>
      <c r="AD24" s="288"/>
      <c r="AE24" s="288"/>
      <c r="AF24" s="288"/>
      <c r="AG24" s="288"/>
      <c r="AH24" s="288"/>
      <c r="AI24" s="289"/>
      <c r="AK24" s="527" t="s">
        <v>634</v>
      </c>
      <c r="AL24" s="528"/>
      <c r="AM24" s="528"/>
      <c r="AN24" s="528"/>
      <c r="AO24" s="528"/>
      <c r="AP24" s="528"/>
      <c r="AQ24" s="65"/>
      <c r="AR24" s="43"/>
      <c r="AY24" s="413" t="s">
        <v>635</v>
      </c>
      <c r="AZ24" s="413"/>
      <c r="BA24" s="412"/>
      <c r="BB24" s="412"/>
    </row>
    <row r="25" spans="1:85" ht="18" customHeight="1">
      <c r="A25" s="36"/>
      <c r="B25" s="404"/>
      <c r="C25" s="404"/>
      <c r="D25" s="404"/>
      <c r="E25" s="404"/>
      <c r="F25" s="288" t="s">
        <v>1016</v>
      </c>
      <c r="G25" s="288"/>
      <c r="H25" s="288"/>
      <c r="I25" s="288"/>
      <c r="J25" s="288"/>
      <c r="K25" s="288"/>
      <c r="L25" s="288"/>
      <c r="M25" s="288"/>
      <c r="N25" s="288"/>
      <c r="O25" s="288"/>
      <c r="P25" s="288"/>
      <c r="Q25" s="288"/>
      <c r="R25" s="288"/>
      <c r="S25" s="288"/>
      <c r="T25" s="288"/>
      <c r="U25" s="288"/>
      <c r="V25" s="288"/>
      <c r="W25" s="288"/>
      <c r="X25" s="288"/>
      <c r="Y25" s="288"/>
      <c r="Z25" s="288"/>
      <c r="AA25" s="288"/>
      <c r="AB25" s="288"/>
      <c r="AC25" s="288"/>
      <c r="AD25" s="288"/>
      <c r="AE25" s="288"/>
      <c r="AF25" s="288"/>
      <c r="AG25" s="288"/>
      <c r="AH25" s="288"/>
      <c r="AI25" s="289"/>
      <c r="AK25" s="529" t="s">
        <v>636</v>
      </c>
      <c r="AL25" s="529"/>
      <c r="AM25" s="529"/>
      <c r="AN25" s="529"/>
      <c r="AO25" s="529"/>
      <c r="AP25" s="529"/>
      <c r="AQ25" s="66"/>
      <c r="AR25" s="43"/>
      <c r="AY25" s="413" t="s">
        <v>637</v>
      </c>
      <c r="AZ25" s="413"/>
      <c r="BA25" s="412"/>
      <c r="BB25" s="412"/>
    </row>
    <row r="26" spans="1:85" ht="18" customHeight="1">
      <c r="A26" s="36"/>
      <c r="B26" s="404"/>
      <c r="C26" s="404"/>
      <c r="D26" s="404"/>
      <c r="E26" s="404"/>
      <c r="F26" s="288" t="s">
        <v>1017</v>
      </c>
      <c r="G26" s="288"/>
      <c r="H26" s="288"/>
      <c r="I26" s="288"/>
      <c r="J26" s="288"/>
      <c r="K26" s="288"/>
      <c r="L26" s="288"/>
      <c r="M26" s="288"/>
      <c r="N26" s="288"/>
      <c r="O26" s="288"/>
      <c r="P26" s="288"/>
      <c r="Q26" s="288"/>
      <c r="R26" s="288"/>
      <c r="S26" s="288"/>
      <c r="T26" s="288"/>
      <c r="U26" s="288"/>
      <c r="V26" s="288"/>
      <c r="W26" s="288"/>
      <c r="X26" s="288"/>
      <c r="Y26" s="288"/>
      <c r="Z26" s="288"/>
      <c r="AA26" s="288"/>
      <c r="AB26" s="288"/>
      <c r="AC26" s="288"/>
      <c r="AD26" s="288"/>
      <c r="AE26" s="288"/>
      <c r="AF26" s="288"/>
      <c r="AG26" s="288"/>
      <c r="AH26" s="288"/>
      <c r="AI26" s="289"/>
      <c r="AK26" s="436" t="s">
        <v>638</v>
      </c>
      <c r="AL26" s="436"/>
      <c r="AM26" s="436"/>
      <c r="AN26" s="436"/>
      <c r="AO26" s="436"/>
      <c r="AP26" s="436"/>
      <c r="AQ26" s="67"/>
      <c r="AR26" s="43"/>
      <c r="AS26" s="548" t="s">
        <v>639</v>
      </c>
      <c r="AT26" s="549"/>
      <c r="AU26" s="549"/>
      <c r="AV26" s="549"/>
      <c r="AW26" s="550"/>
      <c r="AY26" s="147"/>
      <c r="AZ26" s="147"/>
      <c r="BA26" s="147"/>
      <c r="BB26" s="147"/>
    </row>
    <row r="27" spans="1:85" ht="18" customHeight="1">
      <c r="A27" s="36"/>
      <c r="B27" s="404"/>
      <c r="C27" s="404"/>
      <c r="D27" s="404"/>
      <c r="E27" s="404"/>
      <c r="F27" s="288" t="s">
        <v>1018</v>
      </c>
      <c r="G27" s="288"/>
      <c r="H27" s="288"/>
      <c r="I27" s="288"/>
      <c r="J27" s="288"/>
      <c r="K27" s="288"/>
      <c r="L27" s="288"/>
      <c r="M27" s="288"/>
      <c r="N27" s="288"/>
      <c r="O27" s="288"/>
      <c r="P27" s="288"/>
      <c r="Q27" s="288"/>
      <c r="R27" s="288"/>
      <c r="S27" s="288"/>
      <c r="T27" s="288"/>
      <c r="U27" s="288"/>
      <c r="V27" s="288"/>
      <c r="W27" s="288"/>
      <c r="X27" s="288"/>
      <c r="Y27" s="288"/>
      <c r="Z27" s="288"/>
      <c r="AA27" s="288"/>
      <c r="AB27" s="288"/>
      <c r="AC27" s="288"/>
      <c r="AD27" s="288"/>
      <c r="AE27" s="288"/>
      <c r="AF27" s="288"/>
      <c r="AG27" s="288"/>
      <c r="AH27" s="288"/>
      <c r="AI27" s="289"/>
      <c r="AK27" s="436" t="s">
        <v>640</v>
      </c>
      <c r="AL27" s="436"/>
      <c r="AM27" s="436"/>
      <c r="AN27" s="436"/>
      <c r="AO27" s="436"/>
      <c r="AP27" s="436"/>
      <c r="AQ27" s="67"/>
      <c r="AR27" s="43"/>
      <c r="AS27" s="458" t="s">
        <v>641</v>
      </c>
      <c r="AT27" s="460"/>
      <c r="AU27" s="458" t="s">
        <v>642</v>
      </c>
      <c r="AV27" s="459"/>
      <c r="AW27" s="460"/>
      <c r="AY27" s="411" t="s">
        <v>643</v>
      </c>
      <c r="AZ27" s="411"/>
      <c r="BA27" s="411"/>
      <c r="BB27" s="411"/>
    </row>
    <row r="28" spans="1:85" ht="18" customHeight="1" thickBot="1">
      <c r="A28" s="36"/>
      <c r="B28" s="404"/>
      <c r="C28" s="404"/>
      <c r="D28" s="404"/>
      <c r="E28" s="404"/>
      <c r="F28" s="288" t="s">
        <v>1019</v>
      </c>
      <c r="G28" s="288"/>
      <c r="H28" s="288"/>
      <c r="I28" s="288"/>
      <c r="J28" s="288"/>
      <c r="K28" s="288"/>
      <c r="L28" s="288"/>
      <c r="M28" s="288"/>
      <c r="N28" s="288"/>
      <c r="O28" s="288"/>
      <c r="P28" s="288"/>
      <c r="Q28" s="288"/>
      <c r="R28" s="288"/>
      <c r="S28" s="288"/>
      <c r="T28" s="288"/>
      <c r="U28" s="288"/>
      <c r="V28" s="288"/>
      <c r="W28" s="288"/>
      <c r="X28" s="288"/>
      <c r="Y28" s="288"/>
      <c r="Z28" s="288"/>
      <c r="AA28" s="288"/>
      <c r="AB28" s="288"/>
      <c r="AC28" s="288"/>
      <c r="AD28" s="288"/>
      <c r="AE28" s="288"/>
      <c r="AF28" s="288"/>
      <c r="AG28" s="288"/>
      <c r="AH28" s="288"/>
      <c r="AI28" s="289"/>
      <c r="AK28" s="436" t="s">
        <v>644</v>
      </c>
      <c r="AL28" s="436"/>
      <c r="AM28" s="436"/>
      <c r="AN28" s="436"/>
      <c r="AO28" s="436"/>
      <c r="AP28" s="436"/>
      <c r="AQ28" s="67"/>
      <c r="AR28" s="43"/>
      <c r="AS28" s="538" t="s">
        <v>645</v>
      </c>
      <c r="AT28" s="539"/>
      <c r="AU28" s="533" t="s">
        <v>646</v>
      </c>
      <c r="AV28" s="534"/>
      <c r="AW28" s="535"/>
      <c r="AY28" s="413" t="s">
        <v>647</v>
      </c>
      <c r="AZ28" s="413"/>
      <c r="BA28" s="412"/>
      <c r="BB28" s="412"/>
    </row>
    <row r="29" spans="1:85" ht="18" customHeight="1" thickBot="1">
      <c r="A29" s="36"/>
      <c r="B29" s="404"/>
      <c r="C29" s="404"/>
      <c r="D29" s="404"/>
      <c r="E29" s="404"/>
      <c r="F29" s="288" t="s">
        <v>1020</v>
      </c>
      <c r="G29" s="288"/>
      <c r="H29" s="288"/>
      <c r="I29" s="288"/>
      <c r="J29" s="288"/>
      <c r="K29" s="288"/>
      <c r="L29" s="288"/>
      <c r="M29" s="288"/>
      <c r="N29" s="288"/>
      <c r="O29" s="288"/>
      <c r="P29" s="288"/>
      <c r="Q29" s="288"/>
      <c r="R29" s="288"/>
      <c r="S29" s="288"/>
      <c r="T29" s="288"/>
      <c r="U29" s="288"/>
      <c r="V29" s="288"/>
      <c r="W29" s="288"/>
      <c r="X29" s="288"/>
      <c r="Y29" s="288"/>
      <c r="Z29" s="288"/>
      <c r="AA29" s="288"/>
      <c r="AB29" s="288"/>
      <c r="AC29" s="288"/>
      <c r="AD29" s="288"/>
      <c r="AE29" s="288"/>
      <c r="AF29" s="288"/>
      <c r="AG29" s="288"/>
      <c r="AH29" s="288"/>
      <c r="AI29" s="289"/>
      <c r="AK29" s="524"/>
      <c r="AL29" s="524"/>
      <c r="AM29" s="524"/>
      <c r="AN29" s="524"/>
      <c r="AO29" s="524"/>
      <c r="AP29" s="524"/>
      <c r="AQ29" s="58"/>
      <c r="AR29" s="43"/>
      <c r="AS29" s="551">
        <v>8.6805555555555552E-2</v>
      </c>
      <c r="AT29" s="552"/>
      <c r="AU29" s="434" t="s">
        <v>1021</v>
      </c>
      <c r="AV29" s="434"/>
      <c r="AW29" s="553"/>
      <c r="AY29" s="413" t="s">
        <v>633</v>
      </c>
      <c r="AZ29" s="413"/>
      <c r="BA29" s="412"/>
      <c r="BB29" s="412"/>
    </row>
    <row r="30" spans="1:85" ht="18" customHeight="1">
      <c r="A30" s="36"/>
      <c r="B30" s="404"/>
      <c r="C30" s="404"/>
      <c r="D30" s="404"/>
      <c r="E30" s="404"/>
      <c r="F30" s="288" t="s">
        <v>1022</v>
      </c>
      <c r="G30" s="288"/>
      <c r="H30" s="288"/>
      <c r="I30" s="288"/>
      <c r="J30" s="288"/>
      <c r="K30" s="288"/>
      <c r="L30" s="288"/>
      <c r="M30" s="288"/>
      <c r="N30" s="288"/>
      <c r="O30" s="288"/>
      <c r="P30" s="288"/>
      <c r="Q30" s="288"/>
      <c r="R30" s="288"/>
      <c r="S30" s="288"/>
      <c r="T30" s="288"/>
      <c r="U30" s="288"/>
      <c r="V30" s="288"/>
      <c r="W30" s="288"/>
      <c r="X30" s="288"/>
      <c r="Y30" s="288"/>
      <c r="Z30" s="288"/>
      <c r="AA30" s="288"/>
      <c r="AB30" s="288"/>
      <c r="AC30" s="288"/>
      <c r="AD30" s="288"/>
      <c r="AE30" s="288"/>
      <c r="AF30" s="288"/>
      <c r="AG30" s="288"/>
      <c r="AH30" s="288"/>
      <c r="AI30" s="289"/>
      <c r="AK30" s="449" t="s">
        <v>648</v>
      </c>
      <c r="AL30" s="450"/>
      <c r="AM30" s="450"/>
      <c r="AN30" s="450"/>
      <c r="AO30" s="450"/>
      <c r="AP30" s="450"/>
      <c r="AQ30" s="62"/>
      <c r="AR30" s="43"/>
      <c r="AS30" s="554">
        <v>8.6805555555555552E-2</v>
      </c>
      <c r="AT30" s="532"/>
      <c r="AU30" s="439" t="s">
        <v>1023</v>
      </c>
      <c r="AV30" s="439"/>
      <c r="AW30" s="555"/>
      <c r="AY30" s="413" t="s">
        <v>649</v>
      </c>
      <c r="AZ30" s="413"/>
      <c r="BA30" s="412"/>
      <c r="BB30" s="412"/>
    </row>
    <row r="31" spans="1:85" ht="18" customHeight="1" thickBot="1">
      <c r="A31" s="37"/>
      <c r="B31" s="466"/>
      <c r="C31" s="466"/>
      <c r="D31" s="466"/>
      <c r="E31" s="466"/>
      <c r="F31" s="467" t="s">
        <v>1024</v>
      </c>
      <c r="G31" s="467"/>
      <c r="H31" s="467"/>
      <c r="I31" s="467"/>
      <c r="J31" s="467"/>
      <c r="K31" s="467"/>
      <c r="L31" s="467"/>
      <c r="M31" s="467"/>
      <c r="N31" s="467"/>
      <c r="O31" s="467"/>
      <c r="P31" s="467"/>
      <c r="Q31" s="467"/>
      <c r="R31" s="467"/>
      <c r="S31" s="467"/>
      <c r="T31" s="467"/>
      <c r="U31" s="467"/>
      <c r="V31" s="467"/>
      <c r="W31" s="467"/>
      <c r="X31" s="467"/>
      <c r="Y31" s="467"/>
      <c r="Z31" s="467"/>
      <c r="AA31" s="467"/>
      <c r="AB31" s="467"/>
      <c r="AC31" s="467"/>
      <c r="AD31" s="467"/>
      <c r="AE31" s="467"/>
      <c r="AF31" s="467"/>
      <c r="AG31" s="467"/>
      <c r="AH31" s="467"/>
      <c r="AI31" s="468"/>
      <c r="AK31" s="451" t="s">
        <v>650</v>
      </c>
      <c r="AL31" s="416"/>
      <c r="AM31" s="416"/>
      <c r="AN31" s="416"/>
      <c r="AO31" s="416"/>
      <c r="AP31" s="416"/>
      <c r="AQ31" s="64"/>
      <c r="AR31" s="48"/>
      <c r="AS31" s="556"/>
      <c r="AT31" s="557"/>
      <c r="AU31" s="424"/>
      <c r="AV31" s="424"/>
      <c r="AW31" s="491"/>
      <c r="AY31" s="413" t="s">
        <v>637</v>
      </c>
      <c r="AZ31" s="413"/>
      <c r="BA31" s="412"/>
      <c r="BB31" s="412"/>
    </row>
    <row r="32" spans="1:85" ht="18" customHeight="1" thickBot="1">
      <c r="A32" s="406" t="s">
        <v>651</v>
      </c>
      <c r="B32" s="407"/>
      <c r="C32" s="407"/>
      <c r="D32" s="407"/>
      <c r="E32" s="407"/>
      <c r="F32" s="407"/>
      <c r="G32" s="407"/>
      <c r="H32" s="407"/>
      <c r="I32" s="407"/>
      <c r="J32" s="407"/>
      <c r="K32" s="407"/>
      <c r="L32" s="407"/>
      <c r="M32" s="407"/>
      <c r="N32" s="407"/>
      <c r="O32" s="407"/>
      <c r="P32" s="407"/>
      <c r="Q32" s="407"/>
      <c r="R32" s="407"/>
      <c r="S32" s="407"/>
      <c r="T32" s="407"/>
      <c r="U32" s="407"/>
      <c r="V32" s="407"/>
      <c r="W32" s="407"/>
      <c r="X32" s="407"/>
      <c r="Y32" s="407"/>
      <c r="Z32" s="407"/>
      <c r="AA32" s="407"/>
      <c r="AB32" s="407"/>
      <c r="AC32" s="407"/>
      <c r="AD32" s="407"/>
      <c r="AE32" s="407"/>
      <c r="AF32" s="407"/>
      <c r="AG32" s="407"/>
      <c r="AH32" s="407"/>
      <c r="AI32" s="408"/>
      <c r="AK32" s="531"/>
      <c r="AL32" s="531"/>
      <c r="AM32" s="531"/>
      <c r="AN32" s="531"/>
      <c r="AO32" s="531"/>
      <c r="AP32" s="531"/>
      <c r="AQ32" s="61"/>
      <c r="AR32" s="48"/>
      <c r="AS32" s="558"/>
      <c r="AT32" s="558"/>
      <c r="AU32" s="559"/>
      <c r="AV32" s="559"/>
      <c r="AW32" s="559"/>
      <c r="AY32" s="413" t="s">
        <v>652</v>
      </c>
      <c r="AZ32" s="413"/>
      <c r="BA32" s="412"/>
      <c r="BB32" s="412"/>
    </row>
    <row r="33" spans="1:80" ht="18" customHeight="1">
      <c r="A33" s="39"/>
      <c r="B33" s="546" t="s">
        <v>653</v>
      </c>
      <c r="C33" s="546"/>
      <c r="D33" s="546"/>
      <c r="E33" s="546"/>
      <c r="F33" s="417" t="str" cm="1">
        <f t="array" ref="F33">_xlfn.TEXTJOIN("/",TRUE,IF(AS29:AS31&lt;&gt;"",TEXT(AS29:AS31,"h:mm")&amp;" "&amp;AU29:AU31,""))</f>
        <v>2:05 45階ﾙｰﾌﾄｯﾌﾟﾃﾗｽ１/2:05 45階ﾙｰﾌﾄｯﾌﾟﾃﾗｽ２</v>
      </c>
      <c r="G33" s="418"/>
      <c r="H33" s="418"/>
      <c r="I33" s="418"/>
      <c r="J33" s="418"/>
      <c r="K33" s="418"/>
      <c r="L33" s="418"/>
      <c r="M33" s="418"/>
      <c r="N33" s="418"/>
      <c r="O33" s="418"/>
      <c r="P33" s="418"/>
      <c r="Q33" s="418"/>
      <c r="R33" s="418"/>
      <c r="S33" s="418"/>
      <c r="T33" s="418"/>
      <c r="U33" s="418"/>
      <c r="V33" s="418"/>
      <c r="W33" s="418"/>
      <c r="X33" s="418"/>
      <c r="Y33" s="418"/>
      <c r="Z33" s="418"/>
      <c r="AA33" s="418"/>
      <c r="AB33" s="418"/>
      <c r="AC33" s="418"/>
      <c r="AD33" s="418"/>
      <c r="AE33" s="418"/>
      <c r="AF33" s="418"/>
      <c r="AG33" s="418"/>
      <c r="AH33" s="418"/>
      <c r="AI33" s="419"/>
      <c r="AK33" s="449" t="s">
        <v>654</v>
      </c>
      <c r="AL33" s="450"/>
      <c r="AM33" s="450"/>
      <c r="AN33" s="450"/>
      <c r="AO33" s="450"/>
      <c r="AP33" s="450"/>
      <c r="AQ33" s="60"/>
      <c r="AR33" s="48"/>
      <c r="AS33" s="532"/>
      <c r="AT33" s="532"/>
      <c r="AU33" s="439"/>
      <c r="AV33" s="439"/>
      <c r="AW33" s="439"/>
      <c r="AY33" s="413" t="s">
        <v>655</v>
      </c>
      <c r="AZ33" s="413"/>
      <c r="BA33" s="412"/>
      <c r="BB33" s="412"/>
    </row>
    <row r="34" spans="1:80" ht="18" customHeight="1" thickBot="1">
      <c r="A34" s="39"/>
      <c r="B34" s="546" t="s">
        <v>656</v>
      </c>
      <c r="C34" s="546"/>
      <c r="D34" s="546"/>
      <c r="E34" s="546"/>
      <c r="F34" s="420" t="s">
        <v>79</v>
      </c>
      <c r="G34" s="420"/>
      <c r="H34" s="420"/>
      <c r="I34" s="420"/>
      <c r="J34" s="420"/>
      <c r="K34" s="420"/>
      <c r="L34" s="420"/>
      <c r="M34" s="420"/>
      <c r="N34" s="420"/>
      <c r="O34" s="420"/>
      <c r="P34" s="420"/>
      <c r="Q34" s="420"/>
      <c r="R34" s="420"/>
      <c r="S34" s="420"/>
      <c r="T34" s="420"/>
      <c r="U34" s="420"/>
      <c r="V34" s="420"/>
      <c r="W34" s="420"/>
      <c r="X34" s="420"/>
      <c r="Y34" s="420"/>
      <c r="Z34" s="420"/>
      <c r="AA34" s="420"/>
      <c r="AB34" s="420"/>
      <c r="AC34" s="421"/>
      <c r="AD34" s="421"/>
      <c r="AE34" s="421"/>
      <c r="AF34" s="421"/>
      <c r="AG34" s="421"/>
      <c r="AH34" s="421"/>
      <c r="AI34" s="422"/>
      <c r="AK34" s="451" t="s">
        <v>657</v>
      </c>
      <c r="AL34" s="416"/>
      <c r="AM34" s="416"/>
      <c r="AN34" s="416"/>
      <c r="AO34" s="416"/>
      <c r="AP34" s="416"/>
      <c r="AQ34" s="56"/>
      <c r="AR34" s="48"/>
      <c r="AS34" s="532"/>
      <c r="AT34" s="532"/>
      <c r="AU34" s="439"/>
      <c r="AV34" s="439"/>
      <c r="AW34" s="439"/>
      <c r="AY34" s="413" t="s">
        <v>658</v>
      </c>
      <c r="AZ34" s="413"/>
      <c r="BA34" s="412"/>
      <c r="BB34" s="412"/>
    </row>
    <row r="35" spans="1:80" ht="18" customHeight="1" thickBot="1">
      <c r="A35" s="57"/>
      <c r="B35" s="547" t="s">
        <v>659</v>
      </c>
      <c r="C35" s="547"/>
      <c r="D35" s="547"/>
      <c r="E35" s="547"/>
      <c r="F35" s="389" t="s">
        <v>660</v>
      </c>
      <c r="G35" s="389"/>
      <c r="H35" s="389"/>
      <c r="I35" s="389"/>
      <c r="J35" s="389"/>
      <c r="K35" s="389"/>
      <c r="L35" s="389"/>
      <c r="M35" s="389"/>
      <c r="N35" s="389"/>
      <c r="O35" s="389"/>
      <c r="P35" s="389"/>
      <c r="Q35" s="389"/>
      <c r="R35" s="389"/>
      <c r="S35" s="389"/>
      <c r="T35" s="389"/>
      <c r="U35" s="389"/>
      <c r="V35" s="389"/>
      <c r="W35" s="390" t="s">
        <v>661</v>
      </c>
      <c r="X35" s="391"/>
      <c r="Y35" s="391"/>
      <c r="Z35" s="391"/>
      <c r="AA35" s="391"/>
      <c r="AB35" s="391"/>
      <c r="AC35" s="392" t="s">
        <v>662</v>
      </c>
      <c r="AD35" s="393"/>
      <c r="AE35" s="393"/>
      <c r="AF35" s="393"/>
      <c r="AG35" s="393"/>
      <c r="AH35" s="393"/>
      <c r="AI35" s="394"/>
      <c r="AK35" s="531"/>
      <c r="AL35" s="531"/>
      <c r="AM35" s="531"/>
      <c r="AN35" s="531"/>
      <c r="AO35" s="531"/>
      <c r="AP35" s="531"/>
      <c r="AQ35" s="61"/>
      <c r="AR35" s="48"/>
      <c r="AS35" s="532"/>
      <c r="AT35" s="532"/>
      <c r="AU35" s="439"/>
      <c r="AV35" s="439"/>
      <c r="AW35" s="439"/>
      <c r="AY35" s="413" t="s">
        <v>663</v>
      </c>
      <c r="AZ35" s="413"/>
      <c r="BA35" s="412"/>
      <c r="BB35" s="412"/>
    </row>
    <row r="36" spans="1:80" ht="18" customHeight="1" thickBot="1">
      <c r="A36" s="492" t="s">
        <v>664</v>
      </c>
      <c r="B36" s="493"/>
      <c r="C36" s="493"/>
      <c r="D36" s="493"/>
      <c r="E36" s="493"/>
      <c r="F36" s="498">
        <v>4.1666666666666664E-2</v>
      </c>
      <c r="G36" s="439"/>
      <c r="H36" s="439"/>
      <c r="I36" s="439"/>
      <c r="J36" s="439"/>
      <c r="K36" s="439"/>
      <c r="L36" s="499" t="s">
        <v>665</v>
      </c>
      <c r="M36" s="489"/>
      <c r="N36" s="489"/>
      <c r="O36" s="500"/>
      <c r="P36" s="410" t="s">
        <v>50</v>
      </c>
      <c r="Q36" s="410"/>
      <c r="R36" s="410"/>
      <c r="S36" s="55" t="s">
        <v>666</v>
      </c>
      <c r="T36" s="410" t="s">
        <v>68</v>
      </c>
      <c r="U36" s="410"/>
      <c r="V36" s="530"/>
      <c r="W36" s="489" t="s">
        <v>667</v>
      </c>
      <c r="X36" s="489"/>
      <c r="Y36" s="489"/>
      <c r="Z36" s="489"/>
      <c r="AA36" s="489"/>
      <c r="AB36" s="489"/>
      <c r="AC36" s="490" t="s">
        <v>722</v>
      </c>
      <c r="AD36" s="487"/>
      <c r="AE36" s="487"/>
      <c r="AF36" s="487"/>
      <c r="AG36" s="487"/>
      <c r="AH36" s="487"/>
      <c r="AI36" s="488"/>
      <c r="AK36" s="525" t="s">
        <v>668</v>
      </c>
      <c r="AL36" s="526"/>
      <c r="AM36" s="526"/>
      <c r="AN36" s="526"/>
      <c r="AO36" s="526"/>
      <c r="AP36" s="526"/>
      <c r="AQ36" s="117"/>
      <c r="AR36" s="48"/>
      <c r="AS36" s="532"/>
      <c r="AT36" s="532"/>
      <c r="AU36" s="439"/>
      <c r="AV36" s="439"/>
      <c r="AW36" s="439"/>
      <c r="BH36" s="50"/>
      <c r="BI36" s="51"/>
    </row>
    <row r="37" spans="1:80" ht="18" customHeight="1" thickBot="1">
      <c r="A37" s="494" t="s">
        <v>669</v>
      </c>
      <c r="B37" s="495"/>
      <c r="C37" s="495"/>
      <c r="D37" s="495"/>
      <c r="E37" s="495"/>
      <c r="F37" s="487"/>
      <c r="G37" s="487"/>
      <c r="H37" s="487"/>
      <c r="I37" s="487"/>
      <c r="J37" s="487"/>
      <c r="K37" s="487"/>
      <c r="L37" s="487"/>
      <c r="M37" s="487"/>
      <c r="N37" s="487"/>
      <c r="O37" s="487"/>
      <c r="P37" s="487"/>
      <c r="Q37" s="487"/>
      <c r="R37" s="487"/>
      <c r="S37" s="487"/>
      <c r="T37" s="487"/>
      <c r="U37" s="487"/>
      <c r="V37" s="487"/>
      <c r="W37" s="487"/>
      <c r="X37" s="487"/>
      <c r="Y37" s="487"/>
      <c r="Z37" s="487"/>
      <c r="AA37" s="487"/>
      <c r="AB37" s="487"/>
      <c r="AC37" s="487"/>
      <c r="AD37" s="487"/>
      <c r="AE37" s="487"/>
      <c r="AF37" s="487"/>
      <c r="AG37" s="487"/>
      <c r="AH37" s="487"/>
      <c r="AI37" s="488"/>
      <c r="AK37" s="544" t="s">
        <v>240</v>
      </c>
      <c r="AL37" s="545"/>
      <c r="AM37" s="545"/>
      <c r="AN37" s="545"/>
      <c r="AO37" s="545"/>
      <c r="AP37" s="545"/>
      <c r="AQ37" s="122"/>
      <c r="AR37" s="48"/>
      <c r="AS37" s="532"/>
      <c r="AT37" s="532"/>
      <c r="AU37" s="439"/>
      <c r="AV37" s="439"/>
      <c r="AW37" s="439"/>
      <c r="BH37" s="50"/>
      <c r="BI37" s="51"/>
    </row>
    <row r="38" spans="1:80" ht="18" customHeight="1" thickBot="1">
      <c r="A38" s="496" t="s">
        <v>670</v>
      </c>
      <c r="B38" s="497"/>
      <c r="C38" s="497"/>
      <c r="D38" s="497"/>
      <c r="E38" s="497"/>
      <c r="F38" s="416" t="s">
        <v>667</v>
      </c>
      <c r="G38" s="416"/>
      <c r="H38" s="416"/>
      <c r="I38" s="416"/>
      <c r="J38" s="416"/>
      <c r="K38" s="416"/>
      <c r="L38" s="424" t="s">
        <v>722</v>
      </c>
      <c r="M38" s="424"/>
      <c r="N38" s="424"/>
      <c r="O38" s="424"/>
      <c r="P38" s="416" t="s">
        <v>671</v>
      </c>
      <c r="Q38" s="416"/>
      <c r="R38" s="416"/>
      <c r="S38" s="416"/>
      <c r="T38" s="416"/>
      <c r="U38" s="416"/>
      <c r="V38" s="416"/>
      <c r="W38" s="416" t="s">
        <v>667</v>
      </c>
      <c r="X38" s="416"/>
      <c r="Y38" s="416"/>
      <c r="Z38" s="416"/>
      <c r="AA38" s="416"/>
      <c r="AB38" s="416"/>
      <c r="AC38" s="424" t="s">
        <v>722</v>
      </c>
      <c r="AD38" s="424"/>
      <c r="AE38" s="424"/>
      <c r="AF38" s="424"/>
      <c r="AG38" s="424"/>
      <c r="AH38" s="424"/>
      <c r="AI38" s="491"/>
      <c r="AK38" s="543"/>
      <c r="AL38" s="543"/>
      <c r="AM38" s="543"/>
      <c r="AN38" s="543"/>
      <c r="AO38" s="543"/>
      <c r="AP38" s="543"/>
      <c r="AQ38" s="59"/>
      <c r="AR38" s="48"/>
      <c r="BC38" s="50"/>
      <c r="BD38" s="51"/>
    </row>
    <row r="39" spans="1:80" ht="18" customHeight="1">
      <c r="A39" s="452" t="s">
        <v>672</v>
      </c>
      <c r="B39" s="453"/>
      <c r="C39" s="453"/>
      <c r="D39" s="453"/>
      <c r="E39" s="453"/>
      <c r="F39" s="453"/>
      <c r="G39" s="453"/>
      <c r="H39" s="453"/>
      <c r="I39" s="453"/>
      <c r="J39" s="453"/>
      <c r="K39" s="453"/>
      <c r="L39" s="453"/>
      <c r="M39" s="453"/>
      <c r="N39" s="453"/>
      <c r="O39" s="453"/>
      <c r="P39" s="453"/>
      <c r="Q39" s="453"/>
      <c r="R39" s="453"/>
      <c r="S39" s="453"/>
      <c r="T39" s="453"/>
      <c r="U39" s="453"/>
      <c r="V39" s="453"/>
      <c r="W39" s="453"/>
      <c r="X39" s="453"/>
      <c r="Y39" s="453"/>
      <c r="Z39" s="453"/>
      <c r="AA39" s="453"/>
      <c r="AB39" s="453"/>
      <c r="AC39" s="453"/>
      <c r="AD39" s="453"/>
      <c r="AE39" s="453"/>
      <c r="AF39" s="453"/>
      <c r="AG39" s="453"/>
      <c r="AH39" s="453"/>
      <c r="AI39" s="454"/>
      <c r="AK39" s="444" t="s">
        <v>673</v>
      </c>
      <c r="AL39" s="444"/>
      <c r="AM39" s="444"/>
      <c r="AN39" s="444"/>
      <c r="AO39" s="444"/>
      <c r="AP39" s="444"/>
      <c r="AQ39" s="42"/>
      <c r="AR39" s="48"/>
      <c r="AS39" s="423" t="s">
        <v>526</v>
      </c>
      <c r="AT39" s="423"/>
      <c r="AU39" s="148">
        <v>14</v>
      </c>
      <c r="AV39" s="423" t="s">
        <v>528</v>
      </c>
      <c r="AW39" s="423"/>
      <c r="BC39" s="50"/>
      <c r="BD39" s="51"/>
    </row>
    <row r="40" spans="1:80" ht="18" customHeight="1">
      <c r="A40" s="464" t="s">
        <v>674</v>
      </c>
      <c r="B40" s="459"/>
      <c r="C40" s="459"/>
      <c r="D40" s="459"/>
      <c r="E40" s="470" t="s">
        <v>675</v>
      </c>
      <c r="F40" s="471"/>
      <c r="G40" s="471"/>
      <c r="H40" s="471"/>
      <c r="I40" s="471"/>
      <c r="J40" s="471"/>
      <c r="K40" s="472"/>
      <c r="L40" s="458" t="s">
        <v>676</v>
      </c>
      <c r="M40" s="459"/>
      <c r="N40" s="459"/>
      <c r="O40" s="459"/>
      <c r="P40" s="459"/>
      <c r="Q40" s="459"/>
      <c r="R40" s="460"/>
      <c r="S40" s="458" t="s">
        <v>677</v>
      </c>
      <c r="T40" s="459"/>
      <c r="U40" s="459"/>
      <c r="V40" s="459"/>
      <c r="W40" s="470" t="s">
        <v>675</v>
      </c>
      <c r="X40" s="471"/>
      <c r="Y40" s="471"/>
      <c r="Z40" s="471"/>
      <c r="AA40" s="471"/>
      <c r="AB40" s="471"/>
      <c r="AC40" s="472"/>
      <c r="AD40" s="458" t="s">
        <v>678</v>
      </c>
      <c r="AE40" s="459"/>
      <c r="AF40" s="459"/>
      <c r="AG40" s="459"/>
      <c r="AH40" s="459"/>
      <c r="AI40" s="463"/>
      <c r="AK40" s="444" t="s">
        <v>679</v>
      </c>
      <c r="AL40" s="444"/>
      <c r="AM40" s="444"/>
      <c r="AN40" s="444"/>
      <c r="AO40" s="444"/>
      <c r="AP40" s="444"/>
      <c r="AQ40" s="42"/>
      <c r="AR40" s="48"/>
      <c r="AS40" s="423" t="s">
        <v>527</v>
      </c>
      <c r="AT40" s="423"/>
      <c r="AU40" s="148">
        <v>24</v>
      </c>
      <c r="AV40" s="560">
        <v>0.44900000000000001</v>
      </c>
      <c r="AW40" s="560"/>
      <c r="BC40" s="50"/>
      <c r="BD40" s="51"/>
    </row>
    <row r="41" spans="1:80" ht="18" customHeight="1">
      <c r="A41" s="464" t="s">
        <v>16</v>
      </c>
      <c r="B41" s="459"/>
      <c r="C41" s="459"/>
      <c r="D41" s="459"/>
      <c r="E41" s="469">
        <f>AX10</f>
        <v>0.33333333333333331</v>
      </c>
      <c r="F41" s="456"/>
      <c r="G41" s="456"/>
      <c r="H41" s="144" t="s">
        <v>680</v>
      </c>
      <c r="I41" s="456">
        <f>AY10</f>
        <v>0.83333333333333337</v>
      </c>
      <c r="J41" s="456"/>
      <c r="K41" s="457"/>
      <c r="L41" s="458" t="str">
        <f>AU10</f>
        <v>藤井隆幸</v>
      </c>
      <c r="M41" s="459"/>
      <c r="N41" s="459"/>
      <c r="O41" s="459"/>
      <c r="P41" s="459"/>
      <c r="Q41" s="459"/>
      <c r="R41" s="460"/>
      <c r="S41" s="409"/>
      <c r="T41" s="410"/>
      <c r="U41" s="410"/>
      <c r="V41" s="410"/>
      <c r="W41" s="414"/>
      <c r="X41" s="415"/>
      <c r="Y41" s="415"/>
      <c r="Z41" s="40"/>
      <c r="AA41" s="415"/>
      <c r="AB41" s="415"/>
      <c r="AC41" s="461"/>
      <c r="AD41" s="409">
        <f>AU14</f>
        <v>0</v>
      </c>
      <c r="AE41" s="410"/>
      <c r="AF41" s="410"/>
      <c r="AG41" s="410"/>
      <c r="AH41" s="410"/>
      <c r="AI41" s="462"/>
      <c r="AK41" s="444" t="s">
        <v>681</v>
      </c>
      <c r="AL41" s="444"/>
      <c r="AM41" s="444"/>
      <c r="AN41" s="444"/>
      <c r="AO41" s="444"/>
      <c r="AP41" s="444"/>
      <c r="AQ41" s="42"/>
      <c r="AR41" s="48"/>
      <c r="BC41" s="50"/>
      <c r="BD41" s="51"/>
    </row>
    <row r="42" spans="1:80" ht="18" customHeight="1">
      <c r="A42" s="464" t="s">
        <v>24</v>
      </c>
      <c r="B42" s="459"/>
      <c r="C42" s="459"/>
      <c r="D42" s="459"/>
      <c r="E42" s="469">
        <f>AX13</f>
        <v>0.33333333333333331</v>
      </c>
      <c r="F42" s="456"/>
      <c r="G42" s="456"/>
      <c r="H42" s="144" t="s">
        <v>680</v>
      </c>
      <c r="I42" s="456">
        <f>AY12</f>
        <v>0.83333333333333337</v>
      </c>
      <c r="J42" s="456"/>
      <c r="K42" s="457"/>
      <c r="L42" s="458" t="str">
        <f>AU13</f>
        <v>辻嵐</v>
      </c>
      <c r="M42" s="459"/>
      <c r="N42" s="459"/>
      <c r="O42" s="459"/>
      <c r="P42" s="459"/>
      <c r="Q42" s="459"/>
      <c r="R42" s="460"/>
      <c r="S42" s="409"/>
      <c r="T42" s="410"/>
      <c r="U42" s="410"/>
      <c r="V42" s="410"/>
      <c r="W42" s="414"/>
      <c r="X42" s="415"/>
      <c r="Y42" s="415"/>
      <c r="Z42" s="136"/>
      <c r="AA42" s="415"/>
      <c r="AB42" s="415"/>
      <c r="AC42" s="461"/>
      <c r="AD42" s="409">
        <f>AU15</f>
        <v>0</v>
      </c>
      <c r="AE42" s="410"/>
      <c r="AF42" s="410"/>
      <c r="AG42" s="410"/>
      <c r="AH42" s="410"/>
      <c r="AI42" s="462"/>
      <c r="AK42" s="445" t="s">
        <v>682</v>
      </c>
      <c r="AL42" s="445"/>
      <c r="AM42" s="445"/>
      <c r="AN42" s="445"/>
      <c r="AO42" s="445"/>
      <c r="AP42" s="445"/>
      <c r="AQ42" s="42"/>
      <c r="AR42" s="48"/>
      <c r="AS42" s="561" t="s">
        <v>683</v>
      </c>
      <c r="AT42" s="561"/>
      <c r="AU42" s="561"/>
      <c r="AV42" s="561"/>
      <c r="AW42" s="561"/>
      <c r="BC42" s="50"/>
      <c r="BD42" s="51"/>
    </row>
    <row r="43" spans="1:80" ht="18" customHeight="1">
      <c r="A43" s="464" t="s">
        <v>38</v>
      </c>
      <c r="B43" s="459"/>
      <c r="C43" s="459"/>
      <c r="D43" s="459"/>
      <c r="E43" s="469">
        <f>AX16</f>
        <v>0.83333333333333337</v>
      </c>
      <c r="F43" s="456"/>
      <c r="G43" s="456"/>
      <c r="H43" s="144" t="s">
        <v>680</v>
      </c>
      <c r="I43" s="456" t="str">
        <f>AY16</f>
        <v>翌8:00</v>
      </c>
      <c r="J43" s="456"/>
      <c r="K43" s="457"/>
      <c r="L43" s="458" t="str">
        <f>AU16</f>
        <v>末廣信行</v>
      </c>
      <c r="M43" s="459"/>
      <c r="N43" s="459"/>
      <c r="O43" s="459"/>
      <c r="P43" s="459"/>
      <c r="Q43" s="459"/>
      <c r="R43" s="460"/>
      <c r="S43" s="409"/>
      <c r="T43" s="410"/>
      <c r="U43" s="410"/>
      <c r="V43" s="410"/>
      <c r="W43" s="414"/>
      <c r="X43" s="415"/>
      <c r="Y43" s="415"/>
      <c r="Z43" s="136"/>
      <c r="AA43" s="415"/>
      <c r="AB43" s="415"/>
      <c r="AC43" s="461"/>
      <c r="AD43" s="486">
        <f>AU18</f>
        <v>0</v>
      </c>
      <c r="AE43" s="410"/>
      <c r="AF43" s="410"/>
      <c r="AG43" s="410"/>
      <c r="AH43" s="410"/>
      <c r="AI43" s="462"/>
      <c r="AK43" s="444" t="s">
        <v>684</v>
      </c>
      <c r="AL43" s="444"/>
      <c r="AM43" s="444"/>
      <c r="AN43" s="444"/>
      <c r="AO43" s="444"/>
      <c r="AP43" s="444"/>
      <c r="AQ43" s="42"/>
      <c r="AR43" s="43"/>
      <c r="AW43"/>
      <c r="AX43"/>
      <c r="AY43"/>
      <c r="AZ43"/>
      <c r="BA43"/>
      <c r="BB43"/>
      <c r="BC43" s="50"/>
      <c r="BD43" s="51"/>
      <c r="BE43"/>
      <c r="BF43"/>
      <c r="BG43"/>
      <c r="BH43"/>
      <c r="BI43"/>
      <c r="BJ43"/>
      <c r="BK43"/>
      <c r="BL43"/>
      <c r="BM43"/>
      <c r="BN43"/>
      <c r="BO43"/>
      <c r="BP43"/>
      <c r="BQ43"/>
      <c r="BR43"/>
      <c r="BS43"/>
      <c r="BT43"/>
      <c r="BU43"/>
      <c r="BV43"/>
      <c r="BW43"/>
      <c r="BX43"/>
      <c r="BY43"/>
      <c r="BZ43"/>
      <c r="CA43"/>
      <c r="CB43"/>
    </row>
    <row r="44" spans="1:80" ht="18" customHeight="1" thickBot="1">
      <c r="A44" s="473" t="s">
        <v>45</v>
      </c>
      <c r="B44" s="474"/>
      <c r="C44" s="474"/>
      <c r="D44" s="474"/>
      <c r="E44" s="475">
        <f>AX17</f>
        <v>0.83333333333333337</v>
      </c>
      <c r="F44" s="476"/>
      <c r="G44" s="476"/>
      <c r="H44" s="145" t="s">
        <v>680</v>
      </c>
      <c r="I44" s="476" t="str">
        <f>AY17</f>
        <v>翌8:00</v>
      </c>
      <c r="J44" s="476"/>
      <c r="K44" s="477"/>
      <c r="L44" s="478" t="str">
        <f>AU17</f>
        <v>石井忠志</v>
      </c>
      <c r="M44" s="478"/>
      <c r="N44" s="478"/>
      <c r="O44" s="478"/>
      <c r="P44" s="478"/>
      <c r="Q44" s="478"/>
      <c r="R44" s="478"/>
      <c r="S44" s="479"/>
      <c r="T44" s="480"/>
      <c r="U44" s="480"/>
      <c r="V44" s="480"/>
      <c r="W44" s="481"/>
      <c r="X44" s="482"/>
      <c r="Y44" s="482"/>
      <c r="Z44" s="137"/>
      <c r="AA44" s="482"/>
      <c r="AB44" s="482"/>
      <c r="AC44" s="483"/>
      <c r="AD44" s="484">
        <f>AU19</f>
        <v>0</v>
      </c>
      <c r="AE44" s="480"/>
      <c r="AF44" s="480"/>
      <c r="AG44" s="480"/>
      <c r="AH44" s="480"/>
      <c r="AI44" s="485"/>
      <c r="AK44" s="446" t="s">
        <v>685</v>
      </c>
      <c r="AL44" s="446"/>
      <c r="AM44" s="446"/>
      <c r="AN44" s="446"/>
      <c r="AO44" s="446"/>
      <c r="AP44" s="446"/>
      <c r="AQ44" s="42"/>
      <c r="AR44" s="43"/>
      <c r="BC44" s="50"/>
      <c r="BD44" s="51"/>
    </row>
    <row r="45" spans="1:80" ht="18" customHeight="1" thickBot="1">
      <c r="A45" s="27"/>
      <c r="B45" s="27"/>
      <c r="C45" s="27"/>
      <c r="D45" s="27"/>
      <c r="E45" s="27"/>
      <c r="F45" s="27"/>
      <c r="G45" s="27"/>
      <c r="H45" s="27"/>
      <c r="I45" s="27"/>
      <c r="R45" s="307">
        <f>A7</f>
        <v>46201</v>
      </c>
      <c r="S45" s="308"/>
      <c r="T45" s="308"/>
      <c r="U45" s="308"/>
      <c r="V45" s="23" t="s">
        <v>169</v>
      </c>
      <c r="W45" s="309">
        <f>G7</f>
        <v>46201</v>
      </c>
      <c r="X45" s="308"/>
      <c r="Y45" s="23" t="s">
        <v>170</v>
      </c>
      <c r="Z45" s="310">
        <f>K7</f>
        <v>46201</v>
      </c>
      <c r="AA45" s="308"/>
      <c r="AB45" s="23" t="s">
        <v>3</v>
      </c>
      <c r="AC45" s="455">
        <f>O7</f>
        <v>46201</v>
      </c>
      <c r="AD45" s="308"/>
      <c r="AE45" s="308" t="s">
        <v>292</v>
      </c>
      <c r="AF45" s="308"/>
      <c r="AK45" s="425" t="s">
        <v>686</v>
      </c>
      <c r="AL45" s="425"/>
      <c r="AM45" s="425"/>
      <c r="AN45" s="425"/>
      <c r="AO45" s="425"/>
      <c r="AP45" s="425"/>
      <c r="AQ45" s="42"/>
      <c r="AR45" s="43"/>
      <c r="BC45" s="50"/>
      <c r="BD45" s="51"/>
    </row>
    <row r="46" spans="1:80" customFormat="1" ht="18" customHeight="1">
      <c r="A46" s="452" t="s">
        <v>598</v>
      </c>
      <c r="B46" s="453"/>
      <c r="C46" s="453"/>
      <c r="D46" s="453"/>
      <c r="E46" s="453"/>
      <c r="F46" s="453"/>
      <c r="G46" s="453"/>
      <c r="H46" s="453"/>
      <c r="I46" s="453"/>
      <c r="J46" s="453"/>
      <c r="K46" s="453"/>
      <c r="L46" s="453"/>
      <c r="M46" s="453"/>
      <c r="N46" s="453"/>
      <c r="O46" s="453"/>
      <c r="P46" s="453"/>
      <c r="Q46" s="453"/>
      <c r="R46" s="453"/>
      <c r="S46" s="453"/>
      <c r="T46" s="453"/>
      <c r="U46" s="453"/>
      <c r="V46" s="453"/>
      <c r="W46" s="453"/>
      <c r="X46" s="453"/>
      <c r="Y46" s="453"/>
      <c r="Z46" s="453"/>
      <c r="AA46" s="453"/>
      <c r="AB46" s="453"/>
      <c r="AC46" s="453"/>
      <c r="AD46" s="453"/>
      <c r="AE46" s="453"/>
      <c r="AF46" s="453"/>
      <c r="AG46" s="453"/>
      <c r="AH46" s="453"/>
      <c r="AI46" s="454"/>
      <c r="AK46" s="425" t="s">
        <v>687</v>
      </c>
      <c r="AL46" s="425"/>
      <c r="AM46" s="425"/>
      <c r="AN46" s="425"/>
      <c r="AO46" s="425"/>
      <c r="AP46" s="425"/>
      <c r="AQ46" s="42"/>
      <c r="AR46" s="43"/>
      <c r="AW46" s="23"/>
      <c r="AX46" s="23"/>
      <c r="AY46" s="23"/>
      <c r="AZ46" s="23"/>
      <c r="BA46" s="23"/>
      <c r="BB46" s="23"/>
      <c r="BC46" s="50"/>
      <c r="BD46" s="51"/>
      <c r="BE46" s="23"/>
      <c r="BF46" s="23"/>
      <c r="BG46" s="23"/>
      <c r="BH46" s="23"/>
      <c r="BI46" s="23"/>
      <c r="BJ46" s="23"/>
      <c r="BK46" s="23"/>
      <c r="BL46" s="23"/>
      <c r="BM46" s="23"/>
      <c r="BN46" s="23"/>
      <c r="BO46" s="23"/>
      <c r="BP46" s="23"/>
      <c r="BQ46" s="23"/>
      <c r="BR46" s="23"/>
      <c r="BS46" s="23"/>
      <c r="BT46" s="23"/>
      <c r="BU46" s="23"/>
      <c r="BV46" s="23"/>
      <c r="BW46" s="23"/>
      <c r="BX46" s="23"/>
      <c r="BY46" s="23"/>
      <c r="BZ46" s="23"/>
      <c r="CA46" s="23"/>
      <c r="CB46" s="23"/>
    </row>
    <row r="47" spans="1:80" ht="18" customHeight="1">
      <c r="A47" s="36" t="s">
        <v>935</v>
      </c>
      <c r="B47" s="404">
        <v>0.29166666666666669</v>
      </c>
      <c r="C47" s="404"/>
      <c r="D47" s="404"/>
      <c r="E47" s="404"/>
      <c r="F47" s="288" t="s">
        <v>728</v>
      </c>
      <c r="G47" s="288"/>
      <c r="H47" s="288"/>
      <c r="I47" s="288"/>
      <c r="J47" s="288"/>
      <c r="K47" s="288"/>
      <c r="L47" s="288"/>
      <c r="M47" s="288"/>
      <c r="N47" s="288"/>
      <c r="O47" s="288"/>
      <c r="P47" s="288"/>
      <c r="Q47" s="288"/>
      <c r="R47" s="288"/>
      <c r="S47" s="288"/>
      <c r="T47" s="288"/>
      <c r="U47" s="288"/>
      <c r="V47" s="288"/>
      <c r="W47" s="288"/>
      <c r="X47" s="288"/>
      <c r="Y47" s="288"/>
      <c r="Z47" s="288"/>
      <c r="AA47" s="288"/>
      <c r="AB47" s="288"/>
      <c r="AC47" s="288"/>
      <c r="AD47" s="288"/>
      <c r="AE47" s="288"/>
      <c r="AF47" s="288"/>
      <c r="AG47" s="288"/>
      <c r="AH47" s="288"/>
      <c r="AI47" s="289"/>
      <c r="AK47" s="425" t="s">
        <v>688</v>
      </c>
      <c r="AL47" s="425"/>
      <c r="AM47" s="425"/>
      <c r="AN47" s="425"/>
      <c r="AO47" s="425"/>
      <c r="AP47" s="425"/>
      <c r="AQ47" s="42"/>
      <c r="AR47" s="43"/>
      <c r="AS47" s="120" t="s">
        <v>189</v>
      </c>
      <c r="AT47" s="43" t="s">
        <v>728</v>
      </c>
      <c r="AU47" s="43"/>
      <c r="BC47" s="50"/>
      <c r="BD47" s="51"/>
    </row>
    <row r="48" spans="1:80" ht="18" customHeight="1">
      <c r="A48" s="36"/>
      <c r="B48" s="404"/>
      <c r="C48" s="404"/>
      <c r="D48" s="404"/>
      <c r="E48" s="404"/>
      <c r="F48" s="288"/>
      <c r="G48" s="288"/>
      <c r="H48" s="288"/>
      <c r="I48" s="288"/>
      <c r="J48" s="288"/>
      <c r="K48" s="288"/>
      <c r="L48" s="288"/>
      <c r="M48" s="288"/>
      <c r="N48" s="288"/>
      <c r="O48" s="288"/>
      <c r="P48" s="288"/>
      <c r="Q48" s="288"/>
      <c r="R48" s="288"/>
      <c r="S48" s="288"/>
      <c r="T48" s="288"/>
      <c r="U48" s="288"/>
      <c r="V48" s="288"/>
      <c r="W48" s="288"/>
      <c r="X48" s="288"/>
      <c r="Y48" s="288"/>
      <c r="Z48" s="288"/>
      <c r="AA48" s="288"/>
      <c r="AB48" s="288"/>
      <c r="AC48" s="288"/>
      <c r="AD48" s="288"/>
      <c r="AE48" s="288"/>
      <c r="AF48" s="288"/>
      <c r="AG48" s="288"/>
      <c r="AH48" s="288"/>
      <c r="AI48" s="289"/>
      <c r="AK48" s="425" t="s">
        <v>690</v>
      </c>
      <c r="AL48" s="425"/>
      <c r="AM48" s="425"/>
      <c r="AN48" s="425"/>
      <c r="AO48" s="425"/>
      <c r="AP48" s="425"/>
      <c r="AQ48" s="42"/>
      <c r="AR48" s="43"/>
      <c r="AS48" s="43"/>
      <c r="AT48" s="43"/>
      <c r="AU48" s="43"/>
      <c r="BC48" s="50"/>
      <c r="BD48" s="51"/>
    </row>
    <row r="49" spans="1:61" ht="18" customHeight="1">
      <c r="A49" s="36"/>
      <c r="B49" s="404"/>
      <c r="C49" s="404"/>
      <c r="D49" s="404"/>
      <c r="E49" s="404"/>
      <c r="F49" s="288"/>
      <c r="G49" s="288"/>
      <c r="H49" s="288"/>
      <c r="I49" s="288"/>
      <c r="J49" s="288"/>
      <c r="K49" s="288"/>
      <c r="L49" s="288"/>
      <c r="M49" s="288"/>
      <c r="N49" s="288"/>
      <c r="O49" s="288"/>
      <c r="P49" s="288"/>
      <c r="Q49" s="288"/>
      <c r="R49" s="288"/>
      <c r="S49" s="288"/>
      <c r="T49" s="288"/>
      <c r="U49" s="288"/>
      <c r="V49" s="288"/>
      <c r="W49" s="288"/>
      <c r="X49" s="288"/>
      <c r="Y49" s="288"/>
      <c r="Z49" s="288"/>
      <c r="AA49" s="288"/>
      <c r="AB49" s="288"/>
      <c r="AC49" s="288"/>
      <c r="AD49" s="288"/>
      <c r="AE49" s="288"/>
      <c r="AF49" s="288"/>
      <c r="AG49" s="288"/>
      <c r="AH49" s="288"/>
      <c r="AI49" s="289"/>
      <c r="AK49" s="425" t="s">
        <v>691</v>
      </c>
      <c r="AL49" s="425"/>
      <c r="AM49" s="425"/>
      <c r="AN49" s="425"/>
      <c r="AO49" s="425"/>
      <c r="AP49" s="425"/>
      <c r="AQ49" s="42"/>
      <c r="AR49" s="43"/>
      <c r="AS49" s="43"/>
      <c r="AT49" s="43"/>
      <c r="AU49" s="43"/>
      <c r="BC49" s="50"/>
      <c r="BD49" s="51"/>
    </row>
    <row r="50" spans="1:61" ht="18" customHeight="1">
      <c r="A50" s="36"/>
      <c r="B50" s="404"/>
      <c r="C50" s="404"/>
      <c r="D50" s="404"/>
      <c r="E50" s="404"/>
      <c r="F50" s="288"/>
      <c r="G50" s="288"/>
      <c r="H50" s="288"/>
      <c r="I50" s="288"/>
      <c r="J50" s="288"/>
      <c r="K50" s="288"/>
      <c r="L50" s="288"/>
      <c r="M50" s="288"/>
      <c r="N50" s="288"/>
      <c r="O50" s="288"/>
      <c r="P50" s="288"/>
      <c r="Q50" s="288"/>
      <c r="R50" s="288"/>
      <c r="S50" s="288"/>
      <c r="T50" s="288"/>
      <c r="U50" s="288"/>
      <c r="V50" s="288"/>
      <c r="W50" s="288"/>
      <c r="X50" s="288"/>
      <c r="Y50" s="288"/>
      <c r="Z50" s="288"/>
      <c r="AA50" s="288"/>
      <c r="AB50" s="288"/>
      <c r="AC50" s="288"/>
      <c r="AD50" s="288"/>
      <c r="AE50" s="288"/>
      <c r="AF50" s="288"/>
      <c r="AG50" s="288"/>
      <c r="AH50" s="288"/>
      <c r="AI50" s="289"/>
      <c r="AK50" s="425" t="s">
        <v>692</v>
      </c>
      <c r="AL50" s="425"/>
      <c r="AM50" s="425"/>
      <c r="AN50" s="425"/>
      <c r="AO50" s="425"/>
      <c r="AP50" s="425"/>
      <c r="AQ50" s="42"/>
      <c r="AR50" s="43"/>
      <c r="AS50" s="43"/>
      <c r="AT50" s="43"/>
      <c r="AU50" s="43"/>
      <c r="BC50" s="50"/>
      <c r="BD50" s="51"/>
    </row>
    <row r="51" spans="1:61" ht="18" customHeight="1">
      <c r="A51" s="36"/>
      <c r="B51" s="404"/>
      <c r="C51" s="404"/>
      <c r="D51" s="404"/>
      <c r="E51" s="404"/>
      <c r="F51" s="288"/>
      <c r="G51" s="288"/>
      <c r="H51" s="288"/>
      <c r="I51" s="288"/>
      <c r="J51" s="288"/>
      <c r="K51" s="288"/>
      <c r="L51" s="288"/>
      <c r="M51" s="288"/>
      <c r="N51" s="288"/>
      <c r="O51" s="288"/>
      <c r="P51" s="288"/>
      <c r="Q51" s="288"/>
      <c r="R51" s="288"/>
      <c r="S51" s="288"/>
      <c r="T51" s="288"/>
      <c r="U51" s="288"/>
      <c r="V51" s="288"/>
      <c r="W51" s="288"/>
      <c r="X51" s="288"/>
      <c r="Y51" s="288"/>
      <c r="Z51" s="288"/>
      <c r="AA51" s="288"/>
      <c r="AB51" s="288"/>
      <c r="AC51" s="288"/>
      <c r="AD51" s="288"/>
      <c r="AE51" s="288"/>
      <c r="AF51" s="288"/>
      <c r="AG51" s="288"/>
      <c r="AH51" s="288"/>
      <c r="AI51" s="289"/>
      <c r="AK51" s="425" t="s">
        <v>693</v>
      </c>
      <c r="AL51" s="425"/>
      <c r="AM51" s="425"/>
      <c r="AN51" s="425"/>
      <c r="AO51" s="425"/>
      <c r="AP51" s="425"/>
      <c r="AQ51" s="42"/>
      <c r="AR51" s="43"/>
      <c r="AS51" s="43"/>
      <c r="AT51" s="43"/>
      <c r="AU51" s="43"/>
      <c r="BC51" s="50"/>
      <c r="BD51" s="51"/>
    </row>
    <row r="52" spans="1:61" ht="18" customHeight="1">
      <c r="A52" s="36"/>
      <c r="B52" s="404"/>
      <c r="C52" s="404"/>
      <c r="D52" s="404"/>
      <c r="E52" s="404"/>
      <c r="F52" s="288"/>
      <c r="G52" s="288"/>
      <c r="H52" s="288"/>
      <c r="I52" s="288"/>
      <c r="J52" s="288"/>
      <c r="K52" s="288"/>
      <c r="L52" s="288"/>
      <c r="M52" s="288"/>
      <c r="N52" s="288"/>
      <c r="O52" s="288"/>
      <c r="P52" s="288"/>
      <c r="Q52" s="288"/>
      <c r="R52" s="288"/>
      <c r="S52" s="288"/>
      <c r="T52" s="288"/>
      <c r="U52" s="288"/>
      <c r="V52" s="288"/>
      <c r="W52" s="288"/>
      <c r="X52" s="288"/>
      <c r="Y52" s="288"/>
      <c r="Z52" s="288"/>
      <c r="AA52" s="288"/>
      <c r="AB52" s="288"/>
      <c r="AC52" s="288"/>
      <c r="AD52" s="288"/>
      <c r="AE52" s="288"/>
      <c r="AF52" s="288"/>
      <c r="AG52" s="288"/>
      <c r="AH52" s="288"/>
      <c r="AI52" s="289"/>
      <c r="AK52" s="425" t="s">
        <v>694</v>
      </c>
      <c r="AL52" s="425"/>
      <c r="AM52" s="425"/>
      <c r="AN52" s="425"/>
      <c r="AO52" s="425"/>
      <c r="AP52" s="425"/>
      <c r="AQ52" s="42"/>
      <c r="AR52" s="43"/>
      <c r="AS52" s="43"/>
      <c r="AV52" s="43"/>
      <c r="AW52" s="43"/>
      <c r="AX52" s="43"/>
      <c r="AY52" s="43"/>
      <c r="AZ52" s="43"/>
      <c r="BA52" s="43"/>
      <c r="BH52" s="52"/>
      <c r="BI52" s="51"/>
    </row>
    <row r="53" spans="1:61" ht="18" customHeight="1">
      <c r="A53" s="36"/>
      <c r="B53" s="404"/>
      <c r="C53" s="404"/>
      <c r="D53" s="404"/>
      <c r="E53" s="404"/>
      <c r="F53" s="288"/>
      <c r="G53" s="288"/>
      <c r="H53" s="288"/>
      <c r="I53" s="288"/>
      <c r="J53" s="288"/>
      <c r="K53" s="288"/>
      <c r="L53" s="288"/>
      <c r="M53" s="288"/>
      <c r="N53" s="288"/>
      <c r="O53" s="288"/>
      <c r="P53" s="288"/>
      <c r="Q53" s="288"/>
      <c r="R53" s="288"/>
      <c r="S53" s="288"/>
      <c r="T53" s="288"/>
      <c r="U53" s="288"/>
      <c r="V53" s="288"/>
      <c r="W53" s="288"/>
      <c r="X53" s="288"/>
      <c r="Y53" s="288"/>
      <c r="Z53" s="288"/>
      <c r="AA53" s="288"/>
      <c r="AB53" s="288"/>
      <c r="AC53" s="288"/>
      <c r="AD53" s="288"/>
      <c r="AE53" s="288"/>
      <c r="AF53" s="288"/>
      <c r="AG53" s="288"/>
      <c r="AH53" s="288"/>
      <c r="AI53" s="289"/>
      <c r="AK53" s="425" t="s">
        <v>695</v>
      </c>
      <c r="AL53" s="425"/>
      <c r="AM53" s="425"/>
      <c r="AN53" s="425"/>
      <c r="AO53" s="425"/>
      <c r="AP53" s="425"/>
      <c r="AQ53" s="42"/>
      <c r="AR53" s="43"/>
      <c r="AS53" s="43"/>
      <c r="AT53" s="43"/>
      <c r="AU53" s="43"/>
      <c r="AV53" s="43"/>
      <c r="AW53" s="43"/>
      <c r="AX53" s="43"/>
      <c r="AY53" s="43"/>
      <c r="AZ53" s="43"/>
      <c r="BH53" s="50"/>
      <c r="BI53" s="51"/>
    </row>
    <row r="54" spans="1:61" ht="18" customHeight="1">
      <c r="A54" s="36"/>
      <c r="B54" s="404"/>
      <c r="C54" s="404"/>
      <c r="D54" s="404"/>
      <c r="E54" s="404"/>
      <c r="F54" s="288"/>
      <c r="G54" s="288"/>
      <c r="H54" s="288"/>
      <c r="I54" s="288"/>
      <c r="J54" s="288"/>
      <c r="K54" s="288"/>
      <c r="L54" s="288"/>
      <c r="M54" s="288"/>
      <c r="N54" s="288"/>
      <c r="O54" s="288"/>
      <c r="P54" s="288"/>
      <c r="Q54" s="288"/>
      <c r="R54" s="288"/>
      <c r="S54" s="288"/>
      <c r="T54" s="288"/>
      <c r="U54" s="288"/>
      <c r="V54" s="288"/>
      <c r="W54" s="288"/>
      <c r="X54" s="288"/>
      <c r="Y54" s="288"/>
      <c r="Z54" s="288"/>
      <c r="AA54" s="288"/>
      <c r="AB54" s="288"/>
      <c r="AC54" s="288"/>
      <c r="AD54" s="288"/>
      <c r="AE54" s="288"/>
      <c r="AF54" s="288"/>
      <c r="AG54" s="288"/>
      <c r="AH54" s="288"/>
      <c r="AI54" s="289"/>
      <c r="AK54" s="425" t="s">
        <v>696</v>
      </c>
      <c r="AL54" s="425"/>
      <c r="AM54" s="425"/>
      <c r="AN54" s="425"/>
      <c r="AO54" s="425"/>
      <c r="AP54" s="425"/>
      <c r="AQ54" s="42"/>
      <c r="AR54" s="43"/>
      <c r="AS54" s="43"/>
      <c r="AT54" s="43"/>
      <c r="AU54" s="43"/>
      <c r="AV54" s="43"/>
      <c r="AW54" s="43"/>
      <c r="AX54" s="43"/>
      <c r="AY54" s="43"/>
      <c r="AZ54" s="43"/>
      <c r="BH54" s="50"/>
      <c r="BI54" s="51"/>
    </row>
    <row r="55" spans="1:61" ht="18" customHeight="1">
      <c r="A55" s="36"/>
      <c r="B55" s="404"/>
      <c r="C55" s="404"/>
      <c r="D55" s="404"/>
      <c r="E55" s="404"/>
      <c r="F55" s="288"/>
      <c r="G55" s="288"/>
      <c r="H55" s="288"/>
      <c r="I55" s="288"/>
      <c r="J55" s="288"/>
      <c r="K55" s="288"/>
      <c r="L55" s="288"/>
      <c r="M55" s="288"/>
      <c r="N55" s="288"/>
      <c r="O55" s="288"/>
      <c r="P55" s="288"/>
      <c r="Q55" s="288"/>
      <c r="R55" s="288"/>
      <c r="S55" s="288"/>
      <c r="T55" s="288"/>
      <c r="U55" s="288"/>
      <c r="V55" s="288"/>
      <c r="W55" s="288"/>
      <c r="X55" s="288"/>
      <c r="Y55" s="288"/>
      <c r="Z55" s="288"/>
      <c r="AA55" s="288"/>
      <c r="AB55" s="288"/>
      <c r="AC55" s="288"/>
      <c r="AD55" s="288"/>
      <c r="AE55" s="288"/>
      <c r="AF55" s="288"/>
      <c r="AG55" s="288"/>
      <c r="AH55" s="288"/>
      <c r="AI55" s="289"/>
      <c r="AK55" s="425" t="s">
        <v>697</v>
      </c>
      <c r="AL55" s="425"/>
      <c r="AM55" s="425"/>
      <c r="AN55" s="425"/>
      <c r="AO55" s="425"/>
      <c r="AP55" s="425"/>
      <c r="AQ55" s="42"/>
      <c r="AR55" s="43"/>
      <c r="AS55" s="43"/>
      <c r="AT55" s="43"/>
      <c r="AU55" s="43"/>
      <c r="AV55" s="43"/>
      <c r="AW55" s="43"/>
      <c r="AX55" s="43"/>
      <c r="AY55" s="43"/>
      <c r="AZ55" s="43"/>
      <c r="BH55" s="50"/>
      <c r="BI55" s="51"/>
    </row>
    <row r="56" spans="1:61" ht="18" customHeight="1">
      <c r="A56" s="36"/>
      <c r="B56" s="404"/>
      <c r="C56" s="404"/>
      <c r="D56" s="404"/>
      <c r="E56" s="404"/>
      <c r="F56" s="288"/>
      <c r="G56" s="288"/>
      <c r="H56" s="288"/>
      <c r="I56" s="288"/>
      <c r="J56" s="288"/>
      <c r="K56" s="288"/>
      <c r="L56" s="288"/>
      <c r="M56" s="288"/>
      <c r="N56" s="288"/>
      <c r="O56" s="288"/>
      <c r="P56" s="288"/>
      <c r="Q56" s="288"/>
      <c r="R56" s="288"/>
      <c r="S56" s="288"/>
      <c r="T56" s="288"/>
      <c r="U56" s="288"/>
      <c r="V56" s="288"/>
      <c r="W56" s="288"/>
      <c r="X56" s="288"/>
      <c r="Y56" s="288"/>
      <c r="Z56" s="288"/>
      <c r="AA56" s="288"/>
      <c r="AB56" s="288"/>
      <c r="AC56" s="288"/>
      <c r="AD56" s="288"/>
      <c r="AE56" s="288"/>
      <c r="AF56" s="288"/>
      <c r="AG56" s="288"/>
      <c r="AH56" s="288"/>
      <c r="AI56" s="289"/>
      <c r="AK56" s="425" t="s">
        <v>698</v>
      </c>
      <c r="AL56" s="425"/>
      <c r="AM56" s="425"/>
      <c r="AN56" s="425"/>
      <c r="AO56" s="425"/>
      <c r="AP56" s="425"/>
      <c r="AQ56" s="42"/>
      <c r="AR56" s="43"/>
      <c r="AS56" s="43"/>
      <c r="AT56" s="43"/>
      <c r="AU56" s="43"/>
      <c r="AV56" s="43"/>
      <c r="AW56" s="43"/>
      <c r="AX56" s="43"/>
      <c r="AY56" s="43"/>
      <c r="AZ56" s="43"/>
      <c r="BH56" s="52"/>
      <c r="BI56" s="51"/>
    </row>
    <row r="57" spans="1:61" ht="18" customHeight="1">
      <c r="A57" s="36"/>
      <c r="B57" s="404"/>
      <c r="C57" s="404"/>
      <c r="D57" s="404"/>
      <c r="E57" s="404"/>
      <c r="F57" s="288"/>
      <c r="G57" s="288"/>
      <c r="H57" s="288"/>
      <c r="I57" s="288"/>
      <c r="J57" s="288"/>
      <c r="K57" s="288"/>
      <c r="L57" s="288"/>
      <c r="M57" s="288"/>
      <c r="N57" s="288"/>
      <c r="O57" s="288"/>
      <c r="P57" s="288"/>
      <c r="Q57" s="288"/>
      <c r="R57" s="288"/>
      <c r="S57" s="288"/>
      <c r="T57" s="288"/>
      <c r="U57" s="288"/>
      <c r="V57" s="288"/>
      <c r="W57" s="288"/>
      <c r="X57" s="288"/>
      <c r="Y57" s="288"/>
      <c r="Z57" s="288"/>
      <c r="AA57" s="288"/>
      <c r="AB57" s="288"/>
      <c r="AC57" s="288"/>
      <c r="AD57" s="288"/>
      <c r="AE57" s="288"/>
      <c r="AF57" s="288"/>
      <c r="AG57" s="288"/>
      <c r="AH57" s="288"/>
      <c r="AI57" s="289"/>
      <c r="AK57" s="425" t="s">
        <v>699</v>
      </c>
      <c r="AL57" s="425"/>
      <c r="AM57" s="425"/>
      <c r="AN57" s="425"/>
      <c r="AO57" s="425"/>
      <c r="AP57" s="425"/>
      <c r="AQ57" s="42"/>
      <c r="AR57" s="43"/>
      <c r="AS57" s="43"/>
      <c r="AT57" s="43"/>
      <c r="AU57" s="43"/>
      <c r="AV57" s="43"/>
      <c r="AW57" s="43"/>
      <c r="AX57" s="43"/>
      <c r="AY57" s="43"/>
      <c r="AZ57" s="43"/>
      <c r="BH57" s="50"/>
      <c r="BI57" s="51"/>
    </row>
    <row r="58" spans="1:61" ht="18" customHeight="1">
      <c r="A58" s="36"/>
      <c r="B58" s="404"/>
      <c r="C58" s="404"/>
      <c r="D58" s="404"/>
      <c r="E58" s="404"/>
      <c r="F58" s="288"/>
      <c r="G58" s="288"/>
      <c r="H58" s="288"/>
      <c r="I58" s="288"/>
      <c r="J58" s="288"/>
      <c r="K58" s="288"/>
      <c r="L58" s="288"/>
      <c r="M58" s="288"/>
      <c r="N58" s="288"/>
      <c r="O58" s="288"/>
      <c r="P58" s="288"/>
      <c r="Q58" s="288"/>
      <c r="R58" s="288"/>
      <c r="S58" s="288"/>
      <c r="T58" s="288"/>
      <c r="U58" s="288"/>
      <c r="V58" s="288"/>
      <c r="W58" s="288"/>
      <c r="X58" s="288"/>
      <c r="Y58" s="288"/>
      <c r="Z58" s="288"/>
      <c r="AA58" s="288"/>
      <c r="AB58" s="288"/>
      <c r="AC58" s="288"/>
      <c r="AD58" s="288"/>
      <c r="AE58" s="288"/>
      <c r="AF58" s="288"/>
      <c r="AG58" s="288"/>
      <c r="AH58" s="288"/>
      <c r="AI58" s="289"/>
      <c r="AK58" s="425" t="s">
        <v>700</v>
      </c>
      <c r="AL58" s="425"/>
      <c r="AM58" s="425"/>
      <c r="AN58" s="425"/>
      <c r="AO58" s="425"/>
      <c r="AP58" s="425"/>
      <c r="AQ58" s="42"/>
      <c r="AR58" s="43"/>
      <c r="AS58" s="43"/>
      <c r="AT58" s="43"/>
      <c r="AU58" s="43"/>
      <c r="AV58" s="43"/>
      <c r="AW58" s="43"/>
      <c r="AX58" s="43"/>
      <c r="AY58" s="43"/>
      <c r="AZ58" s="43"/>
      <c r="BH58" s="50"/>
      <c r="BI58" s="51"/>
    </row>
    <row r="59" spans="1:61" ht="18" customHeight="1">
      <c r="A59" s="36"/>
      <c r="B59" s="404"/>
      <c r="C59" s="404"/>
      <c r="D59" s="404"/>
      <c r="E59" s="404"/>
      <c r="F59" s="288"/>
      <c r="G59" s="288"/>
      <c r="H59" s="288"/>
      <c r="I59" s="288"/>
      <c r="J59" s="288"/>
      <c r="K59" s="288"/>
      <c r="L59" s="288"/>
      <c r="M59" s="288"/>
      <c r="N59" s="288"/>
      <c r="O59" s="288"/>
      <c r="P59" s="288"/>
      <c r="Q59" s="288"/>
      <c r="R59" s="288"/>
      <c r="S59" s="288"/>
      <c r="T59" s="288"/>
      <c r="U59" s="288"/>
      <c r="V59" s="288"/>
      <c r="W59" s="288"/>
      <c r="X59" s="288"/>
      <c r="Y59" s="288"/>
      <c r="Z59" s="288"/>
      <c r="AA59" s="288"/>
      <c r="AB59" s="288"/>
      <c r="AC59" s="288"/>
      <c r="AD59" s="288"/>
      <c r="AE59" s="288"/>
      <c r="AF59" s="288"/>
      <c r="AG59" s="288"/>
      <c r="AH59" s="288"/>
      <c r="AI59" s="289"/>
      <c r="AK59" s="425" t="s">
        <v>701</v>
      </c>
      <c r="AL59" s="425"/>
      <c r="AM59" s="425"/>
      <c r="AN59" s="425"/>
      <c r="AO59" s="425"/>
      <c r="AP59" s="425"/>
      <c r="AQ59" s="42"/>
      <c r="AR59" s="43"/>
      <c r="AS59" s="43"/>
      <c r="AT59" s="43"/>
      <c r="AU59" s="43"/>
      <c r="AV59" s="43"/>
      <c r="AW59" s="43"/>
      <c r="AX59" s="43"/>
      <c r="AY59" s="43"/>
      <c r="AZ59" s="43"/>
      <c r="BH59" s="50"/>
      <c r="BI59" s="51"/>
    </row>
    <row r="60" spans="1:61" ht="18" customHeight="1">
      <c r="A60" s="36"/>
      <c r="B60" s="404"/>
      <c r="C60" s="404"/>
      <c r="D60" s="404"/>
      <c r="E60" s="404"/>
      <c r="F60" s="288"/>
      <c r="G60" s="288"/>
      <c r="H60" s="288"/>
      <c r="I60" s="288"/>
      <c r="J60" s="288"/>
      <c r="K60" s="288"/>
      <c r="L60" s="288"/>
      <c r="M60" s="288"/>
      <c r="N60" s="288"/>
      <c r="O60" s="288"/>
      <c r="P60" s="288"/>
      <c r="Q60" s="288"/>
      <c r="R60" s="288"/>
      <c r="S60" s="288"/>
      <c r="T60" s="288"/>
      <c r="U60" s="288"/>
      <c r="V60" s="288"/>
      <c r="W60" s="288"/>
      <c r="X60" s="288"/>
      <c r="Y60" s="288"/>
      <c r="Z60" s="288"/>
      <c r="AA60" s="288"/>
      <c r="AB60" s="288"/>
      <c r="AC60" s="288"/>
      <c r="AD60" s="288"/>
      <c r="AE60" s="288"/>
      <c r="AF60" s="288"/>
      <c r="AG60" s="288"/>
      <c r="AH60" s="288"/>
      <c r="AI60" s="289"/>
      <c r="AK60" s="425" t="s">
        <v>702</v>
      </c>
      <c r="AL60" s="425"/>
      <c r="AM60" s="425"/>
      <c r="AN60" s="425"/>
      <c r="AO60" s="425"/>
      <c r="AP60" s="425"/>
      <c r="AQ60" s="42"/>
      <c r="AR60" s="43"/>
      <c r="AS60" s="43"/>
      <c r="AT60" s="43"/>
      <c r="AU60" s="43"/>
      <c r="AV60" s="43"/>
      <c r="AW60" s="43"/>
      <c r="AX60" s="43"/>
      <c r="AY60" s="43"/>
      <c r="AZ60" s="43"/>
      <c r="BH60" s="52"/>
      <c r="BI60" s="51"/>
    </row>
    <row r="61" spans="1:61" ht="18" customHeight="1">
      <c r="A61" s="36"/>
      <c r="B61" s="404"/>
      <c r="C61" s="404"/>
      <c r="D61" s="404"/>
      <c r="E61" s="404"/>
      <c r="F61" s="288"/>
      <c r="G61" s="288"/>
      <c r="H61" s="288"/>
      <c r="I61" s="288"/>
      <c r="J61" s="288"/>
      <c r="K61" s="288"/>
      <c r="L61" s="288"/>
      <c r="M61" s="288"/>
      <c r="N61" s="288"/>
      <c r="O61" s="288"/>
      <c r="P61" s="288"/>
      <c r="Q61" s="288"/>
      <c r="R61" s="288"/>
      <c r="S61" s="288"/>
      <c r="T61" s="288"/>
      <c r="U61" s="288"/>
      <c r="V61" s="288"/>
      <c r="W61" s="288"/>
      <c r="X61" s="288"/>
      <c r="Y61" s="288"/>
      <c r="Z61" s="288"/>
      <c r="AA61" s="288"/>
      <c r="AB61" s="288"/>
      <c r="AC61" s="288"/>
      <c r="AD61" s="288"/>
      <c r="AE61" s="288"/>
      <c r="AF61" s="288"/>
      <c r="AG61" s="288"/>
      <c r="AH61" s="288"/>
      <c r="AI61" s="289"/>
      <c r="AK61" s="425" t="s">
        <v>703</v>
      </c>
      <c r="AL61" s="425"/>
      <c r="AM61" s="425"/>
      <c r="AN61" s="425"/>
      <c r="AO61" s="425"/>
      <c r="AP61" s="425"/>
      <c r="AQ61" s="42"/>
      <c r="AR61" s="43"/>
      <c r="AS61" s="43"/>
      <c r="AT61" s="43"/>
      <c r="AU61" s="43"/>
      <c r="AV61" s="43"/>
      <c r="AW61" s="43"/>
      <c r="AX61" s="43"/>
      <c r="AY61" s="43"/>
      <c r="AZ61" s="43"/>
      <c r="BH61" s="50"/>
      <c r="BI61" s="51"/>
    </row>
    <row r="62" spans="1:61" ht="18" customHeight="1">
      <c r="A62" s="36"/>
      <c r="B62" s="404"/>
      <c r="C62" s="404"/>
      <c r="D62" s="404"/>
      <c r="E62" s="404"/>
      <c r="F62" s="288"/>
      <c r="G62" s="288"/>
      <c r="H62" s="288"/>
      <c r="I62" s="288"/>
      <c r="J62" s="288"/>
      <c r="K62" s="288"/>
      <c r="L62" s="288"/>
      <c r="M62" s="288"/>
      <c r="N62" s="288"/>
      <c r="O62" s="288"/>
      <c r="P62" s="288"/>
      <c r="Q62" s="288"/>
      <c r="R62" s="288"/>
      <c r="S62" s="288"/>
      <c r="T62" s="288"/>
      <c r="U62" s="288"/>
      <c r="V62" s="288"/>
      <c r="W62" s="288"/>
      <c r="X62" s="288"/>
      <c r="Y62" s="288"/>
      <c r="Z62" s="288"/>
      <c r="AA62" s="288"/>
      <c r="AB62" s="288"/>
      <c r="AC62" s="288"/>
      <c r="AD62" s="288"/>
      <c r="AE62" s="288"/>
      <c r="AF62" s="288"/>
      <c r="AG62" s="288"/>
      <c r="AH62" s="288"/>
      <c r="AI62" s="289"/>
      <c r="AK62" s="425"/>
      <c r="AL62" s="425"/>
      <c r="AM62" s="425"/>
      <c r="AN62" s="425"/>
      <c r="AO62" s="425"/>
      <c r="AP62" s="425"/>
      <c r="AQ62" s="42"/>
      <c r="AR62" s="43"/>
      <c r="AS62" s="43"/>
      <c r="AT62" s="43"/>
      <c r="AU62" s="43"/>
      <c r="AV62" s="43"/>
      <c r="AW62" s="43"/>
      <c r="AX62" s="43"/>
      <c r="AY62" s="43"/>
      <c r="AZ62" s="43"/>
      <c r="BH62" s="50"/>
      <c r="BI62" s="51"/>
    </row>
    <row r="63" spans="1:61" ht="18" customHeight="1">
      <c r="A63" s="36"/>
      <c r="B63" s="404"/>
      <c r="C63" s="404"/>
      <c r="D63" s="404"/>
      <c r="E63" s="404"/>
      <c r="F63" s="288"/>
      <c r="G63" s="288"/>
      <c r="H63" s="288"/>
      <c r="I63" s="288"/>
      <c r="J63" s="288"/>
      <c r="K63" s="288"/>
      <c r="L63" s="288"/>
      <c r="M63" s="288"/>
      <c r="N63" s="288"/>
      <c r="O63" s="288"/>
      <c r="P63" s="288"/>
      <c r="Q63" s="288"/>
      <c r="R63" s="288"/>
      <c r="S63" s="288"/>
      <c r="T63" s="288"/>
      <c r="U63" s="288"/>
      <c r="V63" s="288"/>
      <c r="W63" s="288"/>
      <c r="X63" s="288"/>
      <c r="Y63" s="288"/>
      <c r="Z63" s="288"/>
      <c r="AA63" s="288"/>
      <c r="AB63" s="288"/>
      <c r="AC63" s="288"/>
      <c r="AD63" s="288"/>
      <c r="AE63" s="288"/>
      <c r="AF63" s="288"/>
      <c r="AG63" s="288"/>
      <c r="AH63" s="288"/>
      <c r="AI63" s="289"/>
      <c r="AK63" s="425"/>
      <c r="AL63" s="425"/>
      <c r="AM63" s="425"/>
      <c r="AN63" s="425"/>
      <c r="AO63" s="425"/>
      <c r="AP63" s="425"/>
      <c r="AQ63" s="42"/>
      <c r="AR63" s="43"/>
      <c r="AS63" s="43"/>
      <c r="AT63" s="43"/>
      <c r="AU63" s="43"/>
      <c r="AV63" s="43"/>
      <c r="AW63" s="43"/>
      <c r="AX63" s="43"/>
      <c r="AY63" s="43"/>
      <c r="AZ63" s="43"/>
      <c r="BH63" s="52"/>
      <c r="BI63" s="51"/>
    </row>
    <row r="64" spans="1:61" ht="18" customHeight="1">
      <c r="A64" s="36"/>
      <c r="B64" s="404"/>
      <c r="C64" s="404"/>
      <c r="D64" s="404"/>
      <c r="E64" s="404"/>
      <c r="F64" s="288"/>
      <c r="G64" s="288"/>
      <c r="H64" s="288"/>
      <c r="I64" s="288"/>
      <c r="J64" s="288"/>
      <c r="K64" s="288"/>
      <c r="L64" s="288"/>
      <c r="M64" s="288"/>
      <c r="N64" s="288"/>
      <c r="O64" s="288"/>
      <c r="P64" s="288"/>
      <c r="Q64" s="288"/>
      <c r="R64" s="288"/>
      <c r="S64" s="288"/>
      <c r="T64" s="288"/>
      <c r="U64" s="288"/>
      <c r="V64" s="288"/>
      <c r="W64" s="288"/>
      <c r="X64" s="288"/>
      <c r="Y64" s="288"/>
      <c r="Z64" s="288"/>
      <c r="AA64" s="288"/>
      <c r="AB64" s="288"/>
      <c r="AC64" s="288"/>
      <c r="AD64" s="288"/>
      <c r="AE64" s="288"/>
      <c r="AF64" s="288"/>
      <c r="AG64" s="288"/>
      <c r="AH64" s="288"/>
      <c r="AI64" s="289"/>
      <c r="AK64" s="425"/>
      <c r="AL64" s="425"/>
      <c r="AM64" s="425"/>
      <c r="AN64" s="425"/>
      <c r="AO64" s="425"/>
      <c r="AP64" s="425"/>
      <c r="AQ64" s="42"/>
      <c r="AR64" s="43"/>
      <c r="AS64" s="43"/>
      <c r="AT64" s="43"/>
      <c r="AU64" s="43"/>
      <c r="AV64" s="43"/>
      <c r="AW64" s="43"/>
      <c r="AX64" s="43"/>
      <c r="AY64" s="43"/>
      <c r="AZ64" s="43"/>
      <c r="BH64" s="52"/>
      <c r="BI64" s="51"/>
    </row>
    <row r="65" spans="1:61" ht="18" customHeight="1">
      <c r="A65" s="36"/>
      <c r="B65" s="404"/>
      <c r="C65" s="404"/>
      <c r="D65" s="404"/>
      <c r="E65" s="404"/>
      <c r="F65" s="288"/>
      <c r="G65" s="288"/>
      <c r="H65" s="288"/>
      <c r="I65" s="288"/>
      <c r="J65" s="288"/>
      <c r="K65" s="288"/>
      <c r="L65" s="288"/>
      <c r="M65" s="288"/>
      <c r="N65" s="288"/>
      <c r="O65" s="288"/>
      <c r="P65" s="288"/>
      <c r="Q65" s="288"/>
      <c r="R65" s="288"/>
      <c r="S65" s="288"/>
      <c r="T65" s="288"/>
      <c r="U65" s="288"/>
      <c r="V65" s="288"/>
      <c r="W65" s="288"/>
      <c r="X65" s="288"/>
      <c r="Y65" s="288"/>
      <c r="Z65" s="288"/>
      <c r="AA65" s="288"/>
      <c r="AB65" s="288"/>
      <c r="AC65" s="288"/>
      <c r="AD65" s="288"/>
      <c r="AE65" s="288"/>
      <c r="AF65" s="288"/>
      <c r="AG65" s="288"/>
      <c r="AH65" s="288"/>
      <c r="AI65" s="289"/>
      <c r="AK65" s="425"/>
      <c r="AL65" s="425"/>
      <c r="AM65" s="425"/>
      <c r="AN65" s="425"/>
      <c r="AO65" s="425"/>
      <c r="AP65" s="425"/>
      <c r="AQ65" s="42"/>
      <c r="AR65" s="43"/>
      <c r="AS65" s="43"/>
      <c r="AT65" s="43"/>
      <c r="AU65" s="43"/>
      <c r="AV65" s="43"/>
      <c r="AW65" s="43"/>
      <c r="AX65" s="43"/>
      <c r="AY65" s="43"/>
      <c r="AZ65" s="43"/>
      <c r="BH65" s="50"/>
      <c r="BI65" s="51"/>
    </row>
    <row r="66" spans="1:61" ht="18" customHeight="1">
      <c r="A66" s="36"/>
      <c r="B66" s="404"/>
      <c r="C66" s="404"/>
      <c r="D66" s="404"/>
      <c r="E66" s="404"/>
      <c r="F66" s="288"/>
      <c r="G66" s="288"/>
      <c r="H66" s="288"/>
      <c r="I66" s="288"/>
      <c r="J66" s="288"/>
      <c r="K66" s="288"/>
      <c r="L66" s="288"/>
      <c r="M66" s="288"/>
      <c r="N66" s="288"/>
      <c r="O66" s="288"/>
      <c r="P66" s="288"/>
      <c r="Q66" s="288"/>
      <c r="R66" s="288"/>
      <c r="S66" s="288"/>
      <c r="T66" s="288"/>
      <c r="U66" s="288"/>
      <c r="V66" s="288"/>
      <c r="W66" s="288"/>
      <c r="X66" s="288"/>
      <c r="Y66" s="288"/>
      <c r="Z66" s="288"/>
      <c r="AA66" s="288"/>
      <c r="AB66" s="288"/>
      <c r="AC66" s="288"/>
      <c r="AD66" s="288"/>
      <c r="AE66" s="288"/>
      <c r="AF66" s="288"/>
      <c r="AG66" s="288"/>
      <c r="AH66" s="288"/>
      <c r="AI66" s="289"/>
      <c r="AK66" s="425"/>
      <c r="AL66" s="425"/>
      <c r="AM66" s="425"/>
      <c r="AN66" s="425"/>
      <c r="AO66" s="425"/>
      <c r="AP66" s="425"/>
      <c r="AQ66" s="42"/>
      <c r="AR66" s="43"/>
      <c r="AS66" s="43"/>
      <c r="AT66" s="43"/>
      <c r="AU66" s="43"/>
      <c r="AV66" s="43"/>
      <c r="AW66" s="43"/>
      <c r="AX66" s="43"/>
      <c r="AY66" s="43"/>
      <c r="AZ66" s="43"/>
      <c r="BH66" s="50"/>
      <c r="BI66" s="51"/>
    </row>
    <row r="67" spans="1:61" ht="18" customHeight="1">
      <c r="A67" s="36"/>
      <c r="B67" s="404"/>
      <c r="C67" s="404"/>
      <c r="D67" s="404"/>
      <c r="E67" s="404"/>
      <c r="F67" s="288"/>
      <c r="G67" s="288"/>
      <c r="H67" s="288"/>
      <c r="I67" s="288"/>
      <c r="J67" s="288"/>
      <c r="K67" s="288"/>
      <c r="L67" s="288"/>
      <c r="M67" s="288"/>
      <c r="N67" s="288"/>
      <c r="O67" s="288"/>
      <c r="P67" s="288"/>
      <c r="Q67" s="288"/>
      <c r="R67" s="288"/>
      <c r="S67" s="288"/>
      <c r="T67" s="288"/>
      <c r="U67" s="288"/>
      <c r="V67" s="288"/>
      <c r="W67" s="288"/>
      <c r="X67" s="288"/>
      <c r="Y67" s="288"/>
      <c r="Z67" s="288"/>
      <c r="AA67" s="288"/>
      <c r="AB67" s="288"/>
      <c r="AC67" s="288"/>
      <c r="AD67" s="288"/>
      <c r="AE67" s="288"/>
      <c r="AF67" s="288"/>
      <c r="AG67" s="288"/>
      <c r="AH67" s="288"/>
      <c r="AI67" s="289"/>
      <c r="AK67" s="425"/>
      <c r="AL67" s="425"/>
      <c r="AM67" s="425"/>
      <c r="AN67" s="425"/>
      <c r="AO67" s="425"/>
      <c r="AP67" s="425"/>
      <c r="AQ67" s="67"/>
      <c r="AR67" s="43"/>
      <c r="AS67" s="43"/>
      <c r="AT67" s="43"/>
      <c r="AU67" s="43"/>
      <c r="AV67" s="43"/>
      <c r="AW67" s="43"/>
      <c r="AX67" s="43"/>
      <c r="AY67" s="43"/>
      <c r="AZ67" s="43"/>
      <c r="BH67" s="50"/>
      <c r="BI67" s="51"/>
    </row>
    <row r="68" spans="1:61" ht="18" customHeight="1">
      <c r="A68" s="36"/>
      <c r="B68" s="404"/>
      <c r="C68" s="404"/>
      <c r="D68" s="404"/>
      <c r="E68" s="404"/>
      <c r="F68" s="288"/>
      <c r="G68" s="288"/>
      <c r="H68" s="288"/>
      <c r="I68" s="288"/>
      <c r="J68" s="288"/>
      <c r="K68" s="288"/>
      <c r="L68" s="288"/>
      <c r="M68" s="288"/>
      <c r="N68" s="288"/>
      <c r="O68" s="288"/>
      <c r="P68" s="288"/>
      <c r="Q68" s="288"/>
      <c r="R68" s="288"/>
      <c r="S68" s="288"/>
      <c r="T68" s="288"/>
      <c r="U68" s="288"/>
      <c r="V68" s="288"/>
      <c r="W68" s="288"/>
      <c r="X68" s="288"/>
      <c r="Y68" s="288"/>
      <c r="Z68" s="288"/>
      <c r="AA68" s="288"/>
      <c r="AB68" s="288"/>
      <c r="AC68" s="288"/>
      <c r="AD68" s="288"/>
      <c r="AE68" s="288"/>
      <c r="AF68" s="288"/>
      <c r="AG68" s="288"/>
      <c r="AH68" s="288"/>
      <c r="AI68" s="289"/>
      <c r="AK68" s="425"/>
      <c r="AL68" s="425"/>
      <c r="AM68" s="425"/>
      <c r="AN68" s="425"/>
      <c r="AO68" s="425"/>
      <c r="AP68" s="425"/>
      <c r="AQ68" s="67"/>
      <c r="AR68" s="43"/>
      <c r="AS68" s="43"/>
      <c r="AT68" s="43"/>
      <c r="AU68" s="43"/>
      <c r="AV68" s="43"/>
      <c r="AW68" s="43"/>
      <c r="AX68" s="43"/>
      <c r="AY68" s="43"/>
      <c r="AZ68" s="43"/>
      <c r="BH68" s="50"/>
      <c r="BI68" s="51"/>
    </row>
    <row r="69" spans="1:61" ht="18" customHeight="1">
      <c r="A69" s="36"/>
      <c r="B69" s="404"/>
      <c r="C69" s="404"/>
      <c r="D69" s="404"/>
      <c r="E69" s="404"/>
      <c r="F69" s="288"/>
      <c r="G69" s="288"/>
      <c r="H69" s="288"/>
      <c r="I69" s="288"/>
      <c r="J69" s="288"/>
      <c r="K69" s="288"/>
      <c r="L69" s="288"/>
      <c r="M69" s="288"/>
      <c r="N69" s="288"/>
      <c r="O69" s="288"/>
      <c r="P69" s="288"/>
      <c r="Q69" s="288"/>
      <c r="R69" s="288"/>
      <c r="S69" s="288"/>
      <c r="T69" s="288"/>
      <c r="U69" s="288"/>
      <c r="V69" s="288"/>
      <c r="W69" s="288"/>
      <c r="X69" s="288"/>
      <c r="Y69" s="288"/>
      <c r="Z69" s="288"/>
      <c r="AA69" s="288"/>
      <c r="AB69" s="288"/>
      <c r="AC69" s="288"/>
      <c r="AD69" s="288"/>
      <c r="AE69" s="288"/>
      <c r="AF69" s="288"/>
      <c r="AG69" s="288"/>
      <c r="AH69" s="288"/>
      <c r="AI69" s="289"/>
      <c r="AK69" s="425"/>
      <c r="AL69" s="425"/>
      <c r="AM69" s="425"/>
      <c r="AN69" s="425"/>
      <c r="AO69" s="425"/>
      <c r="AP69" s="425"/>
      <c r="AQ69" s="42"/>
      <c r="AR69" s="43"/>
      <c r="AS69" s="43"/>
      <c r="AT69" s="43"/>
      <c r="AU69" s="43"/>
      <c r="AV69" s="43"/>
      <c r="AW69" s="43"/>
      <c r="AX69" s="43"/>
      <c r="AY69" s="43"/>
      <c r="AZ69" s="43"/>
      <c r="BH69" s="50"/>
      <c r="BI69" s="51"/>
    </row>
    <row r="70" spans="1:61" ht="18" customHeight="1">
      <c r="A70" s="36"/>
      <c r="B70" s="404"/>
      <c r="C70" s="404"/>
      <c r="D70" s="404"/>
      <c r="E70" s="404"/>
      <c r="F70" s="288"/>
      <c r="G70" s="288"/>
      <c r="H70" s="288"/>
      <c r="I70" s="288"/>
      <c r="J70" s="288"/>
      <c r="K70" s="288"/>
      <c r="L70" s="288"/>
      <c r="M70" s="288"/>
      <c r="N70" s="288"/>
      <c r="O70" s="288"/>
      <c r="P70" s="288"/>
      <c r="Q70" s="288"/>
      <c r="R70" s="288"/>
      <c r="S70" s="288"/>
      <c r="T70" s="288"/>
      <c r="U70" s="288"/>
      <c r="V70" s="288"/>
      <c r="W70" s="288"/>
      <c r="X70" s="288"/>
      <c r="Y70" s="288"/>
      <c r="Z70" s="288"/>
      <c r="AA70" s="288"/>
      <c r="AB70" s="288"/>
      <c r="AC70" s="288"/>
      <c r="AD70" s="288"/>
      <c r="AE70" s="288"/>
      <c r="AF70" s="288"/>
      <c r="AG70" s="288"/>
      <c r="AH70" s="288"/>
      <c r="AI70" s="289"/>
      <c r="AK70" s="425"/>
      <c r="AL70" s="425"/>
      <c r="AM70" s="425"/>
      <c r="AN70" s="425"/>
      <c r="AO70" s="425"/>
      <c r="AP70" s="425"/>
      <c r="AQ70" s="42"/>
      <c r="AR70" s="43"/>
      <c r="AS70" s="43"/>
      <c r="AT70" s="43"/>
      <c r="AU70" s="43"/>
      <c r="AV70" s="43"/>
      <c r="AW70" s="43"/>
      <c r="AX70" s="43"/>
      <c r="AY70" s="43"/>
      <c r="AZ70" s="43"/>
      <c r="BH70" s="50"/>
      <c r="BI70" s="51"/>
    </row>
    <row r="71" spans="1:61" ht="18" customHeight="1">
      <c r="A71" s="36"/>
      <c r="B71" s="404"/>
      <c r="C71" s="404"/>
      <c r="D71" s="404"/>
      <c r="E71" s="404"/>
      <c r="F71" s="288"/>
      <c r="G71" s="288"/>
      <c r="H71" s="288"/>
      <c r="I71" s="288"/>
      <c r="J71" s="288"/>
      <c r="K71" s="288"/>
      <c r="L71" s="288"/>
      <c r="M71" s="288"/>
      <c r="N71" s="288"/>
      <c r="O71" s="288"/>
      <c r="P71" s="288"/>
      <c r="Q71" s="288"/>
      <c r="R71" s="288"/>
      <c r="S71" s="288"/>
      <c r="T71" s="288"/>
      <c r="U71" s="288"/>
      <c r="V71" s="288"/>
      <c r="W71" s="288"/>
      <c r="X71" s="288"/>
      <c r="Y71" s="288"/>
      <c r="Z71" s="288"/>
      <c r="AA71" s="288"/>
      <c r="AB71" s="288"/>
      <c r="AC71" s="288"/>
      <c r="AD71" s="288"/>
      <c r="AE71" s="288"/>
      <c r="AF71" s="288"/>
      <c r="AG71" s="288"/>
      <c r="AH71" s="288"/>
      <c r="AI71" s="289"/>
      <c r="AK71" s="425"/>
      <c r="AL71" s="425"/>
      <c r="AM71" s="425"/>
      <c r="AN71" s="425"/>
      <c r="AO71" s="425"/>
      <c r="AP71" s="425"/>
      <c r="AQ71" s="42"/>
      <c r="AR71" s="43"/>
      <c r="AS71" s="43"/>
      <c r="AT71" s="43"/>
      <c r="AU71" s="43"/>
      <c r="AV71" s="43"/>
      <c r="AW71" s="43"/>
      <c r="AX71" s="43"/>
      <c r="AY71" s="43"/>
      <c r="AZ71" s="43"/>
      <c r="BH71" s="52"/>
      <c r="BI71" s="51"/>
    </row>
    <row r="72" spans="1:61" ht="18" customHeight="1">
      <c r="A72" s="36"/>
      <c r="B72" s="404"/>
      <c r="C72" s="404"/>
      <c r="D72" s="404"/>
      <c r="E72" s="404"/>
      <c r="F72" s="288"/>
      <c r="G72" s="288"/>
      <c r="H72" s="288"/>
      <c r="I72" s="288"/>
      <c r="J72" s="288"/>
      <c r="K72" s="288"/>
      <c r="L72" s="288"/>
      <c r="M72" s="288"/>
      <c r="N72" s="288"/>
      <c r="O72" s="288"/>
      <c r="P72" s="288"/>
      <c r="Q72" s="288"/>
      <c r="R72" s="288"/>
      <c r="S72" s="288"/>
      <c r="T72" s="288"/>
      <c r="U72" s="288"/>
      <c r="V72" s="288"/>
      <c r="W72" s="288"/>
      <c r="X72" s="288"/>
      <c r="Y72" s="288"/>
      <c r="Z72" s="288"/>
      <c r="AA72" s="288"/>
      <c r="AB72" s="288"/>
      <c r="AC72" s="288"/>
      <c r="AD72" s="288"/>
      <c r="AE72" s="288"/>
      <c r="AF72" s="288"/>
      <c r="AG72" s="288"/>
      <c r="AH72" s="288"/>
      <c r="AI72" s="289"/>
      <c r="AK72" s="425"/>
      <c r="AL72" s="425"/>
      <c r="AM72" s="425"/>
      <c r="AN72" s="425"/>
      <c r="AO72" s="425"/>
      <c r="AP72" s="425"/>
      <c r="AQ72" s="42"/>
      <c r="AR72" s="43"/>
      <c r="AS72" s="43"/>
      <c r="AT72" s="43"/>
      <c r="AU72" s="43"/>
      <c r="AV72" s="43"/>
      <c r="AW72" s="43"/>
      <c r="AX72" s="43"/>
      <c r="AY72" s="43"/>
      <c r="AZ72" s="43"/>
      <c r="BH72" s="53"/>
      <c r="BI72" s="51"/>
    </row>
    <row r="73" spans="1:61" ht="18" customHeight="1">
      <c r="A73" s="36"/>
      <c r="B73" s="404"/>
      <c r="C73" s="404"/>
      <c r="D73" s="404"/>
      <c r="E73" s="404"/>
      <c r="F73" s="288"/>
      <c r="G73" s="288"/>
      <c r="H73" s="288"/>
      <c r="I73" s="288"/>
      <c r="J73" s="288"/>
      <c r="K73" s="288"/>
      <c r="L73" s="288"/>
      <c r="M73" s="288"/>
      <c r="N73" s="288"/>
      <c r="O73" s="288"/>
      <c r="P73" s="288"/>
      <c r="Q73" s="288"/>
      <c r="R73" s="288"/>
      <c r="S73" s="288"/>
      <c r="T73" s="288"/>
      <c r="U73" s="288"/>
      <c r="V73" s="288"/>
      <c r="W73" s="288"/>
      <c r="X73" s="288"/>
      <c r="Y73" s="288"/>
      <c r="Z73" s="288"/>
      <c r="AA73" s="288"/>
      <c r="AB73" s="288"/>
      <c r="AC73" s="288"/>
      <c r="AD73" s="288"/>
      <c r="AE73" s="288"/>
      <c r="AF73" s="288"/>
      <c r="AG73" s="288"/>
      <c r="AH73" s="288"/>
      <c r="AI73" s="289"/>
      <c r="AK73" s="425"/>
      <c r="AL73" s="425"/>
      <c r="AM73" s="425"/>
      <c r="AN73" s="425"/>
      <c r="AO73" s="425"/>
      <c r="AP73" s="425"/>
      <c r="AQ73" s="42"/>
      <c r="AR73" s="43"/>
      <c r="AS73" s="43"/>
      <c r="AT73" s="43"/>
      <c r="AU73" s="43"/>
      <c r="AV73" s="43"/>
      <c r="AW73" s="43"/>
      <c r="AX73" s="43"/>
      <c r="AY73" s="43"/>
      <c r="AZ73" s="43"/>
      <c r="BH73" s="54"/>
      <c r="BI73" s="51"/>
    </row>
    <row r="74" spans="1:61" ht="18" customHeight="1">
      <c r="A74" s="36"/>
      <c r="B74" s="404"/>
      <c r="C74" s="404"/>
      <c r="D74" s="404"/>
      <c r="E74" s="404"/>
      <c r="F74" s="288"/>
      <c r="G74" s="288"/>
      <c r="H74" s="288"/>
      <c r="I74" s="288"/>
      <c r="J74" s="288"/>
      <c r="K74" s="288"/>
      <c r="L74" s="288"/>
      <c r="M74" s="288"/>
      <c r="N74" s="288"/>
      <c r="O74" s="288"/>
      <c r="P74" s="288"/>
      <c r="Q74" s="288"/>
      <c r="R74" s="288"/>
      <c r="S74" s="288"/>
      <c r="T74" s="288"/>
      <c r="U74" s="288"/>
      <c r="V74" s="288"/>
      <c r="W74" s="288"/>
      <c r="X74" s="288"/>
      <c r="Y74" s="288"/>
      <c r="Z74" s="288"/>
      <c r="AA74" s="288"/>
      <c r="AB74" s="288"/>
      <c r="AC74" s="288"/>
      <c r="AD74" s="288"/>
      <c r="AE74" s="288"/>
      <c r="AF74" s="288"/>
      <c r="AG74" s="288"/>
      <c r="AH74" s="288"/>
      <c r="AI74" s="289"/>
      <c r="AK74" s="425"/>
      <c r="AL74" s="425"/>
      <c r="AM74" s="425"/>
      <c r="AN74" s="425"/>
      <c r="AO74" s="425"/>
      <c r="AP74" s="425"/>
      <c r="AQ74" s="42"/>
      <c r="AR74" s="43"/>
      <c r="AS74" s="43"/>
      <c r="AT74" s="43"/>
      <c r="AU74" s="43"/>
      <c r="AV74" s="43"/>
      <c r="AW74" s="43"/>
      <c r="AX74" s="43"/>
      <c r="AY74" s="43"/>
      <c r="AZ74" s="43"/>
      <c r="BH74" s="54"/>
      <c r="BI74" s="51"/>
    </row>
    <row r="75" spans="1:61" ht="18" customHeight="1">
      <c r="A75" s="36"/>
      <c r="B75" s="404"/>
      <c r="C75" s="404"/>
      <c r="D75" s="404"/>
      <c r="E75" s="404"/>
      <c r="F75" s="288"/>
      <c r="G75" s="288"/>
      <c r="H75" s="288"/>
      <c r="I75" s="288"/>
      <c r="J75" s="288"/>
      <c r="K75" s="288"/>
      <c r="L75" s="288"/>
      <c r="M75" s="288"/>
      <c r="N75" s="288"/>
      <c r="O75" s="288"/>
      <c r="P75" s="288"/>
      <c r="Q75" s="288"/>
      <c r="R75" s="288"/>
      <c r="S75" s="288"/>
      <c r="T75" s="288"/>
      <c r="U75" s="288"/>
      <c r="V75" s="288"/>
      <c r="W75" s="288"/>
      <c r="X75" s="288"/>
      <c r="Y75" s="288"/>
      <c r="Z75" s="288"/>
      <c r="AA75" s="288"/>
      <c r="AB75" s="288"/>
      <c r="AC75" s="288"/>
      <c r="AD75" s="288"/>
      <c r="AE75" s="288"/>
      <c r="AF75" s="288"/>
      <c r="AG75" s="288"/>
      <c r="AH75" s="288"/>
      <c r="AI75" s="289"/>
      <c r="AK75" s="425"/>
      <c r="AL75" s="425"/>
      <c r="AM75" s="425"/>
      <c r="AN75" s="425"/>
      <c r="AO75" s="425"/>
      <c r="AP75" s="425"/>
      <c r="AQ75" s="42"/>
      <c r="AR75" s="43"/>
      <c r="AS75" s="43"/>
      <c r="AT75" s="43"/>
      <c r="AU75" s="43"/>
      <c r="AV75" s="43"/>
      <c r="AW75" s="43"/>
      <c r="AX75" s="43"/>
      <c r="AY75" s="43"/>
      <c r="AZ75" s="43"/>
      <c r="BH75" s="53"/>
      <c r="BI75" s="51"/>
    </row>
    <row r="76" spans="1:61" ht="18" customHeight="1">
      <c r="A76" s="36"/>
      <c r="B76" s="404"/>
      <c r="C76" s="404"/>
      <c r="D76" s="404"/>
      <c r="E76" s="404"/>
      <c r="F76" s="288"/>
      <c r="G76" s="288"/>
      <c r="H76" s="288"/>
      <c r="I76" s="288"/>
      <c r="J76" s="288"/>
      <c r="K76" s="288"/>
      <c r="L76" s="288"/>
      <c r="M76" s="288"/>
      <c r="N76" s="288"/>
      <c r="O76" s="288"/>
      <c r="P76" s="288"/>
      <c r="Q76" s="288"/>
      <c r="R76" s="288"/>
      <c r="S76" s="288"/>
      <c r="T76" s="288"/>
      <c r="U76" s="288"/>
      <c r="V76" s="288"/>
      <c r="W76" s="288"/>
      <c r="X76" s="288"/>
      <c r="Y76" s="288"/>
      <c r="Z76" s="288"/>
      <c r="AA76" s="288"/>
      <c r="AB76" s="288"/>
      <c r="AC76" s="288"/>
      <c r="AD76" s="288"/>
      <c r="AE76" s="288"/>
      <c r="AF76" s="288"/>
      <c r="AG76" s="288"/>
      <c r="AH76" s="288"/>
      <c r="AI76" s="289"/>
      <c r="AK76" s="425"/>
      <c r="AL76" s="425"/>
      <c r="AM76" s="425"/>
      <c r="AN76" s="425"/>
      <c r="AO76" s="425"/>
      <c r="AP76" s="425"/>
      <c r="AQ76" s="42"/>
      <c r="AR76" s="43"/>
      <c r="AS76" s="43"/>
      <c r="AT76" s="43"/>
      <c r="AU76" s="43"/>
      <c r="AV76" s="43"/>
      <c r="AW76" s="43"/>
      <c r="AX76" s="43"/>
      <c r="AY76" s="43"/>
      <c r="AZ76" s="43"/>
      <c r="BH76" s="53"/>
      <c r="BI76" s="51"/>
    </row>
    <row r="77" spans="1:61" ht="18" customHeight="1">
      <c r="A77" s="36"/>
      <c r="B77" s="404"/>
      <c r="C77" s="404"/>
      <c r="D77" s="404"/>
      <c r="E77" s="404"/>
      <c r="F77" s="288"/>
      <c r="G77" s="288"/>
      <c r="H77" s="288"/>
      <c r="I77" s="288"/>
      <c r="J77" s="288"/>
      <c r="K77" s="288"/>
      <c r="L77" s="288"/>
      <c r="M77" s="288"/>
      <c r="N77" s="288"/>
      <c r="O77" s="288"/>
      <c r="P77" s="288"/>
      <c r="Q77" s="288"/>
      <c r="R77" s="288"/>
      <c r="S77" s="288"/>
      <c r="T77" s="288"/>
      <c r="U77" s="288"/>
      <c r="V77" s="288"/>
      <c r="W77" s="288"/>
      <c r="X77" s="288"/>
      <c r="Y77" s="288"/>
      <c r="Z77" s="288"/>
      <c r="AA77" s="288"/>
      <c r="AB77" s="288"/>
      <c r="AC77" s="288"/>
      <c r="AD77" s="288"/>
      <c r="AE77" s="288"/>
      <c r="AF77" s="288"/>
      <c r="AG77" s="288"/>
      <c r="AH77" s="288"/>
      <c r="AI77" s="289"/>
      <c r="AK77" s="425"/>
      <c r="AL77" s="425"/>
      <c r="AM77" s="425"/>
      <c r="AN77" s="425"/>
      <c r="AO77" s="425"/>
      <c r="AP77" s="425"/>
      <c r="AQ77" s="42"/>
      <c r="AR77" s="43"/>
      <c r="AS77" s="43"/>
      <c r="AT77" s="43"/>
      <c r="AU77" s="43"/>
      <c r="AV77" s="43"/>
      <c r="AW77" s="43"/>
      <c r="AX77" s="43"/>
      <c r="AY77" s="43"/>
      <c r="AZ77" s="43"/>
      <c r="BH77" s="54"/>
      <c r="BI77" s="51"/>
    </row>
    <row r="78" spans="1:61" ht="18" customHeight="1">
      <c r="A78" s="36"/>
      <c r="B78" s="404"/>
      <c r="C78" s="404"/>
      <c r="D78" s="404"/>
      <c r="E78" s="404"/>
      <c r="F78" s="288"/>
      <c r="G78" s="288"/>
      <c r="H78" s="288"/>
      <c r="I78" s="288"/>
      <c r="J78" s="288"/>
      <c r="K78" s="288"/>
      <c r="L78" s="288"/>
      <c r="M78" s="288"/>
      <c r="N78" s="288"/>
      <c r="O78" s="288"/>
      <c r="P78" s="288"/>
      <c r="Q78" s="288"/>
      <c r="R78" s="288"/>
      <c r="S78" s="288"/>
      <c r="T78" s="288"/>
      <c r="U78" s="288"/>
      <c r="V78" s="288"/>
      <c r="W78" s="288"/>
      <c r="X78" s="288"/>
      <c r="Y78" s="288"/>
      <c r="Z78" s="288"/>
      <c r="AA78" s="288"/>
      <c r="AB78" s="288"/>
      <c r="AC78" s="288"/>
      <c r="AD78" s="288"/>
      <c r="AE78" s="288"/>
      <c r="AF78" s="288"/>
      <c r="AG78" s="288"/>
      <c r="AH78" s="288"/>
      <c r="AI78" s="289"/>
      <c r="AK78" s="425"/>
      <c r="AL78" s="425"/>
      <c r="AM78" s="425"/>
      <c r="AN78" s="425"/>
      <c r="AO78" s="425"/>
      <c r="AP78" s="425"/>
      <c r="AQ78" s="42"/>
      <c r="AR78" s="43"/>
      <c r="AS78" s="43"/>
      <c r="AT78" s="43"/>
      <c r="AU78" s="43"/>
      <c r="AV78" s="43"/>
      <c r="AW78" s="43"/>
      <c r="AX78" s="43"/>
      <c r="AY78" s="43"/>
      <c r="AZ78" s="43"/>
      <c r="BH78" s="54"/>
      <c r="BI78" s="51"/>
    </row>
    <row r="79" spans="1:61" ht="18" customHeight="1">
      <c r="A79" s="36"/>
      <c r="B79" s="404"/>
      <c r="C79" s="404"/>
      <c r="D79" s="404"/>
      <c r="E79" s="404"/>
      <c r="F79" s="288"/>
      <c r="G79" s="288"/>
      <c r="H79" s="288"/>
      <c r="I79" s="288"/>
      <c r="J79" s="288"/>
      <c r="K79" s="288"/>
      <c r="L79" s="288"/>
      <c r="M79" s="288"/>
      <c r="N79" s="288"/>
      <c r="O79" s="288"/>
      <c r="P79" s="288"/>
      <c r="Q79" s="288"/>
      <c r="R79" s="288"/>
      <c r="S79" s="288"/>
      <c r="T79" s="288"/>
      <c r="U79" s="288"/>
      <c r="V79" s="288"/>
      <c r="W79" s="288"/>
      <c r="X79" s="288"/>
      <c r="Y79" s="288"/>
      <c r="Z79" s="288"/>
      <c r="AA79" s="288"/>
      <c r="AB79" s="288"/>
      <c r="AC79" s="288"/>
      <c r="AD79" s="288"/>
      <c r="AE79" s="288"/>
      <c r="AF79" s="288"/>
      <c r="AG79" s="288"/>
      <c r="AH79" s="288"/>
      <c r="AI79" s="289"/>
      <c r="AK79" s="425"/>
      <c r="AL79" s="425"/>
      <c r="AM79" s="425"/>
      <c r="AN79" s="425"/>
      <c r="AO79" s="425"/>
      <c r="AP79" s="425"/>
      <c r="AQ79" s="42"/>
      <c r="AR79" s="43"/>
      <c r="AS79" s="43"/>
      <c r="AT79" s="43"/>
      <c r="AU79" s="43"/>
      <c r="AV79" s="43"/>
      <c r="AW79" s="43"/>
      <c r="AX79" s="43"/>
      <c r="AY79" s="43"/>
      <c r="AZ79" s="43"/>
      <c r="BH79" s="54"/>
      <c r="BI79" s="51"/>
    </row>
    <row r="80" spans="1:61" ht="18" customHeight="1">
      <c r="A80" s="37"/>
      <c r="B80" s="466"/>
      <c r="C80" s="466"/>
      <c r="D80" s="466"/>
      <c r="E80" s="466"/>
      <c r="F80" s="467"/>
      <c r="G80" s="467"/>
      <c r="H80" s="467"/>
      <c r="I80" s="467"/>
      <c r="J80" s="467"/>
      <c r="K80" s="467"/>
      <c r="L80" s="467"/>
      <c r="M80" s="467"/>
      <c r="N80" s="467"/>
      <c r="O80" s="467"/>
      <c r="P80" s="467"/>
      <c r="Q80" s="467"/>
      <c r="R80" s="467"/>
      <c r="S80" s="467"/>
      <c r="T80" s="467"/>
      <c r="U80" s="467"/>
      <c r="V80" s="467"/>
      <c r="W80" s="467"/>
      <c r="X80" s="467"/>
      <c r="Y80" s="467"/>
      <c r="Z80" s="467"/>
      <c r="AA80" s="467"/>
      <c r="AB80" s="467"/>
      <c r="AC80" s="467"/>
      <c r="AD80" s="467"/>
      <c r="AE80" s="467"/>
      <c r="AF80" s="467"/>
      <c r="AG80" s="467"/>
      <c r="AH80" s="467"/>
      <c r="AI80" s="468"/>
      <c r="AK80" s="425"/>
      <c r="AL80" s="425"/>
      <c r="AM80" s="425"/>
      <c r="AN80" s="425"/>
      <c r="AO80" s="425"/>
      <c r="AP80" s="425"/>
      <c r="AQ80" s="42"/>
      <c r="AR80" s="43"/>
      <c r="AS80" s="43"/>
      <c r="AT80" s="43"/>
      <c r="AU80" s="43"/>
      <c r="AV80" s="43"/>
      <c r="AW80" s="43"/>
      <c r="AX80" s="43"/>
      <c r="AY80" s="43"/>
      <c r="AZ80" s="43"/>
      <c r="BH80" s="54"/>
      <c r="BI80" s="51"/>
    </row>
    <row r="81" spans="1:61" ht="18" customHeight="1">
      <c r="A81" s="406" t="s">
        <v>704</v>
      </c>
      <c r="B81" s="407"/>
      <c r="C81" s="407"/>
      <c r="D81" s="407"/>
      <c r="E81" s="407"/>
      <c r="F81" s="407"/>
      <c r="G81" s="407"/>
      <c r="H81" s="407"/>
      <c r="I81" s="407"/>
      <c r="J81" s="407"/>
      <c r="K81" s="407"/>
      <c r="L81" s="407"/>
      <c r="M81" s="407"/>
      <c r="N81" s="407"/>
      <c r="O81" s="407"/>
      <c r="P81" s="407"/>
      <c r="Q81" s="407"/>
      <c r="R81" s="407"/>
      <c r="S81" s="407"/>
      <c r="T81" s="407"/>
      <c r="U81" s="407"/>
      <c r="V81" s="407"/>
      <c r="W81" s="407"/>
      <c r="X81" s="407"/>
      <c r="Y81" s="407"/>
      <c r="Z81" s="407"/>
      <c r="AA81" s="407"/>
      <c r="AB81" s="407"/>
      <c r="AC81" s="407"/>
      <c r="AD81" s="407"/>
      <c r="AE81" s="407"/>
      <c r="AF81" s="407"/>
      <c r="AG81" s="407"/>
      <c r="AH81" s="407"/>
      <c r="AI81" s="408"/>
      <c r="AK81" s="425"/>
      <c r="AL81" s="425"/>
      <c r="AM81" s="425"/>
      <c r="AN81" s="425"/>
      <c r="AO81" s="425"/>
      <c r="AP81" s="425"/>
      <c r="AQ81" s="42"/>
      <c r="AR81" s="43"/>
      <c r="AS81" s="43"/>
      <c r="AT81" s="43"/>
      <c r="AU81" s="43"/>
      <c r="AV81" s="43"/>
      <c r="AW81" s="43"/>
      <c r="AX81" s="43"/>
      <c r="AY81" s="43"/>
      <c r="AZ81" s="43"/>
      <c r="BH81" s="53"/>
      <c r="BI81" s="51"/>
    </row>
    <row r="82" spans="1:61" ht="18" customHeight="1">
      <c r="A82" s="38"/>
      <c r="B82" s="465">
        <v>45644</v>
      </c>
      <c r="C82" s="465"/>
      <c r="D82" s="465"/>
      <c r="E82" s="465"/>
      <c r="F82" s="288" t="s">
        <v>837</v>
      </c>
      <c r="G82" s="288"/>
      <c r="H82" s="288"/>
      <c r="I82" s="288"/>
      <c r="J82" s="288"/>
      <c r="K82" s="288"/>
      <c r="L82" s="288"/>
      <c r="M82" s="288"/>
      <c r="N82" s="288"/>
      <c r="O82" s="288"/>
      <c r="P82" s="288"/>
      <c r="Q82" s="288"/>
      <c r="R82" s="288"/>
      <c r="S82" s="288"/>
      <c r="T82" s="288"/>
      <c r="U82" s="288"/>
      <c r="V82" s="288"/>
      <c r="W82" s="288"/>
      <c r="X82" s="288"/>
      <c r="Y82" s="288"/>
      <c r="Z82" s="288"/>
      <c r="AA82" s="288"/>
      <c r="AB82" s="288"/>
      <c r="AC82" s="288"/>
      <c r="AD82" s="288"/>
      <c r="AE82" s="288"/>
      <c r="AF82" s="288"/>
      <c r="AG82" s="288"/>
      <c r="AH82" s="288"/>
      <c r="AI82" s="289"/>
      <c r="AK82" s="425"/>
      <c r="AL82" s="425"/>
      <c r="AM82" s="425"/>
      <c r="AN82" s="425"/>
      <c r="AO82" s="425"/>
      <c r="AP82" s="425"/>
      <c r="AQ82" s="42"/>
      <c r="AR82" s="43"/>
      <c r="AS82" s="43"/>
      <c r="AT82" s="43"/>
      <c r="AU82" s="43"/>
      <c r="AV82" s="43"/>
      <c r="AW82" s="43"/>
      <c r="AX82" s="43"/>
      <c r="AY82" s="43"/>
      <c r="AZ82" s="43"/>
      <c r="BH82" s="53"/>
      <c r="BI82" s="51"/>
    </row>
    <row r="83" spans="1:61" ht="18" customHeight="1">
      <c r="A83" s="38"/>
      <c r="B83" s="465">
        <v>46160</v>
      </c>
      <c r="C83" s="465"/>
      <c r="D83" s="465"/>
      <c r="E83" s="465"/>
      <c r="F83" s="288" t="s">
        <v>838</v>
      </c>
      <c r="G83" s="288"/>
      <c r="H83" s="288"/>
      <c r="I83" s="288"/>
      <c r="J83" s="288"/>
      <c r="K83" s="288"/>
      <c r="L83" s="288"/>
      <c r="M83" s="288"/>
      <c r="N83" s="288"/>
      <c r="O83" s="288"/>
      <c r="P83" s="288"/>
      <c r="Q83" s="288"/>
      <c r="R83" s="288"/>
      <c r="S83" s="288"/>
      <c r="T83" s="288"/>
      <c r="U83" s="288"/>
      <c r="V83" s="288"/>
      <c r="W83" s="288"/>
      <c r="X83" s="288"/>
      <c r="Y83" s="288"/>
      <c r="Z83" s="288"/>
      <c r="AA83" s="288"/>
      <c r="AB83" s="288"/>
      <c r="AC83" s="288"/>
      <c r="AD83" s="288"/>
      <c r="AE83" s="288"/>
      <c r="AF83" s="288"/>
      <c r="AG83" s="288"/>
      <c r="AH83" s="288"/>
      <c r="AI83" s="289"/>
      <c r="AK83" s="425"/>
      <c r="AL83" s="425"/>
      <c r="AM83" s="425"/>
      <c r="AN83" s="425"/>
      <c r="AO83" s="425"/>
      <c r="AP83" s="425"/>
      <c r="AQ83" s="42"/>
      <c r="AR83" s="43"/>
      <c r="AS83" s="43"/>
      <c r="AT83" s="43"/>
      <c r="AU83" s="43"/>
      <c r="AV83" s="43"/>
      <c r="AW83" s="43"/>
      <c r="AX83" s="43"/>
      <c r="AY83" s="43"/>
      <c r="AZ83" s="43"/>
      <c r="BH83" s="53"/>
      <c r="BI83" s="51"/>
    </row>
    <row r="84" spans="1:61" ht="18" customHeight="1">
      <c r="A84" s="38"/>
      <c r="B84" s="465"/>
      <c r="C84" s="465"/>
      <c r="D84" s="465"/>
      <c r="E84" s="465"/>
      <c r="F84" s="288"/>
      <c r="G84" s="288"/>
      <c r="H84" s="288"/>
      <c r="I84" s="288"/>
      <c r="J84" s="288"/>
      <c r="K84" s="288"/>
      <c r="L84" s="288"/>
      <c r="M84" s="288"/>
      <c r="N84" s="288"/>
      <c r="O84" s="288"/>
      <c r="P84" s="288"/>
      <c r="Q84" s="288"/>
      <c r="R84" s="288"/>
      <c r="S84" s="288"/>
      <c r="T84" s="288"/>
      <c r="U84" s="288"/>
      <c r="V84" s="288"/>
      <c r="W84" s="288"/>
      <c r="X84" s="288"/>
      <c r="Y84" s="288"/>
      <c r="Z84" s="288"/>
      <c r="AA84" s="288"/>
      <c r="AB84" s="288"/>
      <c r="AC84" s="288"/>
      <c r="AD84" s="288"/>
      <c r="AE84" s="288"/>
      <c r="AF84" s="288"/>
      <c r="AG84" s="288"/>
      <c r="AH84" s="288"/>
      <c r="AI84" s="289"/>
      <c r="AK84" s="425"/>
      <c r="AL84" s="425"/>
      <c r="AM84" s="425"/>
      <c r="AN84" s="425"/>
      <c r="AO84" s="425"/>
      <c r="AP84" s="425"/>
      <c r="AQ84" s="42"/>
      <c r="AR84" s="43"/>
      <c r="AS84" s="43"/>
      <c r="AT84" s="43"/>
      <c r="AU84" s="43"/>
      <c r="AV84" s="43"/>
      <c r="AW84" s="43"/>
      <c r="AX84" s="43"/>
      <c r="AY84" s="43"/>
      <c r="AZ84" s="43"/>
    </row>
    <row r="85" spans="1:61" ht="18" customHeight="1">
      <c r="A85" s="38"/>
      <c r="B85" s="465"/>
      <c r="C85" s="465"/>
      <c r="D85" s="465"/>
      <c r="E85" s="465"/>
      <c r="F85" s="288"/>
      <c r="G85" s="288"/>
      <c r="H85" s="288"/>
      <c r="I85" s="288"/>
      <c r="J85" s="288"/>
      <c r="K85" s="288"/>
      <c r="L85" s="288"/>
      <c r="M85" s="288"/>
      <c r="N85" s="288"/>
      <c r="O85" s="288"/>
      <c r="P85" s="288"/>
      <c r="Q85" s="288"/>
      <c r="R85" s="288"/>
      <c r="S85" s="288"/>
      <c r="T85" s="288"/>
      <c r="U85" s="288"/>
      <c r="V85" s="288"/>
      <c r="W85" s="288"/>
      <c r="X85" s="288"/>
      <c r="Y85" s="288"/>
      <c r="Z85" s="288"/>
      <c r="AA85" s="288"/>
      <c r="AB85" s="288"/>
      <c r="AC85" s="288"/>
      <c r="AD85" s="288"/>
      <c r="AE85" s="288"/>
      <c r="AF85" s="288"/>
      <c r="AG85" s="288"/>
      <c r="AH85" s="288"/>
      <c r="AI85" s="289"/>
      <c r="AK85" s="425"/>
      <c r="AL85" s="425"/>
      <c r="AM85" s="425"/>
      <c r="AN85" s="425"/>
      <c r="AO85" s="425"/>
      <c r="AP85" s="425"/>
      <c r="AQ85" s="42"/>
      <c r="AR85" s="43"/>
      <c r="AS85" s="43"/>
      <c r="AT85" s="43"/>
      <c r="AU85" s="43"/>
      <c r="AV85" s="43"/>
      <c r="AW85" s="43"/>
      <c r="AX85" s="43"/>
      <c r="AY85" s="43"/>
      <c r="AZ85" s="43"/>
    </row>
    <row r="86" spans="1:61" ht="18" customHeight="1" thickBot="1">
      <c r="A86" s="41"/>
      <c r="B86" s="540"/>
      <c r="C86" s="540"/>
      <c r="D86" s="540"/>
      <c r="E86" s="540"/>
      <c r="F86" s="541"/>
      <c r="G86" s="541"/>
      <c r="H86" s="541"/>
      <c r="I86" s="541"/>
      <c r="J86" s="541"/>
      <c r="K86" s="541"/>
      <c r="L86" s="541"/>
      <c r="M86" s="541"/>
      <c r="N86" s="541"/>
      <c r="O86" s="541"/>
      <c r="P86" s="541"/>
      <c r="Q86" s="541"/>
      <c r="R86" s="541"/>
      <c r="S86" s="541"/>
      <c r="T86" s="541"/>
      <c r="U86" s="541"/>
      <c r="V86" s="541"/>
      <c r="W86" s="541"/>
      <c r="X86" s="541"/>
      <c r="Y86" s="541"/>
      <c r="Z86" s="541"/>
      <c r="AA86" s="541"/>
      <c r="AB86" s="541"/>
      <c r="AC86" s="541"/>
      <c r="AD86" s="541"/>
      <c r="AE86" s="541"/>
      <c r="AF86" s="541"/>
      <c r="AG86" s="541"/>
      <c r="AH86" s="541"/>
      <c r="AI86" s="542"/>
      <c r="AK86" s="425"/>
      <c r="AL86" s="425"/>
      <c r="AM86" s="425"/>
      <c r="AN86" s="425"/>
      <c r="AO86" s="425"/>
      <c r="AP86" s="425"/>
      <c r="AQ86" s="42"/>
      <c r="AR86" s="43"/>
      <c r="AS86" s="43"/>
      <c r="AT86" s="43"/>
      <c r="AU86" s="43"/>
      <c r="AV86" s="43"/>
      <c r="AW86" s="43"/>
      <c r="AX86" s="43"/>
      <c r="AY86" s="43"/>
      <c r="AZ86" s="43"/>
    </row>
    <row r="87" spans="1:61" ht="14.1" customHeight="1">
      <c r="AK87" s="438"/>
      <c r="AL87" s="438"/>
      <c r="AM87" s="438"/>
      <c r="AN87" s="438"/>
      <c r="AO87" s="438"/>
      <c r="AP87" s="438"/>
      <c r="AQ87" s="119"/>
    </row>
    <row r="88" spans="1:61" ht="14.1" customHeight="1">
      <c r="AK88" s="437"/>
      <c r="AL88" s="437"/>
      <c r="AM88" s="437"/>
      <c r="AN88" s="437"/>
      <c r="AO88" s="437"/>
      <c r="AP88" s="437"/>
      <c r="AQ88" s="120"/>
    </row>
    <row r="89" spans="1:61" ht="14.1" customHeight="1">
      <c r="AK89" s="437"/>
      <c r="AL89" s="437"/>
      <c r="AM89" s="437"/>
      <c r="AN89" s="437"/>
      <c r="AO89" s="437"/>
      <c r="AP89" s="437"/>
      <c r="AQ89" s="120"/>
    </row>
    <row r="90" spans="1:61" ht="14.1" customHeight="1"/>
    <row r="91" spans="1:61" ht="14.1" customHeight="1"/>
    <row r="92" spans="1:61" ht="14.1" customHeight="1"/>
    <row r="93" spans="1:61" ht="14.1" customHeight="1"/>
    <row r="94" spans="1:61" ht="14.1" customHeight="1"/>
    <row r="95" spans="1:61" ht="14.1" customHeight="1"/>
    <row r="96" spans="1:61" ht="14.1" customHeight="1"/>
    <row r="97" ht="14.1" customHeight="1"/>
    <row r="98" ht="14.1" customHeight="1"/>
    <row r="99" ht="14.1" customHeight="1"/>
    <row r="100" ht="14.1" customHeight="1"/>
    <row r="101" ht="14.1" customHeight="1"/>
    <row r="102" ht="14.1" customHeight="1"/>
    <row r="103" ht="14.1" customHeight="1"/>
    <row r="104" ht="14.1" customHeight="1"/>
    <row r="105" ht="14.1" customHeight="1"/>
    <row r="106" ht="14.1" customHeight="1"/>
    <row r="107" ht="14.1" customHeight="1"/>
    <row r="108" ht="14.1" customHeight="1"/>
    <row r="109" ht="14.1" customHeight="1"/>
    <row r="110" ht="14.1" customHeight="1"/>
    <row r="111" ht="14.1" customHeight="1"/>
    <row r="112" ht="14.1" customHeight="1"/>
    <row r="113" ht="14.1" customHeight="1"/>
    <row r="114" ht="14.1" customHeight="1"/>
    <row r="115" ht="14.1" customHeight="1"/>
    <row r="116" ht="14.1" customHeight="1"/>
    <row r="117" ht="14.1" customHeight="1"/>
    <row r="118" ht="14.1" customHeight="1"/>
    <row r="119" ht="14.1" customHeight="1"/>
    <row r="120" ht="14.1" customHeight="1"/>
    <row r="121" ht="14.1" customHeight="1"/>
    <row r="122" ht="14.1" customHeight="1"/>
    <row r="123" ht="14.1" customHeight="1"/>
    <row r="124" ht="14.1" customHeight="1"/>
    <row r="125" ht="14.1" customHeight="1"/>
    <row r="126" ht="14.1" customHeight="1"/>
    <row r="127" ht="14.1" customHeight="1"/>
    <row r="128" ht="14.1" customHeight="1"/>
    <row r="129" ht="14.1" customHeight="1"/>
    <row r="130" ht="14.1" customHeight="1"/>
    <row r="131" ht="14.1" customHeight="1"/>
    <row r="132" ht="14.1" customHeight="1"/>
    <row r="133" ht="14.1" customHeight="1"/>
    <row r="134" ht="14.1" customHeight="1"/>
    <row r="135" ht="14.1" customHeight="1"/>
    <row r="136" ht="14.1" customHeight="1"/>
    <row r="137" ht="14.1" customHeight="1"/>
    <row r="138" ht="14.1" customHeight="1"/>
    <row r="139" ht="14.1" customHeight="1"/>
    <row r="140" ht="14.1" customHeight="1"/>
    <row r="141" ht="14.1" customHeight="1"/>
    <row r="142" ht="14.1" customHeight="1"/>
    <row r="143" ht="14.1" customHeight="1"/>
    <row r="144" ht="14.1" customHeight="1"/>
    <row r="145" ht="14.1" customHeight="1"/>
    <row r="146" ht="14.1" customHeight="1"/>
    <row r="147" ht="14.1" customHeight="1"/>
    <row r="148" ht="14.1" customHeight="1"/>
    <row r="149" ht="14.1" customHeight="1"/>
    <row r="150" ht="14.1" customHeight="1"/>
    <row r="151" ht="14.1" customHeight="1"/>
    <row r="152" ht="14.1" customHeight="1"/>
    <row r="153" ht="14.1" customHeight="1"/>
    <row r="154" ht="14.1" customHeight="1"/>
    <row r="155" ht="14.1" customHeight="1"/>
    <row r="156" ht="14.1" customHeight="1"/>
    <row r="157" ht="14.1" customHeight="1"/>
    <row r="158" ht="14.1" customHeight="1"/>
    <row r="159" ht="14.1" customHeight="1"/>
    <row r="160" ht="14.1" customHeight="1"/>
    <row r="161" ht="14.1" customHeight="1"/>
    <row r="162" ht="14.1" customHeight="1"/>
    <row r="163" ht="14.1" customHeight="1"/>
    <row r="164" ht="14.1" customHeight="1"/>
    <row r="165" ht="14.1" customHeight="1"/>
    <row r="166" ht="14.1" customHeight="1"/>
    <row r="167" ht="14.1" customHeight="1"/>
    <row r="168" ht="14.1" customHeight="1"/>
    <row r="169" ht="14.1" customHeight="1"/>
    <row r="170" ht="14.1" customHeight="1"/>
    <row r="171" ht="14.1" customHeight="1"/>
    <row r="172" ht="14.1" customHeight="1"/>
    <row r="173" ht="14.1" customHeight="1"/>
    <row r="174" ht="14.1" customHeight="1"/>
    <row r="175" ht="14.1" customHeight="1"/>
    <row r="176" ht="14.1" customHeight="1"/>
    <row r="177" ht="14.1" customHeight="1"/>
    <row r="178" ht="14.1" customHeight="1"/>
    <row r="179" ht="14.1" customHeight="1"/>
    <row r="180" ht="14.1" customHeight="1"/>
    <row r="181" ht="14.1" customHeight="1"/>
    <row r="182" ht="14.1" customHeight="1"/>
    <row r="183" ht="14.1" customHeight="1"/>
    <row r="184" ht="14.1" customHeight="1"/>
    <row r="185" ht="14.1" customHeight="1"/>
    <row r="186" ht="14.1" customHeight="1"/>
    <row r="187" ht="14.1" customHeight="1"/>
    <row r="188" ht="14.1" customHeight="1"/>
    <row r="189" ht="14.1" customHeight="1"/>
    <row r="190" ht="14.1" customHeight="1"/>
    <row r="191" ht="14.1" customHeight="1"/>
    <row r="192" ht="14.1" customHeight="1"/>
    <row r="193" ht="14.1" customHeight="1"/>
    <row r="194" ht="14.1" customHeight="1"/>
    <row r="195" ht="14.1" customHeight="1"/>
    <row r="196" ht="14.1" customHeight="1"/>
    <row r="197" ht="14.1" customHeight="1"/>
    <row r="198" ht="14.1" customHeight="1"/>
    <row r="199" ht="14.1" customHeight="1"/>
    <row r="200" ht="14.1" customHeight="1"/>
    <row r="201" ht="14.1" customHeight="1"/>
    <row r="202" ht="14.1" customHeight="1"/>
    <row r="203" ht="14.1" customHeight="1"/>
    <row r="204" ht="14.1" customHeight="1"/>
    <row r="205" ht="14.1" customHeight="1"/>
    <row r="206" ht="14.1" customHeight="1"/>
    <row r="207" ht="14.1" customHeight="1"/>
    <row r="208" ht="14.1" customHeight="1"/>
    <row r="209" ht="14.1" customHeight="1"/>
    <row r="210" ht="14.1" customHeight="1"/>
    <row r="211" ht="14.1" customHeight="1"/>
    <row r="212" ht="14.1" customHeight="1"/>
    <row r="213" ht="14.1" customHeight="1"/>
    <row r="214" ht="14.1" customHeight="1"/>
    <row r="215" ht="14.1" customHeight="1"/>
    <row r="216" ht="14.1" customHeight="1"/>
    <row r="217" ht="14.1" customHeight="1"/>
    <row r="218" ht="14.1" customHeight="1"/>
    <row r="219" ht="14.1" customHeight="1"/>
    <row r="220" ht="14.1" customHeight="1"/>
    <row r="221" ht="14.1" customHeight="1"/>
    <row r="222" ht="14.1" customHeight="1"/>
    <row r="223" ht="14.1" customHeight="1"/>
    <row r="224" ht="14.1" customHeight="1"/>
    <row r="225" ht="14.1" customHeight="1"/>
    <row r="226" ht="14.1" customHeight="1"/>
    <row r="227" ht="14.1" customHeight="1"/>
    <row r="228" ht="14.1" customHeight="1"/>
    <row r="229" ht="14.1" customHeight="1"/>
    <row r="230" ht="14.1" customHeight="1"/>
    <row r="231" ht="14.1" customHeight="1"/>
    <row r="232" ht="14.1" customHeight="1"/>
    <row r="233" ht="14.1" customHeight="1"/>
    <row r="234" ht="14.1" customHeight="1"/>
    <row r="235" ht="14.1" customHeight="1"/>
    <row r="236" ht="14.1" customHeight="1"/>
    <row r="237" ht="14.1" customHeight="1"/>
    <row r="238" ht="14.1" customHeight="1"/>
    <row r="239" ht="14.1" customHeight="1"/>
    <row r="240" ht="14.1" customHeight="1"/>
    <row r="241" ht="14.1" customHeight="1"/>
    <row r="242" ht="14.1" customHeight="1"/>
    <row r="243" ht="14.1" customHeight="1"/>
    <row r="244" ht="14.1" customHeight="1"/>
    <row r="245" ht="14.1" customHeight="1"/>
    <row r="246" ht="14.1" customHeight="1"/>
    <row r="247" ht="14.1" customHeight="1"/>
    <row r="248" ht="14.1" customHeight="1"/>
    <row r="249" ht="14.1" customHeight="1"/>
    <row r="250" ht="14.1" customHeight="1"/>
    <row r="251" ht="14.1" customHeight="1"/>
    <row r="252" ht="14.1" customHeight="1"/>
    <row r="253" ht="14.1" customHeight="1"/>
    <row r="254" ht="14.1" customHeight="1"/>
    <row r="255" ht="14.1" customHeight="1"/>
    <row r="256" ht="14.1" customHeight="1"/>
    <row r="257" ht="14.1" customHeight="1"/>
    <row r="258" ht="14.1" customHeight="1"/>
    <row r="259" ht="14.1" customHeight="1"/>
    <row r="260" ht="14.1" customHeight="1"/>
    <row r="261" ht="14.1" customHeight="1"/>
    <row r="262" ht="14.1" customHeight="1"/>
    <row r="263" ht="14.1" customHeight="1"/>
    <row r="264" ht="14.1" customHeight="1"/>
    <row r="265" ht="14.1" customHeight="1"/>
    <row r="266" ht="14.1" customHeight="1"/>
  </sheetData>
  <sheetProtection algorithmName="SHA-512" hashValue="0loLJCJhL4ad+e9W1BFBlntzNt2hf75qC+V2eugpQkoXMOcFlTwiL5DSpVRXAf1cyQ/kgBnOXO/4cSPzCUKn4A==" saltValue="4etb9yyOEqZ9UduJqdtb6g==" spinCount="100000" sheet="1" autoFilter="0"/>
  <mergeCells count="381">
    <mergeCell ref="A1:S3"/>
    <mergeCell ref="T1:Z3"/>
    <mergeCell ref="AD1:AI1"/>
    <mergeCell ref="AD2:AF4"/>
    <mergeCell ref="AG2:AI4"/>
    <mergeCell ref="A4:S5"/>
    <mergeCell ref="AK7:AP8"/>
    <mergeCell ref="AQ7:AQ8"/>
    <mergeCell ref="V8:X8"/>
    <mergeCell ref="A9:AI9"/>
    <mergeCell ref="AK9:AP9"/>
    <mergeCell ref="A10:H10"/>
    <mergeCell ref="I10:J10"/>
    <mergeCell ref="K10:L10"/>
    <mergeCell ref="M10:T10"/>
    <mergeCell ref="U10:V10"/>
    <mergeCell ref="O7:P8"/>
    <mergeCell ref="Q7:R8"/>
    <mergeCell ref="S7:T8"/>
    <mergeCell ref="V7:X7"/>
    <mergeCell ref="Y7:AA8"/>
    <mergeCell ref="AB7:AI8"/>
    <mergeCell ref="A7:E8"/>
    <mergeCell ref="F7:F8"/>
    <mergeCell ref="G7:I8"/>
    <mergeCell ref="J7:J8"/>
    <mergeCell ref="K7:M8"/>
    <mergeCell ref="N7:N8"/>
    <mergeCell ref="W10:X10"/>
    <mergeCell ref="Y10:AF10"/>
    <mergeCell ref="AG10:AH10"/>
    <mergeCell ref="AK10:AP10"/>
    <mergeCell ref="A11:H11"/>
    <mergeCell ref="I11:J11"/>
    <mergeCell ref="K11:L11"/>
    <mergeCell ref="M11:T11"/>
    <mergeCell ref="U11:V11"/>
    <mergeCell ref="W11:X11"/>
    <mergeCell ref="Y11:AF11"/>
    <mergeCell ref="AG11:AH11"/>
    <mergeCell ref="AK11:AP11"/>
    <mergeCell ref="A12:H12"/>
    <mergeCell ref="I12:J12"/>
    <mergeCell ref="K12:L12"/>
    <mergeCell ref="M12:T12"/>
    <mergeCell ref="U12:V12"/>
    <mergeCell ref="W12:X12"/>
    <mergeCell ref="Y12:AF12"/>
    <mergeCell ref="AG12:AH12"/>
    <mergeCell ref="AK12:AP12"/>
    <mergeCell ref="A13:H13"/>
    <mergeCell ref="I13:J13"/>
    <mergeCell ref="K13:L13"/>
    <mergeCell ref="M13:T13"/>
    <mergeCell ref="U13:V13"/>
    <mergeCell ref="W13:X13"/>
    <mergeCell ref="Y13:AF13"/>
    <mergeCell ref="AG13:AH13"/>
    <mergeCell ref="AK13:AP13"/>
    <mergeCell ref="A14:AI14"/>
    <mergeCell ref="AK14:AP14"/>
    <mergeCell ref="B15:I15"/>
    <mergeCell ref="J15:L15"/>
    <mergeCell ref="M15:N15"/>
    <mergeCell ref="O15:V15"/>
    <mergeCell ref="W15:Y15"/>
    <mergeCell ref="Z15:AA15"/>
    <mergeCell ref="AB15:AG15"/>
    <mergeCell ref="A18:E18"/>
    <mergeCell ref="F18:AI18"/>
    <mergeCell ref="AK18:AP18"/>
    <mergeCell ref="B19:E19"/>
    <mergeCell ref="F19:AI19"/>
    <mergeCell ref="AK19:AP19"/>
    <mergeCell ref="AH15:AI15"/>
    <mergeCell ref="AK15:AP15"/>
    <mergeCell ref="A16:AI16"/>
    <mergeCell ref="AK16:AP16"/>
    <mergeCell ref="A17:E17"/>
    <mergeCell ref="F17:AI17"/>
    <mergeCell ref="AK17:AP17"/>
    <mergeCell ref="B20:E20"/>
    <mergeCell ref="F20:AI20"/>
    <mergeCell ref="AK20:AP20"/>
    <mergeCell ref="AR20:AR23"/>
    <mergeCell ref="B21:E21"/>
    <mergeCell ref="F21:AI21"/>
    <mergeCell ref="AK21:AP21"/>
    <mergeCell ref="B22:E22"/>
    <mergeCell ref="F22:AI22"/>
    <mergeCell ref="AK22:AP22"/>
    <mergeCell ref="BA23:BB23"/>
    <mergeCell ref="B24:E24"/>
    <mergeCell ref="F24:AI24"/>
    <mergeCell ref="AK24:AP24"/>
    <mergeCell ref="AY24:AZ24"/>
    <mergeCell ref="BA24:BB24"/>
    <mergeCell ref="AS22:AT22"/>
    <mergeCell ref="AU22:AV22"/>
    <mergeCell ref="AY22:AZ22"/>
    <mergeCell ref="BA22:BB22"/>
    <mergeCell ref="B23:E23"/>
    <mergeCell ref="F23:AI23"/>
    <mergeCell ref="AK23:AP23"/>
    <mergeCell ref="AS23:AT23"/>
    <mergeCell ref="AU23:AV23"/>
    <mergeCell ref="AY23:AZ23"/>
    <mergeCell ref="B27:E27"/>
    <mergeCell ref="F27:AI27"/>
    <mergeCell ref="AK27:AP27"/>
    <mergeCell ref="AS27:AT27"/>
    <mergeCell ref="AU27:AW27"/>
    <mergeCell ref="AY27:BB27"/>
    <mergeCell ref="B25:E25"/>
    <mergeCell ref="F25:AI25"/>
    <mergeCell ref="AK25:AP25"/>
    <mergeCell ref="AY25:AZ25"/>
    <mergeCell ref="BA25:BB25"/>
    <mergeCell ref="B26:E26"/>
    <mergeCell ref="F26:AI26"/>
    <mergeCell ref="AK26:AP26"/>
    <mergeCell ref="AS26:AW26"/>
    <mergeCell ref="BA28:BB28"/>
    <mergeCell ref="B29:E29"/>
    <mergeCell ref="F29:AI29"/>
    <mergeCell ref="AK29:AP29"/>
    <mergeCell ref="AS29:AT29"/>
    <mergeCell ref="AU29:AW29"/>
    <mergeCell ref="AY29:AZ29"/>
    <mergeCell ref="BA29:BB29"/>
    <mergeCell ref="B28:E28"/>
    <mergeCell ref="F28:AI28"/>
    <mergeCell ref="AK28:AP28"/>
    <mergeCell ref="AS28:AT28"/>
    <mergeCell ref="AU28:AW28"/>
    <mergeCell ref="AY28:AZ28"/>
    <mergeCell ref="A32:AI32"/>
    <mergeCell ref="AK32:AP32"/>
    <mergeCell ref="AS32:AT32"/>
    <mergeCell ref="AU32:AW32"/>
    <mergeCell ref="AY32:AZ32"/>
    <mergeCell ref="BA32:BB32"/>
    <mergeCell ref="BA30:BB30"/>
    <mergeCell ref="B31:E31"/>
    <mergeCell ref="F31:AI31"/>
    <mergeCell ref="AK31:AP31"/>
    <mergeCell ref="AS31:AT31"/>
    <mergeCell ref="AU31:AW31"/>
    <mergeCell ref="AY31:AZ31"/>
    <mergeCell ref="BA31:BB31"/>
    <mergeCell ref="B30:E30"/>
    <mergeCell ref="F30:AI30"/>
    <mergeCell ref="AK30:AP30"/>
    <mergeCell ref="AS30:AT30"/>
    <mergeCell ref="AU30:AW30"/>
    <mergeCell ref="AY30:AZ30"/>
    <mergeCell ref="BA33:BB33"/>
    <mergeCell ref="B34:E34"/>
    <mergeCell ref="F34:AI34"/>
    <mergeCell ref="AK34:AP34"/>
    <mergeCell ref="AS34:AT34"/>
    <mergeCell ref="AU34:AW34"/>
    <mergeCell ref="AY34:AZ34"/>
    <mergeCell ref="BA34:BB34"/>
    <mergeCell ref="B33:E33"/>
    <mergeCell ref="F33:AI33"/>
    <mergeCell ref="AK33:AP33"/>
    <mergeCell ref="AS33:AT33"/>
    <mergeCell ref="AU33:AW33"/>
    <mergeCell ref="AY33:AZ33"/>
    <mergeCell ref="AY35:AZ35"/>
    <mergeCell ref="BA35:BB35"/>
    <mergeCell ref="A36:E36"/>
    <mergeCell ref="F36:K36"/>
    <mergeCell ref="L36:O36"/>
    <mergeCell ref="P36:R36"/>
    <mergeCell ref="T36:V36"/>
    <mergeCell ref="W36:AB36"/>
    <mergeCell ref="AC36:AI36"/>
    <mergeCell ref="B35:E35"/>
    <mergeCell ref="F35:V35"/>
    <mergeCell ref="W35:AB35"/>
    <mergeCell ref="AC35:AI35"/>
    <mergeCell ref="AK35:AP35"/>
    <mergeCell ref="AS35:AT35"/>
    <mergeCell ref="AK36:AP36"/>
    <mergeCell ref="AS36:AT36"/>
    <mergeCell ref="AU36:AW36"/>
    <mergeCell ref="AU35:AW35"/>
    <mergeCell ref="A39:AI39"/>
    <mergeCell ref="AK39:AP39"/>
    <mergeCell ref="AS39:AT39"/>
    <mergeCell ref="AV39:AW39"/>
    <mergeCell ref="A38:E38"/>
    <mergeCell ref="F38:K38"/>
    <mergeCell ref="L38:O38"/>
    <mergeCell ref="P38:V38"/>
    <mergeCell ref="W38:AB38"/>
    <mergeCell ref="AC38:AI38"/>
    <mergeCell ref="AD40:AI40"/>
    <mergeCell ref="A37:E37"/>
    <mergeCell ref="F37:AI37"/>
    <mergeCell ref="AK40:AP40"/>
    <mergeCell ref="AS40:AT40"/>
    <mergeCell ref="AV40:AW40"/>
    <mergeCell ref="A41:D41"/>
    <mergeCell ref="E41:G41"/>
    <mergeCell ref="I41:K41"/>
    <mergeCell ref="L41:R41"/>
    <mergeCell ref="S41:V41"/>
    <mergeCell ref="W41:Y41"/>
    <mergeCell ref="AA41:AC41"/>
    <mergeCell ref="AD41:AI41"/>
    <mergeCell ref="AK41:AP41"/>
    <mergeCell ref="A40:D40"/>
    <mergeCell ref="E40:K40"/>
    <mergeCell ref="L40:R40"/>
    <mergeCell ref="S40:V40"/>
    <mergeCell ref="W40:AC40"/>
    <mergeCell ref="AK37:AP37"/>
    <mergeCell ref="AS37:AT37"/>
    <mergeCell ref="AU37:AW37"/>
    <mergeCell ref="AK38:AP38"/>
    <mergeCell ref="A42:D42"/>
    <mergeCell ref="E42:G42"/>
    <mergeCell ref="I42:K42"/>
    <mergeCell ref="L42:R42"/>
    <mergeCell ref="S42:V42"/>
    <mergeCell ref="W42:Y42"/>
    <mergeCell ref="AA42:AC42"/>
    <mergeCell ref="AK42:AP42"/>
    <mergeCell ref="AS42:AW42"/>
    <mergeCell ref="A43:D43"/>
    <mergeCell ref="E43:G43"/>
    <mergeCell ref="I43:K43"/>
    <mergeCell ref="L43:R43"/>
    <mergeCell ref="S43:V43"/>
    <mergeCell ref="W43:Y43"/>
    <mergeCell ref="AA43:AC43"/>
    <mergeCell ref="A44:D44"/>
    <mergeCell ref="E44:G44"/>
    <mergeCell ref="I44:K44"/>
    <mergeCell ref="L44:R44"/>
    <mergeCell ref="S44:V44"/>
    <mergeCell ref="W44:Y44"/>
    <mergeCell ref="AA44:AC44"/>
    <mergeCell ref="AD44:AI44"/>
    <mergeCell ref="AD42:AI42"/>
    <mergeCell ref="AK44:AP44"/>
    <mergeCell ref="R45:U45"/>
    <mergeCell ref="W45:X45"/>
    <mergeCell ref="Z45:AA45"/>
    <mergeCell ref="AC45:AD45"/>
    <mergeCell ref="AE45:AF45"/>
    <mergeCell ref="AK45:AP45"/>
    <mergeCell ref="AD43:AI43"/>
    <mergeCell ref="AK43:AP43"/>
    <mergeCell ref="B49:E49"/>
    <mergeCell ref="F49:AI49"/>
    <mergeCell ref="AK49:AP49"/>
    <mergeCell ref="B50:E50"/>
    <mergeCell ref="F50:AI50"/>
    <mergeCell ref="AK50:AP50"/>
    <mergeCell ref="A46:AI46"/>
    <mergeCell ref="AK46:AP46"/>
    <mergeCell ref="B47:E47"/>
    <mergeCell ref="F47:AI47"/>
    <mergeCell ref="AK47:AP47"/>
    <mergeCell ref="B48:E48"/>
    <mergeCell ref="F48:AI48"/>
    <mergeCell ref="AK48:AP48"/>
    <mergeCell ref="B53:E53"/>
    <mergeCell ref="F53:AI53"/>
    <mergeCell ref="AK53:AP53"/>
    <mergeCell ref="B54:E54"/>
    <mergeCell ref="F54:AI54"/>
    <mergeCell ref="AK54:AP54"/>
    <mergeCell ref="B51:E51"/>
    <mergeCell ref="F51:AI51"/>
    <mergeCell ref="AK51:AP51"/>
    <mergeCell ref="B52:E52"/>
    <mergeCell ref="F52:AI52"/>
    <mergeCell ref="AK52:AP52"/>
    <mergeCell ref="B57:E57"/>
    <mergeCell ref="F57:AI57"/>
    <mergeCell ref="AK57:AP57"/>
    <mergeCell ref="B58:E58"/>
    <mergeCell ref="F58:AI58"/>
    <mergeCell ref="AK58:AP58"/>
    <mergeCell ref="B55:E55"/>
    <mergeCell ref="F55:AI55"/>
    <mergeCell ref="AK55:AP55"/>
    <mergeCell ref="B56:E56"/>
    <mergeCell ref="F56:AI56"/>
    <mergeCell ref="AK56:AP56"/>
    <mergeCell ref="B61:E61"/>
    <mergeCell ref="F61:AI61"/>
    <mergeCell ref="AK61:AP61"/>
    <mergeCell ref="B62:E62"/>
    <mergeCell ref="F62:AI62"/>
    <mergeCell ref="AK62:AP62"/>
    <mergeCell ref="B59:E59"/>
    <mergeCell ref="F59:AI59"/>
    <mergeCell ref="AK59:AP59"/>
    <mergeCell ref="B60:E60"/>
    <mergeCell ref="F60:AI60"/>
    <mergeCell ref="AK60:AP60"/>
    <mergeCell ref="B65:E65"/>
    <mergeCell ref="F65:AI65"/>
    <mergeCell ref="AK65:AP65"/>
    <mergeCell ref="B66:E66"/>
    <mergeCell ref="F66:AI66"/>
    <mergeCell ref="AK66:AP66"/>
    <mergeCell ref="B63:E63"/>
    <mergeCell ref="F63:AI63"/>
    <mergeCell ref="AK63:AP63"/>
    <mergeCell ref="B64:E64"/>
    <mergeCell ref="F64:AI64"/>
    <mergeCell ref="AK64:AP64"/>
    <mergeCell ref="B69:E69"/>
    <mergeCell ref="F69:AI69"/>
    <mergeCell ref="AK69:AP69"/>
    <mergeCell ref="B70:E70"/>
    <mergeCell ref="F70:AI70"/>
    <mergeCell ref="AK70:AP70"/>
    <mergeCell ref="B67:E67"/>
    <mergeCell ref="F67:AI67"/>
    <mergeCell ref="AK67:AP67"/>
    <mergeCell ref="B68:E68"/>
    <mergeCell ref="F68:AI68"/>
    <mergeCell ref="AK68:AP68"/>
    <mergeCell ref="B73:E73"/>
    <mergeCell ref="F73:AI73"/>
    <mergeCell ref="AK73:AP73"/>
    <mergeCell ref="B74:E74"/>
    <mergeCell ref="F74:AI74"/>
    <mergeCell ref="AK74:AP74"/>
    <mergeCell ref="B71:E71"/>
    <mergeCell ref="F71:AI71"/>
    <mergeCell ref="AK71:AP71"/>
    <mergeCell ref="B72:E72"/>
    <mergeCell ref="F72:AI72"/>
    <mergeCell ref="AK72:AP72"/>
    <mergeCell ref="B77:E77"/>
    <mergeCell ref="F77:AI77"/>
    <mergeCell ref="AK77:AP77"/>
    <mergeCell ref="B78:E78"/>
    <mergeCell ref="F78:AI78"/>
    <mergeCell ref="AK78:AP78"/>
    <mergeCell ref="B75:E75"/>
    <mergeCell ref="F75:AI75"/>
    <mergeCell ref="AK75:AP75"/>
    <mergeCell ref="B76:E76"/>
    <mergeCell ref="F76:AI76"/>
    <mergeCell ref="AK76:AP76"/>
    <mergeCell ref="A81:AI81"/>
    <mergeCell ref="AK81:AP81"/>
    <mergeCell ref="B82:E82"/>
    <mergeCell ref="F82:AI82"/>
    <mergeCell ref="AK82:AP82"/>
    <mergeCell ref="B83:E83"/>
    <mergeCell ref="F83:AI83"/>
    <mergeCell ref="AK83:AP83"/>
    <mergeCell ref="B79:E79"/>
    <mergeCell ref="F79:AI79"/>
    <mergeCell ref="AK79:AP79"/>
    <mergeCell ref="B80:E80"/>
    <mergeCell ref="F80:AI80"/>
    <mergeCell ref="AK80:AP80"/>
    <mergeCell ref="B86:E86"/>
    <mergeCell ref="F86:AI86"/>
    <mergeCell ref="AK86:AP86"/>
    <mergeCell ref="AK87:AP87"/>
    <mergeCell ref="AK88:AP88"/>
    <mergeCell ref="AK89:AP89"/>
    <mergeCell ref="B84:E84"/>
    <mergeCell ref="F84:AI84"/>
    <mergeCell ref="AK84:AP84"/>
    <mergeCell ref="B85:E85"/>
    <mergeCell ref="F85:AI85"/>
    <mergeCell ref="AK85:AP85"/>
  </mergeCells>
  <phoneticPr fontId="2"/>
  <conditionalFormatting sqref="AQ20:AQ28 AQ30:AQ31 AQ9 AQ11:AQ12 AQ14 AQ33:AQ34">
    <cfRule type="containsBlanks" dxfId="35" priority="12">
      <formula>LEN(TRIM(AQ9))=0</formula>
    </cfRule>
  </conditionalFormatting>
  <conditionalFormatting sqref="BC11:CF11">
    <cfRule type="containsText" dxfId="34" priority="8" operator="containsText" text="青">
      <formula>NOT(ISERROR(SEARCH("青",BC11)))</formula>
    </cfRule>
    <cfRule type="containsText" dxfId="33" priority="9" operator="containsText" text="緑">
      <formula>NOT(ISERROR(SEARCH("緑",BC11)))</formula>
    </cfRule>
    <cfRule type="containsText" dxfId="32" priority="10" operator="containsText" text="黄">
      <formula>NOT(ISERROR(SEARCH("黄",BC11)))</formula>
    </cfRule>
    <cfRule type="containsText" dxfId="31" priority="11" operator="containsText" text="赤">
      <formula>NOT(ISERROR(SEARCH("赤",BC11)))</formula>
    </cfRule>
  </conditionalFormatting>
  <conditionalFormatting sqref="V7:X8">
    <cfRule type="containsBlanks" dxfId="30" priority="7">
      <formula>LEN(TRIM(V7))=0</formula>
    </cfRule>
  </conditionalFormatting>
  <conditionalFormatting sqref="AB7:AI8">
    <cfRule type="containsBlanks" dxfId="29" priority="6">
      <formula>LEN(TRIM(AB7))=0</formula>
    </cfRule>
  </conditionalFormatting>
  <conditionalFormatting sqref="A7:E8 G7:I8 K7:M8 O7:P8">
    <cfRule type="containsBlanks" dxfId="28" priority="5">
      <formula>LEN(TRIM(A7))=0</formula>
    </cfRule>
  </conditionalFormatting>
  <conditionalFormatting sqref="W15:Y15 AH15:AI15 J15:L15">
    <cfRule type="containsBlanks" dxfId="27" priority="4">
      <formula>LEN(TRIM(J15))=0</formula>
    </cfRule>
  </conditionalFormatting>
  <conditionalFormatting sqref="L41:R44">
    <cfRule type="cellIs" dxfId="26" priority="1" operator="equal">
      <formula>0</formula>
    </cfRule>
  </conditionalFormatting>
  <conditionalFormatting sqref="P36:R36 T36:V36 L38:O38 AC38:AI38 AC36:AI36">
    <cfRule type="containsBlanks" dxfId="25" priority="3">
      <formula>LEN(TRIM(L36))=0</formula>
    </cfRule>
  </conditionalFormatting>
  <conditionalFormatting sqref="W41:Y44 AA41:AI44">
    <cfRule type="cellIs" dxfId="24" priority="2" operator="equal">
      <formula>0</formula>
    </cfRule>
  </conditionalFormatting>
  <printOptions horizontalCentered="1" verticalCentered="1"/>
  <pageMargins left="0.70866141732283472" right="0.59055118110236227" top="0.55118110236220474" bottom="0.55118110236220474" header="0.31496062992125984" footer="0.31496062992125984"/>
  <pageSetup paperSize="9" orientation="portrait" horizontalDpi="300" verticalDpi="300" r:id="rId1"/>
  <headerFooter scaleWithDoc="0" alignWithMargins="0">
    <oddFooter>&amp;C&amp;P&amp;Rヒトトヒト株式会社</oddFooter>
  </headerFooter>
  <rowBreaks count="1" manualBreakCount="1">
    <brk id="44" max="34" man="1"/>
  </rowBreaks>
  <drawing r:id="rId2"/>
  <extLst>
    <ext xmlns:x14="http://schemas.microsoft.com/office/spreadsheetml/2009/9/main" uri="{CCE6A557-97BC-4b89-ADB6-D9C93CAAB3DF}">
      <x14:dataValidations xmlns:xm="http://schemas.microsoft.com/office/excel/2006/main" count="6">
        <x14:dataValidation type="list" allowBlank="1" showInputMessage="1" showErrorMessage="1" xr:uid="{EAD216B8-A6C1-4DFF-98C9-5E703E5E8395}">
          <x14:formula1>
            <xm:f>初期値!$C$12:$C$27</xm:f>
          </x14:formula1>
          <xm:sqref>P36:R36 T36:V36</xm:sqref>
        </x14:dataValidation>
        <x14:dataValidation type="list" allowBlank="1" showInputMessage="1" showErrorMessage="1" xr:uid="{81023689-2D91-41F5-B1DA-0573D53B31A4}">
          <x14:formula1>
            <xm:f>初期値!$G$12:$G$24</xm:f>
          </x14:formula1>
          <xm:sqref>V7:X8</xm:sqref>
        </x14:dataValidation>
        <x14:dataValidation type="list" allowBlank="1" showInputMessage="1" showErrorMessage="1" xr:uid="{E3E690AF-B06F-4DBC-8F59-95AE72406BA0}">
          <x14:formula1>
            <xm:f>初期値!$E$12:$E$13</xm:f>
          </x14:formula1>
          <xm:sqref>L38:O38 AC38:AI38 AC36:AI36</xm:sqref>
        </x14:dataValidation>
        <x14:dataValidation type="list" allowBlank="1" showInputMessage="1" showErrorMessage="1" xr:uid="{708AB07F-FB40-4403-8BF0-FABC81394C07}">
          <x14:formula1>
            <xm:f>初期値!$N$22:$N$23</xm:f>
          </x14:formula1>
          <xm:sqref>AW23</xm:sqref>
        </x14:dataValidation>
        <x14:dataValidation type="list" allowBlank="1" showInputMessage="1" showErrorMessage="1" xr:uid="{27B3F7F8-447C-4368-9210-A7B76B923F28}">
          <x14:formula1>
            <xm:f>初期値!$P$12:$P$27</xm:f>
          </x14:formula1>
          <xm:sqref>BA24:BB24 BA22:BB22 BA28:BB28 BA30:BB30 BA32:BB32 BA34:BB34</xm:sqref>
        </x14:dataValidation>
        <x14:dataValidation type="list" allowBlank="1" showInputMessage="1" showErrorMessage="1" xr:uid="{9B27835A-D6B6-497C-A499-504758B6ACD6}">
          <x14:formula1>
            <xm:f>初期値!$N$12:$N$19</xm:f>
          </x14:formula1>
          <xm:sqref>AU22:AV22</xm:sqref>
        </x14:dataValidation>
      </x14:dataValidations>
    </ext>
  </extLst>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8F8C5BD-9194-41E5-A874-12C588216645}">
  <sheetPr codeName="Sheet36"/>
  <dimension ref="A1:CG266"/>
  <sheetViews>
    <sheetView zoomScaleNormal="100" zoomScaleSheetLayoutView="100" workbookViewId="0">
      <selection activeCell="AV13" sqref="AV13:AV14"/>
    </sheetView>
  </sheetViews>
  <sheetFormatPr defaultColWidth="8.875" defaultRowHeight="13.5"/>
  <cols>
    <col min="1" max="42" width="2.25" style="23" customWidth="1"/>
    <col min="43" max="43" width="6" style="23" bestFit="1" customWidth="1"/>
    <col min="44" max="44" width="4.5" style="23" bestFit="1" customWidth="1"/>
    <col min="45" max="45" width="6" style="23" bestFit="1" customWidth="1"/>
    <col min="46" max="46" width="4.5" style="23" bestFit="1" customWidth="1"/>
    <col min="47" max="47" width="9" style="23" bestFit="1" customWidth="1"/>
    <col min="48" max="48" width="8.5" style="23" bestFit="1" customWidth="1"/>
    <col min="49" max="49" width="7.5" style="23" bestFit="1" customWidth="1"/>
    <col min="50" max="50" width="6.5" style="23" bestFit="1" customWidth="1"/>
    <col min="51" max="51" width="7.5" style="23" bestFit="1" customWidth="1"/>
    <col min="52" max="52" width="2.125" style="23" customWidth="1"/>
    <col min="53" max="54" width="7.375" style="23" customWidth="1"/>
    <col min="55" max="63" width="3.625" style="23" bestFit="1" customWidth="1"/>
    <col min="64" max="84" width="4" style="23" bestFit="1" customWidth="1"/>
    <col min="85" max="16384" width="8.875" style="23"/>
  </cols>
  <sheetData>
    <row r="1" spans="1:85" ht="14.1" customHeight="1">
      <c r="A1" s="510" t="s">
        <v>551</v>
      </c>
      <c r="B1" s="510"/>
      <c r="C1" s="510"/>
      <c r="D1" s="510"/>
      <c r="E1" s="510"/>
      <c r="F1" s="510"/>
      <c r="G1" s="510"/>
      <c r="H1" s="510"/>
      <c r="I1" s="510"/>
      <c r="J1" s="510"/>
      <c r="K1" s="510"/>
      <c r="L1" s="510"/>
      <c r="M1" s="510"/>
      <c r="N1" s="510"/>
      <c r="O1" s="510"/>
      <c r="P1" s="510"/>
      <c r="Q1" s="510"/>
      <c r="R1" s="510"/>
      <c r="S1" s="510"/>
      <c r="T1" s="388"/>
      <c r="U1" s="388"/>
      <c r="V1" s="388"/>
      <c r="W1" s="388"/>
      <c r="X1" s="388"/>
      <c r="Y1" s="388"/>
      <c r="Z1" s="388"/>
      <c r="AA1" s="24"/>
      <c r="AB1" s="32"/>
      <c r="AD1" s="252" t="s">
        <v>167</v>
      </c>
      <c r="AE1" s="252"/>
      <c r="AF1" s="252"/>
      <c r="AG1" s="252"/>
      <c r="AH1" s="252"/>
      <c r="AI1" s="252"/>
      <c r="AM1" s="123">
        <v>29</v>
      </c>
      <c r="BB1"/>
    </row>
    <row r="2" spans="1:85" ht="14.1" customHeight="1">
      <c r="A2" s="510"/>
      <c r="B2" s="510"/>
      <c r="C2" s="510"/>
      <c r="D2" s="510"/>
      <c r="E2" s="510"/>
      <c r="F2" s="510"/>
      <c r="G2" s="510"/>
      <c r="H2" s="510"/>
      <c r="I2" s="510"/>
      <c r="J2" s="510"/>
      <c r="K2" s="510"/>
      <c r="L2" s="510"/>
      <c r="M2" s="510"/>
      <c r="N2" s="510"/>
      <c r="O2" s="510"/>
      <c r="P2" s="510"/>
      <c r="Q2" s="510"/>
      <c r="R2" s="510"/>
      <c r="S2" s="510"/>
      <c r="T2" s="388"/>
      <c r="U2" s="388"/>
      <c r="V2" s="388"/>
      <c r="W2" s="388"/>
      <c r="X2" s="388"/>
      <c r="Y2" s="388"/>
      <c r="Z2" s="388"/>
      <c r="AA2" s="25"/>
      <c r="AB2" s="31"/>
      <c r="AD2" s="253"/>
      <c r="AE2" s="253"/>
      <c r="AF2" s="253"/>
      <c r="AG2" s="253"/>
      <c r="AH2" s="253"/>
      <c r="AI2" s="253"/>
      <c r="BA2"/>
    </row>
    <row r="3" spans="1:85" ht="14.1" customHeight="1">
      <c r="A3" s="510"/>
      <c r="B3" s="510"/>
      <c r="C3" s="510"/>
      <c r="D3" s="510"/>
      <c r="E3" s="510"/>
      <c r="F3" s="510"/>
      <c r="G3" s="510"/>
      <c r="H3" s="510"/>
      <c r="I3" s="510"/>
      <c r="J3" s="510"/>
      <c r="K3" s="510"/>
      <c r="L3" s="510"/>
      <c r="M3" s="510"/>
      <c r="N3" s="510"/>
      <c r="O3" s="510"/>
      <c r="P3" s="510"/>
      <c r="Q3" s="510"/>
      <c r="R3" s="510"/>
      <c r="S3" s="510"/>
      <c r="T3" s="388"/>
      <c r="U3" s="388"/>
      <c r="V3" s="388"/>
      <c r="W3" s="388"/>
      <c r="X3" s="388"/>
      <c r="Y3" s="388"/>
      <c r="Z3" s="388"/>
      <c r="AA3" s="25"/>
      <c r="AB3" s="31"/>
      <c r="AD3" s="253"/>
      <c r="AE3" s="253"/>
      <c r="AF3" s="253"/>
      <c r="AG3" s="253"/>
      <c r="AH3" s="253"/>
      <c r="AI3" s="253"/>
      <c r="BA3"/>
    </row>
    <row r="4" spans="1:85" ht="14.1" customHeight="1">
      <c r="A4" s="395" t="s">
        <v>552</v>
      </c>
      <c r="B4" s="395"/>
      <c r="C4" s="395"/>
      <c r="D4" s="395"/>
      <c r="E4" s="395"/>
      <c r="F4" s="395"/>
      <c r="G4" s="395"/>
      <c r="H4" s="395"/>
      <c r="I4" s="395"/>
      <c r="J4" s="395"/>
      <c r="K4" s="395"/>
      <c r="L4" s="395"/>
      <c r="M4" s="395"/>
      <c r="N4" s="395"/>
      <c r="O4" s="395"/>
      <c r="P4" s="395"/>
      <c r="Q4" s="395"/>
      <c r="R4" s="395"/>
      <c r="S4" s="395"/>
      <c r="T4" s="155"/>
      <c r="U4" s="155"/>
      <c r="V4" s="155"/>
      <c r="W4" s="155"/>
      <c r="X4" s="155"/>
      <c r="Y4" s="155"/>
      <c r="Z4" s="155"/>
      <c r="AA4" s="26"/>
      <c r="AB4" s="31"/>
      <c r="AD4" s="253"/>
      <c r="AE4" s="253"/>
      <c r="AF4" s="253"/>
      <c r="AG4" s="253"/>
      <c r="AH4" s="253"/>
      <c r="AI4" s="253"/>
      <c r="BA4"/>
    </row>
    <row r="5" spans="1:85" ht="14.1" customHeight="1">
      <c r="A5" s="395"/>
      <c r="B5" s="395"/>
      <c r="C5" s="395"/>
      <c r="D5" s="395"/>
      <c r="E5" s="395"/>
      <c r="F5" s="395"/>
      <c r="G5" s="395"/>
      <c r="H5" s="395"/>
      <c r="I5" s="395"/>
      <c r="J5" s="395"/>
      <c r="K5" s="395"/>
      <c r="L5" s="395"/>
      <c r="M5" s="395"/>
      <c r="N5" s="395"/>
      <c r="O5" s="395"/>
      <c r="P5" s="395"/>
      <c r="Q5" s="395"/>
      <c r="R5" s="395"/>
      <c r="S5" s="395"/>
      <c r="T5" s="155"/>
      <c r="U5" s="155"/>
      <c r="V5" s="155"/>
      <c r="W5" s="155"/>
      <c r="X5" s="155"/>
      <c r="Y5" s="155"/>
      <c r="Z5" s="155"/>
      <c r="AA5" s="26"/>
      <c r="AB5" s="31"/>
      <c r="AC5" s="31"/>
      <c r="AD5" s="31"/>
      <c r="AE5" s="31"/>
      <c r="AF5" s="31"/>
      <c r="AG5" s="31"/>
      <c r="AH5" s="31"/>
      <c r="AI5" s="31"/>
      <c r="BA5"/>
    </row>
    <row r="6" spans="1:85" ht="14.1" customHeight="1" thickBot="1">
      <c r="A6" s="27"/>
      <c r="B6" s="27"/>
      <c r="C6" s="27"/>
      <c r="D6" s="27"/>
      <c r="E6" s="27"/>
      <c r="F6" s="27"/>
      <c r="G6" s="27"/>
      <c r="H6" s="27"/>
      <c r="I6" s="27"/>
      <c r="BA6"/>
    </row>
    <row r="7" spans="1:85" ht="12" customHeight="1">
      <c r="A7" s="255">
        <f>DATE(初期値!A2,初期値!A3,AM1)</f>
        <v>46202</v>
      </c>
      <c r="B7" s="256"/>
      <c r="C7" s="256"/>
      <c r="D7" s="256"/>
      <c r="E7" s="256"/>
      <c r="F7" s="259" t="s">
        <v>169</v>
      </c>
      <c r="G7" s="236">
        <f>$A$7</f>
        <v>46202</v>
      </c>
      <c r="H7" s="236"/>
      <c r="I7" s="236"/>
      <c r="J7" s="239" t="s">
        <v>170</v>
      </c>
      <c r="K7" s="261">
        <f>$A$7</f>
        <v>46202</v>
      </c>
      <c r="L7" s="261"/>
      <c r="M7" s="261"/>
      <c r="N7" s="239" t="s">
        <v>3</v>
      </c>
      <c r="O7" s="520">
        <f>$A$7</f>
        <v>46202</v>
      </c>
      <c r="P7" s="520"/>
      <c r="Q7" s="239" t="s">
        <v>292</v>
      </c>
      <c r="R7" s="240"/>
      <c r="S7" s="522" t="s">
        <v>553</v>
      </c>
      <c r="T7" s="244"/>
      <c r="U7" s="29" t="s">
        <v>554</v>
      </c>
      <c r="V7" s="518" t="s">
        <v>63</v>
      </c>
      <c r="W7" s="518"/>
      <c r="X7" s="518"/>
      <c r="Y7" s="511" t="s">
        <v>555</v>
      </c>
      <c r="Z7" s="512"/>
      <c r="AA7" s="513"/>
      <c r="AB7" s="244" t="str">
        <f>L43</f>
        <v>二野宮慧太</v>
      </c>
      <c r="AC7" s="244"/>
      <c r="AD7" s="244"/>
      <c r="AE7" s="244"/>
      <c r="AF7" s="244"/>
      <c r="AG7" s="244"/>
      <c r="AH7" s="244"/>
      <c r="AI7" s="245"/>
      <c r="AK7" s="425" t="s">
        <v>556</v>
      </c>
      <c r="AL7" s="425"/>
      <c r="AM7" s="425"/>
      <c r="AN7" s="425"/>
      <c r="AO7" s="425"/>
      <c r="AP7" s="425"/>
      <c r="AQ7" s="439" t="s">
        <v>557</v>
      </c>
      <c r="AR7" s="43"/>
      <c r="AS7" s="43"/>
      <c r="AT7" s="43"/>
      <c r="AU7" s="43"/>
      <c r="AV7" s="43"/>
      <c r="AW7" s="43"/>
      <c r="AX7" s="43"/>
      <c r="AY7" s="43"/>
      <c r="AZ7" s="43"/>
      <c r="BA7"/>
    </row>
    <row r="8" spans="1:85" ht="12" customHeight="1" thickBot="1">
      <c r="A8" s="257"/>
      <c r="B8" s="258"/>
      <c r="C8" s="258"/>
      <c r="D8" s="258"/>
      <c r="E8" s="258"/>
      <c r="F8" s="260"/>
      <c r="G8" s="237"/>
      <c r="H8" s="237"/>
      <c r="I8" s="237"/>
      <c r="J8" s="242"/>
      <c r="K8" s="262"/>
      <c r="L8" s="262"/>
      <c r="M8" s="262"/>
      <c r="N8" s="242"/>
      <c r="O8" s="521"/>
      <c r="P8" s="521"/>
      <c r="Q8" s="242"/>
      <c r="R8" s="243"/>
      <c r="S8" s="523"/>
      <c r="T8" s="246"/>
      <c r="U8" s="33" t="s">
        <v>558</v>
      </c>
      <c r="V8" s="519" t="s">
        <v>37</v>
      </c>
      <c r="W8" s="519"/>
      <c r="X8" s="519"/>
      <c r="Y8" s="514"/>
      <c r="Z8" s="515"/>
      <c r="AA8" s="516"/>
      <c r="AB8" s="246"/>
      <c r="AC8" s="246"/>
      <c r="AD8" s="246"/>
      <c r="AE8" s="246"/>
      <c r="AF8" s="246"/>
      <c r="AG8" s="246"/>
      <c r="AH8" s="246"/>
      <c r="AI8" s="247"/>
      <c r="AK8" s="425"/>
      <c r="AL8" s="425"/>
      <c r="AM8" s="425"/>
      <c r="AN8" s="425"/>
      <c r="AO8" s="425"/>
      <c r="AP8" s="425"/>
      <c r="AQ8" s="439"/>
      <c r="AR8" s="43"/>
      <c r="AS8" s="43"/>
      <c r="AT8" s="43"/>
      <c r="AU8" s="43"/>
      <c r="AV8" s="43"/>
      <c r="AW8" s="43"/>
      <c r="AX8" s="43"/>
      <c r="AY8" s="43"/>
      <c r="AZ8" s="43"/>
      <c r="BA8"/>
    </row>
    <row r="9" spans="1:85" ht="18" customHeight="1">
      <c r="A9" s="507" t="s">
        <v>559</v>
      </c>
      <c r="B9" s="508"/>
      <c r="C9" s="508"/>
      <c r="D9" s="508"/>
      <c r="E9" s="508"/>
      <c r="F9" s="508"/>
      <c r="G9" s="508"/>
      <c r="H9" s="508"/>
      <c r="I9" s="508"/>
      <c r="J9" s="508"/>
      <c r="K9" s="508"/>
      <c r="L9" s="508"/>
      <c r="M9" s="508"/>
      <c r="N9" s="508"/>
      <c r="O9" s="508"/>
      <c r="P9" s="508"/>
      <c r="Q9" s="508"/>
      <c r="R9" s="508"/>
      <c r="S9" s="508"/>
      <c r="T9" s="508"/>
      <c r="U9" s="508"/>
      <c r="V9" s="508"/>
      <c r="W9" s="508"/>
      <c r="X9" s="508"/>
      <c r="Y9" s="508"/>
      <c r="Z9" s="508"/>
      <c r="AA9" s="508"/>
      <c r="AB9" s="508"/>
      <c r="AC9" s="508"/>
      <c r="AD9" s="508"/>
      <c r="AE9" s="508"/>
      <c r="AF9" s="508"/>
      <c r="AG9" s="508"/>
      <c r="AH9" s="508"/>
      <c r="AI9" s="509"/>
      <c r="AK9" s="440" t="s">
        <v>560</v>
      </c>
      <c r="AL9" s="440"/>
      <c r="AM9" s="440"/>
      <c r="AN9" s="440"/>
      <c r="AO9" s="440"/>
      <c r="AP9" s="440"/>
      <c r="AQ9" s="42">
        <v>72</v>
      </c>
      <c r="AR9" s="43"/>
      <c r="AS9" s="44" t="s">
        <v>561</v>
      </c>
      <c r="AT9" s="44" t="s">
        <v>562</v>
      </c>
      <c r="AU9" s="44" t="s">
        <v>563</v>
      </c>
      <c r="AV9" s="44" t="s">
        <v>564</v>
      </c>
      <c r="AW9" s="45" t="s">
        <v>565</v>
      </c>
      <c r="AX9" s="45" t="s">
        <v>566</v>
      </c>
      <c r="AY9" s="44" t="s">
        <v>567</v>
      </c>
      <c r="AZ9" s="43"/>
      <c r="BB9" s="49" t="s">
        <v>568</v>
      </c>
      <c r="BC9" s="43"/>
      <c r="BD9" s="43"/>
      <c r="BE9" s="43"/>
      <c r="BF9" s="43"/>
      <c r="BG9" s="43"/>
      <c r="BH9" s="43"/>
      <c r="BI9" s="43"/>
      <c r="BJ9" s="43"/>
      <c r="BK9" s="43"/>
      <c r="BL9" s="43"/>
      <c r="BM9" s="43"/>
      <c r="BN9" s="43"/>
      <c r="BO9" s="43"/>
      <c r="BP9" s="43"/>
      <c r="BQ9" s="43"/>
      <c r="BR9" s="43"/>
      <c r="BS9" s="43"/>
      <c r="BT9" s="43"/>
      <c r="BU9" s="43"/>
      <c r="BV9" s="43"/>
      <c r="BW9" s="43"/>
      <c r="BX9" s="43"/>
      <c r="BY9" s="43"/>
      <c r="BZ9" s="43"/>
      <c r="CA9" s="43"/>
      <c r="CB9" s="43"/>
      <c r="CC9" s="43"/>
      <c r="CD9" s="43"/>
      <c r="CE9" s="43"/>
      <c r="CF9" s="43"/>
      <c r="CG9" s="43"/>
    </row>
    <row r="10" spans="1:85" ht="18" customHeight="1">
      <c r="A10" s="265" t="s">
        <v>569</v>
      </c>
      <c r="B10" s="266"/>
      <c r="C10" s="266"/>
      <c r="D10" s="266"/>
      <c r="E10" s="266"/>
      <c r="F10" s="266"/>
      <c r="G10" s="266"/>
      <c r="H10" s="266"/>
      <c r="I10" s="264">
        <f>AQ14</f>
        <v>3</v>
      </c>
      <c r="J10" s="264"/>
      <c r="K10" s="267" t="s">
        <v>176</v>
      </c>
      <c r="L10" s="268"/>
      <c r="M10" s="269" t="s">
        <v>570</v>
      </c>
      <c r="N10" s="266"/>
      <c r="O10" s="266"/>
      <c r="P10" s="266"/>
      <c r="Q10" s="266"/>
      <c r="R10" s="266"/>
      <c r="S10" s="266"/>
      <c r="T10" s="266"/>
      <c r="U10" s="264">
        <f>AQ37</f>
        <v>0</v>
      </c>
      <c r="V10" s="264"/>
      <c r="W10" s="267" t="s">
        <v>176</v>
      </c>
      <c r="X10" s="268"/>
      <c r="Y10" s="269" t="s">
        <v>571</v>
      </c>
      <c r="Z10" s="266"/>
      <c r="AA10" s="266"/>
      <c r="AB10" s="266"/>
      <c r="AC10" s="266"/>
      <c r="AD10" s="266"/>
      <c r="AE10" s="266"/>
      <c r="AF10" s="266"/>
      <c r="AG10" s="264">
        <f>AQ26+AQ25</f>
        <v>0</v>
      </c>
      <c r="AH10" s="264"/>
      <c r="AI10" s="28" t="s">
        <v>176</v>
      </c>
      <c r="AK10" s="440" t="s">
        <v>572</v>
      </c>
      <c r="AL10" s="440"/>
      <c r="AM10" s="440"/>
      <c r="AN10" s="440"/>
      <c r="AO10" s="440"/>
      <c r="AP10" s="440"/>
      <c r="AQ10" s="42"/>
      <c r="AR10" s="43"/>
      <c r="AS10" s="46">
        <v>1</v>
      </c>
      <c r="AT10" s="46"/>
      <c r="AU10" s="46" t="s">
        <v>119</v>
      </c>
      <c r="AV10" s="47" t="s">
        <v>573</v>
      </c>
      <c r="AW10" s="47" t="s">
        <v>574</v>
      </c>
      <c r="AX10" s="47">
        <v>0.33333333333333331</v>
      </c>
      <c r="AY10" s="47">
        <v>0.83333333333333337</v>
      </c>
      <c r="AZ10" s="43"/>
      <c r="BB10" s="49" t="s">
        <v>95</v>
      </c>
      <c r="BC10" s="120">
        <v>1</v>
      </c>
      <c r="BD10" s="120">
        <v>2</v>
      </c>
      <c r="BE10" s="120">
        <v>3</v>
      </c>
      <c r="BF10" s="120">
        <v>4</v>
      </c>
      <c r="BG10" s="120">
        <v>5</v>
      </c>
      <c r="BH10" s="120">
        <v>6</v>
      </c>
      <c r="BI10" s="120">
        <v>7</v>
      </c>
      <c r="BJ10" s="120">
        <v>8</v>
      </c>
      <c r="BK10" s="120">
        <v>9</v>
      </c>
      <c r="BL10" s="120">
        <v>10</v>
      </c>
      <c r="BM10" s="120">
        <v>11</v>
      </c>
      <c r="BN10" s="120">
        <v>12</v>
      </c>
      <c r="BO10" s="120">
        <v>13</v>
      </c>
      <c r="BP10" s="120">
        <v>14</v>
      </c>
      <c r="BQ10" s="120">
        <v>15</v>
      </c>
      <c r="BR10" s="120">
        <v>16</v>
      </c>
      <c r="BS10" s="120">
        <v>17</v>
      </c>
      <c r="BT10" s="120">
        <v>18</v>
      </c>
      <c r="BU10" s="120">
        <v>19</v>
      </c>
      <c r="BV10" s="120">
        <v>20</v>
      </c>
      <c r="BW10" s="120">
        <v>21</v>
      </c>
      <c r="BX10" s="120">
        <v>22</v>
      </c>
      <c r="BY10" s="120">
        <v>23</v>
      </c>
      <c r="BZ10" s="120">
        <v>24</v>
      </c>
      <c r="CA10" s="120">
        <v>25</v>
      </c>
      <c r="CB10" s="120">
        <v>26</v>
      </c>
      <c r="CC10" s="120">
        <v>27</v>
      </c>
      <c r="CD10" s="120">
        <v>28</v>
      </c>
      <c r="CE10" s="120">
        <v>29</v>
      </c>
      <c r="CF10" s="120">
        <v>30</v>
      </c>
      <c r="CG10" s="43"/>
    </row>
    <row r="11" spans="1:85" ht="18" customHeight="1">
      <c r="A11" s="265" t="s">
        <v>575</v>
      </c>
      <c r="B11" s="266"/>
      <c r="C11" s="266"/>
      <c r="D11" s="266"/>
      <c r="E11" s="266"/>
      <c r="F11" s="266"/>
      <c r="G11" s="266"/>
      <c r="H11" s="266"/>
      <c r="I11" s="264">
        <f>AQ27</f>
        <v>0</v>
      </c>
      <c r="J11" s="264"/>
      <c r="K11" s="267" t="s">
        <v>176</v>
      </c>
      <c r="L11" s="268"/>
      <c r="M11" s="269" t="s">
        <v>576</v>
      </c>
      <c r="N11" s="266"/>
      <c r="O11" s="266"/>
      <c r="P11" s="266"/>
      <c r="Q11" s="266"/>
      <c r="R11" s="266"/>
      <c r="S11" s="266"/>
      <c r="T11" s="266"/>
      <c r="U11" s="264">
        <f>AQ36</f>
        <v>0</v>
      </c>
      <c r="V11" s="264"/>
      <c r="W11" s="267" t="s">
        <v>176</v>
      </c>
      <c r="X11" s="268"/>
      <c r="Y11" s="269" t="s">
        <v>577</v>
      </c>
      <c r="Z11" s="266"/>
      <c r="AA11" s="266"/>
      <c r="AB11" s="266"/>
      <c r="AC11" s="266"/>
      <c r="AD11" s="266"/>
      <c r="AE11" s="266"/>
      <c r="AF11" s="266"/>
      <c r="AG11" s="264">
        <f>AQ34</f>
        <v>0</v>
      </c>
      <c r="AH11" s="264"/>
      <c r="AI11" s="28" t="s">
        <v>176</v>
      </c>
      <c r="AK11" s="441" t="s">
        <v>578</v>
      </c>
      <c r="AL11" s="442"/>
      <c r="AM11" s="442"/>
      <c r="AN11" s="442"/>
      <c r="AO11" s="442"/>
      <c r="AP11" s="443"/>
      <c r="AQ11" s="42">
        <v>27</v>
      </c>
      <c r="AR11" s="43"/>
      <c r="AS11" s="46">
        <v>2</v>
      </c>
      <c r="AT11" s="46"/>
      <c r="AU11" s="46"/>
      <c r="AV11" s="47" t="s">
        <v>579</v>
      </c>
      <c r="AW11" s="47" t="s">
        <v>580</v>
      </c>
      <c r="AX11" s="47">
        <v>0.33333333333333331</v>
      </c>
      <c r="AY11" s="47">
        <v>0.58333333333333337</v>
      </c>
      <c r="AZ11" s="43"/>
      <c r="BB11" s="121" t="s">
        <v>581</v>
      </c>
      <c r="BC11" s="138" t="s">
        <v>582</v>
      </c>
      <c r="BD11" s="138" t="s">
        <v>583</v>
      </c>
      <c r="BE11" s="138" t="s">
        <v>584</v>
      </c>
      <c r="BF11" s="138" t="s">
        <v>585</v>
      </c>
      <c r="BG11" s="139" t="s">
        <v>584</v>
      </c>
      <c r="BH11" s="138" t="s">
        <v>582</v>
      </c>
      <c r="BI11" s="138" t="s">
        <v>585</v>
      </c>
      <c r="BJ11" s="138" t="s">
        <v>583</v>
      </c>
      <c r="BK11" s="138" t="s">
        <v>584</v>
      </c>
      <c r="BL11" s="138" t="s">
        <v>583</v>
      </c>
      <c r="BM11" s="138" t="s">
        <v>585</v>
      </c>
      <c r="BN11" s="138" t="s">
        <v>582</v>
      </c>
      <c r="BO11" s="138" t="s">
        <v>584</v>
      </c>
      <c r="BP11" s="138" t="s">
        <v>585</v>
      </c>
      <c r="BQ11" s="138" t="s">
        <v>583</v>
      </c>
      <c r="BR11" s="138" t="s">
        <v>585</v>
      </c>
      <c r="BS11" s="138" t="s">
        <v>584</v>
      </c>
      <c r="BT11" s="138" t="s">
        <v>582</v>
      </c>
      <c r="BU11" s="138" t="s">
        <v>583</v>
      </c>
      <c r="BV11" s="138" t="s">
        <v>585</v>
      </c>
      <c r="BW11" s="138" t="s">
        <v>582</v>
      </c>
      <c r="BX11" s="138" t="s">
        <v>584</v>
      </c>
      <c r="BY11" s="138" t="s">
        <v>585</v>
      </c>
      <c r="BZ11" s="138" t="s">
        <v>583</v>
      </c>
      <c r="CA11" s="138" t="s">
        <v>582</v>
      </c>
      <c r="CB11" s="138" t="s">
        <v>585</v>
      </c>
      <c r="CC11" s="138" t="s">
        <v>584</v>
      </c>
      <c r="CD11" s="138" t="s">
        <v>582</v>
      </c>
      <c r="CE11" s="138" t="s">
        <v>585</v>
      </c>
      <c r="CF11" s="138" t="s">
        <v>583</v>
      </c>
      <c r="CG11" s="43"/>
    </row>
    <row r="12" spans="1:85" ht="18" customHeight="1">
      <c r="A12" s="265" t="s">
        <v>586</v>
      </c>
      <c r="B12" s="266"/>
      <c r="C12" s="266"/>
      <c r="D12" s="266"/>
      <c r="E12" s="266"/>
      <c r="F12" s="266"/>
      <c r="G12" s="266"/>
      <c r="H12" s="266"/>
      <c r="I12" s="264">
        <f>AQ33</f>
        <v>0</v>
      </c>
      <c r="J12" s="264"/>
      <c r="K12" s="267" t="s">
        <v>176</v>
      </c>
      <c r="L12" s="268"/>
      <c r="M12" s="269" t="s">
        <v>587</v>
      </c>
      <c r="N12" s="266"/>
      <c r="O12" s="266"/>
      <c r="P12" s="266"/>
      <c r="Q12" s="266"/>
      <c r="R12" s="266"/>
      <c r="S12" s="266"/>
      <c r="T12" s="266"/>
      <c r="U12" s="264">
        <f>AQ24</f>
        <v>0</v>
      </c>
      <c r="V12" s="264"/>
      <c r="W12" s="267" t="s">
        <v>176</v>
      </c>
      <c r="X12" s="268"/>
      <c r="Y12" s="269" t="s">
        <v>588</v>
      </c>
      <c r="Z12" s="266"/>
      <c r="AA12" s="266"/>
      <c r="AB12" s="266"/>
      <c r="AC12" s="266"/>
      <c r="AD12" s="266"/>
      <c r="AE12" s="266"/>
      <c r="AF12" s="266"/>
      <c r="AG12" s="264">
        <f>AQ20+AQ21+AQ22+AQ23</f>
        <v>0</v>
      </c>
      <c r="AH12" s="264"/>
      <c r="AI12" s="28" t="s">
        <v>176</v>
      </c>
      <c r="AK12" s="441" t="s">
        <v>589</v>
      </c>
      <c r="AL12" s="442"/>
      <c r="AM12" s="442"/>
      <c r="AN12" s="442"/>
      <c r="AO12" s="442"/>
      <c r="AP12" s="443"/>
      <c r="AQ12" s="42">
        <v>18</v>
      </c>
      <c r="AR12" s="43"/>
      <c r="AS12" s="46">
        <v>3</v>
      </c>
      <c r="AT12" s="46"/>
      <c r="AU12" s="46"/>
      <c r="AV12" s="47" t="s">
        <v>590</v>
      </c>
      <c r="AW12" s="47" t="s">
        <v>574</v>
      </c>
      <c r="AX12" s="47">
        <v>0.58333333333333337</v>
      </c>
      <c r="AY12" s="47">
        <v>0.58333333333333337</v>
      </c>
      <c r="AZ12" s="43"/>
      <c r="BB12" s="49"/>
      <c r="BC12" s="43"/>
      <c r="BD12" s="43"/>
      <c r="BE12" s="43"/>
      <c r="BF12" s="43"/>
      <c r="BG12" s="43"/>
      <c r="BH12" s="43"/>
      <c r="BI12" s="43"/>
      <c r="BJ12" s="43"/>
      <c r="BK12" s="43"/>
      <c r="BL12" s="43"/>
      <c r="BM12" s="43"/>
      <c r="BN12" s="43"/>
      <c r="BO12" s="43"/>
      <c r="BP12" s="43"/>
      <c r="BQ12" s="43"/>
      <c r="BR12" s="43"/>
      <c r="BS12" s="43"/>
      <c r="BT12" s="43"/>
      <c r="BU12" s="43"/>
      <c r="BV12" s="43"/>
      <c r="BW12" s="43"/>
      <c r="BX12" s="43"/>
      <c r="BY12" s="43"/>
      <c r="BZ12" s="43"/>
      <c r="CA12" s="43"/>
      <c r="CB12" s="43"/>
      <c r="CC12" s="43"/>
      <c r="CD12" s="43"/>
      <c r="CE12" s="43"/>
      <c r="CF12" s="43"/>
      <c r="CG12" s="43"/>
    </row>
    <row r="13" spans="1:85" ht="18" customHeight="1" thickBot="1">
      <c r="A13" s="517" t="s">
        <v>591</v>
      </c>
      <c r="B13" s="277"/>
      <c r="C13" s="277"/>
      <c r="D13" s="277"/>
      <c r="E13" s="277"/>
      <c r="F13" s="277"/>
      <c r="G13" s="277"/>
      <c r="H13" s="277"/>
      <c r="I13" s="272">
        <f>AQ30+AQ31</f>
        <v>2</v>
      </c>
      <c r="J13" s="272"/>
      <c r="K13" s="273" t="s">
        <v>176</v>
      </c>
      <c r="L13" s="274"/>
      <c r="M13" s="276" t="s">
        <v>592</v>
      </c>
      <c r="N13" s="277"/>
      <c r="O13" s="277"/>
      <c r="P13" s="277"/>
      <c r="Q13" s="277"/>
      <c r="R13" s="277"/>
      <c r="S13" s="277"/>
      <c r="T13" s="277"/>
      <c r="U13" s="272">
        <f>AQ28</f>
        <v>0</v>
      </c>
      <c r="V13" s="272"/>
      <c r="W13" s="273" t="s">
        <v>176</v>
      </c>
      <c r="X13" s="274"/>
      <c r="Y13" s="276" t="s">
        <v>593</v>
      </c>
      <c r="Z13" s="277"/>
      <c r="AA13" s="277"/>
      <c r="AB13" s="277"/>
      <c r="AC13" s="277"/>
      <c r="AD13" s="277"/>
      <c r="AE13" s="277"/>
      <c r="AF13" s="277"/>
      <c r="AG13" s="272">
        <f>AQ13</f>
        <v>1</v>
      </c>
      <c r="AH13" s="272"/>
      <c r="AI13" s="34" t="s">
        <v>176</v>
      </c>
      <c r="AK13" s="425" t="s">
        <v>594</v>
      </c>
      <c r="AL13" s="425"/>
      <c r="AM13" s="425"/>
      <c r="AN13" s="425"/>
      <c r="AO13" s="425"/>
      <c r="AP13" s="425"/>
      <c r="AQ13" s="42">
        <v>1</v>
      </c>
      <c r="AR13" s="43"/>
      <c r="AS13" s="46">
        <v>4</v>
      </c>
      <c r="AT13" s="46"/>
      <c r="AU13" s="46" t="s">
        <v>28</v>
      </c>
      <c r="AV13" s="47" t="s">
        <v>1025</v>
      </c>
      <c r="AW13" s="47" t="s">
        <v>596</v>
      </c>
      <c r="AX13" s="47">
        <v>0.33333333333333331</v>
      </c>
      <c r="AY13" s="47">
        <v>0.58333333333333337</v>
      </c>
      <c r="AZ13" s="43"/>
      <c r="BB13" s="121" t="s">
        <v>597</v>
      </c>
      <c r="BC13" s="140" t="s">
        <v>20</v>
      </c>
      <c r="BD13" s="140" t="s">
        <v>119</v>
      </c>
      <c r="BE13" s="140" t="s">
        <v>20</v>
      </c>
      <c r="BF13" s="140" t="s">
        <v>20</v>
      </c>
      <c r="BG13" s="140" t="s">
        <v>20</v>
      </c>
      <c r="BH13" s="140" t="s">
        <v>20</v>
      </c>
      <c r="BI13" s="140" t="s">
        <v>80</v>
      </c>
      <c r="BJ13" s="140" t="s">
        <v>20</v>
      </c>
      <c r="BK13" s="140" t="s">
        <v>20</v>
      </c>
      <c r="BL13" s="140" t="s">
        <v>20</v>
      </c>
      <c r="BM13" s="140" t="s">
        <v>20</v>
      </c>
      <c r="BN13" s="140" t="s">
        <v>20</v>
      </c>
      <c r="BO13" s="140" t="s">
        <v>119</v>
      </c>
      <c r="BP13" s="140" t="s">
        <v>119</v>
      </c>
      <c r="BQ13" s="140" t="s">
        <v>20</v>
      </c>
      <c r="BR13" s="140" t="s">
        <v>119</v>
      </c>
      <c r="BS13" s="140" t="s">
        <v>20</v>
      </c>
      <c r="BT13" s="140" t="s">
        <v>20</v>
      </c>
      <c r="BU13" s="140" t="s">
        <v>20</v>
      </c>
      <c r="BV13" s="140" t="s">
        <v>119</v>
      </c>
      <c r="BW13" s="140" t="s">
        <v>119</v>
      </c>
      <c r="BX13" s="140" t="s">
        <v>20</v>
      </c>
      <c r="BY13" s="140" t="s">
        <v>119</v>
      </c>
      <c r="BZ13" s="140" t="s">
        <v>20</v>
      </c>
      <c r="CA13" s="140" t="s">
        <v>119</v>
      </c>
      <c r="CB13" s="140" t="s">
        <v>20</v>
      </c>
      <c r="CC13" s="140" t="s">
        <v>20</v>
      </c>
      <c r="CD13" s="140" t="s">
        <v>119</v>
      </c>
      <c r="CE13" s="140" t="s">
        <v>20</v>
      </c>
      <c r="CF13" s="140" t="s">
        <v>119</v>
      </c>
      <c r="CG13" s="43"/>
    </row>
    <row r="14" spans="1:85" ht="18" customHeight="1" thickBot="1">
      <c r="A14" s="452" t="s">
        <v>598</v>
      </c>
      <c r="B14" s="453"/>
      <c r="C14" s="453"/>
      <c r="D14" s="453"/>
      <c r="E14" s="453"/>
      <c r="F14" s="453"/>
      <c r="G14" s="453"/>
      <c r="H14" s="453"/>
      <c r="I14" s="453"/>
      <c r="J14" s="453"/>
      <c r="K14" s="453"/>
      <c r="L14" s="453"/>
      <c r="M14" s="453"/>
      <c r="N14" s="453"/>
      <c r="O14" s="453"/>
      <c r="P14" s="453"/>
      <c r="Q14" s="453"/>
      <c r="R14" s="453"/>
      <c r="S14" s="453"/>
      <c r="T14" s="453"/>
      <c r="U14" s="453"/>
      <c r="V14" s="453"/>
      <c r="W14" s="453"/>
      <c r="X14" s="453"/>
      <c r="Y14" s="453"/>
      <c r="Z14" s="453"/>
      <c r="AA14" s="453"/>
      <c r="AB14" s="453"/>
      <c r="AC14" s="453"/>
      <c r="AD14" s="453"/>
      <c r="AE14" s="453"/>
      <c r="AF14" s="453"/>
      <c r="AG14" s="453"/>
      <c r="AH14" s="453"/>
      <c r="AI14" s="454"/>
      <c r="AK14" s="440" t="s">
        <v>599</v>
      </c>
      <c r="AL14" s="440"/>
      <c r="AM14" s="440"/>
      <c r="AN14" s="440"/>
      <c r="AO14" s="440"/>
      <c r="AP14" s="440"/>
      <c r="AQ14" s="42">
        <v>3</v>
      </c>
      <c r="AR14" s="43"/>
      <c r="AS14" s="46">
        <v>5</v>
      </c>
      <c r="AT14" s="46"/>
      <c r="AU14" s="46" t="s">
        <v>20</v>
      </c>
      <c r="AV14" s="47" t="s">
        <v>1026</v>
      </c>
      <c r="AW14" s="47" t="s">
        <v>596</v>
      </c>
      <c r="AX14" s="47">
        <v>0.58333333333333337</v>
      </c>
      <c r="AY14" s="47">
        <v>0.83333333333333337</v>
      </c>
      <c r="AZ14" s="43"/>
      <c r="BB14" s="121" t="s">
        <v>601</v>
      </c>
      <c r="BC14" s="162" t="s">
        <v>28</v>
      </c>
      <c r="BD14" s="162" t="s">
        <v>602</v>
      </c>
      <c r="BE14" s="162" t="s">
        <v>602</v>
      </c>
      <c r="BF14" s="162" t="s">
        <v>28</v>
      </c>
      <c r="BG14" s="162" t="s">
        <v>602</v>
      </c>
      <c r="BH14" s="162" t="s">
        <v>602</v>
      </c>
      <c r="BI14" s="162" t="s">
        <v>28</v>
      </c>
      <c r="BJ14" s="162" t="s">
        <v>28</v>
      </c>
      <c r="BK14" s="162" t="s">
        <v>602</v>
      </c>
      <c r="BL14" s="162" t="s">
        <v>28</v>
      </c>
      <c r="BM14" s="162" t="s">
        <v>602</v>
      </c>
      <c r="BN14" s="162" t="s">
        <v>28</v>
      </c>
      <c r="BO14" s="162" t="s">
        <v>28</v>
      </c>
      <c r="BP14" s="162" t="s">
        <v>76</v>
      </c>
      <c r="BQ14" s="162" t="s">
        <v>28</v>
      </c>
      <c r="BR14" s="162" t="s">
        <v>602</v>
      </c>
      <c r="BS14" s="162" t="s">
        <v>28</v>
      </c>
      <c r="BT14" s="162" t="s">
        <v>602</v>
      </c>
      <c r="BU14" s="162" t="s">
        <v>28</v>
      </c>
      <c r="BV14" s="162" t="s">
        <v>602</v>
      </c>
      <c r="BW14" s="162" t="s">
        <v>28</v>
      </c>
      <c r="BX14" s="162" t="s">
        <v>28</v>
      </c>
      <c r="BY14" s="162" t="s">
        <v>602</v>
      </c>
      <c r="BZ14" s="162" t="s">
        <v>28</v>
      </c>
      <c r="CA14" s="162" t="s">
        <v>602</v>
      </c>
      <c r="CB14" s="162" t="s">
        <v>28</v>
      </c>
      <c r="CC14" s="162" t="s">
        <v>28</v>
      </c>
      <c r="CD14" s="162" t="s">
        <v>76</v>
      </c>
      <c r="CE14" s="162" t="s">
        <v>28</v>
      </c>
      <c r="CF14" s="162" t="s">
        <v>602</v>
      </c>
      <c r="CG14" s="43"/>
    </row>
    <row r="15" spans="1:85" ht="18" customHeight="1" thickBot="1">
      <c r="A15" s="30" t="s">
        <v>189</v>
      </c>
      <c r="B15" s="264" t="s">
        <v>603</v>
      </c>
      <c r="C15" s="264"/>
      <c r="D15" s="264"/>
      <c r="E15" s="264"/>
      <c r="F15" s="264"/>
      <c r="G15" s="264"/>
      <c r="H15" s="264"/>
      <c r="I15" s="264"/>
      <c r="J15" s="278">
        <f>AQ9+AQ10</f>
        <v>72</v>
      </c>
      <c r="K15" s="278"/>
      <c r="L15" s="278"/>
      <c r="M15" s="264" t="s">
        <v>176</v>
      </c>
      <c r="N15" s="264"/>
      <c r="O15" s="264" t="s">
        <v>604</v>
      </c>
      <c r="P15" s="264"/>
      <c r="Q15" s="264"/>
      <c r="R15" s="264"/>
      <c r="S15" s="264"/>
      <c r="T15" s="264"/>
      <c r="U15" s="264"/>
      <c r="V15" s="264"/>
      <c r="W15" s="278">
        <f>AQ11+AQ12</f>
        <v>45</v>
      </c>
      <c r="X15" s="278"/>
      <c r="Y15" s="278"/>
      <c r="Z15" s="264" t="s">
        <v>176</v>
      </c>
      <c r="AA15" s="264"/>
      <c r="AB15" s="503" t="s">
        <v>605</v>
      </c>
      <c r="AC15" s="503"/>
      <c r="AD15" s="503"/>
      <c r="AE15" s="503"/>
      <c r="AF15" s="503"/>
      <c r="AG15" s="503"/>
      <c r="AH15" s="281" t="s">
        <v>585</v>
      </c>
      <c r="AI15" s="282"/>
      <c r="AK15" s="425" t="s">
        <v>606</v>
      </c>
      <c r="AL15" s="425"/>
      <c r="AM15" s="425"/>
      <c r="AN15" s="425"/>
      <c r="AO15" s="425"/>
      <c r="AP15" s="425"/>
      <c r="AQ15" s="42"/>
      <c r="AR15" s="43"/>
      <c r="AS15" s="46">
        <v>6</v>
      </c>
      <c r="AT15" s="46"/>
      <c r="AU15" s="46"/>
      <c r="AV15" s="47" t="s">
        <v>607</v>
      </c>
      <c r="AW15" s="47" t="s">
        <v>596</v>
      </c>
      <c r="AX15" s="47">
        <v>0.33333333333333331</v>
      </c>
      <c r="AY15" s="47">
        <v>0.83333333333333337</v>
      </c>
      <c r="AZ15" s="43"/>
      <c r="BB15" s="121" t="s">
        <v>31</v>
      </c>
      <c r="BC15" s="163" t="s">
        <v>119</v>
      </c>
      <c r="BD15" s="164"/>
      <c r="BE15" s="165" t="s">
        <v>28</v>
      </c>
      <c r="BF15" s="165" t="s">
        <v>119</v>
      </c>
      <c r="BG15" s="164"/>
      <c r="BH15" s="164"/>
      <c r="BI15" s="164"/>
      <c r="BJ15" s="164"/>
      <c r="BK15" s="165" t="s">
        <v>119</v>
      </c>
      <c r="BL15" s="165" t="s">
        <v>602</v>
      </c>
      <c r="BM15" s="165" t="s">
        <v>119</v>
      </c>
      <c r="BN15" s="165" t="s">
        <v>602</v>
      </c>
      <c r="BO15" s="164"/>
      <c r="BP15" s="164"/>
      <c r="BQ15" s="165" t="s">
        <v>608</v>
      </c>
      <c r="BR15" s="165" t="s">
        <v>20</v>
      </c>
      <c r="BS15" s="165" t="s">
        <v>602</v>
      </c>
      <c r="BT15" s="165" t="s">
        <v>119</v>
      </c>
      <c r="BU15" s="165" t="s">
        <v>602</v>
      </c>
      <c r="BV15" s="164"/>
      <c r="BW15" s="164"/>
      <c r="BX15" s="165" t="s">
        <v>119</v>
      </c>
      <c r="BY15" s="165" t="s">
        <v>20</v>
      </c>
      <c r="BZ15" s="165" t="s">
        <v>602</v>
      </c>
      <c r="CA15" s="165" t="s">
        <v>20</v>
      </c>
      <c r="CB15" s="165" t="s">
        <v>602</v>
      </c>
      <c r="CC15" s="165" t="s">
        <v>602</v>
      </c>
      <c r="CD15" s="164"/>
      <c r="CE15" s="165" t="s">
        <v>119</v>
      </c>
      <c r="CF15" s="165" t="s">
        <v>20</v>
      </c>
      <c r="CG15" s="43"/>
    </row>
    <row r="16" spans="1:85" ht="18" customHeight="1">
      <c r="A16" s="504" t="s">
        <v>609</v>
      </c>
      <c r="B16" s="505"/>
      <c r="C16" s="505"/>
      <c r="D16" s="505"/>
      <c r="E16" s="505"/>
      <c r="F16" s="505"/>
      <c r="G16" s="505"/>
      <c r="H16" s="505"/>
      <c r="I16" s="505"/>
      <c r="J16" s="505"/>
      <c r="K16" s="505"/>
      <c r="L16" s="505"/>
      <c r="M16" s="505"/>
      <c r="N16" s="505"/>
      <c r="O16" s="505"/>
      <c r="P16" s="505"/>
      <c r="Q16" s="505"/>
      <c r="R16" s="505"/>
      <c r="S16" s="505"/>
      <c r="T16" s="505"/>
      <c r="U16" s="505"/>
      <c r="V16" s="505"/>
      <c r="W16" s="505"/>
      <c r="X16" s="505"/>
      <c r="Y16" s="505"/>
      <c r="Z16" s="505"/>
      <c r="AA16" s="505"/>
      <c r="AB16" s="505"/>
      <c r="AC16" s="505"/>
      <c r="AD16" s="505"/>
      <c r="AE16" s="505"/>
      <c r="AF16" s="505"/>
      <c r="AG16" s="505"/>
      <c r="AH16" s="505"/>
      <c r="AI16" s="506"/>
      <c r="AK16" s="425" t="s">
        <v>610</v>
      </c>
      <c r="AL16" s="425"/>
      <c r="AM16" s="425"/>
      <c r="AN16" s="425"/>
      <c r="AO16" s="425"/>
      <c r="AP16" s="425"/>
      <c r="AQ16" s="42"/>
      <c r="AR16" s="43"/>
      <c r="AS16" s="46">
        <v>7</v>
      </c>
      <c r="AT16" s="46"/>
      <c r="AU16" s="46" t="s">
        <v>61</v>
      </c>
      <c r="AV16" s="47" t="s">
        <v>611</v>
      </c>
      <c r="AW16" s="47" t="s">
        <v>612</v>
      </c>
      <c r="AX16" s="47">
        <v>0.83333333333333337</v>
      </c>
      <c r="AY16" s="47" t="s">
        <v>613</v>
      </c>
      <c r="AZ16" s="43"/>
      <c r="BB16" s="121" t="s">
        <v>614</v>
      </c>
      <c r="BC16" s="142" t="s">
        <v>20</v>
      </c>
      <c r="BD16" s="140" t="s">
        <v>67</v>
      </c>
      <c r="BE16" s="142" t="s">
        <v>42</v>
      </c>
      <c r="BF16" s="142" t="s">
        <v>20</v>
      </c>
      <c r="BG16" s="142" t="s">
        <v>42</v>
      </c>
      <c r="BH16" s="142" t="s">
        <v>61</v>
      </c>
      <c r="BI16" s="142" t="s">
        <v>67</v>
      </c>
      <c r="BJ16" s="142" t="s">
        <v>67</v>
      </c>
      <c r="BK16" s="142" t="s">
        <v>42</v>
      </c>
      <c r="BL16" s="142" t="s">
        <v>42</v>
      </c>
      <c r="BM16" s="142" t="s">
        <v>67</v>
      </c>
      <c r="BN16" s="142" t="s">
        <v>67</v>
      </c>
      <c r="BO16" s="142" t="s">
        <v>42</v>
      </c>
      <c r="BP16" s="142" t="s">
        <v>67</v>
      </c>
      <c r="BQ16" s="142" t="s">
        <v>20</v>
      </c>
      <c r="BR16" s="142" t="s">
        <v>71</v>
      </c>
      <c r="BS16" s="142" t="s">
        <v>67</v>
      </c>
      <c r="BT16" s="142" t="s">
        <v>67</v>
      </c>
      <c r="BU16" s="142" t="s">
        <v>61</v>
      </c>
      <c r="BV16" s="142" t="s">
        <v>42</v>
      </c>
      <c r="BW16" s="142" t="s">
        <v>49</v>
      </c>
      <c r="BX16" s="142" t="s">
        <v>20</v>
      </c>
      <c r="BY16" s="142" t="s">
        <v>71</v>
      </c>
      <c r="BZ16" s="142" t="s">
        <v>42</v>
      </c>
      <c r="CA16" s="142" t="s">
        <v>20</v>
      </c>
      <c r="CB16" s="142" t="s">
        <v>61</v>
      </c>
      <c r="CC16" s="142" t="s">
        <v>42</v>
      </c>
      <c r="CD16" s="142" t="s">
        <v>49</v>
      </c>
      <c r="CE16" s="142" t="s">
        <v>20</v>
      </c>
      <c r="CF16" s="143" t="s">
        <v>71</v>
      </c>
      <c r="CG16" s="43"/>
    </row>
    <row r="17" spans="1:85" ht="18" customHeight="1">
      <c r="A17" s="396" t="s">
        <v>615</v>
      </c>
      <c r="B17" s="397"/>
      <c r="C17" s="397"/>
      <c r="D17" s="397"/>
      <c r="E17" s="397"/>
      <c r="F17" s="398" t="s">
        <v>616</v>
      </c>
      <c r="G17" s="398"/>
      <c r="H17" s="398"/>
      <c r="I17" s="398"/>
      <c r="J17" s="398"/>
      <c r="K17" s="398"/>
      <c r="L17" s="398"/>
      <c r="M17" s="398"/>
      <c r="N17" s="398"/>
      <c r="O17" s="398"/>
      <c r="P17" s="398"/>
      <c r="Q17" s="398"/>
      <c r="R17" s="398"/>
      <c r="S17" s="398"/>
      <c r="T17" s="398"/>
      <c r="U17" s="398"/>
      <c r="V17" s="398"/>
      <c r="W17" s="398"/>
      <c r="X17" s="398"/>
      <c r="Y17" s="398"/>
      <c r="Z17" s="398"/>
      <c r="AA17" s="398"/>
      <c r="AB17" s="398"/>
      <c r="AC17" s="398"/>
      <c r="AD17" s="398"/>
      <c r="AE17" s="398"/>
      <c r="AF17" s="398"/>
      <c r="AG17" s="398"/>
      <c r="AH17" s="398"/>
      <c r="AI17" s="399"/>
      <c r="AK17" s="425" t="s">
        <v>617</v>
      </c>
      <c r="AL17" s="425"/>
      <c r="AM17" s="425"/>
      <c r="AN17" s="425"/>
      <c r="AO17" s="425"/>
      <c r="AP17" s="425"/>
      <c r="AQ17" s="42"/>
      <c r="AR17" s="43"/>
      <c r="AS17" s="46">
        <v>8</v>
      </c>
      <c r="AT17" s="46"/>
      <c r="AU17" s="46" t="s">
        <v>67</v>
      </c>
      <c r="AV17" s="47" t="s">
        <v>618</v>
      </c>
      <c r="AW17" s="47" t="s">
        <v>612</v>
      </c>
      <c r="AX17" s="47">
        <v>0.83333333333333337</v>
      </c>
      <c r="AY17" s="47" t="s">
        <v>613</v>
      </c>
      <c r="AZ17" s="43"/>
      <c r="BB17" s="121" t="s">
        <v>619</v>
      </c>
      <c r="BC17" s="141" t="s">
        <v>67</v>
      </c>
      <c r="BD17" s="140" t="s">
        <v>42</v>
      </c>
      <c r="BE17" s="141" t="s">
        <v>71</v>
      </c>
      <c r="BF17" s="140" t="s">
        <v>67</v>
      </c>
      <c r="BG17" s="140" t="s">
        <v>61</v>
      </c>
      <c r="BH17" s="140" t="s">
        <v>42</v>
      </c>
      <c r="BI17" s="140" t="s">
        <v>49</v>
      </c>
      <c r="BJ17" s="140" t="s">
        <v>61</v>
      </c>
      <c r="BK17" s="140" t="s">
        <v>71</v>
      </c>
      <c r="BL17" s="140" t="s">
        <v>67</v>
      </c>
      <c r="BM17" s="140" t="s">
        <v>49</v>
      </c>
      <c r="BN17" s="140" t="s">
        <v>49</v>
      </c>
      <c r="BO17" s="140" t="s">
        <v>61</v>
      </c>
      <c r="BP17" s="140" t="s">
        <v>49</v>
      </c>
      <c r="BQ17" s="140" t="s">
        <v>67</v>
      </c>
      <c r="BR17" s="140" t="s">
        <v>42</v>
      </c>
      <c r="BS17" s="140" t="s">
        <v>42</v>
      </c>
      <c r="BT17" s="140" t="s">
        <v>49</v>
      </c>
      <c r="BU17" s="140" t="s">
        <v>42</v>
      </c>
      <c r="BV17" s="140" t="s">
        <v>61</v>
      </c>
      <c r="BW17" s="140" t="s">
        <v>71</v>
      </c>
      <c r="BX17" s="140" t="s">
        <v>67</v>
      </c>
      <c r="BY17" s="140" t="s">
        <v>42</v>
      </c>
      <c r="BZ17" s="140" t="s">
        <v>67</v>
      </c>
      <c r="CA17" s="140" t="s">
        <v>67</v>
      </c>
      <c r="CB17" s="140" t="s">
        <v>49</v>
      </c>
      <c r="CC17" s="140" t="s">
        <v>61</v>
      </c>
      <c r="CD17" s="140" t="s">
        <v>71</v>
      </c>
      <c r="CE17" s="140" t="s">
        <v>67</v>
      </c>
      <c r="CF17" s="140" t="s">
        <v>42</v>
      </c>
      <c r="CG17" s="43"/>
    </row>
    <row r="18" spans="1:85" ht="18" customHeight="1">
      <c r="A18" s="501" t="s">
        <v>620</v>
      </c>
      <c r="B18" s="502"/>
      <c r="C18" s="502"/>
      <c r="D18" s="502"/>
      <c r="E18" s="502"/>
      <c r="F18" s="400" t="s">
        <v>616</v>
      </c>
      <c r="G18" s="400"/>
      <c r="H18" s="400"/>
      <c r="I18" s="400"/>
      <c r="J18" s="400"/>
      <c r="K18" s="400"/>
      <c r="L18" s="400"/>
      <c r="M18" s="400"/>
      <c r="N18" s="400"/>
      <c r="O18" s="400"/>
      <c r="P18" s="400"/>
      <c r="Q18" s="400"/>
      <c r="R18" s="400"/>
      <c r="S18" s="400"/>
      <c r="T18" s="400"/>
      <c r="U18" s="400"/>
      <c r="V18" s="400"/>
      <c r="W18" s="400"/>
      <c r="X18" s="400"/>
      <c r="Y18" s="400"/>
      <c r="Z18" s="400"/>
      <c r="AA18" s="400"/>
      <c r="AB18" s="400"/>
      <c r="AC18" s="400"/>
      <c r="AD18" s="400"/>
      <c r="AE18" s="400"/>
      <c r="AF18" s="400"/>
      <c r="AG18" s="400"/>
      <c r="AH18" s="400"/>
      <c r="AI18" s="401"/>
      <c r="AK18" s="425" t="s">
        <v>621</v>
      </c>
      <c r="AL18" s="425"/>
      <c r="AM18" s="425"/>
      <c r="AN18" s="425"/>
      <c r="AO18" s="425"/>
      <c r="AP18" s="425"/>
      <c r="AQ18" s="42"/>
      <c r="AR18" s="43"/>
      <c r="AS18" s="46">
        <v>9</v>
      </c>
      <c r="AT18" s="46"/>
      <c r="AU18" s="46"/>
      <c r="AV18" s="47" t="s">
        <v>622</v>
      </c>
      <c r="AW18" s="47" t="s">
        <v>612</v>
      </c>
      <c r="AX18" s="47">
        <v>0.83333333333333337</v>
      </c>
      <c r="AY18" s="47" t="s">
        <v>613</v>
      </c>
      <c r="AZ18" s="43"/>
    </row>
    <row r="19" spans="1:85" ht="18" customHeight="1" thickBot="1">
      <c r="A19" s="35" t="s">
        <v>189</v>
      </c>
      <c r="B19" s="405">
        <v>0.57291666666666663</v>
      </c>
      <c r="C19" s="405"/>
      <c r="D19" s="405"/>
      <c r="E19" s="405"/>
      <c r="F19" s="402" t="s">
        <v>817</v>
      </c>
      <c r="G19" s="402"/>
      <c r="H19" s="402"/>
      <c r="I19" s="402"/>
      <c r="J19" s="402"/>
      <c r="K19" s="402"/>
      <c r="L19" s="402"/>
      <c r="M19" s="402"/>
      <c r="N19" s="402"/>
      <c r="O19" s="402"/>
      <c r="P19" s="402"/>
      <c r="Q19" s="402"/>
      <c r="R19" s="402"/>
      <c r="S19" s="402"/>
      <c r="T19" s="402"/>
      <c r="U19" s="402"/>
      <c r="V19" s="402"/>
      <c r="W19" s="402"/>
      <c r="X19" s="402"/>
      <c r="Y19" s="402"/>
      <c r="Z19" s="402"/>
      <c r="AA19" s="402"/>
      <c r="AB19" s="402"/>
      <c r="AC19" s="402"/>
      <c r="AD19" s="402"/>
      <c r="AE19" s="402"/>
      <c r="AF19" s="402"/>
      <c r="AG19" s="402"/>
      <c r="AH19" s="402"/>
      <c r="AI19" s="403"/>
      <c r="AK19" s="524" t="s">
        <v>623</v>
      </c>
      <c r="AL19" s="524"/>
      <c r="AM19" s="524"/>
      <c r="AN19" s="524"/>
      <c r="AO19" s="524"/>
      <c r="AP19" s="524"/>
      <c r="AQ19" s="58"/>
      <c r="AR19" s="43"/>
      <c r="AS19" s="46">
        <v>10</v>
      </c>
      <c r="AT19" s="46"/>
      <c r="AU19" s="46"/>
      <c r="AV19" s="47" t="s">
        <v>111</v>
      </c>
      <c r="AW19" s="47" t="s">
        <v>612</v>
      </c>
      <c r="AX19" s="47">
        <v>0.83333333333333337</v>
      </c>
      <c r="AY19" s="47" t="s">
        <v>613</v>
      </c>
      <c r="AZ19" s="43"/>
    </row>
    <row r="20" spans="1:85" ht="18" customHeight="1">
      <c r="A20" s="36" t="s">
        <v>189</v>
      </c>
      <c r="B20" s="404">
        <v>0.64583333333333337</v>
      </c>
      <c r="C20" s="404"/>
      <c r="D20" s="404"/>
      <c r="E20" s="404"/>
      <c r="F20" s="288" t="s">
        <v>1027</v>
      </c>
      <c r="G20" s="288"/>
      <c r="H20" s="288"/>
      <c r="I20" s="288"/>
      <c r="J20" s="288"/>
      <c r="K20" s="288"/>
      <c r="L20" s="288"/>
      <c r="M20" s="288"/>
      <c r="N20" s="288"/>
      <c r="O20" s="288"/>
      <c r="P20" s="288"/>
      <c r="Q20" s="288"/>
      <c r="R20" s="288"/>
      <c r="S20" s="288"/>
      <c r="T20" s="288"/>
      <c r="U20" s="288"/>
      <c r="V20" s="288"/>
      <c r="W20" s="288"/>
      <c r="X20" s="288"/>
      <c r="Y20" s="288"/>
      <c r="Z20" s="288"/>
      <c r="AA20" s="288"/>
      <c r="AB20" s="288"/>
      <c r="AC20" s="288"/>
      <c r="AD20" s="288"/>
      <c r="AE20" s="288"/>
      <c r="AF20" s="288"/>
      <c r="AG20" s="288"/>
      <c r="AH20" s="288"/>
      <c r="AI20" s="289"/>
      <c r="AK20" s="447" t="s">
        <v>624</v>
      </c>
      <c r="AL20" s="448"/>
      <c r="AM20" s="448"/>
      <c r="AN20" s="448"/>
      <c r="AO20" s="448"/>
      <c r="AP20" s="448"/>
      <c r="AQ20" s="62"/>
      <c r="AR20" s="426" t="s">
        <v>625</v>
      </c>
      <c r="AS20" s="146">
        <v>11</v>
      </c>
      <c r="AT20" s="46"/>
      <c r="AU20" s="46"/>
      <c r="AV20" s="47" t="s">
        <v>111</v>
      </c>
      <c r="AW20" s="47" t="s">
        <v>612</v>
      </c>
      <c r="AX20" s="47">
        <v>0.83333333333333337</v>
      </c>
      <c r="AY20" s="47" t="s">
        <v>613</v>
      </c>
      <c r="AZ20" s="43"/>
    </row>
    <row r="21" spans="1:85" ht="18" customHeight="1" thickBot="1">
      <c r="A21" s="36" t="s">
        <v>189</v>
      </c>
      <c r="B21" s="404">
        <v>0.66666666666666663</v>
      </c>
      <c r="C21" s="404"/>
      <c r="D21" s="404"/>
      <c r="E21" s="404"/>
      <c r="F21" s="288" t="s">
        <v>1028</v>
      </c>
      <c r="G21" s="288"/>
      <c r="H21" s="288"/>
      <c r="I21" s="288"/>
      <c r="J21" s="288"/>
      <c r="K21" s="288"/>
      <c r="L21" s="288"/>
      <c r="M21" s="288"/>
      <c r="N21" s="288"/>
      <c r="O21" s="288"/>
      <c r="P21" s="288"/>
      <c r="Q21" s="288"/>
      <c r="R21" s="288"/>
      <c r="S21" s="288"/>
      <c r="T21" s="288"/>
      <c r="U21" s="288"/>
      <c r="V21" s="288"/>
      <c r="W21" s="288"/>
      <c r="X21" s="288"/>
      <c r="Y21" s="288"/>
      <c r="Z21" s="288"/>
      <c r="AA21" s="288"/>
      <c r="AB21" s="288"/>
      <c r="AC21" s="288"/>
      <c r="AD21" s="288"/>
      <c r="AE21" s="288"/>
      <c r="AF21" s="288"/>
      <c r="AG21" s="288"/>
      <c r="AH21" s="288"/>
      <c r="AI21" s="289"/>
      <c r="AK21" s="429" t="s">
        <v>626</v>
      </c>
      <c r="AL21" s="430"/>
      <c r="AM21" s="430"/>
      <c r="AN21" s="430"/>
      <c r="AO21" s="430"/>
      <c r="AP21" s="430"/>
      <c r="AQ21" s="63"/>
      <c r="AR21" s="427"/>
      <c r="AW21" s="43"/>
      <c r="AX21" s="43"/>
      <c r="AY21" s="43"/>
      <c r="AZ21" s="43"/>
    </row>
    <row r="22" spans="1:85" ht="18" customHeight="1">
      <c r="A22" s="36" t="s">
        <v>189</v>
      </c>
      <c r="B22" s="404">
        <v>0.6875</v>
      </c>
      <c r="C22" s="404"/>
      <c r="D22" s="404"/>
      <c r="E22" s="404"/>
      <c r="F22" s="288" t="s">
        <v>1029</v>
      </c>
      <c r="G22" s="288"/>
      <c r="H22" s="288"/>
      <c r="I22" s="288"/>
      <c r="J22" s="288"/>
      <c r="K22" s="288"/>
      <c r="L22" s="288"/>
      <c r="M22" s="288"/>
      <c r="N22" s="288"/>
      <c r="O22" s="288"/>
      <c r="P22" s="288"/>
      <c r="Q22" s="288"/>
      <c r="R22" s="288"/>
      <c r="S22" s="288"/>
      <c r="T22" s="288"/>
      <c r="U22" s="288"/>
      <c r="V22" s="288"/>
      <c r="W22" s="288"/>
      <c r="X22" s="288"/>
      <c r="Y22" s="288"/>
      <c r="Z22" s="288"/>
      <c r="AA22" s="288"/>
      <c r="AB22" s="288"/>
      <c r="AC22" s="288"/>
      <c r="AD22" s="288"/>
      <c r="AE22" s="288"/>
      <c r="AF22" s="288"/>
      <c r="AG22" s="288"/>
      <c r="AH22" s="288"/>
      <c r="AI22" s="289"/>
      <c r="AK22" s="429" t="s">
        <v>627</v>
      </c>
      <c r="AL22" s="430"/>
      <c r="AM22" s="430"/>
      <c r="AN22" s="430"/>
      <c r="AO22" s="430"/>
      <c r="AP22" s="430"/>
      <c r="AQ22" s="63"/>
      <c r="AR22" s="427"/>
      <c r="AS22" s="433" t="s">
        <v>628</v>
      </c>
      <c r="AT22" s="434"/>
      <c r="AU22" s="435"/>
      <c r="AV22" s="435"/>
      <c r="AW22" s="60" t="s">
        <v>74</v>
      </c>
      <c r="AY22" s="413" t="s">
        <v>629</v>
      </c>
      <c r="AZ22" s="413"/>
      <c r="BA22" s="412"/>
      <c r="BB22" s="412"/>
    </row>
    <row r="23" spans="1:85" ht="18" customHeight="1" thickBot="1">
      <c r="A23" s="36"/>
      <c r="B23" s="404"/>
      <c r="C23" s="404"/>
      <c r="D23" s="404"/>
      <c r="E23" s="404"/>
      <c r="F23" s="288" t="s">
        <v>1030</v>
      </c>
      <c r="G23" s="288"/>
      <c r="H23" s="288"/>
      <c r="I23" s="288"/>
      <c r="J23" s="288"/>
      <c r="K23" s="288"/>
      <c r="L23" s="288"/>
      <c r="M23" s="288"/>
      <c r="N23" s="288"/>
      <c r="O23" s="288"/>
      <c r="P23" s="288"/>
      <c r="Q23" s="288"/>
      <c r="R23" s="288"/>
      <c r="S23" s="288"/>
      <c r="T23" s="288"/>
      <c r="U23" s="288"/>
      <c r="V23" s="288"/>
      <c r="W23" s="288"/>
      <c r="X23" s="288"/>
      <c r="Y23" s="288"/>
      <c r="Z23" s="288"/>
      <c r="AA23" s="288"/>
      <c r="AB23" s="288"/>
      <c r="AC23" s="288"/>
      <c r="AD23" s="288"/>
      <c r="AE23" s="288"/>
      <c r="AF23" s="288"/>
      <c r="AG23" s="288"/>
      <c r="AH23" s="288"/>
      <c r="AI23" s="289"/>
      <c r="AK23" s="431" t="s">
        <v>630</v>
      </c>
      <c r="AL23" s="432"/>
      <c r="AM23" s="432"/>
      <c r="AN23" s="432"/>
      <c r="AO23" s="432"/>
      <c r="AP23" s="432"/>
      <c r="AQ23" s="64"/>
      <c r="AR23" s="428"/>
      <c r="AS23" s="536" t="s">
        <v>631</v>
      </c>
      <c r="AT23" s="246"/>
      <c r="AU23" s="537"/>
      <c r="AV23" s="537"/>
      <c r="AW23" s="56" t="s">
        <v>632</v>
      </c>
      <c r="AY23" s="413" t="s">
        <v>633</v>
      </c>
      <c r="AZ23" s="413"/>
      <c r="BA23" s="412"/>
      <c r="BB23" s="412"/>
    </row>
    <row r="24" spans="1:85" ht="18" customHeight="1" thickBot="1">
      <c r="A24" s="36" t="s">
        <v>189</v>
      </c>
      <c r="B24" s="404">
        <v>0.75</v>
      </c>
      <c r="C24" s="404"/>
      <c r="D24" s="404"/>
      <c r="E24" s="404"/>
      <c r="F24" s="288" t="s">
        <v>1031</v>
      </c>
      <c r="G24" s="288"/>
      <c r="H24" s="288"/>
      <c r="I24" s="288"/>
      <c r="J24" s="288"/>
      <c r="K24" s="288"/>
      <c r="L24" s="288"/>
      <c r="M24" s="288"/>
      <c r="N24" s="288"/>
      <c r="O24" s="288"/>
      <c r="P24" s="288"/>
      <c r="Q24" s="288"/>
      <c r="R24" s="288"/>
      <c r="S24" s="288"/>
      <c r="T24" s="288"/>
      <c r="U24" s="288"/>
      <c r="V24" s="288"/>
      <c r="W24" s="288"/>
      <c r="X24" s="288"/>
      <c r="Y24" s="288"/>
      <c r="Z24" s="288"/>
      <c r="AA24" s="288"/>
      <c r="AB24" s="288"/>
      <c r="AC24" s="288"/>
      <c r="AD24" s="288"/>
      <c r="AE24" s="288"/>
      <c r="AF24" s="288"/>
      <c r="AG24" s="288"/>
      <c r="AH24" s="288"/>
      <c r="AI24" s="289"/>
      <c r="AK24" s="527" t="s">
        <v>634</v>
      </c>
      <c r="AL24" s="528"/>
      <c r="AM24" s="528"/>
      <c r="AN24" s="528"/>
      <c r="AO24" s="528"/>
      <c r="AP24" s="528"/>
      <c r="AQ24" s="65"/>
      <c r="AR24" s="43"/>
      <c r="AY24" s="413" t="s">
        <v>635</v>
      </c>
      <c r="AZ24" s="413"/>
      <c r="BA24" s="412"/>
      <c r="BB24" s="412"/>
    </row>
    <row r="25" spans="1:85" ht="18" customHeight="1">
      <c r="A25" s="36" t="s">
        <v>189</v>
      </c>
      <c r="B25" s="404">
        <v>0.875</v>
      </c>
      <c r="C25" s="404"/>
      <c r="D25" s="404"/>
      <c r="E25" s="404"/>
      <c r="F25" s="288" t="s">
        <v>1008</v>
      </c>
      <c r="G25" s="288"/>
      <c r="H25" s="288"/>
      <c r="I25" s="288"/>
      <c r="J25" s="288"/>
      <c r="K25" s="288"/>
      <c r="L25" s="288"/>
      <c r="M25" s="288"/>
      <c r="N25" s="288"/>
      <c r="O25" s="288"/>
      <c r="P25" s="288"/>
      <c r="Q25" s="288"/>
      <c r="R25" s="288"/>
      <c r="S25" s="288"/>
      <c r="T25" s="288"/>
      <c r="U25" s="288"/>
      <c r="V25" s="288"/>
      <c r="W25" s="288"/>
      <c r="X25" s="288"/>
      <c r="Y25" s="288"/>
      <c r="Z25" s="288"/>
      <c r="AA25" s="288"/>
      <c r="AB25" s="288"/>
      <c r="AC25" s="288"/>
      <c r="AD25" s="288"/>
      <c r="AE25" s="288"/>
      <c r="AF25" s="288"/>
      <c r="AG25" s="288"/>
      <c r="AH25" s="288"/>
      <c r="AI25" s="289"/>
      <c r="AK25" s="529" t="s">
        <v>636</v>
      </c>
      <c r="AL25" s="529"/>
      <c r="AM25" s="529"/>
      <c r="AN25" s="529"/>
      <c r="AO25" s="529"/>
      <c r="AP25" s="529"/>
      <c r="AQ25" s="66"/>
      <c r="AR25" s="43"/>
      <c r="AY25" s="413" t="s">
        <v>637</v>
      </c>
      <c r="AZ25" s="413"/>
      <c r="BA25" s="412"/>
      <c r="BB25" s="412"/>
    </row>
    <row r="26" spans="1:85" ht="18" customHeight="1">
      <c r="A26" s="36" t="s">
        <v>189</v>
      </c>
      <c r="B26" s="404">
        <v>0.88055555555555554</v>
      </c>
      <c r="C26" s="404"/>
      <c r="D26" s="404"/>
      <c r="E26" s="404"/>
      <c r="F26" s="288" t="s">
        <v>1032</v>
      </c>
      <c r="G26" s="288"/>
      <c r="H26" s="288"/>
      <c r="I26" s="288"/>
      <c r="J26" s="288"/>
      <c r="K26" s="288"/>
      <c r="L26" s="288"/>
      <c r="M26" s="288"/>
      <c r="N26" s="288"/>
      <c r="O26" s="288"/>
      <c r="P26" s="288"/>
      <c r="Q26" s="288"/>
      <c r="R26" s="288"/>
      <c r="S26" s="288"/>
      <c r="T26" s="288"/>
      <c r="U26" s="288"/>
      <c r="V26" s="288"/>
      <c r="W26" s="288"/>
      <c r="X26" s="288"/>
      <c r="Y26" s="288"/>
      <c r="Z26" s="288"/>
      <c r="AA26" s="288"/>
      <c r="AB26" s="288"/>
      <c r="AC26" s="288"/>
      <c r="AD26" s="288"/>
      <c r="AE26" s="288"/>
      <c r="AF26" s="288"/>
      <c r="AG26" s="288"/>
      <c r="AH26" s="288"/>
      <c r="AI26" s="289"/>
      <c r="AK26" s="436" t="s">
        <v>638</v>
      </c>
      <c r="AL26" s="436"/>
      <c r="AM26" s="436"/>
      <c r="AN26" s="436"/>
      <c r="AO26" s="436"/>
      <c r="AP26" s="436"/>
      <c r="AQ26" s="67"/>
      <c r="AR26" s="43"/>
      <c r="AS26" s="548" t="s">
        <v>639</v>
      </c>
      <c r="AT26" s="549"/>
      <c r="AU26" s="549"/>
      <c r="AV26" s="549"/>
      <c r="AW26" s="550"/>
      <c r="AY26" s="147"/>
      <c r="AZ26" s="147"/>
      <c r="BA26" s="147"/>
      <c r="BB26" s="147"/>
    </row>
    <row r="27" spans="1:85" ht="18" customHeight="1">
      <c r="A27" s="36" t="s">
        <v>189</v>
      </c>
      <c r="B27" s="404">
        <v>4.8611111111111112E-2</v>
      </c>
      <c r="C27" s="404"/>
      <c r="D27" s="404"/>
      <c r="E27" s="404"/>
      <c r="F27" s="288" t="s">
        <v>1033</v>
      </c>
      <c r="G27" s="288"/>
      <c r="H27" s="288"/>
      <c r="I27" s="288"/>
      <c r="J27" s="288"/>
      <c r="K27" s="288"/>
      <c r="L27" s="288"/>
      <c r="M27" s="288"/>
      <c r="N27" s="288"/>
      <c r="O27" s="288"/>
      <c r="P27" s="288"/>
      <c r="Q27" s="288"/>
      <c r="R27" s="288"/>
      <c r="S27" s="288"/>
      <c r="T27" s="288"/>
      <c r="U27" s="288"/>
      <c r="V27" s="288"/>
      <c r="W27" s="288"/>
      <c r="X27" s="288"/>
      <c r="Y27" s="288"/>
      <c r="Z27" s="288"/>
      <c r="AA27" s="288"/>
      <c r="AB27" s="288"/>
      <c r="AC27" s="288"/>
      <c r="AD27" s="288"/>
      <c r="AE27" s="288"/>
      <c r="AF27" s="288"/>
      <c r="AG27" s="288"/>
      <c r="AH27" s="288"/>
      <c r="AI27" s="289"/>
      <c r="AK27" s="436" t="s">
        <v>640</v>
      </c>
      <c r="AL27" s="436"/>
      <c r="AM27" s="436"/>
      <c r="AN27" s="436"/>
      <c r="AO27" s="436"/>
      <c r="AP27" s="436"/>
      <c r="AQ27" s="67"/>
      <c r="AR27" s="43"/>
      <c r="AS27" s="458" t="s">
        <v>641</v>
      </c>
      <c r="AT27" s="460"/>
      <c r="AU27" s="458" t="s">
        <v>642</v>
      </c>
      <c r="AV27" s="459"/>
      <c r="AW27" s="460"/>
      <c r="AY27" s="411" t="s">
        <v>643</v>
      </c>
      <c r="AZ27" s="411"/>
      <c r="BA27" s="411"/>
      <c r="BB27" s="411"/>
    </row>
    <row r="28" spans="1:85" ht="18" customHeight="1" thickBot="1">
      <c r="A28" s="36" t="s">
        <v>189</v>
      </c>
      <c r="B28" s="404">
        <v>0.29166666666666669</v>
      </c>
      <c r="C28" s="404"/>
      <c r="D28" s="404"/>
      <c r="E28" s="404"/>
      <c r="F28" s="288" t="s">
        <v>728</v>
      </c>
      <c r="G28" s="288"/>
      <c r="H28" s="288"/>
      <c r="I28" s="288"/>
      <c r="J28" s="288"/>
      <c r="K28" s="288"/>
      <c r="L28" s="288"/>
      <c r="M28" s="288"/>
      <c r="N28" s="288"/>
      <c r="O28" s="288"/>
      <c r="P28" s="288"/>
      <c r="Q28" s="288"/>
      <c r="R28" s="288"/>
      <c r="S28" s="288"/>
      <c r="T28" s="288"/>
      <c r="U28" s="288"/>
      <c r="V28" s="288"/>
      <c r="W28" s="288"/>
      <c r="X28" s="288"/>
      <c r="Y28" s="288"/>
      <c r="Z28" s="288"/>
      <c r="AA28" s="288"/>
      <c r="AB28" s="288"/>
      <c r="AC28" s="288"/>
      <c r="AD28" s="288"/>
      <c r="AE28" s="288"/>
      <c r="AF28" s="288"/>
      <c r="AG28" s="288"/>
      <c r="AH28" s="288"/>
      <c r="AI28" s="289"/>
      <c r="AK28" s="436" t="s">
        <v>644</v>
      </c>
      <c r="AL28" s="436"/>
      <c r="AM28" s="436"/>
      <c r="AN28" s="436"/>
      <c r="AO28" s="436"/>
      <c r="AP28" s="436"/>
      <c r="AQ28" s="67"/>
      <c r="AR28" s="43"/>
      <c r="AS28" s="538" t="s">
        <v>645</v>
      </c>
      <c r="AT28" s="539"/>
      <c r="AU28" s="533" t="s">
        <v>646</v>
      </c>
      <c r="AV28" s="534"/>
      <c r="AW28" s="535"/>
      <c r="AY28" s="413" t="s">
        <v>647</v>
      </c>
      <c r="AZ28" s="413"/>
      <c r="BA28" s="412"/>
      <c r="BB28" s="412"/>
    </row>
    <row r="29" spans="1:85" ht="18" customHeight="1" thickBot="1">
      <c r="A29" s="36"/>
      <c r="B29" s="404"/>
      <c r="C29" s="404"/>
      <c r="D29" s="404"/>
      <c r="E29" s="404"/>
      <c r="F29" s="288"/>
      <c r="G29" s="288"/>
      <c r="H29" s="288"/>
      <c r="I29" s="288"/>
      <c r="J29" s="288"/>
      <c r="K29" s="288"/>
      <c r="L29" s="288"/>
      <c r="M29" s="288"/>
      <c r="N29" s="288"/>
      <c r="O29" s="288"/>
      <c r="P29" s="288"/>
      <c r="Q29" s="288"/>
      <c r="R29" s="288"/>
      <c r="S29" s="288"/>
      <c r="T29" s="288"/>
      <c r="U29" s="288"/>
      <c r="V29" s="288"/>
      <c r="W29" s="288"/>
      <c r="X29" s="288"/>
      <c r="Y29" s="288"/>
      <c r="Z29" s="288"/>
      <c r="AA29" s="288"/>
      <c r="AB29" s="288"/>
      <c r="AC29" s="288"/>
      <c r="AD29" s="288"/>
      <c r="AE29" s="288"/>
      <c r="AF29" s="288"/>
      <c r="AG29" s="288"/>
      <c r="AH29" s="288"/>
      <c r="AI29" s="289"/>
      <c r="AK29" s="524"/>
      <c r="AL29" s="524"/>
      <c r="AM29" s="524"/>
      <c r="AN29" s="524"/>
      <c r="AO29" s="524"/>
      <c r="AP29" s="524"/>
      <c r="AQ29" s="58"/>
      <c r="AR29" s="43"/>
      <c r="AS29" s="551">
        <v>1.3020833333333333</v>
      </c>
      <c r="AT29" s="552"/>
      <c r="AU29" s="434" t="s">
        <v>752</v>
      </c>
      <c r="AV29" s="434"/>
      <c r="AW29" s="553"/>
      <c r="AY29" s="413" t="s">
        <v>633</v>
      </c>
      <c r="AZ29" s="413"/>
      <c r="BA29" s="412"/>
      <c r="BB29" s="412"/>
    </row>
    <row r="30" spans="1:85" ht="18" customHeight="1">
      <c r="A30" s="36"/>
      <c r="B30" s="404"/>
      <c r="C30" s="404"/>
      <c r="D30" s="404"/>
      <c r="E30" s="404"/>
      <c r="F30" s="288"/>
      <c r="G30" s="288"/>
      <c r="H30" s="288"/>
      <c r="I30" s="288"/>
      <c r="J30" s="288"/>
      <c r="K30" s="288"/>
      <c r="L30" s="288"/>
      <c r="M30" s="288"/>
      <c r="N30" s="288"/>
      <c r="O30" s="288"/>
      <c r="P30" s="288"/>
      <c r="Q30" s="288"/>
      <c r="R30" s="288"/>
      <c r="S30" s="288"/>
      <c r="T30" s="288"/>
      <c r="U30" s="288"/>
      <c r="V30" s="288"/>
      <c r="W30" s="288"/>
      <c r="X30" s="288"/>
      <c r="Y30" s="288"/>
      <c r="Z30" s="288"/>
      <c r="AA30" s="288"/>
      <c r="AB30" s="288"/>
      <c r="AC30" s="288"/>
      <c r="AD30" s="288"/>
      <c r="AE30" s="288"/>
      <c r="AF30" s="288"/>
      <c r="AG30" s="288"/>
      <c r="AH30" s="288"/>
      <c r="AI30" s="289"/>
      <c r="AK30" s="449" t="s">
        <v>648</v>
      </c>
      <c r="AL30" s="450"/>
      <c r="AM30" s="450"/>
      <c r="AN30" s="450"/>
      <c r="AO30" s="450"/>
      <c r="AP30" s="450"/>
      <c r="AQ30" s="62"/>
      <c r="AR30" s="43"/>
      <c r="AS30" s="554">
        <v>1.3041666666666667</v>
      </c>
      <c r="AT30" s="532"/>
      <c r="AU30" s="439" t="s">
        <v>754</v>
      </c>
      <c r="AV30" s="439"/>
      <c r="AW30" s="555"/>
      <c r="AY30" s="413" t="s">
        <v>649</v>
      </c>
      <c r="AZ30" s="413"/>
      <c r="BA30" s="412"/>
      <c r="BB30" s="412"/>
    </row>
    <row r="31" spans="1:85" ht="18" customHeight="1" thickBot="1">
      <c r="A31" s="37"/>
      <c r="B31" s="466"/>
      <c r="C31" s="466"/>
      <c r="D31" s="466"/>
      <c r="E31" s="466"/>
      <c r="F31" s="467"/>
      <c r="G31" s="467"/>
      <c r="H31" s="467"/>
      <c r="I31" s="467"/>
      <c r="J31" s="467"/>
      <c r="K31" s="467"/>
      <c r="L31" s="467"/>
      <c r="M31" s="467"/>
      <c r="N31" s="467"/>
      <c r="O31" s="467"/>
      <c r="P31" s="467"/>
      <c r="Q31" s="467"/>
      <c r="R31" s="467"/>
      <c r="S31" s="467"/>
      <c r="T31" s="467"/>
      <c r="U31" s="467"/>
      <c r="V31" s="467"/>
      <c r="W31" s="467"/>
      <c r="X31" s="467"/>
      <c r="Y31" s="467"/>
      <c r="Z31" s="467"/>
      <c r="AA31" s="467"/>
      <c r="AB31" s="467"/>
      <c r="AC31" s="467"/>
      <c r="AD31" s="467"/>
      <c r="AE31" s="467"/>
      <c r="AF31" s="467"/>
      <c r="AG31" s="467"/>
      <c r="AH31" s="467"/>
      <c r="AI31" s="468"/>
      <c r="AK31" s="451" t="s">
        <v>650</v>
      </c>
      <c r="AL31" s="416"/>
      <c r="AM31" s="416"/>
      <c r="AN31" s="416"/>
      <c r="AO31" s="416"/>
      <c r="AP31" s="416"/>
      <c r="AQ31" s="64">
        <v>2</v>
      </c>
      <c r="AR31" s="48"/>
      <c r="AS31" s="556">
        <v>1.3041666666666667</v>
      </c>
      <c r="AT31" s="557"/>
      <c r="AU31" s="424" t="s">
        <v>799</v>
      </c>
      <c r="AV31" s="424"/>
      <c r="AW31" s="491"/>
      <c r="AY31" s="413" t="s">
        <v>637</v>
      </c>
      <c r="AZ31" s="413"/>
      <c r="BA31" s="412"/>
      <c r="BB31" s="412"/>
    </row>
    <row r="32" spans="1:85" ht="18" customHeight="1" thickBot="1">
      <c r="A32" s="406" t="s">
        <v>651</v>
      </c>
      <c r="B32" s="407"/>
      <c r="C32" s="407"/>
      <c r="D32" s="407"/>
      <c r="E32" s="407"/>
      <c r="F32" s="407"/>
      <c r="G32" s="407"/>
      <c r="H32" s="407"/>
      <c r="I32" s="407"/>
      <c r="J32" s="407"/>
      <c r="K32" s="407"/>
      <c r="L32" s="407"/>
      <c r="M32" s="407"/>
      <c r="N32" s="407"/>
      <c r="O32" s="407"/>
      <c r="P32" s="407"/>
      <c r="Q32" s="407"/>
      <c r="R32" s="407"/>
      <c r="S32" s="407"/>
      <c r="T32" s="407"/>
      <c r="U32" s="407"/>
      <c r="V32" s="407"/>
      <c r="W32" s="407"/>
      <c r="X32" s="407"/>
      <c r="Y32" s="407"/>
      <c r="Z32" s="407"/>
      <c r="AA32" s="407"/>
      <c r="AB32" s="407"/>
      <c r="AC32" s="407"/>
      <c r="AD32" s="407"/>
      <c r="AE32" s="407"/>
      <c r="AF32" s="407"/>
      <c r="AG32" s="407"/>
      <c r="AH32" s="407"/>
      <c r="AI32" s="408"/>
      <c r="AK32" s="531"/>
      <c r="AL32" s="531"/>
      <c r="AM32" s="531"/>
      <c r="AN32" s="531"/>
      <c r="AO32" s="531"/>
      <c r="AP32" s="531"/>
      <c r="AQ32" s="61"/>
      <c r="AR32" s="48"/>
      <c r="AS32" s="558"/>
      <c r="AT32" s="558"/>
      <c r="AU32" s="559"/>
      <c r="AV32" s="559"/>
      <c r="AW32" s="559"/>
      <c r="AY32" s="413" t="s">
        <v>652</v>
      </c>
      <c r="AZ32" s="413"/>
      <c r="BA32" s="412"/>
      <c r="BB32" s="412"/>
    </row>
    <row r="33" spans="1:80" ht="18" customHeight="1">
      <c r="A33" s="39"/>
      <c r="B33" s="546" t="s">
        <v>653</v>
      </c>
      <c r="C33" s="546"/>
      <c r="D33" s="546"/>
      <c r="E33" s="546"/>
      <c r="F33" s="417" t="str" cm="1">
        <f t="array" ref="F33">_xlfn.TEXTJOIN("/",TRUE,IF(AS29:AS31&lt;&gt;"",TEXT(AS29:AS31,"h:mm")&amp;" "&amp;AU29:AU31,""))</f>
        <v>7:15 45階ルーフトップテラス１/7:18 45階ルーフトップテラス２/7:18 45階屋外ストレージ2</v>
      </c>
      <c r="G33" s="418"/>
      <c r="H33" s="418"/>
      <c r="I33" s="418"/>
      <c r="J33" s="418"/>
      <c r="K33" s="418"/>
      <c r="L33" s="418"/>
      <c r="M33" s="418"/>
      <c r="N33" s="418"/>
      <c r="O33" s="418"/>
      <c r="P33" s="418"/>
      <c r="Q33" s="418"/>
      <c r="R33" s="418"/>
      <c r="S33" s="418"/>
      <c r="T33" s="418"/>
      <c r="U33" s="418"/>
      <c r="V33" s="418"/>
      <c r="W33" s="418"/>
      <c r="X33" s="418"/>
      <c r="Y33" s="418"/>
      <c r="Z33" s="418"/>
      <c r="AA33" s="418"/>
      <c r="AB33" s="418"/>
      <c r="AC33" s="418"/>
      <c r="AD33" s="418"/>
      <c r="AE33" s="418"/>
      <c r="AF33" s="418"/>
      <c r="AG33" s="418"/>
      <c r="AH33" s="418"/>
      <c r="AI33" s="419"/>
      <c r="AK33" s="449" t="s">
        <v>654</v>
      </c>
      <c r="AL33" s="450"/>
      <c r="AM33" s="450"/>
      <c r="AN33" s="450"/>
      <c r="AO33" s="450"/>
      <c r="AP33" s="450"/>
      <c r="AQ33" s="60"/>
      <c r="AR33" s="48"/>
      <c r="AS33" s="532"/>
      <c r="AT33" s="532"/>
      <c r="AU33" s="439"/>
      <c r="AV33" s="439"/>
      <c r="AW33" s="439"/>
      <c r="AY33" s="413" t="s">
        <v>655</v>
      </c>
      <c r="AZ33" s="413"/>
      <c r="BA33" s="412"/>
      <c r="BB33" s="412"/>
    </row>
    <row r="34" spans="1:80" ht="18" customHeight="1" thickBot="1">
      <c r="A34" s="39"/>
      <c r="B34" s="546" t="s">
        <v>656</v>
      </c>
      <c r="C34" s="546"/>
      <c r="D34" s="546"/>
      <c r="E34" s="546"/>
      <c r="F34" s="420" t="s">
        <v>79</v>
      </c>
      <c r="G34" s="420"/>
      <c r="H34" s="420"/>
      <c r="I34" s="420"/>
      <c r="J34" s="420"/>
      <c r="K34" s="420"/>
      <c r="L34" s="420"/>
      <c r="M34" s="420"/>
      <c r="N34" s="420"/>
      <c r="O34" s="420"/>
      <c r="P34" s="420"/>
      <c r="Q34" s="420"/>
      <c r="R34" s="420"/>
      <c r="S34" s="420"/>
      <c r="T34" s="420"/>
      <c r="U34" s="420"/>
      <c r="V34" s="420"/>
      <c r="W34" s="420"/>
      <c r="X34" s="420"/>
      <c r="Y34" s="420"/>
      <c r="Z34" s="420"/>
      <c r="AA34" s="420"/>
      <c r="AB34" s="420"/>
      <c r="AC34" s="421"/>
      <c r="AD34" s="421"/>
      <c r="AE34" s="421"/>
      <c r="AF34" s="421"/>
      <c r="AG34" s="421"/>
      <c r="AH34" s="421"/>
      <c r="AI34" s="422"/>
      <c r="AK34" s="451" t="s">
        <v>657</v>
      </c>
      <c r="AL34" s="416"/>
      <c r="AM34" s="416"/>
      <c r="AN34" s="416"/>
      <c r="AO34" s="416"/>
      <c r="AP34" s="416"/>
      <c r="AQ34" s="56"/>
      <c r="AR34" s="48"/>
      <c r="AS34" s="532"/>
      <c r="AT34" s="532"/>
      <c r="AU34" s="439"/>
      <c r="AV34" s="439"/>
      <c r="AW34" s="439"/>
      <c r="AY34" s="413" t="s">
        <v>658</v>
      </c>
      <c r="AZ34" s="413"/>
      <c r="BA34" s="412"/>
      <c r="BB34" s="412"/>
    </row>
    <row r="35" spans="1:80" ht="18" customHeight="1" thickBot="1">
      <c r="A35" s="57"/>
      <c r="B35" s="547" t="s">
        <v>659</v>
      </c>
      <c r="C35" s="547"/>
      <c r="D35" s="547"/>
      <c r="E35" s="547"/>
      <c r="F35" s="389" t="s">
        <v>660</v>
      </c>
      <c r="G35" s="389"/>
      <c r="H35" s="389"/>
      <c r="I35" s="389"/>
      <c r="J35" s="389"/>
      <c r="K35" s="389"/>
      <c r="L35" s="389"/>
      <c r="M35" s="389"/>
      <c r="N35" s="389"/>
      <c r="O35" s="389"/>
      <c r="P35" s="389"/>
      <c r="Q35" s="389"/>
      <c r="R35" s="389"/>
      <c r="S35" s="389"/>
      <c r="T35" s="389"/>
      <c r="U35" s="389"/>
      <c r="V35" s="389"/>
      <c r="W35" s="390" t="s">
        <v>661</v>
      </c>
      <c r="X35" s="391"/>
      <c r="Y35" s="391"/>
      <c r="Z35" s="391"/>
      <c r="AA35" s="391"/>
      <c r="AB35" s="391"/>
      <c r="AC35" s="392" t="s">
        <v>662</v>
      </c>
      <c r="AD35" s="393"/>
      <c r="AE35" s="393"/>
      <c r="AF35" s="393"/>
      <c r="AG35" s="393"/>
      <c r="AH35" s="393"/>
      <c r="AI35" s="394"/>
      <c r="AK35" s="531"/>
      <c r="AL35" s="531"/>
      <c r="AM35" s="531"/>
      <c r="AN35" s="531"/>
      <c r="AO35" s="531"/>
      <c r="AP35" s="531"/>
      <c r="AQ35" s="61"/>
      <c r="AR35" s="48"/>
      <c r="AS35" s="532"/>
      <c r="AT35" s="532"/>
      <c r="AU35" s="439"/>
      <c r="AV35" s="439"/>
      <c r="AW35" s="439"/>
      <c r="AY35" s="413" t="s">
        <v>663</v>
      </c>
      <c r="AZ35" s="413"/>
      <c r="BA35" s="412"/>
      <c r="BB35" s="412"/>
    </row>
    <row r="36" spans="1:80" ht="18" customHeight="1" thickBot="1">
      <c r="A36" s="492" t="s">
        <v>664</v>
      </c>
      <c r="B36" s="493"/>
      <c r="C36" s="493"/>
      <c r="D36" s="493"/>
      <c r="E36" s="493"/>
      <c r="F36" s="498">
        <v>4.1666666666666664E-2</v>
      </c>
      <c r="G36" s="439"/>
      <c r="H36" s="439"/>
      <c r="I36" s="439"/>
      <c r="J36" s="439"/>
      <c r="K36" s="439"/>
      <c r="L36" s="499" t="s">
        <v>665</v>
      </c>
      <c r="M36" s="489"/>
      <c r="N36" s="489"/>
      <c r="O36" s="500"/>
      <c r="P36" s="410" t="s">
        <v>62</v>
      </c>
      <c r="Q36" s="410"/>
      <c r="R36" s="410"/>
      <c r="S36" s="55" t="s">
        <v>666</v>
      </c>
      <c r="T36" s="410" t="s">
        <v>72</v>
      </c>
      <c r="U36" s="410"/>
      <c r="V36" s="530"/>
      <c r="W36" s="489" t="s">
        <v>667</v>
      </c>
      <c r="X36" s="489"/>
      <c r="Y36" s="489"/>
      <c r="Z36" s="489"/>
      <c r="AA36" s="489"/>
      <c r="AB36" s="489"/>
      <c r="AC36" s="490" t="s">
        <v>722</v>
      </c>
      <c r="AD36" s="487"/>
      <c r="AE36" s="487"/>
      <c r="AF36" s="487"/>
      <c r="AG36" s="487"/>
      <c r="AH36" s="487"/>
      <c r="AI36" s="488"/>
      <c r="AK36" s="525" t="s">
        <v>668</v>
      </c>
      <c r="AL36" s="526"/>
      <c r="AM36" s="526"/>
      <c r="AN36" s="526"/>
      <c r="AO36" s="526"/>
      <c r="AP36" s="526"/>
      <c r="AQ36" s="117"/>
      <c r="AR36" s="48"/>
      <c r="AS36" s="532"/>
      <c r="AT36" s="532"/>
      <c r="AU36" s="439"/>
      <c r="AV36" s="439"/>
      <c r="AW36" s="439"/>
      <c r="BH36" s="50"/>
      <c r="BI36" s="51"/>
    </row>
    <row r="37" spans="1:80" ht="18" customHeight="1" thickBot="1">
      <c r="A37" s="494" t="s">
        <v>669</v>
      </c>
      <c r="B37" s="495"/>
      <c r="C37" s="495"/>
      <c r="D37" s="495"/>
      <c r="E37" s="495"/>
      <c r="F37" s="487"/>
      <c r="G37" s="487"/>
      <c r="H37" s="487"/>
      <c r="I37" s="487"/>
      <c r="J37" s="487"/>
      <c r="K37" s="487"/>
      <c r="L37" s="487"/>
      <c r="M37" s="487"/>
      <c r="N37" s="487"/>
      <c r="O37" s="487"/>
      <c r="P37" s="487"/>
      <c r="Q37" s="487"/>
      <c r="R37" s="487"/>
      <c r="S37" s="487"/>
      <c r="T37" s="487"/>
      <c r="U37" s="487"/>
      <c r="V37" s="487"/>
      <c r="W37" s="487"/>
      <c r="X37" s="487"/>
      <c r="Y37" s="487"/>
      <c r="Z37" s="487"/>
      <c r="AA37" s="487"/>
      <c r="AB37" s="487"/>
      <c r="AC37" s="487"/>
      <c r="AD37" s="487"/>
      <c r="AE37" s="487"/>
      <c r="AF37" s="487"/>
      <c r="AG37" s="487"/>
      <c r="AH37" s="487"/>
      <c r="AI37" s="488"/>
      <c r="AK37" s="544" t="s">
        <v>240</v>
      </c>
      <c r="AL37" s="545"/>
      <c r="AM37" s="545"/>
      <c r="AN37" s="545"/>
      <c r="AO37" s="545"/>
      <c r="AP37" s="545"/>
      <c r="AQ37" s="122"/>
      <c r="AR37" s="48"/>
      <c r="AS37" s="532"/>
      <c r="AT37" s="532"/>
      <c r="AU37" s="439"/>
      <c r="AV37" s="439"/>
      <c r="AW37" s="439"/>
      <c r="BH37" s="50"/>
      <c r="BI37" s="51"/>
    </row>
    <row r="38" spans="1:80" ht="18" customHeight="1" thickBot="1">
      <c r="A38" s="496" t="s">
        <v>670</v>
      </c>
      <c r="B38" s="497"/>
      <c r="C38" s="497"/>
      <c r="D38" s="497"/>
      <c r="E38" s="497"/>
      <c r="F38" s="416" t="s">
        <v>667</v>
      </c>
      <c r="G38" s="416"/>
      <c r="H38" s="416"/>
      <c r="I38" s="416"/>
      <c r="J38" s="416"/>
      <c r="K38" s="416"/>
      <c r="L38" s="424" t="s">
        <v>722</v>
      </c>
      <c r="M38" s="424"/>
      <c r="N38" s="424"/>
      <c r="O38" s="424"/>
      <c r="P38" s="416" t="s">
        <v>671</v>
      </c>
      <c r="Q38" s="416"/>
      <c r="R38" s="416"/>
      <c r="S38" s="416"/>
      <c r="T38" s="416"/>
      <c r="U38" s="416"/>
      <c r="V38" s="416"/>
      <c r="W38" s="416" t="s">
        <v>667</v>
      </c>
      <c r="X38" s="416"/>
      <c r="Y38" s="416"/>
      <c r="Z38" s="416"/>
      <c r="AA38" s="416"/>
      <c r="AB38" s="416"/>
      <c r="AC38" s="424" t="s">
        <v>722</v>
      </c>
      <c r="AD38" s="424"/>
      <c r="AE38" s="424"/>
      <c r="AF38" s="424"/>
      <c r="AG38" s="424"/>
      <c r="AH38" s="424"/>
      <c r="AI38" s="491"/>
      <c r="AK38" s="543"/>
      <c r="AL38" s="543"/>
      <c r="AM38" s="543"/>
      <c r="AN38" s="543"/>
      <c r="AO38" s="543"/>
      <c r="AP38" s="543"/>
      <c r="AQ38" s="59"/>
      <c r="AR38" s="48"/>
      <c r="BC38" s="50"/>
      <c r="BD38" s="51"/>
    </row>
    <row r="39" spans="1:80" ht="18" customHeight="1">
      <c r="A39" s="452" t="s">
        <v>672</v>
      </c>
      <c r="B39" s="453"/>
      <c r="C39" s="453"/>
      <c r="D39" s="453"/>
      <c r="E39" s="453"/>
      <c r="F39" s="453"/>
      <c r="G39" s="453"/>
      <c r="H39" s="453"/>
      <c r="I39" s="453"/>
      <c r="J39" s="453"/>
      <c r="K39" s="453"/>
      <c r="L39" s="453"/>
      <c r="M39" s="453"/>
      <c r="N39" s="453"/>
      <c r="O39" s="453"/>
      <c r="P39" s="453"/>
      <c r="Q39" s="453"/>
      <c r="R39" s="453"/>
      <c r="S39" s="453"/>
      <c r="T39" s="453"/>
      <c r="U39" s="453"/>
      <c r="V39" s="453"/>
      <c r="W39" s="453"/>
      <c r="X39" s="453"/>
      <c r="Y39" s="453"/>
      <c r="Z39" s="453"/>
      <c r="AA39" s="453"/>
      <c r="AB39" s="453"/>
      <c r="AC39" s="453"/>
      <c r="AD39" s="453"/>
      <c r="AE39" s="453"/>
      <c r="AF39" s="453"/>
      <c r="AG39" s="453"/>
      <c r="AH39" s="453"/>
      <c r="AI39" s="454"/>
      <c r="AK39" s="444" t="s">
        <v>673</v>
      </c>
      <c r="AL39" s="444"/>
      <c r="AM39" s="444"/>
      <c r="AN39" s="444"/>
      <c r="AO39" s="444"/>
      <c r="AP39" s="444"/>
      <c r="AQ39" s="42"/>
      <c r="AR39" s="48"/>
      <c r="AS39" s="423" t="s">
        <v>526</v>
      </c>
      <c r="AT39" s="423"/>
      <c r="AU39" s="148"/>
      <c r="AV39" s="423" t="s">
        <v>528</v>
      </c>
      <c r="AW39" s="423"/>
      <c r="BC39" s="50"/>
      <c r="BD39" s="51"/>
    </row>
    <row r="40" spans="1:80" ht="18" customHeight="1">
      <c r="A40" s="464" t="s">
        <v>674</v>
      </c>
      <c r="B40" s="459"/>
      <c r="C40" s="459"/>
      <c r="D40" s="459"/>
      <c r="E40" s="470" t="s">
        <v>675</v>
      </c>
      <c r="F40" s="471"/>
      <c r="G40" s="471"/>
      <c r="H40" s="471"/>
      <c r="I40" s="471"/>
      <c r="J40" s="471"/>
      <c r="K40" s="472"/>
      <c r="L40" s="458" t="s">
        <v>676</v>
      </c>
      <c r="M40" s="459"/>
      <c r="N40" s="459"/>
      <c r="O40" s="459"/>
      <c r="P40" s="459"/>
      <c r="Q40" s="459"/>
      <c r="R40" s="460"/>
      <c r="S40" s="458" t="s">
        <v>677</v>
      </c>
      <c r="T40" s="459"/>
      <c r="U40" s="459"/>
      <c r="V40" s="459"/>
      <c r="W40" s="470" t="s">
        <v>675</v>
      </c>
      <c r="X40" s="471"/>
      <c r="Y40" s="471"/>
      <c r="Z40" s="471"/>
      <c r="AA40" s="471"/>
      <c r="AB40" s="471"/>
      <c r="AC40" s="472"/>
      <c r="AD40" s="458" t="s">
        <v>678</v>
      </c>
      <c r="AE40" s="459"/>
      <c r="AF40" s="459"/>
      <c r="AG40" s="459"/>
      <c r="AH40" s="459"/>
      <c r="AI40" s="463"/>
      <c r="AK40" s="444" t="s">
        <v>679</v>
      </c>
      <c r="AL40" s="444"/>
      <c r="AM40" s="444"/>
      <c r="AN40" s="444"/>
      <c r="AO40" s="444"/>
      <c r="AP40" s="444"/>
      <c r="AQ40" s="42"/>
      <c r="AR40" s="48"/>
      <c r="AS40" s="423" t="s">
        <v>527</v>
      </c>
      <c r="AT40" s="423"/>
      <c r="AU40" s="148"/>
      <c r="AV40" s="560"/>
      <c r="AW40" s="560"/>
      <c r="BC40" s="50"/>
      <c r="BD40" s="51"/>
    </row>
    <row r="41" spans="1:80" ht="18" customHeight="1">
      <c r="A41" s="464" t="s">
        <v>16</v>
      </c>
      <c r="B41" s="459"/>
      <c r="C41" s="459"/>
      <c r="D41" s="459"/>
      <c r="E41" s="469">
        <f>AX10</f>
        <v>0.33333333333333331</v>
      </c>
      <c r="F41" s="456"/>
      <c r="G41" s="456"/>
      <c r="H41" s="144" t="s">
        <v>680</v>
      </c>
      <c r="I41" s="456">
        <f>AY10</f>
        <v>0.83333333333333337</v>
      </c>
      <c r="J41" s="456"/>
      <c r="K41" s="457"/>
      <c r="L41" s="458" t="str">
        <f>AU10</f>
        <v>藤井隆幸</v>
      </c>
      <c r="M41" s="459"/>
      <c r="N41" s="459"/>
      <c r="O41" s="459"/>
      <c r="P41" s="459"/>
      <c r="Q41" s="459"/>
      <c r="R41" s="460"/>
      <c r="S41" s="409" t="s">
        <v>24</v>
      </c>
      <c r="T41" s="410"/>
      <c r="U41" s="410"/>
      <c r="V41" s="410"/>
      <c r="W41" s="414">
        <v>0.58333333333333337</v>
      </c>
      <c r="X41" s="415"/>
      <c r="Y41" s="415"/>
      <c r="Z41" s="40" t="s">
        <v>680</v>
      </c>
      <c r="AA41" s="415">
        <v>0.83333333333333337</v>
      </c>
      <c r="AB41" s="415"/>
      <c r="AC41" s="461"/>
      <c r="AD41" s="409" t="str">
        <f>AU14</f>
        <v>三角龍彦</v>
      </c>
      <c r="AE41" s="410"/>
      <c r="AF41" s="410"/>
      <c r="AG41" s="410"/>
      <c r="AH41" s="410"/>
      <c r="AI41" s="462"/>
      <c r="AK41" s="444" t="s">
        <v>681</v>
      </c>
      <c r="AL41" s="444"/>
      <c r="AM41" s="444"/>
      <c r="AN41" s="444"/>
      <c r="AO41" s="444"/>
      <c r="AP41" s="444"/>
      <c r="AQ41" s="42"/>
      <c r="AR41" s="48"/>
      <c r="BC41" s="50"/>
      <c r="BD41" s="51"/>
    </row>
    <row r="42" spans="1:80" ht="18" customHeight="1">
      <c r="A42" s="464" t="s">
        <v>24</v>
      </c>
      <c r="B42" s="459"/>
      <c r="C42" s="459"/>
      <c r="D42" s="459"/>
      <c r="E42" s="469">
        <f>AX13</f>
        <v>0.33333333333333331</v>
      </c>
      <c r="F42" s="456"/>
      <c r="G42" s="456"/>
      <c r="H42" s="144" t="s">
        <v>680</v>
      </c>
      <c r="I42" s="456">
        <f>AY12</f>
        <v>0.58333333333333337</v>
      </c>
      <c r="J42" s="456"/>
      <c r="K42" s="457"/>
      <c r="L42" s="458" t="str">
        <f>AU13</f>
        <v>松葉眞</v>
      </c>
      <c r="M42" s="459"/>
      <c r="N42" s="459"/>
      <c r="O42" s="459"/>
      <c r="P42" s="459"/>
      <c r="Q42" s="459"/>
      <c r="R42" s="460"/>
      <c r="S42" s="409"/>
      <c r="T42" s="410"/>
      <c r="U42" s="410"/>
      <c r="V42" s="410"/>
      <c r="W42" s="414"/>
      <c r="X42" s="415"/>
      <c r="Y42" s="415"/>
      <c r="Z42" s="136"/>
      <c r="AA42" s="415"/>
      <c r="AB42" s="415"/>
      <c r="AC42" s="461"/>
      <c r="AD42" s="409">
        <f>AU18</f>
        <v>0</v>
      </c>
      <c r="AE42" s="410"/>
      <c r="AF42" s="410"/>
      <c r="AG42" s="410"/>
      <c r="AH42" s="410"/>
      <c r="AI42" s="462"/>
      <c r="AK42" s="445" t="s">
        <v>682</v>
      </c>
      <c r="AL42" s="445"/>
      <c r="AM42" s="445"/>
      <c r="AN42" s="445"/>
      <c r="AO42" s="445"/>
      <c r="AP42" s="445"/>
      <c r="AQ42" s="42"/>
      <c r="AR42" s="48"/>
      <c r="AS42" s="561" t="s">
        <v>683</v>
      </c>
      <c r="AT42" s="561"/>
      <c r="AU42" s="561"/>
      <c r="AV42" s="561"/>
      <c r="AW42" s="561"/>
      <c r="BC42" s="50"/>
      <c r="BD42" s="51"/>
    </row>
    <row r="43" spans="1:80" ht="18" customHeight="1">
      <c r="A43" s="464" t="s">
        <v>38</v>
      </c>
      <c r="B43" s="459"/>
      <c r="C43" s="459"/>
      <c r="D43" s="459"/>
      <c r="E43" s="469">
        <f>AX16</f>
        <v>0.83333333333333337</v>
      </c>
      <c r="F43" s="456"/>
      <c r="G43" s="456"/>
      <c r="H43" s="144" t="s">
        <v>680</v>
      </c>
      <c r="I43" s="456" t="str">
        <f>AY16</f>
        <v>翌8:00</v>
      </c>
      <c r="J43" s="456"/>
      <c r="K43" s="457"/>
      <c r="L43" s="458" t="str">
        <f>AU16</f>
        <v>二野宮慧太</v>
      </c>
      <c r="M43" s="459"/>
      <c r="N43" s="459"/>
      <c r="O43" s="459"/>
      <c r="P43" s="459"/>
      <c r="Q43" s="459"/>
      <c r="R43" s="460"/>
      <c r="S43" s="409"/>
      <c r="T43" s="410"/>
      <c r="U43" s="410"/>
      <c r="V43" s="410"/>
      <c r="W43" s="414"/>
      <c r="X43" s="415"/>
      <c r="Y43" s="415"/>
      <c r="Z43" s="136"/>
      <c r="AA43" s="415"/>
      <c r="AB43" s="415"/>
      <c r="AC43" s="461"/>
      <c r="AD43" s="486"/>
      <c r="AE43" s="410"/>
      <c r="AF43" s="410"/>
      <c r="AG43" s="410"/>
      <c r="AH43" s="410"/>
      <c r="AI43" s="462"/>
      <c r="AK43" s="444" t="s">
        <v>684</v>
      </c>
      <c r="AL43" s="444"/>
      <c r="AM43" s="444"/>
      <c r="AN43" s="444"/>
      <c r="AO43" s="444"/>
      <c r="AP43" s="444"/>
      <c r="AQ43" s="42"/>
      <c r="AR43" s="43"/>
      <c r="AW43"/>
      <c r="AX43"/>
      <c r="AY43"/>
      <c r="AZ43"/>
      <c r="BA43"/>
      <c r="BB43"/>
      <c r="BC43" s="50"/>
      <c r="BD43" s="51"/>
      <c r="BE43"/>
      <c r="BF43"/>
      <c r="BG43"/>
      <c r="BH43"/>
      <c r="BI43"/>
      <c r="BJ43"/>
      <c r="BK43"/>
      <c r="BL43"/>
      <c r="BM43"/>
      <c r="BN43"/>
      <c r="BO43"/>
      <c r="BP43"/>
      <c r="BQ43"/>
      <c r="BR43"/>
      <c r="BS43"/>
      <c r="BT43"/>
      <c r="BU43"/>
      <c r="BV43"/>
      <c r="BW43"/>
      <c r="BX43"/>
      <c r="BY43"/>
      <c r="BZ43"/>
      <c r="CA43"/>
      <c r="CB43"/>
    </row>
    <row r="44" spans="1:80" ht="18" customHeight="1" thickBot="1">
      <c r="A44" s="473" t="s">
        <v>45</v>
      </c>
      <c r="B44" s="474"/>
      <c r="C44" s="474"/>
      <c r="D44" s="474"/>
      <c r="E44" s="475">
        <f>AX17</f>
        <v>0.83333333333333337</v>
      </c>
      <c r="F44" s="476"/>
      <c r="G44" s="476"/>
      <c r="H44" s="145" t="s">
        <v>680</v>
      </c>
      <c r="I44" s="476" t="str">
        <f>AY17</f>
        <v>翌8:00</v>
      </c>
      <c r="J44" s="476"/>
      <c r="K44" s="477"/>
      <c r="L44" s="478" t="str">
        <f>AU17</f>
        <v>片山薫</v>
      </c>
      <c r="M44" s="478"/>
      <c r="N44" s="478"/>
      <c r="O44" s="478"/>
      <c r="P44" s="478"/>
      <c r="Q44" s="478"/>
      <c r="R44" s="478"/>
      <c r="S44" s="479"/>
      <c r="T44" s="480"/>
      <c r="U44" s="480"/>
      <c r="V44" s="480"/>
      <c r="W44" s="481"/>
      <c r="X44" s="482"/>
      <c r="Y44" s="482"/>
      <c r="Z44" s="137"/>
      <c r="AA44" s="482"/>
      <c r="AB44" s="482"/>
      <c r="AC44" s="483"/>
      <c r="AD44" s="484">
        <f>AU19</f>
        <v>0</v>
      </c>
      <c r="AE44" s="480"/>
      <c r="AF44" s="480"/>
      <c r="AG44" s="480"/>
      <c r="AH44" s="480"/>
      <c r="AI44" s="485"/>
      <c r="AK44" s="446" t="s">
        <v>685</v>
      </c>
      <c r="AL44" s="446"/>
      <c r="AM44" s="446"/>
      <c r="AN44" s="446"/>
      <c r="AO44" s="446"/>
      <c r="AP44" s="446"/>
      <c r="AQ44" s="42"/>
      <c r="AR44" s="43"/>
      <c r="BC44" s="50"/>
      <c r="BD44" s="51"/>
    </row>
    <row r="45" spans="1:80" ht="18" customHeight="1" thickBot="1">
      <c r="A45" s="27"/>
      <c r="B45" s="27"/>
      <c r="C45" s="27"/>
      <c r="D45" s="27"/>
      <c r="E45" s="27"/>
      <c r="F45" s="27"/>
      <c r="G45" s="27"/>
      <c r="H45" s="27"/>
      <c r="I45" s="27"/>
      <c r="R45" s="307">
        <f>A7</f>
        <v>46202</v>
      </c>
      <c r="S45" s="308"/>
      <c r="T45" s="308"/>
      <c r="U45" s="308"/>
      <c r="V45" s="23" t="s">
        <v>169</v>
      </c>
      <c r="W45" s="309">
        <f>G7</f>
        <v>46202</v>
      </c>
      <c r="X45" s="308"/>
      <c r="Y45" s="23" t="s">
        <v>170</v>
      </c>
      <c r="Z45" s="310">
        <f>K7</f>
        <v>46202</v>
      </c>
      <c r="AA45" s="308"/>
      <c r="AB45" s="23" t="s">
        <v>3</v>
      </c>
      <c r="AC45" s="455">
        <f>O7</f>
        <v>46202</v>
      </c>
      <c r="AD45" s="308"/>
      <c r="AE45" s="308" t="s">
        <v>292</v>
      </c>
      <c r="AF45" s="308"/>
      <c r="AK45" s="425" t="s">
        <v>686</v>
      </c>
      <c r="AL45" s="425"/>
      <c r="AM45" s="425"/>
      <c r="AN45" s="425"/>
      <c r="AO45" s="425"/>
      <c r="AP45" s="425"/>
      <c r="AQ45" s="42"/>
      <c r="AR45" s="43"/>
      <c r="BC45" s="50"/>
      <c r="BD45" s="51"/>
    </row>
    <row r="46" spans="1:80" customFormat="1" ht="18" customHeight="1">
      <c r="A46" s="452" t="s">
        <v>598</v>
      </c>
      <c r="B46" s="453"/>
      <c r="C46" s="453"/>
      <c r="D46" s="453"/>
      <c r="E46" s="453"/>
      <c r="F46" s="453"/>
      <c r="G46" s="453"/>
      <c r="H46" s="453"/>
      <c r="I46" s="453"/>
      <c r="J46" s="453"/>
      <c r="K46" s="453"/>
      <c r="L46" s="453"/>
      <c r="M46" s="453"/>
      <c r="N46" s="453"/>
      <c r="O46" s="453"/>
      <c r="P46" s="453"/>
      <c r="Q46" s="453"/>
      <c r="R46" s="453"/>
      <c r="S46" s="453"/>
      <c r="T46" s="453"/>
      <c r="U46" s="453"/>
      <c r="V46" s="453"/>
      <c r="W46" s="453"/>
      <c r="X46" s="453"/>
      <c r="Y46" s="453"/>
      <c r="Z46" s="453"/>
      <c r="AA46" s="453"/>
      <c r="AB46" s="453"/>
      <c r="AC46" s="453"/>
      <c r="AD46" s="453"/>
      <c r="AE46" s="453"/>
      <c r="AF46" s="453"/>
      <c r="AG46" s="453"/>
      <c r="AH46" s="453"/>
      <c r="AI46" s="454"/>
      <c r="AK46" s="425" t="s">
        <v>687</v>
      </c>
      <c r="AL46" s="425"/>
      <c r="AM46" s="425"/>
      <c r="AN46" s="425"/>
      <c r="AO46" s="425"/>
      <c r="AP46" s="425"/>
      <c r="AQ46" s="42"/>
      <c r="AR46" s="43"/>
      <c r="AW46" s="23"/>
      <c r="AX46" s="23"/>
      <c r="AY46" s="23"/>
      <c r="AZ46" s="23"/>
      <c r="BA46" s="23"/>
      <c r="BB46" s="23"/>
      <c r="BC46" s="50"/>
      <c r="BD46" s="51"/>
      <c r="BE46" s="23"/>
      <c r="BF46" s="23"/>
      <c r="BG46" s="23"/>
      <c r="BH46" s="23"/>
      <c r="BI46" s="23"/>
      <c r="BJ46" s="23"/>
      <c r="BK46" s="23"/>
      <c r="BL46" s="23"/>
      <c r="BM46" s="23"/>
      <c r="BN46" s="23"/>
      <c r="BO46" s="23"/>
      <c r="BP46" s="23"/>
      <c r="BQ46" s="23"/>
      <c r="BR46" s="23"/>
      <c r="BS46" s="23"/>
      <c r="BT46" s="23"/>
      <c r="BU46" s="23"/>
      <c r="BV46" s="23"/>
      <c r="BW46" s="23"/>
      <c r="BX46" s="23"/>
      <c r="BY46" s="23"/>
      <c r="BZ46" s="23"/>
      <c r="CA46" s="23"/>
      <c r="CB46" s="23"/>
    </row>
    <row r="47" spans="1:80" ht="18" customHeight="1">
      <c r="A47" s="36" t="s">
        <v>189</v>
      </c>
      <c r="B47" s="404">
        <v>0.30208333333333331</v>
      </c>
      <c r="C47" s="404"/>
      <c r="D47" s="404"/>
      <c r="E47" s="404"/>
      <c r="F47" s="288" t="s">
        <v>1034</v>
      </c>
      <c r="G47" s="288"/>
      <c r="H47" s="288"/>
      <c r="I47" s="288"/>
      <c r="J47" s="288"/>
      <c r="K47" s="288"/>
      <c r="L47" s="288"/>
      <c r="M47" s="288"/>
      <c r="N47" s="288"/>
      <c r="O47" s="288"/>
      <c r="P47" s="288"/>
      <c r="Q47" s="288"/>
      <c r="R47" s="288"/>
      <c r="S47" s="288"/>
      <c r="T47" s="288"/>
      <c r="U47" s="288"/>
      <c r="V47" s="288"/>
      <c r="W47" s="288"/>
      <c r="X47" s="288"/>
      <c r="Y47" s="288"/>
      <c r="Z47" s="288"/>
      <c r="AA47" s="288"/>
      <c r="AB47" s="288"/>
      <c r="AC47" s="288"/>
      <c r="AD47" s="288"/>
      <c r="AE47" s="288"/>
      <c r="AF47" s="288"/>
      <c r="AG47" s="288"/>
      <c r="AH47" s="288"/>
      <c r="AI47" s="289"/>
      <c r="AK47" s="425" t="s">
        <v>688</v>
      </c>
      <c r="AL47" s="425"/>
      <c r="AM47" s="425"/>
      <c r="AN47" s="425"/>
      <c r="AO47" s="425"/>
      <c r="AP47" s="425"/>
      <c r="AQ47" s="42"/>
      <c r="AR47" s="43"/>
      <c r="AS47" s="120" t="s">
        <v>189</v>
      </c>
      <c r="AT47" s="43" t="s">
        <v>689</v>
      </c>
      <c r="AU47" s="43"/>
      <c r="BC47" s="50"/>
      <c r="BD47" s="51"/>
    </row>
    <row r="48" spans="1:80" ht="18" customHeight="1">
      <c r="A48" s="36"/>
      <c r="B48" s="404"/>
      <c r="C48" s="404"/>
      <c r="D48" s="404"/>
      <c r="E48" s="404"/>
      <c r="F48" s="288" t="s">
        <v>1035</v>
      </c>
      <c r="G48" s="288"/>
      <c r="H48" s="288"/>
      <c r="I48" s="288"/>
      <c r="J48" s="288"/>
      <c r="K48" s="288"/>
      <c r="L48" s="288"/>
      <c r="M48" s="288"/>
      <c r="N48" s="288"/>
      <c r="O48" s="288"/>
      <c r="P48" s="288"/>
      <c r="Q48" s="288"/>
      <c r="R48" s="288"/>
      <c r="S48" s="288"/>
      <c r="T48" s="288"/>
      <c r="U48" s="288"/>
      <c r="V48" s="288"/>
      <c r="W48" s="288"/>
      <c r="X48" s="288"/>
      <c r="Y48" s="288"/>
      <c r="Z48" s="288"/>
      <c r="AA48" s="288"/>
      <c r="AB48" s="288"/>
      <c r="AC48" s="288"/>
      <c r="AD48" s="288"/>
      <c r="AE48" s="288"/>
      <c r="AF48" s="288"/>
      <c r="AG48" s="288"/>
      <c r="AH48" s="288"/>
      <c r="AI48" s="289"/>
      <c r="AK48" s="425" t="s">
        <v>690</v>
      </c>
      <c r="AL48" s="425"/>
      <c r="AM48" s="425"/>
      <c r="AN48" s="425"/>
      <c r="AO48" s="425"/>
      <c r="AP48" s="425"/>
      <c r="AQ48" s="42"/>
      <c r="AR48" s="43"/>
      <c r="AS48" s="43"/>
      <c r="AT48" s="43"/>
      <c r="AU48" s="43"/>
      <c r="BC48" s="50"/>
      <c r="BD48" s="51"/>
    </row>
    <row r="49" spans="1:61" ht="18" customHeight="1">
      <c r="A49" s="36"/>
      <c r="B49" s="404"/>
      <c r="C49" s="404"/>
      <c r="D49" s="404"/>
      <c r="E49" s="404"/>
      <c r="F49" s="288" t="s">
        <v>1036</v>
      </c>
      <c r="G49" s="288"/>
      <c r="H49" s="288"/>
      <c r="I49" s="288"/>
      <c r="J49" s="288"/>
      <c r="K49" s="288"/>
      <c r="L49" s="288"/>
      <c r="M49" s="288"/>
      <c r="N49" s="288"/>
      <c r="O49" s="288"/>
      <c r="P49" s="288"/>
      <c r="Q49" s="288"/>
      <c r="R49" s="288"/>
      <c r="S49" s="288"/>
      <c r="T49" s="288"/>
      <c r="U49" s="288"/>
      <c r="V49" s="288"/>
      <c r="W49" s="288"/>
      <c r="X49" s="288"/>
      <c r="Y49" s="288"/>
      <c r="Z49" s="288"/>
      <c r="AA49" s="288"/>
      <c r="AB49" s="288"/>
      <c r="AC49" s="288"/>
      <c r="AD49" s="288"/>
      <c r="AE49" s="288"/>
      <c r="AF49" s="288"/>
      <c r="AG49" s="288"/>
      <c r="AH49" s="288"/>
      <c r="AI49" s="289"/>
      <c r="AK49" s="425" t="s">
        <v>691</v>
      </c>
      <c r="AL49" s="425"/>
      <c r="AM49" s="425"/>
      <c r="AN49" s="425"/>
      <c r="AO49" s="425"/>
      <c r="AP49" s="425"/>
      <c r="AQ49" s="42"/>
      <c r="AR49" s="43"/>
      <c r="AS49" s="43"/>
      <c r="AT49" s="43"/>
      <c r="AU49" s="43"/>
      <c r="BC49" s="50"/>
      <c r="BD49" s="51"/>
    </row>
    <row r="50" spans="1:61" ht="18" customHeight="1">
      <c r="A50" s="36"/>
      <c r="B50" s="404"/>
      <c r="C50" s="404"/>
      <c r="D50" s="404"/>
      <c r="E50" s="404"/>
      <c r="F50" s="288" t="s">
        <v>1037</v>
      </c>
      <c r="G50" s="288"/>
      <c r="H50" s="288"/>
      <c r="I50" s="288"/>
      <c r="J50" s="288"/>
      <c r="K50" s="288"/>
      <c r="L50" s="288"/>
      <c r="M50" s="288"/>
      <c r="N50" s="288"/>
      <c r="O50" s="288"/>
      <c r="P50" s="288"/>
      <c r="Q50" s="288"/>
      <c r="R50" s="288"/>
      <c r="S50" s="288"/>
      <c r="T50" s="288"/>
      <c r="U50" s="288"/>
      <c r="V50" s="288"/>
      <c r="W50" s="288"/>
      <c r="X50" s="288"/>
      <c r="Y50" s="288"/>
      <c r="Z50" s="288"/>
      <c r="AA50" s="288"/>
      <c r="AB50" s="288"/>
      <c r="AC50" s="288"/>
      <c r="AD50" s="288"/>
      <c r="AE50" s="288"/>
      <c r="AF50" s="288"/>
      <c r="AG50" s="288"/>
      <c r="AH50" s="288"/>
      <c r="AI50" s="289"/>
      <c r="AK50" s="425" t="s">
        <v>692</v>
      </c>
      <c r="AL50" s="425"/>
      <c r="AM50" s="425"/>
      <c r="AN50" s="425"/>
      <c r="AO50" s="425"/>
      <c r="AP50" s="425"/>
      <c r="AQ50" s="42"/>
      <c r="AR50" s="43"/>
      <c r="AS50" s="43"/>
      <c r="AT50" s="43"/>
      <c r="AU50" s="43"/>
      <c r="BC50" s="50"/>
      <c r="BD50" s="51"/>
    </row>
    <row r="51" spans="1:61" ht="18" customHeight="1">
      <c r="A51" s="36"/>
      <c r="B51" s="404">
        <v>0.33958333333333335</v>
      </c>
      <c r="C51" s="404"/>
      <c r="D51" s="404"/>
      <c r="E51" s="404"/>
      <c r="F51" s="288" t="s">
        <v>1038</v>
      </c>
      <c r="G51" s="288"/>
      <c r="H51" s="288"/>
      <c r="I51" s="288"/>
      <c r="J51" s="288"/>
      <c r="K51" s="288"/>
      <c r="L51" s="288"/>
      <c r="M51" s="288"/>
      <c r="N51" s="288"/>
      <c r="O51" s="288"/>
      <c r="P51" s="288"/>
      <c r="Q51" s="288"/>
      <c r="R51" s="288"/>
      <c r="S51" s="288"/>
      <c r="T51" s="288"/>
      <c r="U51" s="288"/>
      <c r="V51" s="288"/>
      <c r="W51" s="288"/>
      <c r="X51" s="288"/>
      <c r="Y51" s="288"/>
      <c r="Z51" s="288"/>
      <c r="AA51" s="288"/>
      <c r="AB51" s="288"/>
      <c r="AC51" s="288"/>
      <c r="AD51" s="288"/>
      <c r="AE51" s="288"/>
      <c r="AF51" s="288"/>
      <c r="AG51" s="288"/>
      <c r="AH51" s="288"/>
      <c r="AI51" s="289"/>
      <c r="AK51" s="425" t="s">
        <v>693</v>
      </c>
      <c r="AL51" s="425"/>
      <c r="AM51" s="425"/>
      <c r="AN51" s="425"/>
      <c r="AO51" s="425"/>
      <c r="AP51" s="425"/>
      <c r="AQ51" s="42"/>
      <c r="AR51" s="43"/>
      <c r="AS51" s="43"/>
      <c r="AT51" s="43"/>
      <c r="AU51" s="43"/>
      <c r="BC51" s="50"/>
      <c r="BD51" s="51"/>
    </row>
    <row r="52" spans="1:61" ht="18" customHeight="1">
      <c r="A52" s="36"/>
      <c r="B52" s="404">
        <v>0.40833333333333333</v>
      </c>
      <c r="C52" s="404"/>
      <c r="D52" s="404"/>
      <c r="E52" s="404"/>
      <c r="F52" s="288" t="s">
        <v>1039</v>
      </c>
      <c r="G52" s="288"/>
      <c r="H52" s="288"/>
      <c r="I52" s="288"/>
      <c r="J52" s="288"/>
      <c r="K52" s="288"/>
      <c r="L52" s="288"/>
      <c r="M52" s="288"/>
      <c r="N52" s="288"/>
      <c r="O52" s="288"/>
      <c r="P52" s="288"/>
      <c r="Q52" s="288"/>
      <c r="R52" s="288"/>
      <c r="S52" s="288"/>
      <c r="T52" s="288"/>
      <c r="U52" s="288"/>
      <c r="V52" s="288"/>
      <c r="W52" s="288"/>
      <c r="X52" s="288"/>
      <c r="Y52" s="288"/>
      <c r="Z52" s="288"/>
      <c r="AA52" s="288"/>
      <c r="AB52" s="288"/>
      <c r="AC52" s="288"/>
      <c r="AD52" s="288"/>
      <c r="AE52" s="288"/>
      <c r="AF52" s="288"/>
      <c r="AG52" s="288"/>
      <c r="AH52" s="288"/>
      <c r="AI52" s="289"/>
      <c r="AK52" s="425" t="s">
        <v>694</v>
      </c>
      <c r="AL52" s="425"/>
      <c r="AM52" s="425"/>
      <c r="AN52" s="425"/>
      <c r="AO52" s="425"/>
      <c r="AP52" s="425"/>
      <c r="AQ52" s="42"/>
      <c r="AR52" s="43"/>
      <c r="AS52" s="43"/>
      <c r="AV52" s="43"/>
      <c r="AW52" s="43"/>
      <c r="AX52" s="43"/>
      <c r="AY52" s="43"/>
      <c r="AZ52" s="43"/>
      <c r="BA52" s="43"/>
      <c r="BH52" s="52"/>
      <c r="BI52" s="51"/>
    </row>
    <row r="53" spans="1:61" ht="18" customHeight="1">
      <c r="A53" s="36"/>
      <c r="B53" s="404"/>
      <c r="C53" s="404"/>
      <c r="D53" s="404"/>
      <c r="E53" s="404"/>
      <c r="F53" s="288"/>
      <c r="G53" s="288"/>
      <c r="H53" s="288"/>
      <c r="I53" s="288"/>
      <c r="J53" s="288"/>
      <c r="K53" s="288"/>
      <c r="L53" s="288"/>
      <c r="M53" s="288"/>
      <c r="N53" s="288"/>
      <c r="O53" s="288"/>
      <c r="P53" s="288"/>
      <c r="Q53" s="288"/>
      <c r="R53" s="288"/>
      <c r="S53" s="288"/>
      <c r="T53" s="288"/>
      <c r="U53" s="288"/>
      <c r="V53" s="288"/>
      <c r="W53" s="288"/>
      <c r="X53" s="288"/>
      <c r="Y53" s="288"/>
      <c r="Z53" s="288"/>
      <c r="AA53" s="288"/>
      <c r="AB53" s="288"/>
      <c r="AC53" s="288"/>
      <c r="AD53" s="288"/>
      <c r="AE53" s="288"/>
      <c r="AF53" s="288"/>
      <c r="AG53" s="288"/>
      <c r="AH53" s="288"/>
      <c r="AI53" s="289"/>
      <c r="AK53" s="425" t="s">
        <v>695</v>
      </c>
      <c r="AL53" s="425"/>
      <c r="AM53" s="425"/>
      <c r="AN53" s="425"/>
      <c r="AO53" s="425"/>
      <c r="AP53" s="425"/>
      <c r="AQ53" s="42"/>
      <c r="AR53" s="43"/>
      <c r="AS53" s="43"/>
      <c r="AT53" s="43"/>
      <c r="AU53" s="43"/>
      <c r="AV53" s="43"/>
      <c r="AW53" s="43"/>
      <c r="AX53" s="43"/>
      <c r="AY53" s="43"/>
      <c r="AZ53" s="43"/>
      <c r="BH53" s="50"/>
      <c r="BI53" s="51"/>
    </row>
    <row r="54" spans="1:61" ht="18" customHeight="1">
      <c r="A54" s="36"/>
      <c r="B54" s="404"/>
      <c r="C54" s="404"/>
      <c r="D54" s="404"/>
      <c r="E54" s="404"/>
      <c r="F54" s="288"/>
      <c r="G54" s="288"/>
      <c r="H54" s="288"/>
      <c r="I54" s="288"/>
      <c r="J54" s="288"/>
      <c r="K54" s="288"/>
      <c r="L54" s="288"/>
      <c r="M54" s="288"/>
      <c r="N54" s="288"/>
      <c r="O54" s="288"/>
      <c r="P54" s="288"/>
      <c r="Q54" s="288"/>
      <c r="R54" s="288"/>
      <c r="S54" s="288"/>
      <c r="T54" s="288"/>
      <c r="U54" s="288"/>
      <c r="V54" s="288"/>
      <c r="W54" s="288"/>
      <c r="X54" s="288"/>
      <c r="Y54" s="288"/>
      <c r="Z54" s="288"/>
      <c r="AA54" s="288"/>
      <c r="AB54" s="288"/>
      <c r="AC54" s="288"/>
      <c r="AD54" s="288"/>
      <c r="AE54" s="288"/>
      <c r="AF54" s="288"/>
      <c r="AG54" s="288"/>
      <c r="AH54" s="288"/>
      <c r="AI54" s="289"/>
      <c r="AK54" s="425" t="s">
        <v>696</v>
      </c>
      <c r="AL54" s="425"/>
      <c r="AM54" s="425"/>
      <c r="AN54" s="425"/>
      <c r="AO54" s="425"/>
      <c r="AP54" s="425"/>
      <c r="AQ54" s="42"/>
      <c r="AR54" s="43"/>
      <c r="AS54" s="43"/>
      <c r="AT54" s="43"/>
      <c r="AU54" s="43"/>
      <c r="AV54" s="43"/>
      <c r="AW54" s="43"/>
      <c r="AX54" s="43"/>
      <c r="AY54" s="43"/>
      <c r="AZ54" s="43"/>
      <c r="BH54" s="50"/>
      <c r="BI54" s="51"/>
    </row>
    <row r="55" spans="1:61" ht="18" customHeight="1">
      <c r="A55" s="36"/>
      <c r="B55" s="404"/>
      <c r="C55" s="404"/>
      <c r="D55" s="404"/>
      <c r="E55" s="404"/>
      <c r="F55" s="288"/>
      <c r="G55" s="288"/>
      <c r="H55" s="288"/>
      <c r="I55" s="288"/>
      <c r="J55" s="288"/>
      <c r="K55" s="288"/>
      <c r="L55" s="288"/>
      <c r="M55" s="288"/>
      <c r="N55" s="288"/>
      <c r="O55" s="288"/>
      <c r="P55" s="288"/>
      <c r="Q55" s="288"/>
      <c r="R55" s="288"/>
      <c r="S55" s="288"/>
      <c r="T55" s="288"/>
      <c r="U55" s="288"/>
      <c r="V55" s="288"/>
      <c r="W55" s="288"/>
      <c r="X55" s="288"/>
      <c r="Y55" s="288"/>
      <c r="Z55" s="288"/>
      <c r="AA55" s="288"/>
      <c r="AB55" s="288"/>
      <c r="AC55" s="288"/>
      <c r="AD55" s="288"/>
      <c r="AE55" s="288"/>
      <c r="AF55" s="288"/>
      <c r="AG55" s="288"/>
      <c r="AH55" s="288"/>
      <c r="AI55" s="289"/>
      <c r="AK55" s="425" t="s">
        <v>697</v>
      </c>
      <c r="AL55" s="425"/>
      <c r="AM55" s="425"/>
      <c r="AN55" s="425"/>
      <c r="AO55" s="425"/>
      <c r="AP55" s="425"/>
      <c r="AQ55" s="42"/>
      <c r="AR55" s="43"/>
      <c r="AS55" s="43"/>
      <c r="AT55" s="43"/>
      <c r="AU55" s="43"/>
      <c r="AV55" s="43"/>
      <c r="AW55" s="43"/>
      <c r="AX55" s="43"/>
      <c r="AY55" s="43"/>
      <c r="AZ55" s="43"/>
      <c r="BH55" s="50"/>
      <c r="BI55" s="51"/>
    </row>
    <row r="56" spans="1:61" ht="18" customHeight="1">
      <c r="A56" s="36"/>
      <c r="B56" s="404"/>
      <c r="C56" s="404"/>
      <c r="D56" s="404"/>
      <c r="E56" s="404"/>
      <c r="F56" s="288"/>
      <c r="G56" s="288"/>
      <c r="H56" s="288"/>
      <c r="I56" s="288"/>
      <c r="J56" s="288"/>
      <c r="K56" s="288"/>
      <c r="L56" s="288"/>
      <c r="M56" s="288"/>
      <c r="N56" s="288"/>
      <c r="O56" s="288"/>
      <c r="P56" s="288"/>
      <c r="Q56" s="288"/>
      <c r="R56" s="288"/>
      <c r="S56" s="288"/>
      <c r="T56" s="288"/>
      <c r="U56" s="288"/>
      <c r="V56" s="288"/>
      <c r="W56" s="288"/>
      <c r="X56" s="288"/>
      <c r="Y56" s="288"/>
      <c r="Z56" s="288"/>
      <c r="AA56" s="288"/>
      <c r="AB56" s="288"/>
      <c r="AC56" s="288"/>
      <c r="AD56" s="288"/>
      <c r="AE56" s="288"/>
      <c r="AF56" s="288"/>
      <c r="AG56" s="288"/>
      <c r="AH56" s="288"/>
      <c r="AI56" s="289"/>
      <c r="AK56" s="425" t="s">
        <v>698</v>
      </c>
      <c r="AL56" s="425"/>
      <c r="AM56" s="425"/>
      <c r="AN56" s="425"/>
      <c r="AO56" s="425"/>
      <c r="AP56" s="425"/>
      <c r="AQ56" s="42"/>
      <c r="AR56" s="43"/>
      <c r="AS56" s="43"/>
      <c r="AT56" s="43"/>
      <c r="AU56" s="43"/>
      <c r="AV56" s="43"/>
      <c r="AW56" s="43"/>
      <c r="AX56" s="43"/>
      <c r="AY56" s="43"/>
      <c r="AZ56" s="43"/>
      <c r="BH56" s="52"/>
      <c r="BI56" s="51"/>
    </row>
    <row r="57" spans="1:61" ht="18" customHeight="1">
      <c r="A57" s="36"/>
      <c r="B57" s="404"/>
      <c r="C57" s="404"/>
      <c r="D57" s="404"/>
      <c r="E57" s="404"/>
      <c r="F57" s="288"/>
      <c r="G57" s="288"/>
      <c r="H57" s="288"/>
      <c r="I57" s="288"/>
      <c r="J57" s="288"/>
      <c r="K57" s="288"/>
      <c r="L57" s="288"/>
      <c r="M57" s="288"/>
      <c r="N57" s="288"/>
      <c r="O57" s="288"/>
      <c r="P57" s="288"/>
      <c r="Q57" s="288"/>
      <c r="R57" s="288"/>
      <c r="S57" s="288"/>
      <c r="T57" s="288"/>
      <c r="U57" s="288"/>
      <c r="V57" s="288"/>
      <c r="W57" s="288"/>
      <c r="X57" s="288"/>
      <c r="Y57" s="288"/>
      <c r="Z57" s="288"/>
      <c r="AA57" s="288"/>
      <c r="AB57" s="288"/>
      <c r="AC57" s="288"/>
      <c r="AD57" s="288"/>
      <c r="AE57" s="288"/>
      <c r="AF57" s="288"/>
      <c r="AG57" s="288"/>
      <c r="AH57" s="288"/>
      <c r="AI57" s="289"/>
      <c r="AK57" s="425" t="s">
        <v>699</v>
      </c>
      <c r="AL57" s="425"/>
      <c r="AM57" s="425"/>
      <c r="AN57" s="425"/>
      <c r="AO57" s="425"/>
      <c r="AP57" s="425"/>
      <c r="AQ57" s="42"/>
      <c r="AR57" s="43"/>
      <c r="AS57" s="43"/>
      <c r="AT57" s="43"/>
      <c r="AU57" s="43"/>
      <c r="AV57" s="43"/>
      <c r="AW57" s="43"/>
      <c r="AX57" s="43"/>
      <c r="AY57" s="43"/>
      <c r="AZ57" s="43"/>
      <c r="BH57" s="50"/>
      <c r="BI57" s="51"/>
    </row>
    <row r="58" spans="1:61" ht="18" customHeight="1">
      <c r="A58" s="36"/>
      <c r="B58" s="404"/>
      <c r="C58" s="404"/>
      <c r="D58" s="404"/>
      <c r="E58" s="404"/>
      <c r="F58" s="288"/>
      <c r="G58" s="288"/>
      <c r="H58" s="288"/>
      <c r="I58" s="288"/>
      <c r="J58" s="288"/>
      <c r="K58" s="288"/>
      <c r="L58" s="288"/>
      <c r="M58" s="288"/>
      <c r="N58" s="288"/>
      <c r="O58" s="288"/>
      <c r="P58" s="288"/>
      <c r="Q58" s="288"/>
      <c r="R58" s="288"/>
      <c r="S58" s="288"/>
      <c r="T58" s="288"/>
      <c r="U58" s="288"/>
      <c r="V58" s="288"/>
      <c r="W58" s="288"/>
      <c r="X58" s="288"/>
      <c r="Y58" s="288"/>
      <c r="Z58" s="288"/>
      <c r="AA58" s="288"/>
      <c r="AB58" s="288"/>
      <c r="AC58" s="288"/>
      <c r="AD58" s="288"/>
      <c r="AE58" s="288"/>
      <c r="AF58" s="288"/>
      <c r="AG58" s="288"/>
      <c r="AH58" s="288"/>
      <c r="AI58" s="289"/>
      <c r="AK58" s="425" t="s">
        <v>700</v>
      </c>
      <c r="AL58" s="425"/>
      <c r="AM58" s="425"/>
      <c r="AN58" s="425"/>
      <c r="AO58" s="425"/>
      <c r="AP58" s="425"/>
      <c r="AQ58" s="42"/>
      <c r="AR58" s="43"/>
      <c r="AS58" s="43"/>
      <c r="AT58" s="43"/>
      <c r="AU58" s="43"/>
      <c r="AV58" s="43"/>
      <c r="AW58" s="43"/>
      <c r="AX58" s="43"/>
      <c r="AY58" s="43"/>
      <c r="AZ58" s="43"/>
      <c r="BH58" s="50"/>
      <c r="BI58" s="51"/>
    </row>
    <row r="59" spans="1:61" ht="18" customHeight="1">
      <c r="A59" s="36"/>
      <c r="B59" s="404"/>
      <c r="C59" s="404"/>
      <c r="D59" s="404"/>
      <c r="E59" s="404"/>
      <c r="F59" s="288"/>
      <c r="G59" s="288"/>
      <c r="H59" s="288"/>
      <c r="I59" s="288"/>
      <c r="J59" s="288"/>
      <c r="K59" s="288"/>
      <c r="L59" s="288"/>
      <c r="M59" s="288"/>
      <c r="N59" s="288"/>
      <c r="O59" s="288"/>
      <c r="P59" s="288"/>
      <c r="Q59" s="288"/>
      <c r="R59" s="288"/>
      <c r="S59" s="288"/>
      <c r="T59" s="288"/>
      <c r="U59" s="288"/>
      <c r="V59" s="288"/>
      <c r="W59" s="288"/>
      <c r="X59" s="288"/>
      <c r="Y59" s="288"/>
      <c r="Z59" s="288"/>
      <c r="AA59" s="288"/>
      <c r="AB59" s="288"/>
      <c r="AC59" s="288"/>
      <c r="AD59" s="288"/>
      <c r="AE59" s="288"/>
      <c r="AF59" s="288"/>
      <c r="AG59" s="288"/>
      <c r="AH59" s="288"/>
      <c r="AI59" s="289"/>
      <c r="AK59" s="425" t="s">
        <v>701</v>
      </c>
      <c r="AL59" s="425"/>
      <c r="AM59" s="425"/>
      <c r="AN59" s="425"/>
      <c r="AO59" s="425"/>
      <c r="AP59" s="425"/>
      <c r="AQ59" s="42"/>
      <c r="AR59" s="43"/>
      <c r="AS59" s="43"/>
      <c r="AT59" s="43"/>
      <c r="AU59" s="43"/>
      <c r="AV59" s="43"/>
      <c r="AW59" s="43"/>
      <c r="AX59" s="43"/>
      <c r="AY59" s="43"/>
      <c r="AZ59" s="43"/>
      <c r="BH59" s="50"/>
      <c r="BI59" s="51"/>
    </row>
    <row r="60" spans="1:61" ht="18" customHeight="1">
      <c r="A60" s="36"/>
      <c r="B60" s="404"/>
      <c r="C60" s="404"/>
      <c r="D60" s="404"/>
      <c r="E60" s="404"/>
      <c r="F60" s="288"/>
      <c r="G60" s="288"/>
      <c r="H60" s="288"/>
      <c r="I60" s="288"/>
      <c r="J60" s="288"/>
      <c r="K60" s="288"/>
      <c r="L60" s="288"/>
      <c r="M60" s="288"/>
      <c r="N60" s="288"/>
      <c r="O60" s="288"/>
      <c r="P60" s="288"/>
      <c r="Q60" s="288"/>
      <c r="R60" s="288"/>
      <c r="S60" s="288"/>
      <c r="T60" s="288"/>
      <c r="U60" s="288"/>
      <c r="V60" s="288"/>
      <c r="W60" s="288"/>
      <c r="X60" s="288"/>
      <c r="Y60" s="288"/>
      <c r="Z60" s="288"/>
      <c r="AA60" s="288"/>
      <c r="AB60" s="288"/>
      <c r="AC60" s="288"/>
      <c r="AD60" s="288"/>
      <c r="AE60" s="288"/>
      <c r="AF60" s="288"/>
      <c r="AG60" s="288"/>
      <c r="AH60" s="288"/>
      <c r="AI60" s="289"/>
      <c r="AK60" s="425" t="s">
        <v>702</v>
      </c>
      <c r="AL60" s="425"/>
      <c r="AM60" s="425"/>
      <c r="AN60" s="425"/>
      <c r="AO60" s="425"/>
      <c r="AP60" s="425"/>
      <c r="AQ60" s="42"/>
      <c r="AR60" s="43"/>
      <c r="AS60" s="43"/>
      <c r="AT60" s="43"/>
      <c r="AU60" s="43"/>
      <c r="AV60" s="43"/>
      <c r="AW60" s="43"/>
      <c r="AX60" s="43"/>
      <c r="AY60" s="43"/>
      <c r="AZ60" s="43"/>
      <c r="BH60" s="52"/>
      <c r="BI60" s="51"/>
    </row>
    <row r="61" spans="1:61" ht="18" customHeight="1">
      <c r="A61" s="36"/>
      <c r="B61" s="404"/>
      <c r="C61" s="404"/>
      <c r="D61" s="404"/>
      <c r="E61" s="404"/>
      <c r="F61" s="288"/>
      <c r="G61" s="288"/>
      <c r="H61" s="288"/>
      <c r="I61" s="288"/>
      <c r="J61" s="288"/>
      <c r="K61" s="288"/>
      <c r="L61" s="288"/>
      <c r="M61" s="288"/>
      <c r="N61" s="288"/>
      <c r="O61" s="288"/>
      <c r="P61" s="288"/>
      <c r="Q61" s="288"/>
      <c r="R61" s="288"/>
      <c r="S61" s="288"/>
      <c r="T61" s="288"/>
      <c r="U61" s="288"/>
      <c r="V61" s="288"/>
      <c r="W61" s="288"/>
      <c r="X61" s="288"/>
      <c r="Y61" s="288"/>
      <c r="Z61" s="288"/>
      <c r="AA61" s="288"/>
      <c r="AB61" s="288"/>
      <c r="AC61" s="288"/>
      <c r="AD61" s="288"/>
      <c r="AE61" s="288"/>
      <c r="AF61" s="288"/>
      <c r="AG61" s="288"/>
      <c r="AH61" s="288"/>
      <c r="AI61" s="289"/>
      <c r="AK61" s="425" t="s">
        <v>703</v>
      </c>
      <c r="AL61" s="425"/>
      <c r="AM61" s="425"/>
      <c r="AN61" s="425"/>
      <c r="AO61" s="425"/>
      <c r="AP61" s="425"/>
      <c r="AQ61" s="42"/>
      <c r="AR61" s="43"/>
      <c r="AS61" s="43"/>
      <c r="AT61" s="43"/>
      <c r="AU61" s="43"/>
      <c r="AV61" s="43"/>
      <c r="AW61" s="43"/>
      <c r="AX61" s="43"/>
      <c r="AY61" s="43"/>
      <c r="AZ61" s="43"/>
      <c r="BH61" s="50"/>
      <c r="BI61" s="51"/>
    </row>
    <row r="62" spans="1:61" ht="18" customHeight="1">
      <c r="A62" s="36"/>
      <c r="B62" s="404"/>
      <c r="C62" s="404"/>
      <c r="D62" s="404"/>
      <c r="E62" s="404"/>
      <c r="F62" s="288"/>
      <c r="G62" s="288"/>
      <c r="H62" s="288"/>
      <c r="I62" s="288"/>
      <c r="J62" s="288"/>
      <c r="K62" s="288"/>
      <c r="L62" s="288"/>
      <c r="M62" s="288"/>
      <c r="N62" s="288"/>
      <c r="O62" s="288"/>
      <c r="P62" s="288"/>
      <c r="Q62" s="288"/>
      <c r="R62" s="288"/>
      <c r="S62" s="288"/>
      <c r="T62" s="288"/>
      <c r="U62" s="288"/>
      <c r="V62" s="288"/>
      <c r="W62" s="288"/>
      <c r="X62" s="288"/>
      <c r="Y62" s="288"/>
      <c r="Z62" s="288"/>
      <c r="AA62" s="288"/>
      <c r="AB62" s="288"/>
      <c r="AC62" s="288"/>
      <c r="AD62" s="288"/>
      <c r="AE62" s="288"/>
      <c r="AF62" s="288"/>
      <c r="AG62" s="288"/>
      <c r="AH62" s="288"/>
      <c r="AI62" s="289"/>
      <c r="AK62" s="425" t="s">
        <v>1040</v>
      </c>
      <c r="AL62" s="425"/>
      <c r="AM62" s="425"/>
      <c r="AN62" s="425"/>
      <c r="AO62" s="425"/>
      <c r="AP62" s="425"/>
      <c r="AQ62" s="42">
        <v>1</v>
      </c>
      <c r="AR62" s="43"/>
      <c r="AS62" s="43"/>
      <c r="AT62" s="43"/>
      <c r="AU62" s="43"/>
      <c r="AV62" s="43"/>
      <c r="AW62" s="43"/>
      <c r="AX62" s="43"/>
      <c r="AY62" s="43"/>
      <c r="AZ62" s="43"/>
      <c r="BH62" s="50"/>
      <c r="BI62" s="51"/>
    </row>
    <row r="63" spans="1:61" ht="18" customHeight="1">
      <c r="A63" s="36"/>
      <c r="B63" s="404"/>
      <c r="C63" s="404"/>
      <c r="D63" s="404"/>
      <c r="E63" s="404"/>
      <c r="F63" s="288"/>
      <c r="G63" s="288"/>
      <c r="H63" s="288"/>
      <c r="I63" s="288"/>
      <c r="J63" s="288"/>
      <c r="K63" s="288"/>
      <c r="L63" s="288"/>
      <c r="M63" s="288"/>
      <c r="N63" s="288"/>
      <c r="O63" s="288"/>
      <c r="P63" s="288"/>
      <c r="Q63" s="288"/>
      <c r="R63" s="288"/>
      <c r="S63" s="288"/>
      <c r="T63" s="288"/>
      <c r="U63" s="288"/>
      <c r="V63" s="288"/>
      <c r="W63" s="288"/>
      <c r="X63" s="288"/>
      <c r="Y63" s="288"/>
      <c r="Z63" s="288"/>
      <c r="AA63" s="288"/>
      <c r="AB63" s="288"/>
      <c r="AC63" s="288"/>
      <c r="AD63" s="288"/>
      <c r="AE63" s="288"/>
      <c r="AF63" s="288"/>
      <c r="AG63" s="288"/>
      <c r="AH63" s="288"/>
      <c r="AI63" s="289"/>
      <c r="AK63" s="425"/>
      <c r="AL63" s="425"/>
      <c r="AM63" s="425"/>
      <c r="AN63" s="425"/>
      <c r="AO63" s="425"/>
      <c r="AP63" s="425"/>
      <c r="AQ63" s="42"/>
      <c r="AR63" s="43"/>
      <c r="AS63" s="43"/>
      <c r="AT63" s="43"/>
      <c r="AU63" s="43"/>
      <c r="AV63" s="43"/>
      <c r="AW63" s="43"/>
      <c r="AX63" s="43"/>
      <c r="AY63" s="43"/>
      <c r="AZ63" s="43"/>
      <c r="BH63" s="52"/>
      <c r="BI63" s="51"/>
    </row>
    <row r="64" spans="1:61" ht="18" customHeight="1">
      <c r="A64" s="36"/>
      <c r="B64" s="404"/>
      <c r="C64" s="404"/>
      <c r="D64" s="404"/>
      <c r="E64" s="404"/>
      <c r="F64" s="288"/>
      <c r="G64" s="288"/>
      <c r="H64" s="288"/>
      <c r="I64" s="288"/>
      <c r="J64" s="288"/>
      <c r="K64" s="288"/>
      <c r="L64" s="288"/>
      <c r="M64" s="288"/>
      <c r="N64" s="288"/>
      <c r="O64" s="288"/>
      <c r="P64" s="288"/>
      <c r="Q64" s="288"/>
      <c r="R64" s="288"/>
      <c r="S64" s="288"/>
      <c r="T64" s="288"/>
      <c r="U64" s="288"/>
      <c r="V64" s="288"/>
      <c r="W64" s="288"/>
      <c r="X64" s="288"/>
      <c r="Y64" s="288"/>
      <c r="Z64" s="288"/>
      <c r="AA64" s="288"/>
      <c r="AB64" s="288"/>
      <c r="AC64" s="288"/>
      <c r="AD64" s="288"/>
      <c r="AE64" s="288"/>
      <c r="AF64" s="288"/>
      <c r="AG64" s="288"/>
      <c r="AH64" s="288"/>
      <c r="AI64" s="289"/>
      <c r="AK64" s="425"/>
      <c r="AL64" s="425"/>
      <c r="AM64" s="425"/>
      <c r="AN64" s="425"/>
      <c r="AO64" s="425"/>
      <c r="AP64" s="425"/>
      <c r="AQ64" s="42"/>
      <c r="AR64" s="43"/>
      <c r="AS64" s="43"/>
      <c r="AT64" s="43"/>
      <c r="AU64" s="43"/>
      <c r="AV64" s="43"/>
      <c r="AW64" s="43"/>
      <c r="AX64" s="43"/>
      <c r="AY64" s="43"/>
      <c r="AZ64" s="43"/>
      <c r="BH64" s="52"/>
      <c r="BI64" s="51"/>
    </row>
    <row r="65" spans="1:61" ht="18" customHeight="1">
      <c r="A65" s="36"/>
      <c r="B65" s="404"/>
      <c r="C65" s="404"/>
      <c r="D65" s="404"/>
      <c r="E65" s="404"/>
      <c r="F65" s="288"/>
      <c r="G65" s="288"/>
      <c r="H65" s="288"/>
      <c r="I65" s="288"/>
      <c r="J65" s="288"/>
      <c r="K65" s="288"/>
      <c r="L65" s="288"/>
      <c r="M65" s="288"/>
      <c r="N65" s="288"/>
      <c r="O65" s="288"/>
      <c r="P65" s="288"/>
      <c r="Q65" s="288"/>
      <c r="R65" s="288"/>
      <c r="S65" s="288"/>
      <c r="T65" s="288"/>
      <c r="U65" s="288"/>
      <c r="V65" s="288"/>
      <c r="W65" s="288"/>
      <c r="X65" s="288"/>
      <c r="Y65" s="288"/>
      <c r="Z65" s="288"/>
      <c r="AA65" s="288"/>
      <c r="AB65" s="288"/>
      <c r="AC65" s="288"/>
      <c r="AD65" s="288"/>
      <c r="AE65" s="288"/>
      <c r="AF65" s="288"/>
      <c r="AG65" s="288"/>
      <c r="AH65" s="288"/>
      <c r="AI65" s="289"/>
      <c r="AK65" s="425"/>
      <c r="AL65" s="425"/>
      <c r="AM65" s="425"/>
      <c r="AN65" s="425"/>
      <c r="AO65" s="425"/>
      <c r="AP65" s="425"/>
      <c r="AQ65" s="42"/>
      <c r="AR65" s="43"/>
      <c r="AS65" s="43"/>
      <c r="AT65" s="43"/>
      <c r="AU65" s="43"/>
      <c r="AV65" s="43"/>
      <c r="AW65" s="43"/>
      <c r="AX65" s="43"/>
      <c r="AY65" s="43"/>
      <c r="AZ65" s="43"/>
      <c r="BH65" s="50"/>
      <c r="BI65" s="51"/>
    </row>
    <row r="66" spans="1:61" ht="18" customHeight="1">
      <c r="A66" s="36"/>
      <c r="B66" s="404"/>
      <c r="C66" s="404"/>
      <c r="D66" s="404"/>
      <c r="E66" s="404"/>
      <c r="F66" s="288"/>
      <c r="G66" s="288"/>
      <c r="H66" s="288"/>
      <c r="I66" s="288"/>
      <c r="J66" s="288"/>
      <c r="K66" s="288"/>
      <c r="L66" s="288"/>
      <c r="M66" s="288"/>
      <c r="N66" s="288"/>
      <c r="O66" s="288"/>
      <c r="P66" s="288"/>
      <c r="Q66" s="288"/>
      <c r="R66" s="288"/>
      <c r="S66" s="288"/>
      <c r="T66" s="288"/>
      <c r="U66" s="288"/>
      <c r="V66" s="288"/>
      <c r="W66" s="288"/>
      <c r="X66" s="288"/>
      <c r="Y66" s="288"/>
      <c r="Z66" s="288"/>
      <c r="AA66" s="288"/>
      <c r="AB66" s="288"/>
      <c r="AC66" s="288"/>
      <c r="AD66" s="288"/>
      <c r="AE66" s="288"/>
      <c r="AF66" s="288"/>
      <c r="AG66" s="288"/>
      <c r="AH66" s="288"/>
      <c r="AI66" s="289"/>
      <c r="AK66" s="425"/>
      <c r="AL66" s="425"/>
      <c r="AM66" s="425"/>
      <c r="AN66" s="425"/>
      <c r="AO66" s="425"/>
      <c r="AP66" s="425"/>
      <c r="AQ66" s="42"/>
      <c r="AR66" s="43"/>
      <c r="AS66" s="43"/>
      <c r="AT66" s="43"/>
      <c r="AU66" s="43"/>
      <c r="AV66" s="43"/>
      <c r="AW66" s="43"/>
      <c r="AX66" s="43"/>
      <c r="AY66" s="43"/>
      <c r="AZ66" s="43"/>
      <c r="BH66" s="50"/>
      <c r="BI66" s="51"/>
    </row>
    <row r="67" spans="1:61" ht="18" customHeight="1">
      <c r="A67" s="36"/>
      <c r="B67" s="404"/>
      <c r="C67" s="404"/>
      <c r="D67" s="404"/>
      <c r="E67" s="404"/>
      <c r="F67" s="288"/>
      <c r="G67" s="288"/>
      <c r="H67" s="288"/>
      <c r="I67" s="288"/>
      <c r="J67" s="288"/>
      <c r="K67" s="288"/>
      <c r="L67" s="288"/>
      <c r="M67" s="288"/>
      <c r="N67" s="288"/>
      <c r="O67" s="288"/>
      <c r="P67" s="288"/>
      <c r="Q67" s="288"/>
      <c r="R67" s="288"/>
      <c r="S67" s="288"/>
      <c r="T67" s="288"/>
      <c r="U67" s="288"/>
      <c r="V67" s="288"/>
      <c r="W67" s="288"/>
      <c r="X67" s="288"/>
      <c r="Y67" s="288"/>
      <c r="Z67" s="288"/>
      <c r="AA67" s="288"/>
      <c r="AB67" s="288"/>
      <c r="AC67" s="288"/>
      <c r="AD67" s="288"/>
      <c r="AE67" s="288"/>
      <c r="AF67" s="288"/>
      <c r="AG67" s="288"/>
      <c r="AH67" s="288"/>
      <c r="AI67" s="289"/>
      <c r="AK67" s="425"/>
      <c r="AL67" s="425"/>
      <c r="AM67" s="425"/>
      <c r="AN67" s="425"/>
      <c r="AO67" s="425"/>
      <c r="AP67" s="425"/>
      <c r="AQ67" s="67"/>
      <c r="AR67" s="43"/>
      <c r="AS67" s="43"/>
      <c r="AT67" s="43"/>
      <c r="AU67" s="43"/>
      <c r="AV67" s="43"/>
      <c r="AW67" s="43"/>
      <c r="AX67" s="43"/>
      <c r="AY67" s="43"/>
      <c r="AZ67" s="43"/>
      <c r="BH67" s="50"/>
      <c r="BI67" s="51"/>
    </row>
    <row r="68" spans="1:61" ht="18" customHeight="1">
      <c r="A68" s="36"/>
      <c r="B68" s="404"/>
      <c r="C68" s="404"/>
      <c r="D68" s="404"/>
      <c r="E68" s="404"/>
      <c r="F68" s="288"/>
      <c r="G68" s="288"/>
      <c r="H68" s="288"/>
      <c r="I68" s="288"/>
      <c r="J68" s="288"/>
      <c r="K68" s="288"/>
      <c r="L68" s="288"/>
      <c r="M68" s="288"/>
      <c r="N68" s="288"/>
      <c r="O68" s="288"/>
      <c r="P68" s="288"/>
      <c r="Q68" s="288"/>
      <c r="R68" s="288"/>
      <c r="S68" s="288"/>
      <c r="T68" s="288"/>
      <c r="U68" s="288"/>
      <c r="V68" s="288"/>
      <c r="W68" s="288"/>
      <c r="X68" s="288"/>
      <c r="Y68" s="288"/>
      <c r="Z68" s="288"/>
      <c r="AA68" s="288"/>
      <c r="AB68" s="288"/>
      <c r="AC68" s="288"/>
      <c r="AD68" s="288"/>
      <c r="AE68" s="288"/>
      <c r="AF68" s="288"/>
      <c r="AG68" s="288"/>
      <c r="AH68" s="288"/>
      <c r="AI68" s="289"/>
      <c r="AK68" s="425"/>
      <c r="AL68" s="425"/>
      <c r="AM68" s="425"/>
      <c r="AN68" s="425"/>
      <c r="AO68" s="425"/>
      <c r="AP68" s="425"/>
      <c r="AQ68" s="67"/>
      <c r="AR68" s="43"/>
      <c r="AS68" s="43"/>
      <c r="AT68" s="43"/>
      <c r="AU68" s="43"/>
      <c r="AV68" s="43"/>
      <c r="AW68" s="43"/>
      <c r="AX68" s="43"/>
      <c r="AY68" s="43"/>
      <c r="AZ68" s="43"/>
      <c r="BH68" s="50"/>
      <c r="BI68" s="51"/>
    </row>
    <row r="69" spans="1:61" ht="18" customHeight="1">
      <c r="A69" s="36"/>
      <c r="B69" s="404"/>
      <c r="C69" s="404"/>
      <c r="D69" s="404"/>
      <c r="E69" s="404"/>
      <c r="F69" s="288"/>
      <c r="G69" s="288"/>
      <c r="H69" s="288"/>
      <c r="I69" s="288"/>
      <c r="J69" s="288"/>
      <c r="K69" s="288"/>
      <c r="L69" s="288"/>
      <c r="M69" s="288"/>
      <c r="N69" s="288"/>
      <c r="O69" s="288"/>
      <c r="P69" s="288"/>
      <c r="Q69" s="288"/>
      <c r="R69" s="288"/>
      <c r="S69" s="288"/>
      <c r="T69" s="288"/>
      <c r="U69" s="288"/>
      <c r="V69" s="288"/>
      <c r="W69" s="288"/>
      <c r="X69" s="288"/>
      <c r="Y69" s="288"/>
      <c r="Z69" s="288"/>
      <c r="AA69" s="288"/>
      <c r="AB69" s="288"/>
      <c r="AC69" s="288"/>
      <c r="AD69" s="288"/>
      <c r="AE69" s="288"/>
      <c r="AF69" s="288"/>
      <c r="AG69" s="288"/>
      <c r="AH69" s="288"/>
      <c r="AI69" s="289"/>
      <c r="AK69" s="425"/>
      <c r="AL69" s="425"/>
      <c r="AM69" s="425"/>
      <c r="AN69" s="425"/>
      <c r="AO69" s="425"/>
      <c r="AP69" s="425"/>
      <c r="AQ69" s="42"/>
      <c r="AR69" s="43"/>
      <c r="AS69" s="43"/>
      <c r="AT69" s="43"/>
      <c r="AU69" s="43"/>
      <c r="AV69" s="43"/>
      <c r="AW69" s="43"/>
      <c r="AX69" s="43"/>
      <c r="AY69" s="43"/>
      <c r="AZ69" s="43"/>
      <c r="BH69" s="50"/>
      <c r="BI69" s="51"/>
    </row>
    <row r="70" spans="1:61" ht="18" customHeight="1">
      <c r="A70" s="36"/>
      <c r="B70" s="404"/>
      <c r="C70" s="404"/>
      <c r="D70" s="404"/>
      <c r="E70" s="404"/>
      <c r="F70" s="288"/>
      <c r="G70" s="288"/>
      <c r="H70" s="288"/>
      <c r="I70" s="288"/>
      <c r="J70" s="288"/>
      <c r="K70" s="288"/>
      <c r="L70" s="288"/>
      <c r="M70" s="288"/>
      <c r="N70" s="288"/>
      <c r="O70" s="288"/>
      <c r="P70" s="288"/>
      <c r="Q70" s="288"/>
      <c r="R70" s="288"/>
      <c r="S70" s="288"/>
      <c r="T70" s="288"/>
      <c r="U70" s="288"/>
      <c r="V70" s="288"/>
      <c r="W70" s="288"/>
      <c r="X70" s="288"/>
      <c r="Y70" s="288"/>
      <c r="Z70" s="288"/>
      <c r="AA70" s="288"/>
      <c r="AB70" s="288"/>
      <c r="AC70" s="288"/>
      <c r="AD70" s="288"/>
      <c r="AE70" s="288"/>
      <c r="AF70" s="288"/>
      <c r="AG70" s="288"/>
      <c r="AH70" s="288"/>
      <c r="AI70" s="289"/>
      <c r="AK70" s="425"/>
      <c r="AL70" s="425"/>
      <c r="AM70" s="425"/>
      <c r="AN70" s="425"/>
      <c r="AO70" s="425"/>
      <c r="AP70" s="425"/>
      <c r="AQ70" s="42"/>
      <c r="AR70" s="43"/>
      <c r="AS70" s="43"/>
      <c r="AT70" s="43"/>
      <c r="AU70" s="43"/>
      <c r="AV70" s="43"/>
      <c r="AW70" s="43"/>
      <c r="AX70" s="43"/>
      <c r="AY70" s="43"/>
      <c r="AZ70" s="43"/>
      <c r="BH70" s="50"/>
      <c r="BI70" s="51"/>
    </row>
    <row r="71" spans="1:61" ht="18" customHeight="1">
      <c r="A71" s="36"/>
      <c r="B71" s="404"/>
      <c r="C71" s="404"/>
      <c r="D71" s="404"/>
      <c r="E71" s="404"/>
      <c r="F71" s="288"/>
      <c r="G71" s="288"/>
      <c r="H71" s="288"/>
      <c r="I71" s="288"/>
      <c r="J71" s="288"/>
      <c r="K71" s="288"/>
      <c r="L71" s="288"/>
      <c r="M71" s="288"/>
      <c r="N71" s="288"/>
      <c r="O71" s="288"/>
      <c r="P71" s="288"/>
      <c r="Q71" s="288"/>
      <c r="R71" s="288"/>
      <c r="S71" s="288"/>
      <c r="T71" s="288"/>
      <c r="U71" s="288"/>
      <c r="V71" s="288"/>
      <c r="W71" s="288"/>
      <c r="X71" s="288"/>
      <c r="Y71" s="288"/>
      <c r="Z71" s="288"/>
      <c r="AA71" s="288"/>
      <c r="AB71" s="288"/>
      <c r="AC71" s="288"/>
      <c r="AD71" s="288"/>
      <c r="AE71" s="288"/>
      <c r="AF71" s="288"/>
      <c r="AG71" s="288"/>
      <c r="AH71" s="288"/>
      <c r="AI71" s="289"/>
      <c r="AK71" s="425"/>
      <c r="AL71" s="425"/>
      <c r="AM71" s="425"/>
      <c r="AN71" s="425"/>
      <c r="AO71" s="425"/>
      <c r="AP71" s="425"/>
      <c r="AQ71" s="42"/>
      <c r="AR71" s="43"/>
      <c r="AS71" s="43"/>
      <c r="AT71" s="43"/>
      <c r="AU71" s="43"/>
      <c r="AV71" s="43"/>
      <c r="AW71" s="43"/>
      <c r="AX71" s="43"/>
      <c r="AY71" s="43"/>
      <c r="AZ71" s="43"/>
      <c r="BH71" s="52"/>
      <c r="BI71" s="51"/>
    </row>
    <row r="72" spans="1:61" ht="18" customHeight="1">
      <c r="A72" s="36"/>
      <c r="B72" s="404"/>
      <c r="C72" s="404"/>
      <c r="D72" s="404"/>
      <c r="E72" s="404"/>
      <c r="F72" s="288"/>
      <c r="G72" s="288"/>
      <c r="H72" s="288"/>
      <c r="I72" s="288"/>
      <c r="J72" s="288"/>
      <c r="K72" s="288"/>
      <c r="L72" s="288"/>
      <c r="M72" s="288"/>
      <c r="N72" s="288"/>
      <c r="O72" s="288"/>
      <c r="P72" s="288"/>
      <c r="Q72" s="288"/>
      <c r="R72" s="288"/>
      <c r="S72" s="288"/>
      <c r="T72" s="288"/>
      <c r="U72" s="288"/>
      <c r="V72" s="288"/>
      <c r="W72" s="288"/>
      <c r="X72" s="288"/>
      <c r="Y72" s="288"/>
      <c r="Z72" s="288"/>
      <c r="AA72" s="288"/>
      <c r="AB72" s="288"/>
      <c r="AC72" s="288"/>
      <c r="AD72" s="288"/>
      <c r="AE72" s="288"/>
      <c r="AF72" s="288"/>
      <c r="AG72" s="288"/>
      <c r="AH72" s="288"/>
      <c r="AI72" s="289"/>
      <c r="AK72" s="425"/>
      <c r="AL72" s="425"/>
      <c r="AM72" s="425"/>
      <c r="AN72" s="425"/>
      <c r="AO72" s="425"/>
      <c r="AP72" s="425"/>
      <c r="AQ72" s="42"/>
      <c r="AR72" s="43"/>
      <c r="AS72" s="43"/>
      <c r="AT72" s="43"/>
      <c r="AU72" s="43"/>
      <c r="AV72" s="43"/>
      <c r="AW72" s="43"/>
      <c r="AX72" s="43"/>
      <c r="AY72" s="43"/>
      <c r="AZ72" s="43"/>
      <c r="BH72" s="53"/>
      <c r="BI72" s="51"/>
    </row>
    <row r="73" spans="1:61" ht="18" customHeight="1">
      <c r="A73" s="36"/>
      <c r="B73" s="404"/>
      <c r="C73" s="404"/>
      <c r="D73" s="404"/>
      <c r="E73" s="404"/>
      <c r="F73" s="288"/>
      <c r="G73" s="288"/>
      <c r="H73" s="288"/>
      <c r="I73" s="288"/>
      <c r="J73" s="288"/>
      <c r="K73" s="288"/>
      <c r="L73" s="288"/>
      <c r="M73" s="288"/>
      <c r="N73" s="288"/>
      <c r="O73" s="288"/>
      <c r="P73" s="288"/>
      <c r="Q73" s="288"/>
      <c r="R73" s="288"/>
      <c r="S73" s="288"/>
      <c r="T73" s="288"/>
      <c r="U73" s="288"/>
      <c r="V73" s="288"/>
      <c r="W73" s="288"/>
      <c r="X73" s="288"/>
      <c r="Y73" s="288"/>
      <c r="Z73" s="288"/>
      <c r="AA73" s="288"/>
      <c r="AB73" s="288"/>
      <c r="AC73" s="288"/>
      <c r="AD73" s="288"/>
      <c r="AE73" s="288"/>
      <c r="AF73" s="288"/>
      <c r="AG73" s="288"/>
      <c r="AH73" s="288"/>
      <c r="AI73" s="289"/>
      <c r="AK73" s="425"/>
      <c r="AL73" s="425"/>
      <c r="AM73" s="425"/>
      <c r="AN73" s="425"/>
      <c r="AO73" s="425"/>
      <c r="AP73" s="425"/>
      <c r="AQ73" s="42"/>
      <c r="AR73" s="43"/>
      <c r="AS73" s="43"/>
      <c r="AT73" s="43"/>
      <c r="AU73" s="43"/>
      <c r="AV73" s="43"/>
      <c r="AW73" s="43"/>
      <c r="AX73" s="43"/>
      <c r="AY73" s="43"/>
      <c r="AZ73" s="43"/>
      <c r="BH73" s="54"/>
      <c r="BI73" s="51"/>
    </row>
    <row r="74" spans="1:61" ht="18" customHeight="1">
      <c r="A74" s="36"/>
      <c r="B74" s="404"/>
      <c r="C74" s="404"/>
      <c r="D74" s="404"/>
      <c r="E74" s="404"/>
      <c r="F74" s="288"/>
      <c r="G74" s="288"/>
      <c r="H74" s="288"/>
      <c r="I74" s="288"/>
      <c r="J74" s="288"/>
      <c r="K74" s="288"/>
      <c r="L74" s="288"/>
      <c r="M74" s="288"/>
      <c r="N74" s="288"/>
      <c r="O74" s="288"/>
      <c r="P74" s="288"/>
      <c r="Q74" s="288"/>
      <c r="R74" s="288"/>
      <c r="S74" s="288"/>
      <c r="T74" s="288"/>
      <c r="U74" s="288"/>
      <c r="V74" s="288"/>
      <c r="W74" s="288"/>
      <c r="X74" s="288"/>
      <c r="Y74" s="288"/>
      <c r="Z74" s="288"/>
      <c r="AA74" s="288"/>
      <c r="AB74" s="288"/>
      <c r="AC74" s="288"/>
      <c r="AD74" s="288"/>
      <c r="AE74" s="288"/>
      <c r="AF74" s="288"/>
      <c r="AG74" s="288"/>
      <c r="AH74" s="288"/>
      <c r="AI74" s="289"/>
      <c r="AK74" s="425"/>
      <c r="AL74" s="425"/>
      <c r="AM74" s="425"/>
      <c r="AN74" s="425"/>
      <c r="AO74" s="425"/>
      <c r="AP74" s="425"/>
      <c r="AQ74" s="42"/>
      <c r="AR74" s="43"/>
      <c r="AS74" s="43"/>
      <c r="AT74" s="43"/>
      <c r="AU74" s="43"/>
      <c r="AV74" s="43"/>
      <c r="AW74" s="43"/>
      <c r="AX74" s="43"/>
      <c r="AY74" s="43"/>
      <c r="AZ74" s="43"/>
      <c r="BH74" s="54"/>
      <c r="BI74" s="51"/>
    </row>
    <row r="75" spans="1:61" ht="18" customHeight="1">
      <c r="A75" s="36"/>
      <c r="B75" s="404"/>
      <c r="C75" s="404"/>
      <c r="D75" s="404"/>
      <c r="E75" s="404"/>
      <c r="F75" s="288"/>
      <c r="G75" s="288"/>
      <c r="H75" s="288"/>
      <c r="I75" s="288"/>
      <c r="J75" s="288"/>
      <c r="K75" s="288"/>
      <c r="L75" s="288"/>
      <c r="M75" s="288"/>
      <c r="N75" s="288"/>
      <c r="O75" s="288"/>
      <c r="P75" s="288"/>
      <c r="Q75" s="288"/>
      <c r="R75" s="288"/>
      <c r="S75" s="288"/>
      <c r="T75" s="288"/>
      <c r="U75" s="288"/>
      <c r="V75" s="288"/>
      <c r="W75" s="288"/>
      <c r="X75" s="288"/>
      <c r="Y75" s="288"/>
      <c r="Z75" s="288"/>
      <c r="AA75" s="288"/>
      <c r="AB75" s="288"/>
      <c r="AC75" s="288"/>
      <c r="AD75" s="288"/>
      <c r="AE75" s="288"/>
      <c r="AF75" s="288"/>
      <c r="AG75" s="288"/>
      <c r="AH75" s="288"/>
      <c r="AI75" s="289"/>
      <c r="AK75" s="425"/>
      <c r="AL75" s="425"/>
      <c r="AM75" s="425"/>
      <c r="AN75" s="425"/>
      <c r="AO75" s="425"/>
      <c r="AP75" s="425"/>
      <c r="AQ75" s="42"/>
      <c r="AR75" s="43"/>
      <c r="AS75" s="43"/>
      <c r="AT75" s="43"/>
      <c r="AU75" s="43"/>
      <c r="AV75" s="43"/>
      <c r="AW75" s="43"/>
      <c r="AX75" s="43"/>
      <c r="AY75" s="43"/>
      <c r="AZ75" s="43"/>
      <c r="BH75" s="53"/>
      <c r="BI75" s="51"/>
    </row>
    <row r="76" spans="1:61" ht="18" customHeight="1">
      <c r="A76" s="36"/>
      <c r="B76" s="404"/>
      <c r="C76" s="404"/>
      <c r="D76" s="404"/>
      <c r="E76" s="404"/>
      <c r="F76" s="288"/>
      <c r="G76" s="288"/>
      <c r="H76" s="288"/>
      <c r="I76" s="288"/>
      <c r="J76" s="288"/>
      <c r="K76" s="288"/>
      <c r="L76" s="288"/>
      <c r="M76" s="288"/>
      <c r="N76" s="288"/>
      <c r="O76" s="288"/>
      <c r="P76" s="288"/>
      <c r="Q76" s="288"/>
      <c r="R76" s="288"/>
      <c r="S76" s="288"/>
      <c r="T76" s="288"/>
      <c r="U76" s="288"/>
      <c r="V76" s="288"/>
      <c r="W76" s="288"/>
      <c r="X76" s="288"/>
      <c r="Y76" s="288"/>
      <c r="Z76" s="288"/>
      <c r="AA76" s="288"/>
      <c r="AB76" s="288"/>
      <c r="AC76" s="288"/>
      <c r="AD76" s="288"/>
      <c r="AE76" s="288"/>
      <c r="AF76" s="288"/>
      <c r="AG76" s="288"/>
      <c r="AH76" s="288"/>
      <c r="AI76" s="289"/>
      <c r="AK76" s="425"/>
      <c r="AL76" s="425"/>
      <c r="AM76" s="425"/>
      <c r="AN76" s="425"/>
      <c r="AO76" s="425"/>
      <c r="AP76" s="425"/>
      <c r="AQ76" s="42"/>
      <c r="AR76" s="43"/>
      <c r="AS76" s="43"/>
      <c r="AT76" s="43"/>
      <c r="AU76" s="43"/>
      <c r="AV76" s="43"/>
      <c r="AW76" s="43"/>
      <c r="AX76" s="43"/>
      <c r="AY76" s="43"/>
      <c r="AZ76" s="43"/>
      <c r="BH76" s="53"/>
      <c r="BI76" s="51"/>
    </row>
    <row r="77" spans="1:61" ht="18" customHeight="1">
      <c r="A77" s="36"/>
      <c r="B77" s="404"/>
      <c r="C77" s="404"/>
      <c r="D77" s="404"/>
      <c r="E77" s="404"/>
      <c r="F77" s="288"/>
      <c r="G77" s="288"/>
      <c r="H77" s="288"/>
      <c r="I77" s="288"/>
      <c r="J77" s="288"/>
      <c r="K77" s="288"/>
      <c r="L77" s="288"/>
      <c r="M77" s="288"/>
      <c r="N77" s="288"/>
      <c r="O77" s="288"/>
      <c r="P77" s="288"/>
      <c r="Q77" s="288"/>
      <c r="R77" s="288"/>
      <c r="S77" s="288"/>
      <c r="T77" s="288"/>
      <c r="U77" s="288"/>
      <c r="V77" s="288"/>
      <c r="W77" s="288"/>
      <c r="X77" s="288"/>
      <c r="Y77" s="288"/>
      <c r="Z77" s="288"/>
      <c r="AA77" s="288"/>
      <c r="AB77" s="288"/>
      <c r="AC77" s="288"/>
      <c r="AD77" s="288"/>
      <c r="AE77" s="288"/>
      <c r="AF77" s="288"/>
      <c r="AG77" s="288"/>
      <c r="AH77" s="288"/>
      <c r="AI77" s="289"/>
      <c r="AK77" s="425"/>
      <c r="AL77" s="425"/>
      <c r="AM77" s="425"/>
      <c r="AN77" s="425"/>
      <c r="AO77" s="425"/>
      <c r="AP77" s="425"/>
      <c r="AQ77" s="42"/>
      <c r="AR77" s="43"/>
      <c r="AS77" s="43"/>
      <c r="AT77" s="43"/>
      <c r="AU77" s="43"/>
      <c r="AV77" s="43"/>
      <c r="AW77" s="43"/>
      <c r="AX77" s="43"/>
      <c r="AY77" s="43"/>
      <c r="AZ77" s="43"/>
      <c r="BH77" s="54"/>
      <c r="BI77" s="51"/>
    </row>
    <row r="78" spans="1:61" ht="18" customHeight="1">
      <c r="A78" s="36"/>
      <c r="B78" s="404"/>
      <c r="C78" s="404"/>
      <c r="D78" s="404"/>
      <c r="E78" s="404"/>
      <c r="F78" s="288"/>
      <c r="G78" s="288"/>
      <c r="H78" s="288"/>
      <c r="I78" s="288"/>
      <c r="J78" s="288"/>
      <c r="K78" s="288"/>
      <c r="L78" s="288"/>
      <c r="M78" s="288"/>
      <c r="N78" s="288"/>
      <c r="O78" s="288"/>
      <c r="P78" s="288"/>
      <c r="Q78" s="288"/>
      <c r="R78" s="288"/>
      <c r="S78" s="288"/>
      <c r="T78" s="288"/>
      <c r="U78" s="288"/>
      <c r="V78" s="288"/>
      <c r="W78" s="288"/>
      <c r="X78" s="288"/>
      <c r="Y78" s="288"/>
      <c r="Z78" s="288"/>
      <c r="AA78" s="288"/>
      <c r="AB78" s="288"/>
      <c r="AC78" s="288"/>
      <c r="AD78" s="288"/>
      <c r="AE78" s="288"/>
      <c r="AF78" s="288"/>
      <c r="AG78" s="288"/>
      <c r="AH78" s="288"/>
      <c r="AI78" s="289"/>
      <c r="AK78" s="425"/>
      <c r="AL78" s="425"/>
      <c r="AM78" s="425"/>
      <c r="AN78" s="425"/>
      <c r="AO78" s="425"/>
      <c r="AP78" s="425"/>
      <c r="AQ78" s="42"/>
      <c r="AR78" s="43"/>
      <c r="AS78" s="43"/>
      <c r="AT78" s="43"/>
      <c r="AU78" s="43"/>
      <c r="AV78" s="43"/>
      <c r="AW78" s="43"/>
      <c r="AX78" s="43"/>
      <c r="AY78" s="43"/>
      <c r="AZ78" s="43"/>
      <c r="BH78" s="54"/>
      <c r="BI78" s="51"/>
    </row>
    <row r="79" spans="1:61" ht="18" customHeight="1">
      <c r="A79" s="36"/>
      <c r="B79" s="404"/>
      <c r="C79" s="404"/>
      <c r="D79" s="404"/>
      <c r="E79" s="404"/>
      <c r="F79" s="288"/>
      <c r="G79" s="288"/>
      <c r="H79" s="288"/>
      <c r="I79" s="288"/>
      <c r="J79" s="288"/>
      <c r="K79" s="288"/>
      <c r="L79" s="288"/>
      <c r="M79" s="288"/>
      <c r="N79" s="288"/>
      <c r="O79" s="288"/>
      <c r="P79" s="288"/>
      <c r="Q79" s="288"/>
      <c r="R79" s="288"/>
      <c r="S79" s="288"/>
      <c r="T79" s="288"/>
      <c r="U79" s="288"/>
      <c r="V79" s="288"/>
      <c r="W79" s="288"/>
      <c r="X79" s="288"/>
      <c r="Y79" s="288"/>
      <c r="Z79" s="288"/>
      <c r="AA79" s="288"/>
      <c r="AB79" s="288"/>
      <c r="AC79" s="288"/>
      <c r="AD79" s="288"/>
      <c r="AE79" s="288"/>
      <c r="AF79" s="288"/>
      <c r="AG79" s="288"/>
      <c r="AH79" s="288"/>
      <c r="AI79" s="289"/>
      <c r="AK79" s="425"/>
      <c r="AL79" s="425"/>
      <c r="AM79" s="425"/>
      <c r="AN79" s="425"/>
      <c r="AO79" s="425"/>
      <c r="AP79" s="425"/>
      <c r="AQ79" s="42"/>
      <c r="AR79" s="43"/>
      <c r="AS79" s="43"/>
      <c r="AT79" s="43"/>
      <c r="AU79" s="43"/>
      <c r="AV79" s="43"/>
      <c r="AW79" s="43"/>
      <c r="AX79" s="43"/>
      <c r="AY79" s="43"/>
      <c r="AZ79" s="43"/>
      <c r="BH79" s="54"/>
      <c r="BI79" s="51"/>
    </row>
    <row r="80" spans="1:61" ht="18" customHeight="1">
      <c r="A80" s="37"/>
      <c r="B80" s="466"/>
      <c r="C80" s="466"/>
      <c r="D80" s="466"/>
      <c r="E80" s="466"/>
      <c r="F80" s="467"/>
      <c r="G80" s="467"/>
      <c r="H80" s="467"/>
      <c r="I80" s="467"/>
      <c r="J80" s="467"/>
      <c r="K80" s="467"/>
      <c r="L80" s="467"/>
      <c r="M80" s="467"/>
      <c r="N80" s="467"/>
      <c r="O80" s="467"/>
      <c r="P80" s="467"/>
      <c r="Q80" s="467"/>
      <c r="R80" s="467"/>
      <c r="S80" s="467"/>
      <c r="T80" s="467"/>
      <c r="U80" s="467"/>
      <c r="V80" s="467"/>
      <c r="W80" s="467"/>
      <c r="X80" s="467"/>
      <c r="Y80" s="467"/>
      <c r="Z80" s="467"/>
      <c r="AA80" s="467"/>
      <c r="AB80" s="467"/>
      <c r="AC80" s="467"/>
      <c r="AD80" s="467"/>
      <c r="AE80" s="467"/>
      <c r="AF80" s="467"/>
      <c r="AG80" s="467"/>
      <c r="AH80" s="467"/>
      <c r="AI80" s="468"/>
      <c r="AK80" s="425"/>
      <c r="AL80" s="425"/>
      <c r="AM80" s="425"/>
      <c r="AN80" s="425"/>
      <c r="AO80" s="425"/>
      <c r="AP80" s="425"/>
      <c r="AQ80" s="42"/>
      <c r="AR80" s="43"/>
      <c r="AS80" s="43"/>
      <c r="AT80" s="43"/>
      <c r="AU80" s="43"/>
      <c r="AV80" s="43"/>
      <c r="AW80" s="43"/>
      <c r="AX80" s="43"/>
      <c r="AY80" s="43"/>
      <c r="AZ80" s="43"/>
      <c r="BH80" s="54"/>
      <c r="BI80" s="51"/>
    </row>
    <row r="81" spans="1:61" ht="18" customHeight="1">
      <c r="A81" s="406" t="s">
        <v>704</v>
      </c>
      <c r="B81" s="407"/>
      <c r="C81" s="407"/>
      <c r="D81" s="407"/>
      <c r="E81" s="407"/>
      <c r="F81" s="407"/>
      <c r="G81" s="407"/>
      <c r="H81" s="407"/>
      <c r="I81" s="407"/>
      <c r="J81" s="407"/>
      <c r="K81" s="407"/>
      <c r="L81" s="407"/>
      <c r="M81" s="407"/>
      <c r="N81" s="407"/>
      <c r="O81" s="407"/>
      <c r="P81" s="407"/>
      <c r="Q81" s="407"/>
      <c r="R81" s="407"/>
      <c r="S81" s="407"/>
      <c r="T81" s="407"/>
      <c r="U81" s="407"/>
      <c r="V81" s="407"/>
      <c r="W81" s="407"/>
      <c r="X81" s="407"/>
      <c r="Y81" s="407"/>
      <c r="Z81" s="407"/>
      <c r="AA81" s="407"/>
      <c r="AB81" s="407"/>
      <c r="AC81" s="407"/>
      <c r="AD81" s="407"/>
      <c r="AE81" s="407"/>
      <c r="AF81" s="407"/>
      <c r="AG81" s="407"/>
      <c r="AH81" s="407"/>
      <c r="AI81" s="408"/>
      <c r="AK81" s="425"/>
      <c r="AL81" s="425"/>
      <c r="AM81" s="425"/>
      <c r="AN81" s="425"/>
      <c r="AO81" s="425"/>
      <c r="AP81" s="425"/>
      <c r="AQ81" s="42"/>
      <c r="AR81" s="43"/>
      <c r="AS81" s="43"/>
      <c r="AT81" s="43"/>
      <c r="AU81" s="43"/>
      <c r="AV81" s="43"/>
      <c r="AW81" s="43"/>
      <c r="AX81" s="43"/>
      <c r="AY81" s="43"/>
      <c r="AZ81" s="43"/>
      <c r="BH81" s="53"/>
      <c r="BI81" s="51"/>
    </row>
    <row r="82" spans="1:61" ht="18" customHeight="1">
      <c r="A82" s="38"/>
      <c r="B82" s="465">
        <v>45644</v>
      </c>
      <c r="C82" s="465"/>
      <c r="D82" s="465"/>
      <c r="E82" s="465"/>
      <c r="F82" s="288" t="s">
        <v>837</v>
      </c>
      <c r="G82" s="288"/>
      <c r="H82" s="288"/>
      <c r="I82" s="288"/>
      <c r="J82" s="288"/>
      <c r="K82" s="288"/>
      <c r="L82" s="288"/>
      <c r="M82" s="288"/>
      <c r="N82" s="288"/>
      <c r="O82" s="288"/>
      <c r="P82" s="288"/>
      <c r="Q82" s="288"/>
      <c r="R82" s="288"/>
      <c r="S82" s="288"/>
      <c r="T82" s="288"/>
      <c r="U82" s="288"/>
      <c r="V82" s="288"/>
      <c r="W82" s="288"/>
      <c r="X82" s="288"/>
      <c r="Y82" s="288"/>
      <c r="Z82" s="288"/>
      <c r="AA82" s="288"/>
      <c r="AB82" s="288"/>
      <c r="AC82" s="288"/>
      <c r="AD82" s="288"/>
      <c r="AE82" s="288"/>
      <c r="AF82" s="288"/>
      <c r="AG82" s="288"/>
      <c r="AH82" s="288"/>
      <c r="AI82" s="289"/>
      <c r="AK82" s="425"/>
      <c r="AL82" s="425"/>
      <c r="AM82" s="425"/>
      <c r="AN82" s="425"/>
      <c r="AO82" s="425"/>
      <c r="AP82" s="425"/>
      <c r="AQ82" s="42"/>
      <c r="AR82" s="43"/>
      <c r="AS82" s="43"/>
      <c r="AT82" s="43"/>
      <c r="AU82" s="43"/>
      <c r="AV82" s="43"/>
      <c r="AW82" s="43"/>
      <c r="AX82" s="43"/>
      <c r="AY82" s="43"/>
      <c r="AZ82" s="43"/>
      <c r="BH82" s="53"/>
      <c r="BI82" s="51"/>
    </row>
    <row r="83" spans="1:61" ht="18" customHeight="1">
      <c r="A83" s="38"/>
      <c r="B83" s="465">
        <v>46160</v>
      </c>
      <c r="C83" s="465"/>
      <c r="D83" s="465"/>
      <c r="E83" s="465"/>
      <c r="F83" s="288" t="s">
        <v>838</v>
      </c>
      <c r="G83" s="288"/>
      <c r="H83" s="288"/>
      <c r="I83" s="288"/>
      <c r="J83" s="288"/>
      <c r="K83" s="288"/>
      <c r="L83" s="288"/>
      <c r="M83" s="288"/>
      <c r="N83" s="288"/>
      <c r="O83" s="288"/>
      <c r="P83" s="288"/>
      <c r="Q83" s="288"/>
      <c r="R83" s="288"/>
      <c r="S83" s="288"/>
      <c r="T83" s="288"/>
      <c r="U83" s="288"/>
      <c r="V83" s="288"/>
      <c r="W83" s="288"/>
      <c r="X83" s="288"/>
      <c r="Y83" s="288"/>
      <c r="Z83" s="288"/>
      <c r="AA83" s="288"/>
      <c r="AB83" s="288"/>
      <c r="AC83" s="288"/>
      <c r="AD83" s="288"/>
      <c r="AE83" s="288"/>
      <c r="AF83" s="288"/>
      <c r="AG83" s="288"/>
      <c r="AH83" s="288"/>
      <c r="AI83" s="289"/>
      <c r="AK83" s="425"/>
      <c r="AL83" s="425"/>
      <c r="AM83" s="425"/>
      <c r="AN83" s="425"/>
      <c r="AO83" s="425"/>
      <c r="AP83" s="425"/>
      <c r="AQ83" s="42"/>
      <c r="AR83" s="43"/>
      <c r="AS83" s="43"/>
      <c r="AT83" s="43"/>
      <c r="AU83" s="43"/>
      <c r="AV83" s="43"/>
      <c r="AW83" s="43"/>
      <c r="AX83" s="43"/>
      <c r="AY83" s="43"/>
      <c r="AZ83" s="43"/>
      <c r="BH83" s="53"/>
      <c r="BI83" s="51"/>
    </row>
    <row r="84" spans="1:61" ht="18" customHeight="1">
      <c r="A84" s="38"/>
      <c r="B84" s="465"/>
      <c r="C84" s="465"/>
      <c r="D84" s="465"/>
      <c r="E84" s="465"/>
      <c r="F84" s="288"/>
      <c r="G84" s="288"/>
      <c r="H84" s="288"/>
      <c r="I84" s="288"/>
      <c r="J84" s="288"/>
      <c r="K84" s="288"/>
      <c r="L84" s="288"/>
      <c r="M84" s="288"/>
      <c r="N84" s="288"/>
      <c r="O84" s="288"/>
      <c r="P84" s="288"/>
      <c r="Q84" s="288"/>
      <c r="R84" s="288"/>
      <c r="S84" s="288"/>
      <c r="T84" s="288"/>
      <c r="U84" s="288"/>
      <c r="V84" s="288"/>
      <c r="W84" s="288"/>
      <c r="X84" s="288"/>
      <c r="Y84" s="288"/>
      <c r="Z84" s="288"/>
      <c r="AA84" s="288"/>
      <c r="AB84" s="288"/>
      <c r="AC84" s="288"/>
      <c r="AD84" s="288"/>
      <c r="AE84" s="288"/>
      <c r="AF84" s="288"/>
      <c r="AG84" s="288"/>
      <c r="AH84" s="288"/>
      <c r="AI84" s="289"/>
      <c r="AK84" s="425"/>
      <c r="AL84" s="425"/>
      <c r="AM84" s="425"/>
      <c r="AN84" s="425"/>
      <c r="AO84" s="425"/>
      <c r="AP84" s="425"/>
      <c r="AQ84" s="42"/>
      <c r="AR84" s="43"/>
      <c r="AS84" s="43"/>
      <c r="AT84" s="43"/>
      <c r="AU84" s="43"/>
      <c r="AV84" s="43"/>
      <c r="AW84" s="43"/>
      <c r="AX84" s="43"/>
      <c r="AY84" s="43"/>
      <c r="AZ84" s="43"/>
    </row>
    <row r="85" spans="1:61" ht="18" customHeight="1">
      <c r="A85" s="38"/>
      <c r="B85" s="465"/>
      <c r="C85" s="465"/>
      <c r="D85" s="465"/>
      <c r="E85" s="465"/>
      <c r="F85" s="288"/>
      <c r="G85" s="288"/>
      <c r="H85" s="288"/>
      <c r="I85" s="288"/>
      <c r="J85" s="288"/>
      <c r="K85" s="288"/>
      <c r="L85" s="288"/>
      <c r="M85" s="288"/>
      <c r="N85" s="288"/>
      <c r="O85" s="288"/>
      <c r="P85" s="288"/>
      <c r="Q85" s="288"/>
      <c r="R85" s="288"/>
      <c r="S85" s="288"/>
      <c r="T85" s="288"/>
      <c r="U85" s="288"/>
      <c r="V85" s="288"/>
      <c r="W85" s="288"/>
      <c r="X85" s="288"/>
      <c r="Y85" s="288"/>
      <c r="Z85" s="288"/>
      <c r="AA85" s="288"/>
      <c r="AB85" s="288"/>
      <c r="AC85" s="288"/>
      <c r="AD85" s="288"/>
      <c r="AE85" s="288"/>
      <c r="AF85" s="288"/>
      <c r="AG85" s="288"/>
      <c r="AH85" s="288"/>
      <c r="AI85" s="289"/>
      <c r="AK85" s="425"/>
      <c r="AL85" s="425"/>
      <c r="AM85" s="425"/>
      <c r="AN85" s="425"/>
      <c r="AO85" s="425"/>
      <c r="AP85" s="425"/>
      <c r="AQ85" s="42"/>
      <c r="AR85" s="43"/>
      <c r="AS85" s="43"/>
      <c r="AT85" s="43"/>
      <c r="AU85" s="43"/>
      <c r="AV85" s="43"/>
      <c r="AW85" s="43"/>
      <c r="AX85" s="43"/>
      <c r="AY85" s="43"/>
      <c r="AZ85" s="43"/>
    </row>
    <row r="86" spans="1:61" ht="18" customHeight="1" thickBot="1">
      <c r="A86" s="41"/>
      <c r="B86" s="540"/>
      <c r="C86" s="540"/>
      <c r="D86" s="540"/>
      <c r="E86" s="540"/>
      <c r="F86" s="541"/>
      <c r="G86" s="541"/>
      <c r="H86" s="541"/>
      <c r="I86" s="541"/>
      <c r="J86" s="541"/>
      <c r="K86" s="541"/>
      <c r="L86" s="541"/>
      <c r="M86" s="541"/>
      <c r="N86" s="541"/>
      <c r="O86" s="541"/>
      <c r="P86" s="541"/>
      <c r="Q86" s="541"/>
      <c r="R86" s="541"/>
      <c r="S86" s="541"/>
      <c r="T86" s="541"/>
      <c r="U86" s="541"/>
      <c r="V86" s="541"/>
      <c r="W86" s="541"/>
      <c r="X86" s="541"/>
      <c r="Y86" s="541"/>
      <c r="Z86" s="541"/>
      <c r="AA86" s="541"/>
      <c r="AB86" s="541"/>
      <c r="AC86" s="541"/>
      <c r="AD86" s="541"/>
      <c r="AE86" s="541"/>
      <c r="AF86" s="541"/>
      <c r="AG86" s="541"/>
      <c r="AH86" s="541"/>
      <c r="AI86" s="542"/>
      <c r="AK86" s="425"/>
      <c r="AL86" s="425"/>
      <c r="AM86" s="425"/>
      <c r="AN86" s="425"/>
      <c r="AO86" s="425"/>
      <c r="AP86" s="425"/>
      <c r="AQ86" s="42"/>
      <c r="AR86" s="43"/>
      <c r="AS86" s="43"/>
      <c r="AT86" s="43"/>
      <c r="AU86" s="43"/>
      <c r="AV86" s="43"/>
      <c r="AW86" s="43"/>
      <c r="AX86" s="43"/>
      <c r="AY86" s="43"/>
      <c r="AZ86" s="43"/>
    </row>
    <row r="87" spans="1:61" ht="14.1" customHeight="1">
      <c r="AK87" s="438"/>
      <c r="AL87" s="438"/>
      <c r="AM87" s="438"/>
      <c r="AN87" s="438"/>
      <c r="AO87" s="438"/>
      <c r="AP87" s="438"/>
      <c r="AQ87" s="119"/>
    </row>
    <row r="88" spans="1:61" ht="14.1" customHeight="1">
      <c r="AK88" s="437"/>
      <c r="AL88" s="437"/>
      <c r="AM88" s="437"/>
      <c r="AN88" s="437"/>
      <c r="AO88" s="437"/>
      <c r="AP88" s="437"/>
      <c r="AQ88" s="120"/>
    </row>
    <row r="89" spans="1:61" ht="14.1" customHeight="1">
      <c r="AK89" s="437"/>
      <c r="AL89" s="437"/>
      <c r="AM89" s="437"/>
      <c r="AN89" s="437"/>
      <c r="AO89" s="437"/>
      <c r="AP89" s="437"/>
      <c r="AQ89" s="120"/>
    </row>
    <row r="90" spans="1:61" ht="14.1" customHeight="1"/>
    <row r="91" spans="1:61" ht="14.1" customHeight="1"/>
    <row r="92" spans="1:61" ht="14.1" customHeight="1"/>
    <row r="93" spans="1:61" ht="14.1" customHeight="1"/>
    <row r="94" spans="1:61" ht="14.1" customHeight="1"/>
    <row r="95" spans="1:61" ht="14.1" customHeight="1"/>
    <row r="96" spans="1:61" ht="14.1" customHeight="1"/>
    <row r="97" ht="14.1" customHeight="1"/>
    <row r="98" ht="14.1" customHeight="1"/>
    <row r="99" ht="14.1" customHeight="1"/>
    <row r="100" ht="14.1" customHeight="1"/>
    <row r="101" ht="14.1" customHeight="1"/>
    <row r="102" ht="14.1" customHeight="1"/>
    <row r="103" ht="14.1" customHeight="1"/>
    <row r="104" ht="14.1" customHeight="1"/>
    <row r="105" ht="14.1" customHeight="1"/>
    <row r="106" ht="14.1" customHeight="1"/>
    <row r="107" ht="14.1" customHeight="1"/>
    <row r="108" ht="14.1" customHeight="1"/>
    <row r="109" ht="14.1" customHeight="1"/>
    <row r="110" ht="14.1" customHeight="1"/>
    <row r="111" ht="14.1" customHeight="1"/>
    <row r="112" ht="14.1" customHeight="1"/>
    <row r="113" ht="14.1" customHeight="1"/>
    <row r="114" ht="14.1" customHeight="1"/>
    <row r="115" ht="14.1" customHeight="1"/>
    <row r="116" ht="14.1" customHeight="1"/>
    <row r="117" ht="14.1" customHeight="1"/>
    <row r="118" ht="14.1" customHeight="1"/>
    <row r="119" ht="14.1" customHeight="1"/>
    <row r="120" ht="14.1" customHeight="1"/>
    <row r="121" ht="14.1" customHeight="1"/>
    <row r="122" ht="14.1" customHeight="1"/>
    <row r="123" ht="14.1" customHeight="1"/>
    <row r="124" ht="14.1" customHeight="1"/>
    <row r="125" ht="14.1" customHeight="1"/>
    <row r="126" ht="14.1" customHeight="1"/>
    <row r="127" ht="14.1" customHeight="1"/>
    <row r="128" ht="14.1" customHeight="1"/>
    <row r="129" ht="14.1" customHeight="1"/>
    <row r="130" ht="14.1" customHeight="1"/>
    <row r="131" ht="14.1" customHeight="1"/>
    <row r="132" ht="14.1" customHeight="1"/>
    <row r="133" ht="14.1" customHeight="1"/>
    <row r="134" ht="14.1" customHeight="1"/>
    <row r="135" ht="14.1" customHeight="1"/>
    <row r="136" ht="14.1" customHeight="1"/>
    <row r="137" ht="14.1" customHeight="1"/>
    <row r="138" ht="14.1" customHeight="1"/>
    <row r="139" ht="14.1" customHeight="1"/>
    <row r="140" ht="14.1" customHeight="1"/>
    <row r="141" ht="14.1" customHeight="1"/>
    <row r="142" ht="14.1" customHeight="1"/>
    <row r="143" ht="14.1" customHeight="1"/>
    <row r="144" ht="14.1" customHeight="1"/>
    <row r="145" ht="14.1" customHeight="1"/>
    <row r="146" ht="14.1" customHeight="1"/>
    <row r="147" ht="14.1" customHeight="1"/>
    <row r="148" ht="14.1" customHeight="1"/>
    <row r="149" ht="14.1" customHeight="1"/>
    <row r="150" ht="14.1" customHeight="1"/>
    <row r="151" ht="14.1" customHeight="1"/>
    <row r="152" ht="14.1" customHeight="1"/>
    <row r="153" ht="14.1" customHeight="1"/>
    <row r="154" ht="14.1" customHeight="1"/>
    <row r="155" ht="14.1" customHeight="1"/>
    <row r="156" ht="14.1" customHeight="1"/>
    <row r="157" ht="14.1" customHeight="1"/>
    <row r="158" ht="14.1" customHeight="1"/>
    <row r="159" ht="14.1" customHeight="1"/>
    <row r="160" ht="14.1" customHeight="1"/>
    <row r="161" ht="14.1" customHeight="1"/>
    <row r="162" ht="14.1" customHeight="1"/>
    <row r="163" ht="14.1" customHeight="1"/>
    <row r="164" ht="14.1" customHeight="1"/>
    <row r="165" ht="14.1" customHeight="1"/>
    <row r="166" ht="14.1" customHeight="1"/>
    <row r="167" ht="14.1" customHeight="1"/>
    <row r="168" ht="14.1" customHeight="1"/>
    <row r="169" ht="14.1" customHeight="1"/>
    <row r="170" ht="14.1" customHeight="1"/>
    <row r="171" ht="14.1" customHeight="1"/>
    <row r="172" ht="14.1" customHeight="1"/>
    <row r="173" ht="14.1" customHeight="1"/>
    <row r="174" ht="14.1" customHeight="1"/>
    <row r="175" ht="14.1" customHeight="1"/>
    <row r="176" ht="14.1" customHeight="1"/>
    <row r="177" ht="14.1" customHeight="1"/>
    <row r="178" ht="14.1" customHeight="1"/>
    <row r="179" ht="14.1" customHeight="1"/>
    <row r="180" ht="14.1" customHeight="1"/>
    <row r="181" ht="14.1" customHeight="1"/>
    <row r="182" ht="14.1" customHeight="1"/>
    <row r="183" ht="14.1" customHeight="1"/>
    <row r="184" ht="14.1" customHeight="1"/>
    <row r="185" ht="14.1" customHeight="1"/>
    <row r="186" ht="14.1" customHeight="1"/>
    <row r="187" ht="14.1" customHeight="1"/>
    <row r="188" ht="14.1" customHeight="1"/>
    <row r="189" ht="14.1" customHeight="1"/>
    <row r="190" ht="14.1" customHeight="1"/>
    <row r="191" ht="14.1" customHeight="1"/>
    <row r="192" ht="14.1" customHeight="1"/>
    <row r="193" ht="14.1" customHeight="1"/>
    <row r="194" ht="14.1" customHeight="1"/>
    <row r="195" ht="14.1" customHeight="1"/>
    <row r="196" ht="14.1" customHeight="1"/>
    <row r="197" ht="14.1" customHeight="1"/>
    <row r="198" ht="14.1" customHeight="1"/>
    <row r="199" ht="14.1" customHeight="1"/>
    <row r="200" ht="14.1" customHeight="1"/>
    <row r="201" ht="14.1" customHeight="1"/>
    <row r="202" ht="14.1" customHeight="1"/>
    <row r="203" ht="14.1" customHeight="1"/>
    <row r="204" ht="14.1" customHeight="1"/>
    <row r="205" ht="14.1" customHeight="1"/>
    <row r="206" ht="14.1" customHeight="1"/>
    <row r="207" ht="14.1" customHeight="1"/>
    <row r="208" ht="14.1" customHeight="1"/>
    <row r="209" ht="14.1" customHeight="1"/>
    <row r="210" ht="14.1" customHeight="1"/>
    <row r="211" ht="14.1" customHeight="1"/>
    <row r="212" ht="14.1" customHeight="1"/>
    <row r="213" ht="14.1" customHeight="1"/>
    <row r="214" ht="14.1" customHeight="1"/>
    <row r="215" ht="14.1" customHeight="1"/>
    <row r="216" ht="14.1" customHeight="1"/>
    <row r="217" ht="14.1" customHeight="1"/>
    <row r="218" ht="14.1" customHeight="1"/>
    <row r="219" ht="14.1" customHeight="1"/>
    <row r="220" ht="14.1" customHeight="1"/>
    <row r="221" ht="14.1" customHeight="1"/>
    <row r="222" ht="14.1" customHeight="1"/>
    <row r="223" ht="14.1" customHeight="1"/>
    <row r="224" ht="14.1" customHeight="1"/>
    <row r="225" ht="14.1" customHeight="1"/>
    <row r="226" ht="14.1" customHeight="1"/>
    <row r="227" ht="14.1" customHeight="1"/>
    <row r="228" ht="14.1" customHeight="1"/>
    <row r="229" ht="14.1" customHeight="1"/>
    <row r="230" ht="14.1" customHeight="1"/>
    <row r="231" ht="14.1" customHeight="1"/>
    <row r="232" ht="14.1" customHeight="1"/>
    <row r="233" ht="14.1" customHeight="1"/>
    <row r="234" ht="14.1" customHeight="1"/>
    <row r="235" ht="14.1" customHeight="1"/>
    <row r="236" ht="14.1" customHeight="1"/>
    <row r="237" ht="14.1" customHeight="1"/>
    <row r="238" ht="14.1" customHeight="1"/>
    <row r="239" ht="14.1" customHeight="1"/>
    <row r="240" ht="14.1" customHeight="1"/>
    <row r="241" ht="14.1" customHeight="1"/>
    <row r="242" ht="14.1" customHeight="1"/>
    <row r="243" ht="14.1" customHeight="1"/>
    <row r="244" ht="14.1" customHeight="1"/>
    <row r="245" ht="14.1" customHeight="1"/>
    <row r="246" ht="14.1" customHeight="1"/>
    <row r="247" ht="14.1" customHeight="1"/>
    <row r="248" ht="14.1" customHeight="1"/>
    <row r="249" ht="14.1" customHeight="1"/>
    <row r="250" ht="14.1" customHeight="1"/>
    <row r="251" ht="14.1" customHeight="1"/>
    <row r="252" ht="14.1" customHeight="1"/>
    <row r="253" ht="14.1" customHeight="1"/>
    <row r="254" ht="14.1" customHeight="1"/>
    <row r="255" ht="14.1" customHeight="1"/>
    <row r="256" ht="14.1" customHeight="1"/>
    <row r="257" ht="14.1" customHeight="1"/>
    <row r="258" ht="14.1" customHeight="1"/>
    <row r="259" ht="14.1" customHeight="1"/>
    <row r="260" ht="14.1" customHeight="1"/>
    <row r="261" ht="14.1" customHeight="1"/>
    <row r="262" ht="14.1" customHeight="1"/>
    <row r="263" ht="14.1" customHeight="1"/>
    <row r="264" ht="14.1" customHeight="1"/>
    <row r="265" ht="14.1" customHeight="1"/>
    <row r="266" ht="14.1" customHeight="1"/>
  </sheetData>
  <sheetProtection algorithmName="SHA-512" hashValue="GmIH+wZjfeXc7MCoCBPMXDzuDT0QOKLA8gK7wVtdyFPppZwWZikHl9eUedaqVtj2Z5gCeZXDIpnq1dNrYqzHgQ==" saltValue="P8Bh5eMFHaLwBxAeO2VzJw==" spinCount="100000" sheet="1" autoFilter="0"/>
  <mergeCells count="381">
    <mergeCell ref="A1:S3"/>
    <mergeCell ref="T1:Z3"/>
    <mergeCell ref="AD1:AI1"/>
    <mergeCell ref="AD2:AF4"/>
    <mergeCell ref="AG2:AI4"/>
    <mergeCell ref="A4:S5"/>
    <mergeCell ref="AK7:AP8"/>
    <mergeCell ref="AQ7:AQ8"/>
    <mergeCell ref="V8:X8"/>
    <mergeCell ref="A9:AI9"/>
    <mergeCell ref="AK9:AP9"/>
    <mergeCell ref="A10:H10"/>
    <mergeCell ref="I10:J10"/>
    <mergeCell ref="K10:L10"/>
    <mergeCell ref="M10:T10"/>
    <mergeCell ref="U10:V10"/>
    <mergeCell ref="O7:P8"/>
    <mergeCell ref="Q7:R8"/>
    <mergeCell ref="S7:T8"/>
    <mergeCell ref="V7:X7"/>
    <mergeCell ref="Y7:AA8"/>
    <mergeCell ref="AB7:AI8"/>
    <mergeCell ref="A7:E8"/>
    <mergeCell ref="F7:F8"/>
    <mergeCell ref="G7:I8"/>
    <mergeCell ref="J7:J8"/>
    <mergeCell ref="K7:M8"/>
    <mergeCell ref="N7:N8"/>
    <mergeCell ref="W10:X10"/>
    <mergeCell ref="Y10:AF10"/>
    <mergeCell ref="AG10:AH10"/>
    <mergeCell ref="AK10:AP10"/>
    <mergeCell ref="A11:H11"/>
    <mergeCell ref="I11:J11"/>
    <mergeCell ref="K11:L11"/>
    <mergeCell ref="M11:T11"/>
    <mergeCell ref="U11:V11"/>
    <mergeCell ref="W11:X11"/>
    <mergeCell ref="Y11:AF11"/>
    <mergeCell ref="AG11:AH11"/>
    <mergeCell ref="AK11:AP11"/>
    <mergeCell ref="A12:H12"/>
    <mergeCell ref="I12:J12"/>
    <mergeCell ref="K12:L12"/>
    <mergeCell ref="M12:T12"/>
    <mergeCell ref="U12:V12"/>
    <mergeCell ref="W12:X12"/>
    <mergeCell ref="Y12:AF12"/>
    <mergeCell ref="AG12:AH12"/>
    <mergeCell ref="AK12:AP12"/>
    <mergeCell ref="A13:H13"/>
    <mergeCell ref="I13:J13"/>
    <mergeCell ref="K13:L13"/>
    <mergeCell ref="M13:T13"/>
    <mergeCell ref="U13:V13"/>
    <mergeCell ref="W13:X13"/>
    <mergeCell ref="Y13:AF13"/>
    <mergeCell ref="AG13:AH13"/>
    <mergeCell ref="AK13:AP13"/>
    <mergeCell ref="A14:AI14"/>
    <mergeCell ref="AK14:AP14"/>
    <mergeCell ref="B15:I15"/>
    <mergeCell ref="J15:L15"/>
    <mergeCell ref="M15:N15"/>
    <mergeCell ref="O15:V15"/>
    <mergeCell ref="W15:Y15"/>
    <mergeCell ref="Z15:AA15"/>
    <mergeCell ref="AB15:AG15"/>
    <mergeCell ref="A18:E18"/>
    <mergeCell ref="F18:AI18"/>
    <mergeCell ref="AK18:AP18"/>
    <mergeCell ref="B19:E19"/>
    <mergeCell ref="F19:AI19"/>
    <mergeCell ref="AK19:AP19"/>
    <mergeCell ref="AH15:AI15"/>
    <mergeCell ref="AK15:AP15"/>
    <mergeCell ref="A16:AI16"/>
    <mergeCell ref="AK16:AP16"/>
    <mergeCell ref="A17:E17"/>
    <mergeCell ref="F17:AI17"/>
    <mergeCell ref="AK17:AP17"/>
    <mergeCell ref="B20:E20"/>
    <mergeCell ref="F20:AI20"/>
    <mergeCell ref="AK20:AP20"/>
    <mergeCell ref="AR20:AR23"/>
    <mergeCell ref="B21:E21"/>
    <mergeCell ref="F21:AI21"/>
    <mergeCell ref="AK21:AP21"/>
    <mergeCell ref="B22:E22"/>
    <mergeCell ref="F22:AI22"/>
    <mergeCell ref="AK22:AP22"/>
    <mergeCell ref="BA23:BB23"/>
    <mergeCell ref="B24:E24"/>
    <mergeCell ref="F24:AI24"/>
    <mergeCell ref="AK24:AP24"/>
    <mergeCell ref="AY24:AZ24"/>
    <mergeCell ref="BA24:BB24"/>
    <mergeCell ref="AS22:AT22"/>
    <mergeCell ref="AU22:AV22"/>
    <mergeCell ref="AY22:AZ22"/>
    <mergeCell ref="BA22:BB22"/>
    <mergeCell ref="B23:E23"/>
    <mergeCell ref="F23:AI23"/>
    <mergeCell ref="AK23:AP23"/>
    <mergeCell ref="AS23:AT23"/>
    <mergeCell ref="AU23:AV23"/>
    <mergeCell ref="AY23:AZ23"/>
    <mergeCell ref="B27:E27"/>
    <mergeCell ref="F25:AI25"/>
    <mergeCell ref="AK27:AP27"/>
    <mergeCell ref="AS27:AT27"/>
    <mergeCell ref="AU27:AW27"/>
    <mergeCell ref="AY27:BB27"/>
    <mergeCell ref="B25:E25"/>
    <mergeCell ref="F26:AI26"/>
    <mergeCell ref="AK25:AP25"/>
    <mergeCell ref="AY25:AZ25"/>
    <mergeCell ref="BA25:BB25"/>
    <mergeCell ref="B26:E26"/>
    <mergeCell ref="AK26:AP26"/>
    <mergeCell ref="AS26:AW26"/>
    <mergeCell ref="F27:AI27"/>
    <mergeCell ref="BA28:BB28"/>
    <mergeCell ref="B29:E29"/>
    <mergeCell ref="F29:AI29"/>
    <mergeCell ref="AK29:AP29"/>
    <mergeCell ref="AS29:AT29"/>
    <mergeCell ref="AU29:AW29"/>
    <mergeCell ref="AY29:AZ29"/>
    <mergeCell ref="BA29:BB29"/>
    <mergeCell ref="B28:E28"/>
    <mergeCell ref="F28:AI28"/>
    <mergeCell ref="AK28:AP28"/>
    <mergeCell ref="AS28:AT28"/>
    <mergeCell ref="AU28:AW28"/>
    <mergeCell ref="AY28:AZ28"/>
    <mergeCell ref="A32:AI32"/>
    <mergeCell ref="AK32:AP32"/>
    <mergeCell ref="AS32:AT32"/>
    <mergeCell ref="AU32:AW32"/>
    <mergeCell ref="AY32:AZ32"/>
    <mergeCell ref="BA32:BB32"/>
    <mergeCell ref="BA30:BB30"/>
    <mergeCell ref="B31:E31"/>
    <mergeCell ref="F31:AI31"/>
    <mergeCell ref="AK31:AP31"/>
    <mergeCell ref="AS31:AT31"/>
    <mergeCell ref="AU31:AW31"/>
    <mergeCell ref="AY31:AZ31"/>
    <mergeCell ref="BA31:BB31"/>
    <mergeCell ref="B30:E30"/>
    <mergeCell ref="F30:AI30"/>
    <mergeCell ref="AK30:AP30"/>
    <mergeCell ref="AS30:AT30"/>
    <mergeCell ref="AU30:AW30"/>
    <mergeCell ref="AY30:AZ30"/>
    <mergeCell ref="BA33:BB33"/>
    <mergeCell ref="B34:E34"/>
    <mergeCell ref="F34:AI34"/>
    <mergeCell ref="AK34:AP34"/>
    <mergeCell ref="AS34:AT34"/>
    <mergeCell ref="AU34:AW34"/>
    <mergeCell ref="AY34:AZ34"/>
    <mergeCell ref="BA34:BB34"/>
    <mergeCell ref="B33:E33"/>
    <mergeCell ref="F33:AI33"/>
    <mergeCell ref="AK33:AP33"/>
    <mergeCell ref="AS33:AT33"/>
    <mergeCell ref="AU33:AW33"/>
    <mergeCell ref="AY33:AZ33"/>
    <mergeCell ref="AY35:AZ35"/>
    <mergeCell ref="BA35:BB35"/>
    <mergeCell ref="A36:E36"/>
    <mergeCell ref="F36:K36"/>
    <mergeCell ref="L36:O36"/>
    <mergeCell ref="P36:R36"/>
    <mergeCell ref="T36:V36"/>
    <mergeCell ref="W36:AB36"/>
    <mergeCell ref="AC36:AI36"/>
    <mergeCell ref="B35:E35"/>
    <mergeCell ref="F35:V35"/>
    <mergeCell ref="W35:AB35"/>
    <mergeCell ref="AC35:AI35"/>
    <mergeCell ref="AK35:AP35"/>
    <mergeCell ref="AS35:AT35"/>
    <mergeCell ref="AK36:AP36"/>
    <mergeCell ref="AS36:AT36"/>
    <mergeCell ref="AU36:AW36"/>
    <mergeCell ref="AU35:AW35"/>
    <mergeCell ref="A39:AI39"/>
    <mergeCell ref="AK39:AP39"/>
    <mergeCell ref="AS39:AT39"/>
    <mergeCell ref="AV39:AW39"/>
    <mergeCell ref="A38:E38"/>
    <mergeCell ref="F38:K38"/>
    <mergeCell ref="L38:O38"/>
    <mergeCell ref="P38:V38"/>
    <mergeCell ref="W38:AB38"/>
    <mergeCell ref="AC38:AI38"/>
    <mergeCell ref="AD40:AI40"/>
    <mergeCell ref="A37:E37"/>
    <mergeCell ref="F37:AI37"/>
    <mergeCell ref="AK40:AP40"/>
    <mergeCell ref="AS40:AT40"/>
    <mergeCell ref="AV40:AW40"/>
    <mergeCell ref="A41:D41"/>
    <mergeCell ref="E41:G41"/>
    <mergeCell ref="I41:K41"/>
    <mergeCell ref="L41:R41"/>
    <mergeCell ref="S41:V41"/>
    <mergeCell ref="W41:Y41"/>
    <mergeCell ref="AA41:AC41"/>
    <mergeCell ref="AD41:AI41"/>
    <mergeCell ref="AK41:AP41"/>
    <mergeCell ref="A40:D40"/>
    <mergeCell ref="E40:K40"/>
    <mergeCell ref="L40:R40"/>
    <mergeCell ref="S40:V40"/>
    <mergeCell ref="W40:AC40"/>
    <mergeCell ref="AK37:AP37"/>
    <mergeCell ref="AS37:AT37"/>
    <mergeCell ref="AU37:AW37"/>
    <mergeCell ref="AK38:AP38"/>
    <mergeCell ref="A42:D42"/>
    <mergeCell ref="E42:G42"/>
    <mergeCell ref="I42:K42"/>
    <mergeCell ref="L42:R42"/>
    <mergeCell ref="S42:V42"/>
    <mergeCell ref="W42:Y42"/>
    <mergeCell ref="AA42:AC42"/>
    <mergeCell ref="AK42:AP42"/>
    <mergeCell ref="AS42:AW42"/>
    <mergeCell ref="A43:D43"/>
    <mergeCell ref="E43:G43"/>
    <mergeCell ref="I43:K43"/>
    <mergeCell ref="L43:R43"/>
    <mergeCell ref="S43:V43"/>
    <mergeCell ref="W43:Y43"/>
    <mergeCell ref="AA43:AC43"/>
    <mergeCell ref="A44:D44"/>
    <mergeCell ref="E44:G44"/>
    <mergeCell ref="I44:K44"/>
    <mergeCell ref="L44:R44"/>
    <mergeCell ref="S44:V44"/>
    <mergeCell ref="W44:Y44"/>
    <mergeCell ref="AA44:AC44"/>
    <mergeCell ref="AD44:AI44"/>
    <mergeCell ref="AD42:AI42"/>
    <mergeCell ref="AK44:AP44"/>
    <mergeCell ref="R45:U45"/>
    <mergeCell ref="W45:X45"/>
    <mergeCell ref="Z45:AA45"/>
    <mergeCell ref="AC45:AD45"/>
    <mergeCell ref="AE45:AF45"/>
    <mergeCell ref="AK45:AP45"/>
    <mergeCell ref="AD43:AI43"/>
    <mergeCell ref="AK43:AP43"/>
    <mergeCell ref="B49:E49"/>
    <mergeCell ref="F49:AI49"/>
    <mergeCell ref="AK49:AP49"/>
    <mergeCell ref="B50:E50"/>
    <mergeCell ref="F50:AI50"/>
    <mergeCell ref="AK50:AP50"/>
    <mergeCell ref="A46:AI46"/>
    <mergeCell ref="AK46:AP46"/>
    <mergeCell ref="B47:E47"/>
    <mergeCell ref="F47:AI47"/>
    <mergeCell ref="AK47:AP47"/>
    <mergeCell ref="B48:E48"/>
    <mergeCell ref="F48:AI48"/>
    <mergeCell ref="AK48:AP48"/>
    <mergeCell ref="B53:E53"/>
    <mergeCell ref="F53:AI53"/>
    <mergeCell ref="AK53:AP53"/>
    <mergeCell ref="B54:E54"/>
    <mergeCell ref="F54:AI54"/>
    <mergeCell ref="AK54:AP54"/>
    <mergeCell ref="B51:E51"/>
    <mergeCell ref="F51:AI51"/>
    <mergeCell ref="AK51:AP51"/>
    <mergeCell ref="B52:E52"/>
    <mergeCell ref="F52:AI52"/>
    <mergeCell ref="AK52:AP52"/>
    <mergeCell ref="B57:E57"/>
    <mergeCell ref="F57:AI57"/>
    <mergeCell ref="AK57:AP57"/>
    <mergeCell ref="B58:E58"/>
    <mergeCell ref="F58:AI58"/>
    <mergeCell ref="AK58:AP58"/>
    <mergeCell ref="B55:E55"/>
    <mergeCell ref="F55:AI55"/>
    <mergeCell ref="AK55:AP55"/>
    <mergeCell ref="B56:E56"/>
    <mergeCell ref="F56:AI56"/>
    <mergeCell ref="AK56:AP56"/>
    <mergeCell ref="B61:E61"/>
    <mergeCell ref="F61:AI61"/>
    <mergeCell ref="AK61:AP61"/>
    <mergeCell ref="B62:E62"/>
    <mergeCell ref="F62:AI62"/>
    <mergeCell ref="AK62:AP62"/>
    <mergeCell ref="B59:E59"/>
    <mergeCell ref="F59:AI59"/>
    <mergeCell ref="AK59:AP59"/>
    <mergeCell ref="B60:E60"/>
    <mergeCell ref="F60:AI60"/>
    <mergeCell ref="AK60:AP60"/>
    <mergeCell ref="B65:E65"/>
    <mergeCell ref="F65:AI65"/>
    <mergeCell ref="AK65:AP65"/>
    <mergeCell ref="B66:E66"/>
    <mergeCell ref="F66:AI66"/>
    <mergeCell ref="AK66:AP66"/>
    <mergeCell ref="B63:E63"/>
    <mergeCell ref="F63:AI63"/>
    <mergeCell ref="AK63:AP63"/>
    <mergeCell ref="B64:E64"/>
    <mergeCell ref="F64:AI64"/>
    <mergeCell ref="AK64:AP64"/>
    <mergeCell ref="B69:E69"/>
    <mergeCell ref="F69:AI69"/>
    <mergeCell ref="AK69:AP69"/>
    <mergeCell ref="B70:E70"/>
    <mergeCell ref="F70:AI70"/>
    <mergeCell ref="AK70:AP70"/>
    <mergeCell ref="B67:E67"/>
    <mergeCell ref="F67:AI67"/>
    <mergeCell ref="AK67:AP67"/>
    <mergeCell ref="B68:E68"/>
    <mergeCell ref="F68:AI68"/>
    <mergeCell ref="AK68:AP68"/>
    <mergeCell ref="B73:E73"/>
    <mergeCell ref="F73:AI73"/>
    <mergeCell ref="AK73:AP73"/>
    <mergeCell ref="B74:E74"/>
    <mergeCell ref="F74:AI74"/>
    <mergeCell ref="AK74:AP74"/>
    <mergeCell ref="B71:E71"/>
    <mergeCell ref="F71:AI71"/>
    <mergeCell ref="AK71:AP71"/>
    <mergeCell ref="B72:E72"/>
    <mergeCell ref="F72:AI72"/>
    <mergeCell ref="AK72:AP72"/>
    <mergeCell ref="B77:E77"/>
    <mergeCell ref="F77:AI77"/>
    <mergeCell ref="AK77:AP77"/>
    <mergeCell ref="B78:E78"/>
    <mergeCell ref="F78:AI78"/>
    <mergeCell ref="AK78:AP78"/>
    <mergeCell ref="B75:E75"/>
    <mergeCell ref="F75:AI75"/>
    <mergeCell ref="AK75:AP75"/>
    <mergeCell ref="B76:E76"/>
    <mergeCell ref="F76:AI76"/>
    <mergeCell ref="AK76:AP76"/>
    <mergeCell ref="A81:AI81"/>
    <mergeCell ref="AK81:AP81"/>
    <mergeCell ref="B82:E82"/>
    <mergeCell ref="F82:AI82"/>
    <mergeCell ref="AK82:AP82"/>
    <mergeCell ref="B83:E83"/>
    <mergeCell ref="F83:AI83"/>
    <mergeCell ref="AK83:AP83"/>
    <mergeCell ref="B79:E79"/>
    <mergeCell ref="F79:AI79"/>
    <mergeCell ref="AK79:AP79"/>
    <mergeCell ref="B80:E80"/>
    <mergeCell ref="F80:AI80"/>
    <mergeCell ref="AK80:AP80"/>
    <mergeCell ref="B86:E86"/>
    <mergeCell ref="F86:AI86"/>
    <mergeCell ref="AK86:AP86"/>
    <mergeCell ref="AK87:AP87"/>
    <mergeCell ref="AK88:AP88"/>
    <mergeCell ref="AK89:AP89"/>
    <mergeCell ref="B84:E84"/>
    <mergeCell ref="F84:AI84"/>
    <mergeCell ref="AK84:AP84"/>
    <mergeCell ref="B85:E85"/>
    <mergeCell ref="F85:AI85"/>
    <mergeCell ref="AK85:AP85"/>
  </mergeCells>
  <phoneticPr fontId="2"/>
  <conditionalFormatting sqref="AQ20:AQ28 AQ30:AQ31 AQ9 AQ11:AQ12 AQ14 AQ33:AQ34">
    <cfRule type="containsBlanks" dxfId="23" priority="12">
      <formula>LEN(TRIM(AQ9))=0</formula>
    </cfRule>
  </conditionalFormatting>
  <conditionalFormatting sqref="BC11:CF11">
    <cfRule type="containsText" dxfId="22" priority="8" operator="containsText" text="青">
      <formula>NOT(ISERROR(SEARCH("青",BC11)))</formula>
    </cfRule>
    <cfRule type="containsText" dxfId="21" priority="9" operator="containsText" text="緑">
      <formula>NOT(ISERROR(SEARCH("緑",BC11)))</formula>
    </cfRule>
    <cfRule type="containsText" dxfId="20" priority="10" operator="containsText" text="黄">
      <formula>NOT(ISERROR(SEARCH("黄",BC11)))</formula>
    </cfRule>
    <cfRule type="containsText" dxfId="19" priority="11" operator="containsText" text="赤">
      <formula>NOT(ISERROR(SEARCH("赤",BC11)))</formula>
    </cfRule>
  </conditionalFormatting>
  <conditionalFormatting sqref="V7:X8">
    <cfRule type="containsBlanks" dxfId="18" priority="7">
      <formula>LEN(TRIM(V7))=0</formula>
    </cfRule>
  </conditionalFormatting>
  <conditionalFormatting sqref="AB7:AI8">
    <cfRule type="containsBlanks" dxfId="17" priority="6">
      <formula>LEN(TRIM(AB7))=0</formula>
    </cfRule>
  </conditionalFormatting>
  <conditionalFormatting sqref="A7:E8 G7:I8 K7:M8 O7:P8">
    <cfRule type="containsBlanks" dxfId="16" priority="5">
      <formula>LEN(TRIM(A7))=0</formula>
    </cfRule>
  </conditionalFormatting>
  <conditionalFormatting sqref="W15:Y15 AH15:AI15 J15:L15">
    <cfRule type="containsBlanks" dxfId="15" priority="4">
      <formula>LEN(TRIM(J15))=0</formula>
    </cfRule>
  </conditionalFormatting>
  <conditionalFormatting sqref="L41:R44">
    <cfRule type="cellIs" dxfId="14" priority="1" operator="equal">
      <formula>0</formula>
    </cfRule>
  </conditionalFormatting>
  <conditionalFormatting sqref="P36:R36 T36:V36 L38:O38 AC38:AI38 AC36:AI36">
    <cfRule type="containsBlanks" dxfId="13" priority="3">
      <formula>LEN(TRIM(L36))=0</formula>
    </cfRule>
  </conditionalFormatting>
  <conditionalFormatting sqref="W41:Y44 AA41:AI44">
    <cfRule type="cellIs" dxfId="12" priority="2" operator="equal">
      <formula>0</formula>
    </cfRule>
  </conditionalFormatting>
  <printOptions horizontalCentered="1" verticalCentered="1"/>
  <pageMargins left="0.70866141732283472" right="0.59055118110236227" top="0.55118110236220474" bottom="0.55118110236220474" header="0.31496062992125984" footer="0.31496062992125984"/>
  <pageSetup paperSize="9" orientation="portrait" horizontalDpi="300" verticalDpi="300" r:id="rId1"/>
  <headerFooter scaleWithDoc="0" alignWithMargins="0">
    <oddFooter>&amp;C&amp;P&amp;Rヒトトヒト株式会社</oddFooter>
  </headerFooter>
  <rowBreaks count="1" manualBreakCount="1">
    <brk id="44" max="34" man="1"/>
  </rowBreaks>
  <drawing r:id="rId2"/>
  <extLst>
    <ext xmlns:x14="http://schemas.microsoft.com/office/spreadsheetml/2009/9/main" uri="{CCE6A557-97BC-4b89-ADB6-D9C93CAAB3DF}">
      <x14:dataValidations xmlns:xm="http://schemas.microsoft.com/office/excel/2006/main" count="6">
        <x14:dataValidation type="list" allowBlank="1" showInputMessage="1" showErrorMessage="1" xr:uid="{8DBFACF7-55B0-4496-97CC-8BF4024E3FBC}">
          <x14:formula1>
            <xm:f>初期値!$C$12:$C$27</xm:f>
          </x14:formula1>
          <xm:sqref>P36:R36 T36:V36</xm:sqref>
        </x14:dataValidation>
        <x14:dataValidation type="list" allowBlank="1" showInputMessage="1" showErrorMessage="1" xr:uid="{8F949435-E685-420D-9127-1CCB6C44A3FE}">
          <x14:formula1>
            <xm:f>初期値!$G$12:$G$24</xm:f>
          </x14:formula1>
          <xm:sqref>V7:X8</xm:sqref>
        </x14:dataValidation>
        <x14:dataValidation type="list" allowBlank="1" showInputMessage="1" showErrorMessage="1" xr:uid="{D13E8267-0072-498A-ACF4-ED36B87549A2}">
          <x14:formula1>
            <xm:f>初期値!$E$12:$E$13</xm:f>
          </x14:formula1>
          <xm:sqref>L38:O38 AC38:AI38 AC36:AI36</xm:sqref>
        </x14:dataValidation>
        <x14:dataValidation type="list" allowBlank="1" showInputMessage="1" showErrorMessage="1" xr:uid="{BF300B3C-E7C2-4164-8BA9-B2DD341DEEB0}">
          <x14:formula1>
            <xm:f>初期値!$N$22:$N$23</xm:f>
          </x14:formula1>
          <xm:sqref>AW23</xm:sqref>
        </x14:dataValidation>
        <x14:dataValidation type="list" allowBlank="1" showInputMessage="1" showErrorMessage="1" xr:uid="{16886A4D-AC98-4C37-8E1D-5E969FF7D3DB}">
          <x14:formula1>
            <xm:f>初期値!$P$12:$P$27</xm:f>
          </x14:formula1>
          <xm:sqref>BA24:BB24 BA22:BB22 BA28:BB28 BA30:BB30 BA32:BB32 BA34:BB34</xm:sqref>
        </x14:dataValidation>
        <x14:dataValidation type="list" allowBlank="1" showInputMessage="1" showErrorMessage="1" xr:uid="{0A2984F3-1484-457F-AC6E-1EE0FC529795}">
          <x14:formula1>
            <xm:f>初期値!$N$12:$N$19</xm:f>
          </x14:formula1>
          <xm:sqref>AU22:AV22</xm:sqref>
        </x14:dataValidation>
      </x14:dataValidations>
    </ext>
  </extLst>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EF05338-6EDA-46FA-96E5-278489003A7F}">
  <sheetPr codeName="Sheet37"/>
  <dimension ref="A1:CG266"/>
  <sheetViews>
    <sheetView topLeftCell="A7" zoomScaleNormal="100" zoomScaleSheetLayoutView="100" workbookViewId="0">
      <selection activeCell="BK5" sqref="BK5"/>
    </sheetView>
  </sheetViews>
  <sheetFormatPr defaultColWidth="8.875" defaultRowHeight="13.5"/>
  <cols>
    <col min="1" max="42" width="2.25" style="23" customWidth="1"/>
    <col min="43" max="43" width="6" style="23" bestFit="1" customWidth="1"/>
    <col min="44" max="44" width="4.5" style="23" bestFit="1" customWidth="1"/>
    <col min="45" max="45" width="6" style="23" bestFit="1" customWidth="1"/>
    <col min="46" max="46" width="4.5" style="23" bestFit="1" customWidth="1"/>
    <col min="47" max="47" width="9" style="23" bestFit="1" customWidth="1"/>
    <col min="48" max="48" width="8.5" style="23" bestFit="1" customWidth="1"/>
    <col min="49" max="49" width="7.5" style="23" bestFit="1" customWidth="1"/>
    <col min="50" max="50" width="6.5" style="23" bestFit="1" customWidth="1"/>
    <col min="51" max="51" width="7.5" style="23" bestFit="1" customWidth="1"/>
    <col min="52" max="52" width="2.125" style="23" customWidth="1"/>
    <col min="53" max="54" width="7.375" style="23" customWidth="1"/>
    <col min="55" max="63" width="3.625" style="23" bestFit="1" customWidth="1"/>
    <col min="64" max="84" width="4" style="23" bestFit="1" customWidth="1"/>
    <col min="85" max="16384" width="8.875" style="23"/>
  </cols>
  <sheetData>
    <row r="1" spans="1:85" ht="14.1" customHeight="1">
      <c r="A1" s="510" t="s">
        <v>551</v>
      </c>
      <c r="B1" s="510"/>
      <c r="C1" s="510"/>
      <c r="D1" s="510"/>
      <c r="E1" s="510"/>
      <c r="F1" s="510"/>
      <c r="G1" s="510"/>
      <c r="H1" s="510"/>
      <c r="I1" s="510"/>
      <c r="J1" s="510"/>
      <c r="K1" s="510"/>
      <c r="L1" s="510"/>
      <c r="M1" s="510"/>
      <c r="N1" s="510"/>
      <c r="O1" s="510"/>
      <c r="P1" s="510"/>
      <c r="Q1" s="510"/>
      <c r="R1" s="510"/>
      <c r="S1" s="510"/>
      <c r="T1" s="388"/>
      <c r="U1" s="388"/>
      <c r="V1" s="388"/>
      <c r="W1" s="388"/>
      <c r="X1" s="388"/>
      <c r="Y1" s="388"/>
      <c r="Z1" s="388"/>
      <c r="AA1" s="24"/>
      <c r="AB1" s="32"/>
      <c r="AD1" s="252" t="s">
        <v>167</v>
      </c>
      <c r="AE1" s="252"/>
      <c r="AF1" s="252"/>
      <c r="AG1" s="252"/>
      <c r="AH1" s="252"/>
      <c r="AI1" s="252"/>
      <c r="AM1" s="123">
        <v>30</v>
      </c>
      <c r="BB1"/>
    </row>
    <row r="2" spans="1:85" ht="14.1" customHeight="1">
      <c r="A2" s="510"/>
      <c r="B2" s="510"/>
      <c r="C2" s="510"/>
      <c r="D2" s="510"/>
      <c r="E2" s="510"/>
      <c r="F2" s="510"/>
      <c r="G2" s="510"/>
      <c r="H2" s="510"/>
      <c r="I2" s="510"/>
      <c r="J2" s="510"/>
      <c r="K2" s="510"/>
      <c r="L2" s="510"/>
      <c r="M2" s="510"/>
      <c r="N2" s="510"/>
      <c r="O2" s="510"/>
      <c r="P2" s="510"/>
      <c r="Q2" s="510"/>
      <c r="R2" s="510"/>
      <c r="S2" s="510"/>
      <c r="T2" s="388"/>
      <c r="U2" s="388"/>
      <c r="V2" s="388"/>
      <c r="W2" s="388"/>
      <c r="X2" s="388"/>
      <c r="Y2" s="388"/>
      <c r="Z2" s="388"/>
      <c r="AA2" s="25"/>
      <c r="AB2" s="31"/>
      <c r="AD2" s="253"/>
      <c r="AE2" s="253"/>
      <c r="AF2" s="253"/>
      <c r="AG2" s="253"/>
      <c r="AH2" s="253"/>
      <c r="AI2" s="253"/>
      <c r="BA2"/>
    </row>
    <row r="3" spans="1:85" ht="14.1" customHeight="1">
      <c r="A3" s="510"/>
      <c r="B3" s="510"/>
      <c r="C3" s="510"/>
      <c r="D3" s="510"/>
      <c r="E3" s="510"/>
      <c r="F3" s="510"/>
      <c r="G3" s="510"/>
      <c r="H3" s="510"/>
      <c r="I3" s="510"/>
      <c r="J3" s="510"/>
      <c r="K3" s="510"/>
      <c r="L3" s="510"/>
      <c r="M3" s="510"/>
      <c r="N3" s="510"/>
      <c r="O3" s="510"/>
      <c r="P3" s="510"/>
      <c r="Q3" s="510"/>
      <c r="R3" s="510"/>
      <c r="S3" s="510"/>
      <c r="T3" s="388"/>
      <c r="U3" s="388"/>
      <c r="V3" s="388"/>
      <c r="W3" s="388"/>
      <c r="X3" s="388"/>
      <c r="Y3" s="388"/>
      <c r="Z3" s="388"/>
      <c r="AA3" s="25"/>
      <c r="AB3" s="31"/>
      <c r="AD3" s="253"/>
      <c r="AE3" s="253"/>
      <c r="AF3" s="253"/>
      <c r="AG3" s="253"/>
      <c r="AH3" s="253"/>
      <c r="AI3" s="253"/>
      <c r="BA3"/>
    </row>
    <row r="4" spans="1:85" ht="14.1" customHeight="1">
      <c r="A4" s="395" t="s">
        <v>552</v>
      </c>
      <c r="B4" s="395"/>
      <c r="C4" s="395"/>
      <c r="D4" s="395"/>
      <c r="E4" s="395"/>
      <c r="F4" s="395"/>
      <c r="G4" s="395"/>
      <c r="H4" s="395"/>
      <c r="I4" s="395"/>
      <c r="J4" s="395"/>
      <c r="K4" s="395"/>
      <c r="L4" s="395"/>
      <c r="M4" s="395"/>
      <c r="N4" s="395"/>
      <c r="O4" s="395"/>
      <c r="P4" s="395"/>
      <c r="Q4" s="395"/>
      <c r="R4" s="395"/>
      <c r="S4" s="395"/>
      <c r="T4" s="155"/>
      <c r="U4" s="155"/>
      <c r="V4" s="155"/>
      <c r="W4" s="155"/>
      <c r="X4" s="155"/>
      <c r="Y4" s="155"/>
      <c r="Z4" s="155"/>
      <c r="AA4" s="26"/>
      <c r="AB4" s="31"/>
      <c r="AD4" s="253"/>
      <c r="AE4" s="253"/>
      <c r="AF4" s="253"/>
      <c r="AG4" s="253"/>
      <c r="AH4" s="253"/>
      <c r="AI4" s="253"/>
      <c r="BA4"/>
    </row>
    <row r="5" spans="1:85" ht="14.1" customHeight="1">
      <c r="A5" s="395"/>
      <c r="B5" s="395"/>
      <c r="C5" s="395"/>
      <c r="D5" s="395"/>
      <c r="E5" s="395"/>
      <c r="F5" s="395"/>
      <c r="G5" s="395"/>
      <c r="H5" s="395"/>
      <c r="I5" s="395"/>
      <c r="J5" s="395"/>
      <c r="K5" s="395"/>
      <c r="L5" s="395"/>
      <c r="M5" s="395"/>
      <c r="N5" s="395"/>
      <c r="O5" s="395"/>
      <c r="P5" s="395"/>
      <c r="Q5" s="395"/>
      <c r="R5" s="395"/>
      <c r="S5" s="395"/>
      <c r="T5" s="155"/>
      <c r="U5" s="155"/>
      <c r="V5" s="155"/>
      <c r="W5" s="155"/>
      <c r="X5" s="155"/>
      <c r="Y5" s="155"/>
      <c r="Z5" s="155"/>
      <c r="AA5" s="26"/>
      <c r="AB5" s="31"/>
      <c r="AC5" s="31"/>
      <c r="AD5" s="31"/>
      <c r="AE5" s="31"/>
      <c r="AF5" s="31"/>
      <c r="AG5" s="31"/>
      <c r="AH5" s="31"/>
      <c r="AI5" s="31"/>
      <c r="BA5"/>
    </row>
    <row r="6" spans="1:85" ht="14.1" customHeight="1" thickBot="1">
      <c r="A6" s="27"/>
      <c r="B6" s="27"/>
      <c r="C6" s="27"/>
      <c r="D6" s="27"/>
      <c r="E6" s="27"/>
      <c r="F6" s="27"/>
      <c r="G6" s="27"/>
      <c r="H6" s="27"/>
      <c r="I6" s="27"/>
      <c r="BA6"/>
    </row>
    <row r="7" spans="1:85" ht="12" customHeight="1">
      <c r="A7" s="255">
        <f>DATE(初期値!A2,初期値!A3,AM1)</f>
        <v>46203</v>
      </c>
      <c r="B7" s="256"/>
      <c r="C7" s="256"/>
      <c r="D7" s="256"/>
      <c r="E7" s="256"/>
      <c r="F7" s="259" t="s">
        <v>169</v>
      </c>
      <c r="G7" s="236">
        <f>$A$7</f>
        <v>46203</v>
      </c>
      <c r="H7" s="236"/>
      <c r="I7" s="236"/>
      <c r="J7" s="239" t="s">
        <v>170</v>
      </c>
      <c r="K7" s="261">
        <f>$A$7</f>
        <v>46203</v>
      </c>
      <c r="L7" s="261"/>
      <c r="M7" s="261"/>
      <c r="N7" s="239" t="s">
        <v>3</v>
      </c>
      <c r="O7" s="520">
        <f>$A$7</f>
        <v>46203</v>
      </c>
      <c r="P7" s="520"/>
      <c r="Q7" s="239" t="s">
        <v>292</v>
      </c>
      <c r="R7" s="240"/>
      <c r="S7" s="522" t="s">
        <v>553</v>
      </c>
      <c r="T7" s="244"/>
      <c r="U7" s="29" t="s">
        <v>554</v>
      </c>
      <c r="V7" s="518" t="s">
        <v>37</v>
      </c>
      <c r="W7" s="518"/>
      <c r="X7" s="518"/>
      <c r="Y7" s="511" t="s">
        <v>555</v>
      </c>
      <c r="Z7" s="512"/>
      <c r="AA7" s="513"/>
      <c r="AB7" s="244" t="str">
        <f>L43</f>
        <v>石井忠志</v>
      </c>
      <c r="AC7" s="244"/>
      <c r="AD7" s="244"/>
      <c r="AE7" s="244"/>
      <c r="AF7" s="244"/>
      <c r="AG7" s="244"/>
      <c r="AH7" s="244"/>
      <c r="AI7" s="245"/>
      <c r="AK7" s="425" t="s">
        <v>556</v>
      </c>
      <c r="AL7" s="425"/>
      <c r="AM7" s="425"/>
      <c r="AN7" s="425"/>
      <c r="AO7" s="425"/>
      <c r="AP7" s="425"/>
      <c r="AQ7" s="439" t="s">
        <v>557</v>
      </c>
      <c r="AR7" s="43"/>
      <c r="AS7" s="43"/>
      <c r="AT7" s="43"/>
      <c r="AU7" s="43"/>
      <c r="AV7" s="43"/>
      <c r="AW7" s="43"/>
      <c r="AX7" s="43"/>
      <c r="AY7" s="43"/>
      <c r="AZ7" s="43"/>
      <c r="BA7"/>
    </row>
    <row r="8" spans="1:85" ht="12" customHeight="1" thickBot="1">
      <c r="A8" s="257"/>
      <c r="B8" s="258"/>
      <c r="C8" s="258"/>
      <c r="D8" s="258"/>
      <c r="E8" s="258"/>
      <c r="F8" s="260"/>
      <c r="G8" s="237"/>
      <c r="H8" s="237"/>
      <c r="I8" s="237"/>
      <c r="J8" s="242"/>
      <c r="K8" s="262"/>
      <c r="L8" s="262"/>
      <c r="M8" s="262"/>
      <c r="N8" s="242"/>
      <c r="O8" s="521"/>
      <c r="P8" s="521"/>
      <c r="Q8" s="242"/>
      <c r="R8" s="243"/>
      <c r="S8" s="523"/>
      <c r="T8" s="246"/>
      <c r="U8" s="33" t="s">
        <v>558</v>
      </c>
      <c r="V8" s="519" t="s">
        <v>23</v>
      </c>
      <c r="W8" s="519"/>
      <c r="X8" s="519"/>
      <c r="Y8" s="514"/>
      <c r="Z8" s="515"/>
      <c r="AA8" s="516"/>
      <c r="AB8" s="246"/>
      <c r="AC8" s="246"/>
      <c r="AD8" s="246"/>
      <c r="AE8" s="246"/>
      <c r="AF8" s="246"/>
      <c r="AG8" s="246"/>
      <c r="AH8" s="246"/>
      <c r="AI8" s="247"/>
      <c r="AK8" s="425"/>
      <c r="AL8" s="425"/>
      <c r="AM8" s="425"/>
      <c r="AN8" s="425"/>
      <c r="AO8" s="425"/>
      <c r="AP8" s="425"/>
      <c r="AQ8" s="439"/>
      <c r="AR8" s="43"/>
      <c r="AS8" s="43"/>
      <c r="AT8" s="43"/>
      <c r="AU8" s="43"/>
      <c r="AV8" s="43"/>
      <c r="AW8" s="43"/>
      <c r="AX8" s="43"/>
      <c r="AY8" s="43"/>
      <c r="AZ8" s="43"/>
      <c r="BA8"/>
    </row>
    <row r="9" spans="1:85" ht="18" customHeight="1">
      <c r="A9" s="507" t="s">
        <v>559</v>
      </c>
      <c r="B9" s="508"/>
      <c r="C9" s="508"/>
      <c r="D9" s="508"/>
      <c r="E9" s="508"/>
      <c r="F9" s="508"/>
      <c r="G9" s="508"/>
      <c r="H9" s="508"/>
      <c r="I9" s="508"/>
      <c r="J9" s="508"/>
      <c r="K9" s="508"/>
      <c r="L9" s="508"/>
      <c r="M9" s="508"/>
      <c r="N9" s="508"/>
      <c r="O9" s="508"/>
      <c r="P9" s="508"/>
      <c r="Q9" s="508"/>
      <c r="R9" s="508"/>
      <c r="S9" s="508"/>
      <c r="T9" s="508"/>
      <c r="U9" s="508"/>
      <c r="V9" s="508"/>
      <c r="W9" s="508"/>
      <c r="X9" s="508"/>
      <c r="Y9" s="508"/>
      <c r="Z9" s="508"/>
      <c r="AA9" s="508"/>
      <c r="AB9" s="508"/>
      <c r="AC9" s="508"/>
      <c r="AD9" s="508"/>
      <c r="AE9" s="508"/>
      <c r="AF9" s="508"/>
      <c r="AG9" s="508"/>
      <c r="AH9" s="508"/>
      <c r="AI9" s="509"/>
      <c r="AK9" s="440" t="s">
        <v>560</v>
      </c>
      <c r="AL9" s="440"/>
      <c r="AM9" s="440"/>
      <c r="AN9" s="440"/>
      <c r="AO9" s="440"/>
      <c r="AP9" s="440"/>
      <c r="AQ9" s="42">
        <v>44</v>
      </c>
      <c r="AR9" s="43"/>
      <c r="AS9" s="44" t="s">
        <v>561</v>
      </c>
      <c r="AT9" s="44" t="s">
        <v>562</v>
      </c>
      <c r="AU9" s="44" t="s">
        <v>563</v>
      </c>
      <c r="AV9" s="44" t="s">
        <v>564</v>
      </c>
      <c r="AW9" s="45" t="s">
        <v>565</v>
      </c>
      <c r="AX9" s="45" t="s">
        <v>566</v>
      </c>
      <c r="AY9" s="44" t="s">
        <v>567</v>
      </c>
      <c r="AZ9" s="43"/>
      <c r="BB9" s="49" t="s">
        <v>568</v>
      </c>
      <c r="BC9" s="43"/>
      <c r="BD9" s="43"/>
      <c r="BE9" s="43"/>
      <c r="BF9" s="43"/>
      <c r="BG9" s="43"/>
      <c r="BH9" s="43"/>
      <c r="BI9" s="43"/>
      <c r="BJ9" s="43"/>
      <c r="BK9" s="43"/>
      <c r="BL9" s="43"/>
      <c r="BM9" s="43"/>
      <c r="BN9" s="43"/>
      <c r="BO9" s="43"/>
      <c r="BP9" s="43"/>
      <c r="BQ9" s="43"/>
      <c r="BR9" s="43"/>
      <c r="BS9" s="43"/>
      <c r="BT9" s="43"/>
      <c r="BU9" s="43"/>
      <c r="BV9" s="43"/>
      <c r="BW9" s="43"/>
      <c r="BX9" s="43"/>
      <c r="BY9" s="43"/>
      <c r="BZ9" s="43"/>
      <c r="CA9" s="43"/>
      <c r="CB9" s="43"/>
      <c r="CC9" s="43"/>
      <c r="CD9" s="43"/>
      <c r="CE9" s="43"/>
      <c r="CF9" s="43"/>
      <c r="CG9" s="43"/>
    </row>
    <row r="10" spans="1:85" ht="18" customHeight="1">
      <c r="A10" s="265" t="s">
        <v>569</v>
      </c>
      <c r="B10" s="266"/>
      <c r="C10" s="266"/>
      <c r="D10" s="266"/>
      <c r="E10" s="266"/>
      <c r="F10" s="266"/>
      <c r="G10" s="266"/>
      <c r="H10" s="266"/>
      <c r="I10" s="264">
        <f>AQ14</f>
        <v>1</v>
      </c>
      <c r="J10" s="264"/>
      <c r="K10" s="267" t="s">
        <v>176</v>
      </c>
      <c r="L10" s="268"/>
      <c r="M10" s="269" t="s">
        <v>570</v>
      </c>
      <c r="N10" s="266"/>
      <c r="O10" s="266"/>
      <c r="P10" s="266"/>
      <c r="Q10" s="266"/>
      <c r="R10" s="266"/>
      <c r="S10" s="266"/>
      <c r="T10" s="266"/>
      <c r="U10" s="264">
        <f>AQ37</f>
        <v>0</v>
      </c>
      <c r="V10" s="264"/>
      <c r="W10" s="267" t="s">
        <v>176</v>
      </c>
      <c r="X10" s="268"/>
      <c r="Y10" s="269" t="s">
        <v>571</v>
      </c>
      <c r="Z10" s="266"/>
      <c r="AA10" s="266"/>
      <c r="AB10" s="266"/>
      <c r="AC10" s="266"/>
      <c r="AD10" s="266"/>
      <c r="AE10" s="266"/>
      <c r="AF10" s="266"/>
      <c r="AG10" s="264">
        <f>AQ26+AQ25</f>
        <v>0</v>
      </c>
      <c r="AH10" s="264"/>
      <c r="AI10" s="28" t="s">
        <v>176</v>
      </c>
      <c r="AK10" s="440" t="s">
        <v>572</v>
      </c>
      <c r="AL10" s="440"/>
      <c r="AM10" s="440"/>
      <c r="AN10" s="440"/>
      <c r="AO10" s="440"/>
      <c r="AP10" s="440"/>
      <c r="AQ10" s="42"/>
      <c r="AR10" s="43"/>
      <c r="AS10" s="46">
        <v>1</v>
      </c>
      <c r="AT10" s="46"/>
      <c r="AU10" s="46" t="s">
        <v>119</v>
      </c>
      <c r="AV10" s="47" t="s">
        <v>573</v>
      </c>
      <c r="AW10" s="47" t="s">
        <v>574</v>
      </c>
      <c r="AX10" s="47">
        <v>0.33333333333333331</v>
      </c>
      <c r="AY10" s="47">
        <v>0.83333333333333337</v>
      </c>
      <c r="AZ10" s="43"/>
      <c r="BB10" s="49" t="s">
        <v>95</v>
      </c>
      <c r="BC10" s="120">
        <v>1</v>
      </c>
      <c r="BD10" s="120">
        <v>2</v>
      </c>
      <c r="BE10" s="120">
        <v>3</v>
      </c>
      <c r="BF10" s="120">
        <v>4</v>
      </c>
      <c r="BG10" s="120">
        <v>5</v>
      </c>
      <c r="BH10" s="120">
        <v>6</v>
      </c>
      <c r="BI10" s="120">
        <v>7</v>
      </c>
      <c r="BJ10" s="120">
        <v>8</v>
      </c>
      <c r="BK10" s="120">
        <v>9</v>
      </c>
      <c r="BL10" s="120">
        <v>10</v>
      </c>
      <c r="BM10" s="120">
        <v>11</v>
      </c>
      <c r="BN10" s="120">
        <v>12</v>
      </c>
      <c r="BO10" s="120">
        <v>13</v>
      </c>
      <c r="BP10" s="120">
        <v>14</v>
      </c>
      <c r="BQ10" s="120">
        <v>15</v>
      </c>
      <c r="BR10" s="120">
        <v>16</v>
      </c>
      <c r="BS10" s="120">
        <v>17</v>
      </c>
      <c r="BT10" s="120">
        <v>18</v>
      </c>
      <c r="BU10" s="120">
        <v>19</v>
      </c>
      <c r="BV10" s="120">
        <v>20</v>
      </c>
      <c r="BW10" s="120">
        <v>21</v>
      </c>
      <c r="BX10" s="120">
        <v>22</v>
      </c>
      <c r="BY10" s="120">
        <v>23</v>
      </c>
      <c r="BZ10" s="120">
        <v>24</v>
      </c>
      <c r="CA10" s="120">
        <v>25</v>
      </c>
      <c r="CB10" s="120">
        <v>26</v>
      </c>
      <c r="CC10" s="120">
        <v>27</v>
      </c>
      <c r="CD10" s="120">
        <v>28</v>
      </c>
      <c r="CE10" s="120">
        <v>29</v>
      </c>
      <c r="CF10" s="120">
        <v>30</v>
      </c>
      <c r="CG10" s="43"/>
    </row>
    <row r="11" spans="1:85" ht="18" customHeight="1">
      <c r="A11" s="265" t="s">
        <v>575</v>
      </c>
      <c r="B11" s="266"/>
      <c r="C11" s="266"/>
      <c r="D11" s="266"/>
      <c r="E11" s="266"/>
      <c r="F11" s="266"/>
      <c r="G11" s="266"/>
      <c r="H11" s="266"/>
      <c r="I11" s="264">
        <f>AQ27</f>
        <v>1</v>
      </c>
      <c r="J11" s="264"/>
      <c r="K11" s="267" t="s">
        <v>176</v>
      </c>
      <c r="L11" s="268"/>
      <c r="M11" s="269" t="s">
        <v>576</v>
      </c>
      <c r="N11" s="266"/>
      <c r="O11" s="266"/>
      <c r="P11" s="266"/>
      <c r="Q11" s="266"/>
      <c r="R11" s="266"/>
      <c r="S11" s="266"/>
      <c r="T11" s="266"/>
      <c r="U11" s="264">
        <f>AQ36</f>
        <v>0</v>
      </c>
      <c r="V11" s="264"/>
      <c r="W11" s="267" t="s">
        <v>176</v>
      </c>
      <c r="X11" s="268"/>
      <c r="Y11" s="269" t="s">
        <v>577</v>
      </c>
      <c r="Z11" s="266"/>
      <c r="AA11" s="266"/>
      <c r="AB11" s="266"/>
      <c r="AC11" s="266"/>
      <c r="AD11" s="266"/>
      <c r="AE11" s="266"/>
      <c r="AF11" s="266"/>
      <c r="AG11" s="264">
        <f>AQ34</f>
        <v>0</v>
      </c>
      <c r="AH11" s="264"/>
      <c r="AI11" s="28" t="s">
        <v>176</v>
      </c>
      <c r="AK11" s="441" t="s">
        <v>578</v>
      </c>
      <c r="AL11" s="442"/>
      <c r="AM11" s="442"/>
      <c r="AN11" s="442"/>
      <c r="AO11" s="442"/>
      <c r="AP11" s="443"/>
      <c r="AQ11" s="42">
        <v>26</v>
      </c>
      <c r="AR11" s="43"/>
      <c r="AS11" s="46">
        <v>2</v>
      </c>
      <c r="AT11" s="46"/>
      <c r="AU11" s="46"/>
      <c r="AV11" s="47" t="s">
        <v>579</v>
      </c>
      <c r="AW11" s="47" t="s">
        <v>580</v>
      </c>
      <c r="AX11" s="47">
        <v>0.33333333333333331</v>
      </c>
      <c r="AY11" s="47">
        <v>0.58333333333333337</v>
      </c>
      <c r="AZ11" s="43"/>
      <c r="BB11" s="121" t="s">
        <v>581</v>
      </c>
      <c r="BC11" s="138" t="s">
        <v>582</v>
      </c>
      <c r="BD11" s="138" t="s">
        <v>583</v>
      </c>
      <c r="BE11" s="138" t="s">
        <v>584</v>
      </c>
      <c r="BF11" s="138" t="s">
        <v>585</v>
      </c>
      <c r="BG11" s="139" t="s">
        <v>584</v>
      </c>
      <c r="BH11" s="138" t="s">
        <v>582</v>
      </c>
      <c r="BI11" s="138" t="s">
        <v>585</v>
      </c>
      <c r="BJ11" s="138" t="s">
        <v>583</v>
      </c>
      <c r="BK11" s="138" t="s">
        <v>584</v>
      </c>
      <c r="BL11" s="138" t="s">
        <v>583</v>
      </c>
      <c r="BM11" s="138" t="s">
        <v>585</v>
      </c>
      <c r="BN11" s="138" t="s">
        <v>582</v>
      </c>
      <c r="BO11" s="138" t="s">
        <v>584</v>
      </c>
      <c r="BP11" s="138" t="s">
        <v>585</v>
      </c>
      <c r="BQ11" s="138" t="s">
        <v>583</v>
      </c>
      <c r="BR11" s="138" t="s">
        <v>585</v>
      </c>
      <c r="BS11" s="138" t="s">
        <v>584</v>
      </c>
      <c r="BT11" s="138" t="s">
        <v>582</v>
      </c>
      <c r="BU11" s="138" t="s">
        <v>583</v>
      </c>
      <c r="BV11" s="138" t="s">
        <v>585</v>
      </c>
      <c r="BW11" s="138" t="s">
        <v>582</v>
      </c>
      <c r="BX11" s="138" t="s">
        <v>584</v>
      </c>
      <c r="BY11" s="138" t="s">
        <v>585</v>
      </c>
      <c r="BZ11" s="138" t="s">
        <v>583</v>
      </c>
      <c r="CA11" s="138" t="s">
        <v>582</v>
      </c>
      <c r="CB11" s="138" t="s">
        <v>585</v>
      </c>
      <c r="CC11" s="138" t="s">
        <v>584</v>
      </c>
      <c r="CD11" s="138" t="s">
        <v>582</v>
      </c>
      <c r="CE11" s="138" t="s">
        <v>585</v>
      </c>
      <c r="CF11" s="138" t="s">
        <v>583</v>
      </c>
      <c r="CG11" s="43"/>
    </row>
    <row r="12" spans="1:85" ht="18" customHeight="1">
      <c r="A12" s="265" t="s">
        <v>586</v>
      </c>
      <c r="B12" s="266"/>
      <c r="C12" s="266"/>
      <c r="D12" s="266"/>
      <c r="E12" s="266"/>
      <c r="F12" s="266"/>
      <c r="G12" s="266"/>
      <c r="H12" s="266"/>
      <c r="I12" s="264">
        <f>AQ33</f>
        <v>0</v>
      </c>
      <c r="J12" s="264"/>
      <c r="K12" s="267" t="s">
        <v>176</v>
      </c>
      <c r="L12" s="268"/>
      <c r="M12" s="269" t="s">
        <v>587</v>
      </c>
      <c r="N12" s="266"/>
      <c r="O12" s="266"/>
      <c r="P12" s="266"/>
      <c r="Q12" s="266"/>
      <c r="R12" s="266"/>
      <c r="S12" s="266"/>
      <c r="T12" s="266"/>
      <c r="U12" s="264">
        <f>AQ24</f>
        <v>0</v>
      </c>
      <c r="V12" s="264"/>
      <c r="W12" s="267" t="s">
        <v>176</v>
      </c>
      <c r="X12" s="268"/>
      <c r="Y12" s="269" t="s">
        <v>588</v>
      </c>
      <c r="Z12" s="266"/>
      <c r="AA12" s="266"/>
      <c r="AB12" s="266"/>
      <c r="AC12" s="266"/>
      <c r="AD12" s="266"/>
      <c r="AE12" s="266"/>
      <c r="AF12" s="266"/>
      <c r="AG12" s="264">
        <f>AQ20+AQ21+AQ22+AQ23</f>
        <v>0</v>
      </c>
      <c r="AH12" s="264"/>
      <c r="AI12" s="28" t="s">
        <v>176</v>
      </c>
      <c r="AK12" s="441" t="s">
        <v>589</v>
      </c>
      <c r="AL12" s="442"/>
      <c r="AM12" s="442"/>
      <c r="AN12" s="442"/>
      <c r="AO12" s="442"/>
      <c r="AP12" s="443"/>
      <c r="AQ12" s="42">
        <v>11</v>
      </c>
      <c r="AR12" s="43"/>
      <c r="AS12" s="46">
        <v>3</v>
      </c>
      <c r="AT12" s="46"/>
      <c r="AU12" s="46"/>
      <c r="AV12" s="47" t="s">
        <v>590</v>
      </c>
      <c r="AW12" s="47" t="s">
        <v>574</v>
      </c>
      <c r="AX12" s="47">
        <v>0.58333333333333337</v>
      </c>
      <c r="AY12" s="47">
        <v>0.83333333333333337</v>
      </c>
      <c r="AZ12" s="43"/>
      <c r="BB12" s="49"/>
      <c r="BC12" s="43"/>
      <c r="BD12" s="43"/>
      <c r="BE12" s="43"/>
      <c r="BF12" s="43"/>
      <c r="BG12" s="43"/>
      <c r="BH12" s="43"/>
      <c r="BI12" s="43"/>
      <c r="BJ12" s="43"/>
      <c r="BK12" s="43"/>
      <c r="BL12" s="43"/>
      <c r="BM12" s="43"/>
      <c r="BN12" s="43"/>
      <c r="BO12" s="43"/>
      <c r="BP12" s="43"/>
      <c r="BQ12" s="43"/>
      <c r="BR12" s="43"/>
      <c r="BS12" s="43"/>
      <c r="BT12" s="43"/>
      <c r="BU12" s="43"/>
      <c r="BV12" s="43"/>
      <c r="BW12" s="43"/>
      <c r="BX12" s="43"/>
      <c r="BY12" s="43"/>
      <c r="BZ12" s="43"/>
      <c r="CA12" s="43"/>
      <c r="CB12" s="43"/>
      <c r="CC12" s="43"/>
      <c r="CD12" s="43"/>
      <c r="CE12" s="43"/>
      <c r="CF12" s="43"/>
      <c r="CG12" s="43"/>
    </row>
    <row r="13" spans="1:85" ht="18" customHeight="1" thickBot="1">
      <c r="A13" s="517" t="s">
        <v>591</v>
      </c>
      <c r="B13" s="277"/>
      <c r="C13" s="277"/>
      <c r="D13" s="277"/>
      <c r="E13" s="277"/>
      <c r="F13" s="277"/>
      <c r="G13" s="277"/>
      <c r="H13" s="277"/>
      <c r="I13" s="272">
        <f>AQ30+AQ31</f>
        <v>1</v>
      </c>
      <c r="J13" s="272"/>
      <c r="K13" s="273" t="s">
        <v>176</v>
      </c>
      <c r="L13" s="274"/>
      <c r="M13" s="276" t="s">
        <v>592</v>
      </c>
      <c r="N13" s="277"/>
      <c r="O13" s="277"/>
      <c r="P13" s="277"/>
      <c r="Q13" s="277"/>
      <c r="R13" s="277"/>
      <c r="S13" s="277"/>
      <c r="T13" s="277"/>
      <c r="U13" s="272">
        <f>AQ28</f>
        <v>0</v>
      </c>
      <c r="V13" s="272"/>
      <c r="W13" s="273" t="s">
        <v>176</v>
      </c>
      <c r="X13" s="274"/>
      <c r="Y13" s="276" t="s">
        <v>593</v>
      </c>
      <c r="Z13" s="277"/>
      <c r="AA13" s="277"/>
      <c r="AB13" s="277"/>
      <c r="AC13" s="277"/>
      <c r="AD13" s="277"/>
      <c r="AE13" s="277"/>
      <c r="AF13" s="277"/>
      <c r="AG13" s="272">
        <f>AQ13</f>
        <v>0</v>
      </c>
      <c r="AH13" s="272"/>
      <c r="AI13" s="34" t="s">
        <v>176</v>
      </c>
      <c r="AK13" s="425" t="s">
        <v>594</v>
      </c>
      <c r="AL13" s="425"/>
      <c r="AM13" s="425"/>
      <c r="AN13" s="425"/>
      <c r="AO13" s="425"/>
      <c r="AP13" s="425"/>
      <c r="AQ13" s="42"/>
      <c r="AR13" s="43"/>
      <c r="AS13" s="46">
        <v>4</v>
      </c>
      <c r="AT13" s="46"/>
      <c r="AU13" s="46" t="s">
        <v>602</v>
      </c>
      <c r="AV13" s="47" t="s">
        <v>595</v>
      </c>
      <c r="AW13" s="47" t="s">
        <v>596</v>
      </c>
      <c r="AX13" s="47">
        <v>0.33333333333333331</v>
      </c>
      <c r="AY13" s="47">
        <v>0.83333333333333337</v>
      </c>
      <c r="AZ13" s="43"/>
      <c r="BB13" s="121" t="s">
        <v>597</v>
      </c>
      <c r="BC13" s="140" t="s">
        <v>20</v>
      </c>
      <c r="BD13" s="140" t="s">
        <v>119</v>
      </c>
      <c r="BE13" s="140" t="s">
        <v>20</v>
      </c>
      <c r="BF13" s="140" t="s">
        <v>20</v>
      </c>
      <c r="BG13" s="140" t="s">
        <v>20</v>
      </c>
      <c r="BH13" s="140" t="s">
        <v>20</v>
      </c>
      <c r="BI13" s="140" t="s">
        <v>80</v>
      </c>
      <c r="BJ13" s="140" t="s">
        <v>20</v>
      </c>
      <c r="BK13" s="140" t="s">
        <v>20</v>
      </c>
      <c r="BL13" s="140" t="s">
        <v>20</v>
      </c>
      <c r="BM13" s="140" t="s">
        <v>20</v>
      </c>
      <c r="BN13" s="140" t="s">
        <v>20</v>
      </c>
      <c r="BO13" s="140" t="s">
        <v>119</v>
      </c>
      <c r="BP13" s="140" t="s">
        <v>119</v>
      </c>
      <c r="BQ13" s="140" t="s">
        <v>20</v>
      </c>
      <c r="BR13" s="140" t="s">
        <v>119</v>
      </c>
      <c r="BS13" s="140" t="s">
        <v>20</v>
      </c>
      <c r="BT13" s="140" t="s">
        <v>20</v>
      </c>
      <c r="BU13" s="140" t="s">
        <v>20</v>
      </c>
      <c r="BV13" s="140" t="s">
        <v>119</v>
      </c>
      <c r="BW13" s="140" t="s">
        <v>119</v>
      </c>
      <c r="BX13" s="140" t="s">
        <v>20</v>
      </c>
      <c r="BY13" s="140" t="s">
        <v>119</v>
      </c>
      <c r="BZ13" s="140" t="s">
        <v>20</v>
      </c>
      <c r="CA13" s="140" t="s">
        <v>119</v>
      </c>
      <c r="CB13" s="140" t="s">
        <v>20</v>
      </c>
      <c r="CC13" s="140" t="s">
        <v>20</v>
      </c>
      <c r="CD13" s="140" t="s">
        <v>119</v>
      </c>
      <c r="CE13" s="140" t="s">
        <v>20</v>
      </c>
      <c r="CF13" s="140" t="s">
        <v>119</v>
      </c>
      <c r="CG13" s="43"/>
    </row>
    <row r="14" spans="1:85" ht="18" customHeight="1" thickBot="1">
      <c r="A14" s="452" t="s">
        <v>598</v>
      </c>
      <c r="B14" s="453"/>
      <c r="C14" s="453"/>
      <c r="D14" s="453"/>
      <c r="E14" s="453"/>
      <c r="F14" s="453"/>
      <c r="G14" s="453"/>
      <c r="H14" s="453"/>
      <c r="I14" s="453"/>
      <c r="J14" s="453"/>
      <c r="K14" s="453"/>
      <c r="L14" s="453"/>
      <c r="M14" s="453"/>
      <c r="N14" s="453"/>
      <c r="O14" s="453"/>
      <c r="P14" s="453"/>
      <c r="Q14" s="453"/>
      <c r="R14" s="453"/>
      <c r="S14" s="453"/>
      <c r="T14" s="453"/>
      <c r="U14" s="453"/>
      <c r="V14" s="453"/>
      <c r="W14" s="453"/>
      <c r="X14" s="453"/>
      <c r="Y14" s="453"/>
      <c r="Z14" s="453"/>
      <c r="AA14" s="453"/>
      <c r="AB14" s="453"/>
      <c r="AC14" s="453"/>
      <c r="AD14" s="453"/>
      <c r="AE14" s="453"/>
      <c r="AF14" s="453"/>
      <c r="AG14" s="453"/>
      <c r="AH14" s="453"/>
      <c r="AI14" s="454"/>
      <c r="AK14" s="440" t="s">
        <v>599</v>
      </c>
      <c r="AL14" s="440"/>
      <c r="AM14" s="440"/>
      <c r="AN14" s="440"/>
      <c r="AO14" s="440"/>
      <c r="AP14" s="440"/>
      <c r="AQ14" s="42">
        <v>1</v>
      </c>
      <c r="AR14" s="43"/>
      <c r="AS14" s="46">
        <v>5</v>
      </c>
      <c r="AT14" s="46"/>
      <c r="AU14" s="46" t="s">
        <v>20</v>
      </c>
      <c r="AV14" s="47" t="s">
        <v>600</v>
      </c>
      <c r="AW14" s="47" t="s">
        <v>596</v>
      </c>
      <c r="AX14" s="47">
        <v>0.33333333333333331</v>
      </c>
      <c r="AY14" s="47">
        <v>0.83333333333333337</v>
      </c>
      <c r="AZ14" s="43"/>
      <c r="BB14" s="121" t="s">
        <v>601</v>
      </c>
      <c r="BC14" s="162" t="s">
        <v>28</v>
      </c>
      <c r="BD14" s="162" t="s">
        <v>602</v>
      </c>
      <c r="BE14" s="162" t="s">
        <v>602</v>
      </c>
      <c r="BF14" s="162" t="s">
        <v>28</v>
      </c>
      <c r="BG14" s="162" t="s">
        <v>602</v>
      </c>
      <c r="BH14" s="162" t="s">
        <v>602</v>
      </c>
      <c r="BI14" s="162" t="s">
        <v>28</v>
      </c>
      <c r="BJ14" s="162" t="s">
        <v>28</v>
      </c>
      <c r="BK14" s="162" t="s">
        <v>602</v>
      </c>
      <c r="BL14" s="162" t="s">
        <v>28</v>
      </c>
      <c r="BM14" s="162" t="s">
        <v>602</v>
      </c>
      <c r="BN14" s="162" t="s">
        <v>28</v>
      </c>
      <c r="BO14" s="162" t="s">
        <v>28</v>
      </c>
      <c r="BP14" s="162" t="s">
        <v>76</v>
      </c>
      <c r="BQ14" s="162" t="s">
        <v>28</v>
      </c>
      <c r="BR14" s="162" t="s">
        <v>602</v>
      </c>
      <c r="BS14" s="162" t="s">
        <v>28</v>
      </c>
      <c r="BT14" s="162" t="s">
        <v>602</v>
      </c>
      <c r="BU14" s="162" t="s">
        <v>28</v>
      </c>
      <c r="BV14" s="162" t="s">
        <v>602</v>
      </c>
      <c r="BW14" s="162" t="s">
        <v>28</v>
      </c>
      <c r="BX14" s="162" t="s">
        <v>28</v>
      </c>
      <c r="BY14" s="162" t="s">
        <v>602</v>
      </c>
      <c r="BZ14" s="162" t="s">
        <v>28</v>
      </c>
      <c r="CA14" s="162" t="s">
        <v>602</v>
      </c>
      <c r="CB14" s="162" t="s">
        <v>28</v>
      </c>
      <c r="CC14" s="162" t="s">
        <v>28</v>
      </c>
      <c r="CD14" s="162" t="s">
        <v>76</v>
      </c>
      <c r="CE14" s="162" t="s">
        <v>28</v>
      </c>
      <c r="CF14" s="162" t="s">
        <v>602</v>
      </c>
      <c r="CG14" s="43"/>
    </row>
    <row r="15" spans="1:85" ht="18" customHeight="1" thickBot="1">
      <c r="A15" s="30" t="s">
        <v>189</v>
      </c>
      <c r="B15" s="264" t="s">
        <v>603</v>
      </c>
      <c r="C15" s="264"/>
      <c r="D15" s="264"/>
      <c r="E15" s="264"/>
      <c r="F15" s="264"/>
      <c r="G15" s="264"/>
      <c r="H15" s="264"/>
      <c r="I15" s="264"/>
      <c r="J15" s="278">
        <f>AQ9+AQ10</f>
        <v>44</v>
      </c>
      <c r="K15" s="278"/>
      <c r="L15" s="278"/>
      <c r="M15" s="264" t="s">
        <v>176</v>
      </c>
      <c r="N15" s="264"/>
      <c r="O15" s="264" t="s">
        <v>604</v>
      </c>
      <c r="P15" s="264"/>
      <c r="Q15" s="264"/>
      <c r="R15" s="264"/>
      <c r="S15" s="264"/>
      <c r="T15" s="264"/>
      <c r="U15" s="264"/>
      <c r="V15" s="264"/>
      <c r="W15" s="278">
        <f>AQ11+AQ12</f>
        <v>37</v>
      </c>
      <c r="X15" s="278"/>
      <c r="Y15" s="278"/>
      <c r="Z15" s="264" t="s">
        <v>176</v>
      </c>
      <c r="AA15" s="264"/>
      <c r="AB15" s="503" t="s">
        <v>605</v>
      </c>
      <c r="AC15" s="503"/>
      <c r="AD15" s="503"/>
      <c r="AE15" s="503"/>
      <c r="AF15" s="503"/>
      <c r="AG15" s="503"/>
      <c r="AH15" s="281" t="s">
        <v>583</v>
      </c>
      <c r="AI15" s="282"/>
      <c r="AK15" s="425" t="s">
        <v>606</v>
      </c>
      <c r="AL15" s="425"/>
      <c r="AM15" s="425"/>
      <c r="AN15" s="425"/>
      <c r="AO15" s="425"/>
      <c r="AP15" s="425"/>
      <c r="AQ15" s="42"/>
      <c r="AR15" s="43"/>
      <c r="AS15" s="46">
        <v>6</v>
      </c>
      <c r="AT15" s="46"/>
      <c r="AU15" s="46"/>
      <c r="AV15" s="47" t="s">
        <v>607</v>
      </c>
      <c r="AW15" s="47" t="s">
        <v>596</v>
      </c>
      <c r="AX15" s="47">
        <v>0.33333333333333331</v>
      </c>
      <c r="AY15" s="47">
        <v>0.83333333333333337</v>
      </c>
      <c r="AZ15" s="43"/>
      <c r="BB15" s="121" t="s">
        <v>31</v>
      </c>
      <c r="BC15" s="163" t="s">
        <v>119</v>
      </c>
      <c r="BD15" s="164"/>
      <c r="BE15" s="165" t="s">
        <v>28</v>
      </c>
      <c r="BF15" s="165" t="s">
        <v>119</v>
      </c>
      <c r="BG15" s="164"/>
      <c r="BH15" s="164"/>
      <c r="BI15" s="164"/>
      <c r="BJ15" s="164"/>
      <c r="BK15" s="165" t="s">
        <v>119</v>
      </c>
      <c r="BL15" s="165" t="s">
        <v>602</v>
      </c>
      <c r="BM15" s="165" t="s">
        <v>119</v>
      </c>
      <c r="BN15" s="165" t="s">
        <v>602</v>
      </c>
      <c r="BO15" s="164"/>
      <c r="BP15" s="164"/>
      <c r="BQ15" s="165" t="s">
        <v>608</v>
      </c>
      <c r="BR15" s="165" t="s">
        <v>20</v>
      </c>
      <c r="BS15" s="165" t="s">
        <v>602</v>
      </c>
      <c r="BT15" s="165" t="s">
        <v>119</v>
      </c>
      <c r="BU15" s="165" t="s">
        <v>602</v>
      </c>
      <c r="BV15" s="164"/>
      <c r="BW15" s="164"/>
      <c r="BX15" s="165" t="s">
        <v>119</v>
      </c>
      <c r="BY15" s="165" t="s">
        <v>20</v>
      </c>
      <c r="BZ15" s="165" t="s">
        <v>602</v>
      </c>
      <c r="CA15" s="165" t="s">
        <v>20</v>
      </c>
      <c r="CB15" s="165" t="s">
        <v>602</v>
      </c>
      <c r="CC15" s="165" t="s">
        <v>602</v>
      </c>
      <c r="CD15" s="164"/>
      <c r="CE15" s="165" t="s">
        <v>119</v>
      </c>
      <c r="CF15" s="165" t="s">
        <v>20</v>
      </c>
      <c r="CG15" s="43"/>
    </row>
    <row r="16" spans="1:85" ht="18" customHeight="1">
      <c r="A16" s="504" t="s">
        <v>609</v>
      </c>
      <c r="B16" s="505"/>
      <c r="C16" s="505"/>
      <c r="D16" s="505"/>
      <c r="E16" s="505"/>
      <c r="F16" s="505"/>
      <c r="G16" s="505"/>
      <c r="H16" s="505"/>
      <c r="I16" s="505"/>
      <c r="J16" s="505"/>
      <c r="K16" s="505"/>
      <c r="L16" s="505"/>
      <c r="M16" s="505"/>
      <c r="N16" s="505"/>
      <c r="O16" s="505"/>
      <c r="P16" s="505"/>
      <c r="Q16" s="505"/>
      <c r="R16" s="505"/>
      <c r="S16" s="505"/>
      <c r="T16" s="505"/>
      <c r="U16" s="505"/>
      <c r="V16" s="505"/>
      <c r="W16" s="505"/>
      <c r="X16" s="505"/>
      <c r="Y16" s="505"/>
      <c r="Z16" s="505"/>
      <c r="AA16" s="505"/>
      <c r="AB16" s="505"/>
      <c r="AC16" s="505"/>
      <c r="AD16" s="505"/>
      <c r="AE16" s="505"/>
      <c r="AF16" s="505"/>
      <c r="AG16" s="505"/>
      <c r="AH16" s="505"/>
      <c r="AI16" s="506"/>
      <c r="AK16" s="425" t="s">
        <v>610</v>
      </c>
      <c r="AL16" s="425"/>
      <c r="AM16" s="425"/>
      <c r="AN16" s="425"/>
      <c r="AO16" s="425"/>
      <c r="AP16" s="425"/>
      <c r="AQ16" s="42"/>
      <c r="AR16" s="43"/>
      <c r="AS16" s="46">
        <v>7</v>
      </c>
      <c r="AT16" s="46"/>
      <c r="AU16" s="46" t="s">
        <v>71</v>
      </c>
      <c r="AV16" s="47" t="s">
        <v>611</v>
      </c>
      <c r="AW16" s="47" t="s">
        <v>612</v>
      </c>
      <c r="AX16" s="47">
        <v>0.83333333333333337</v>
      </c>
      <c r="AY16" s="47" t="s">
        <v>613</v>
      </c>
      <c r="AZ16" s="43"/>
      <c r="BB16" s="121" t="s">
        <v>614</v>
      </c>
      <c r="BC16" s="142" t="s">
        <v>20</v>
      </c>
      <c r="BD16" s="140" t="s">
        <v>67</v>
      </c>
      <c r="BE16" s="142" t="s">
        <v>42</v>
      </c>
      <c r="BF16" s="142" t="s">
        <v>20</v>
      </c>
      <c r="BG16" s="142" t="s">
        <v>42</v>
      </c>
      <c r="BH16" s="142" t="s">
        <v>61</v>
      </c>
      <c r="BI16" s="142" t="s">
        <v>67</v>
      </c>
      <c r="BJ16" s="142" t="s">
        <v>67</v>
      </c>
      <c r="BK16" s="142" t="s">
        <v>42</v>
      </c>
      <c r="BL16" s="142" t="s">
        <v>42</v>
      </c>
      <c r="BM16" s="142" t="s">
        <v>67</v>
      </c>
      <c r="BN16" s="142" t="s">
        <v>67</v>
      </c>
      <c r="BO16" s="142" t="s">
        <v>42</v>
      </c>
      <c r="BP16" s="142" t="s">
        <v>67</v>
      </c>
      <c r="BQ16" s="142" t="s">
        <v>20</v>
      </c>
      <c r="BR16" s="142" t="s">
        <v>71</v>
      </c>
      <c r="BS16" s="142" t="s">
        <v>67</v>
      </c>
      <c r="BT16" s="142" t="s">
        <v>67</v>
      </c>
      <c r="BU16" s="142" t="s">
        <v>61</v>
      </c>
      <c r="BV16" s="142" t="s">
        <v>42</v>
      </c>
      <c r="BW16" s="142" t="s">
        <v>49</v>
      </c>
      <c r="BX16" s="142" t="s">
        <v>20</v>
      </c>
      <c r="BY16" s="142" t="s">
        <v>71</v>
      </c>
      <c r="BZ16" s="142" t="s">
        <v>42</v>
      </c>
      <c r="CA16" s="142" t="s">
        <v>20</v>
      </c>
      <c r="CB16" s="142" t="s">
        <v>61</v>
      </c>
      <c r="CC16" s="142" t="s">
        <v>42</v>
      </c>
      <c r="CD16" s="142" t="s">
        <v>49</v>
      </c>
      <c r="CE16" s="142" t="s">
        <v>20</v>
      </c>
      <c r="CF16" s="143" t="s">
        <v>71</v>
      </c>
      <c r="CG16" s="43"/>
    </row>
    <row r="17" spans="1:85" ht="18" customHeight="1">
      <c r="A17" s="396" t="s">
        <v>615</v>
      </c>
      <c r="B17" s="397"/>
      <c r="C17" s="397"/>
      <c r="D17" s="397"/>
      <c r="E17" s="397"/>
      <c r="F17" s="398" t="s">
        <v>616</v>
      </c>
      <c r="G17" s="398"/>
      <c r="H17" s="398"/>
      <c r="I17" s="398"/>
      <c r="J17" s="398"/>
      <c r="K17" s="398"/>
      <c r="L17" s="398"/>
      <c r="M17" s="398"/>
      <c r="N17" s="398"/>
      <c r="O17" s="398"/>
      <c r="P17" s="398"/>
      <c r="Q17" s="398"/>
      <c r="R17" s="398"/>
      <c r="S17" s="398"/>
      <c r="T17" s="398"/>
      <c r="U17" s="398"/>
      <c r="V17" s="398"/>
      <c r="W17" s="398"/>
      <c r="X17" s="398"/>
      <c r="Y17" s="398"/>
      <c r="Z17" s="398"/>
      <c r="AA17" s="398"/>
      <c r="AB17" s="398"/>
      <c r="AC17" s="398"/>
      <c r="AD17" s="398"/>
      <c r="AE17" s="398"/>
      <c r="AF17" s="398"/>
      <c r="AG17" s="398"/>
      <c r="AH17" s="398"/>
      <c r="AI17" s="399"/>
      <c r="AK17" s="425" t="s">
        <v>617</v>
      </c>
      <c r="AL17" s="425"/>
      <c r="AM17" s="425"/>
      <c r="AN17" s="425"/>
      <c r="AO17" s="425"/>
      <c r="AP17" s="425"/>
      <c r="AQ17" s="42"/>
      <c r="AR17" s="43"/>
      <c r="AS17" s="46">
        <v>8</v>
      </c>
      <c r="AT17" s="46"/>
      <c r="AU17" s="46" t="s">
        <v>42</v>
      </c>
      <c r="AV17" s="47" t="s">
        <v>618</v>
      </c>
      <c r="AW17" s="47" t="s">
        <v>612</v>
      </c>
      <c r="AX17" s="47">
        <v>0.83333333333333337</v>
      </c>
      <c r="AY17" s="47" t="s">
        <v>613</v>
      </c>
      <c r="AZ17" s="43"/>
      <c r="BB17" s="121" t="s">
        <v>619</v>
      </c>
      <c r="BC17" s="141" t="s">
        <v>67</v>
      </c>
      <c r="BD17" s="140" t="s">
        <v>42</v>
      </c>
      <c r="BE17" s="141" t="s">
        <v>71</v>
      </c>
      <c r="BF17" s="140" t="s">
        <v>67</v>
      </c>
      <c r="BG17" s="140" t="s">
        <v>61</v>
      </c>
      <c r="BH17" s="140" t="s">
        <v>42</v>
      </c>
      <c r="BI17" s="140" t="s">
        <v>49</v>
      </c>
      <c r="BJ17" s="140" t="s">
        <v>61</v>
      </c>
      <c r="BK17" s="140" t="s">
        <v>71</v>
      </c>
      <c r="BL17" s="140" t="s">
        <v>67</v>
      </c>
      <c r="BM17" s="140" t="s">
        <v>49</v>
      </c>
      <c r="BN17" s="140" t="s">
        <v>49</v>
      </c>
      <c r="BO17" s="140" t="s">
        <v>61</v>
      </c>
      <c r="BP17" s="140" t="s">
        <v>49</v>
      </c>
      <c r="BQ17" s="140" t="s">
        <v>67</v>
      </c>
      <c r="BR17" s="140" t="s">
        <v>42</v>
      </c>
      <c r="BS17" s="140" t="s">
        <v>42</v>
      </c>
      <c r="BT17" s="140" t="s">
        <v>49</v>
      </c>
      <c r="BU17" s="140" t="s">
        <v>42</v>
      </c>
      <c r="BV17" s="140" t="s">
        <v>61</v>
      </c>
      <c r="BW17" s="140" t="s">
        <v>71</v>
      </c>
      <c r="BX17" s="140" t="s">
        <v>67</v>
      </c>
      <c r="BY17" s="140" t="s">
        <v>42</v>
      </c>
      <c r="BZ17" s="140" t="s">
        <v>67</v>
      </c>
      <c r="CA17" s="140" t="s">
        <v>67</v>
      </c>
      <c r="CB17" s="140" t="s">
        <v>49</v>
      </c>
      <c r="CC17" s="140" t="s">
        <v>61</v>
      </c>
      <c r="CD17" s="140" t="s">
        <v>71</v>
      </c>
      <c r="CE17" s="140" t="s">
        <v>67</v>
      </c>
      <c r="CF17" s="140" t="s">
        <v>42</v>
      </c>
      <c r="CG17" s="43"/>
    </row>
    <row r="18" spans="1:85" ht="18" customHeight="1">
      <c r="A18" s="501" t="s">
        <v>620</v>
      </c>
      <c r="B18" s="502"/>
      <c r="C18" s="502"/>
      <c r="D18" s="502"/>
      <c r="E18" s="502"/>
      <c r="F18" s="400" t="s">
        <v>616</v>
      </c>
      <c r="G18" s="400"/>
      <c r="H18" s="400"/>
      <c r="I18" s="400"/>
      <c r="J18" s="400"/>
      <c r="K18" s="400"/>
      <c r="L18" s="400"/>
      <c r="M18" s="400"/>
      <c r="N18" s="400"/>
      <c r="O18" s="400"/>
      <c r="P18" s="400"/>
      <c r="Q18" s="400"/>
      <c r="R18" s="400"/>
      <c r="S18" s="400"/>
      <c r="T18" s="400"/>
      <c r="U18" s="400"/>
      <c r="V18" s="400"/>
      <c r="W18" s="400"/>
      <c r="X18" s="400"/>
      <c r="Y18" s="400"/>
      <c r="Z18" s="400"/>
      <c r="AA18" s="400"/>
      <c r="AB18" s="400"/>
      <c r="AC18" s="400"/>
      <c r="AD18" s="400"/>
      <c r="AE18" s="400"/>
      <c r="AF18" s="400"/>
      <c r="AG18" s="400"/>
      <c r="AH18" s="400"/>
      <c r="AI18" s="401"/>
      <c r="AK18" s="425" t="s">
        <v>621</v>
      </c>
      <c r="AL18" s="425"/>
      <c r="AM18" s="425"/>
      <c r="AN18" s="425"/>
      <c r="AO18" s="425"/>
      <c r="AP18" s="425"/>
      <c r="AQ18" s="42"/>
      <c r="AR18" s="43"/>
      <c r="AS18" s="46">
        <v>9</v>
      </c>
      <c r="AT18" s="46"/>
      <c r="AU18" s="46"/>
      <c r="AV18" s="47" t="s">
        <v>622</v>
      </c>
      <c r="AW18" s="47" t="s">
        <v>612</v>
      </c>
      <c r="AX18" s="47">
        <v>0.83333333333333337</v>
      </c>
      <c r="AY18" s="47" t="s">
        <v>613</v>
      </c>
      <c r="AZ18" s="43"/>
    </row>
    <row r="19" spans="1:85" ht="18" customHeight="1" thickBot="1">
      <c r="A19" s="35" t="s">
        <v>189</v>
      </c>
      <c r="B19" s="405">
        <v>0.39583333333333331</v>
      </c>
      <c r="C19" s="405"/>
      <c r="D19" s="405"/>
      <c r="E19" s="405"/>
      <c r="F19" s="402" t="s">
        <v>1041</v>
      </c>
      <c r="G19" s="402"/>
      <c r="H19" s="402"/>
      <c r="I19" s="402"/>
      <c r="J19" s="402"/>
      <c r="K19" s="402"/>
      <c r="L19" s="402"/>
      <c r="M19" s="402"/>
      <c r="N19" s="402"/>
      <c r="O19" s="402"/>
      <c r="P19" s="402"/>
      <c r="Q19" s="402"/>
      <c r="R19" s="402"/>
      <c r="S19" s="402"/>
      <c r="T19" s="402"/>
      <c r="U19" s="402"/>
      <c r="V19" s="402"/>
      <c r="W19" s="402"/>
      <c r="X19" s="402"/>
      <c r="Y19" s="402"/>
      <c r="Z19" s="402"/>
      <c r="AA19" s="402"/>
      <c r="AB19" s="402"/>
      <c r="AC19" s="402"/>
      <c r="AD19" s="402"/>
      <c r="AE19" s="402"/>
      <c r="AF19" s="402"/>
      <c r="AG19" s="402"/>
      <c r="AH19" s="402"/>
      <c r="AI19" s="403"/>
      <c r="AK19" s="524" t="s">
        <v>623</v>
      </c>
      <c r="AL19" s="524"/>
      <c r="AM19" s="524"/>
      <c r="AN19" s="524"/>
      <c r="AO19" s="524"/>
      <c r="AP19" s="524"/>
      <c r="AQ19" s="58"/>
      <c r="AR19" s="43"/>
      <c r="AS19" s="46">
        <v>10</v>
      </c>
      <c r="AT19" s="46"/>
      <c r="AU19" s="46"/>
      <c r="AV19" s="47" t="s">
        <v>111</v>
      </c>
      <c r="AW19" s="47" t="s">
        <v>612</v>
      </c>
      <c r="AX19" s="47">
        <v>0.83333333333333337</v>
      </c>
      <c r="AY19" s="47" t="s">
        <v>613</v>
      </c>
      <c r="AZ19" s="43"/>
    </row>
    <row r="20" spans="1:85" ht="18" customHeight="1">
      <c r="A20" s="36"/>
      <c r="B20" s="404">
        <v>0.41666666666666669</v>
      </c>
      <c r="C20" s="404"/>
      <c r="D20" s="404"/>
      <c r="E20" s="404"/>
      <c r="F20" s="288" t="s">
        <v>1042</v>
      </c>
      <c r="G20" s="288"/>
      <c r="H20" s="288"/>
      <c r="I20" s="288"/>
      <c r="J20" s="288"/>
      <c r="K20" s="288"/>
      <c r="L20" s="288"/>
      <c r="M20" s="288"/>
      <c r="N20" s="288"/>
      <c r="O20" s="288"/>
      <c r="P20" s="288"/>
      <c r="Q20" s="288"/>
      <c r="R20" s="288"/>
      <c r="S20" s="288"/>
      <c r="T20" s="288"/>
      <c r="U20" s="288"/>
      <c r="V20" s="288"/>
      <c r="W20" s="288"/>
      <c r="X20" s="288"/>
      <c r="Y20" s="288"/>
      <c r="Z20" s="288"/>
      <c r="AA20" s="288"/>
      <c r="AB20" s="288"/>
      <c r="AC20" s="288"/>
      <c r="AD20" s="288"/>
      <c r="AE20" s="288"/>
      <c r="AF20" s="288"/>
      <c r="AG20" s="288"/>
      <c r="AH20" s="288"/>
      <c r="AI20" s="289"/>
      <c r="AK20" s="447" t="s">
        <v>624</v>
      </c>
      <c r="AL20" s="448"/>
      <c r="AM20" s="448"/>
      <c r="AN20" s="448"/>
      <c r="AO20" s="448"/>
      <c r="AP20" s="448"/>
      <c r="AQ20" s="62"/>
      <c r="AR20" s="426" t="s">
        <v>625</v>
      </c>
      <c r="AS20" s="146">
        <v>11</v>
      </c>
      <c r="AT20" s="46"/>
      <c r="AU20" s="46"/>
      <c r="AV20" s="47" t="s">
        <v>111</v>
      </c>
      <c r="AW20" s="47" t="s">
        <v>612</v>
      </c>
      <c r="AX20" s="47">
        <v>0.83333333333333337</v>
      </c>
      <c r="AY20" s="47" t="s">
        <v>613</v>
      </c>
      <c r="AZ20" s="43"/>
    </row>
    <row r="21" spans="1:85" ht="18" customHeight="1" thickBot="1">
      <c r="A21" s="36" t="s">
        <v>189</v>
      </c>
      <c r="B21" s="404">
        <v>0.47916666666666669</v>
      </c>
      <c r="C21" s="404"/>
      <c r="D21" s="404"/>
      <c r="E21" s="404"/>
      <c r="F21" s="288" t="s">
        <v>1043</v>
      </c>
      <c r="G21" s="288"/>
      <c r="H21" s="288"/>
      <c r="I21" s="288"/>
      <c r="J21" s="288"/>
      <c r="K21" s="288"/>
      <c r="L21" s="288"/>
      <c r="M21" s="288"/>
      <c r="N21" s="288"/>
      <c r="O21" s="288"/>
      <c r="P21" s="288"/>
      <c r="Q21" s="288"/>
      <c r="R21" s="288"/>
      <c r="S21" s="288"/>
      <c r="T21" s="288"/>
      <c r="U21" s="288"/>
      <c r="V21" s="288"/>
      <c r="W21" s="288"/>
      <c r="X21" s="288"/>
      <c r="Y21" s="288"/>
      <c r="Z21" s="288"/>
      <c r="AA21" s="288"/>
      <c r="AB21" s="288"/>
      <c r="AC21" s="288"/>
      <c r="AD21" s="288"/>
      <c r="AE21" s="288"/>
      <c r="AF21" s="288"/>
      <c r="AG21" s="288"/>
      <c r="AH21" s="288"/>
      <c r="AI21" s="289"/>
      <c r="AK21" s="429" t="s">
        <v>626</v>
      </c>
      <c r="AL21" s="430"/>
      <c r="AM21" s="430"/>
      <c r="AN21" s="430"/>
      <c r="AO21" s="430"/>
      <c r="AP21" s="430"/>
      <c r="AQ21" s="63"/>
      <c r="AR21" s="427"/>
      <c r="AW21" s="43"/>
      <c r="AX21" s="43"/>
      <c r="AY21" s="43"/>
      <c r="AZ21" s="43"/>
    </row>
    <row r="22" spans="1:85" ht="18" customHeight="1">
      <c r="A22" s="36"/>
      <c r="B22" s="404"/>
      <c r="C22" s="404"/>
      <c r="D22" s="404"/>
      <c r="E22" s="404"/>
      <c r="F22" s="288" t="s">
        <v>1044</v>
      </c>
      <c r="G22" s="288"/>
      <c r="H22" s="288"/>
      <c r="I22" s="288"/>
      <c r="J22" s="288"/>
      <c r="K22" s="288"/>
      <c r="L22" s="288"/>
      <c r="M22" s="288"/>
      <c r="N22" s="288"/>
      <c r="O22" s="288"/>
      <c r="P22" s="288"/>
      <c r="Q22" s="288"/>
      <c r="R22" s="288"/>
      <c r="S22" s="288"/>
      <c r="T22" s="288"/>
      <c r="U22" s="288"/>
      <c r="V22" s="288"/>
      <c r="W22" s="288"/>
      <c r="X22" s="288"/>
      <c r="Y22" s="288"/>
      <c r="Z22" s="288"/>
      <c r="AA22" s="288"/>
      <c r="AB22" s="288"/>
      <c r="AC22" s="288"/>
      <c r="AD22" s="288"/>
      <c r="AE22" s="288"/>
      <c r="AF22" s="288"/>
      <c r="AG22" s="288"/>
      <c r="AH22" s="288"/>
      <c r="AI22" s="289"/>
      <c r="AK22" s="429" t="s">
        <v>627</v>
      </c>
      <c r="AL22" s="430"/>
      <c r="AM22" s="430"/>
      <c r="AN22" s="430"/>
      <c r="AO22" s="430"/>
      <c r="AP22" s="430"/>
      <c r="AQ22" s="63"/>
      <c r="AR22" s="427"/>
      <c r="AS22" s="433" t="s">
        <v>628</v>
      </c>
      <c r="AT22" s="434"/>
      <c r="AU22" s="435"/>
      <c r="AV22" s="435"/>
      <c r="AW22" s="60" t="s">
        <v>74</v>
      </c>
      <c r="AY22" s="413" t="s">
        <v>629</v>
      </c>
      <c r="AZ22" s="413"/>
      <c r="BA22" s="412"/>
      <c r="BB22" s="412"/>
    </row>
    <row r="23" spans="1:85" ht="18" customHeight="1" thickBot="1">
      <c r="A23" s="36"/>
      <c r="B23" s="404"/>
      <c r="C23" s="404"/>
      <c r="D23" s="404"/>
      <c r="E23" s="404"/>
      <c r="F23" s="288" t="s">
        <v>1045</v>
      </c>
      <c r="G23" s="288"/>
      <c r="H23" s="288"/>
      <c r="I23" s="288"/>
      <c r="J23" s="288"/>
      <c r="K23" s="288"/>
      <c r="L23" s="288"/>
      <c r="M23" s="288"/>
      <c r="N23" s="288"/>
      <c r="O23" s="288"/>
      <c r="P23" s="288"/>
      <c r="Q23" s="288"/>
      <c r="R23" s="288"/>
      <c r="S23" s="288"/>
      <c r="T23" s="288"/>
      <c r="U23" s="288"/>
      <c r="V23" s="288"/>
      <c r="W23" s="288"/>
      <c r="X23" s="288"/>
      <c r="Y23" s="288"/>
      <c r="Z23" s="288"/>
      <c r="AA23" s="288"/>
      <c r="AB23" s="288"/>
      <c r="AC23" s="288"/>
      <c r="AD23" s="288"/>
      <c r="AE23" s="288"/>
      <c r="AF23" s="288"/>
      <c r="AG23" s="288"/>
      <c r="AH23" s="288"/>
      <c r="AI23" s="289"/>
      <c r="AK23" s="431" t="s">
        <v>630</v>
      </c>
      <c r="AL23" s="432"/>
      <c r="AM23" s="432"/>
      <c r="AN23" s="432"/>
      <c r="AO23" s="432"/>
      <c r="AP23" s="432"/>
      <c r="AQ23" s="64"/>
      <c r="AR23" s="428"/>
      <c r="AS23" s="536" t="s">
        <v>631</v>
      </c>
      <c r="AT23" s="246"/>
      <c r="AU23" s="537"/>
      <c r="AV23" s="537"/>
      <c r="AW23" s="56" t="s">
        <v>632</v>
      </c>
      <c r="AY23" s="413" t="s">
        <v>633</v>
      </c>
      <c r="AZ23" s="413"/>
      <c r="BA23" s="412"/>
      <c r="BB23" s="412"/>
    </row>
    <row r="24" spans="1:85" ht="18" customHeight="1" thickBot="1">
      <c r="A24" s="36"/>
      <c r="B24" s="404"/>
      <c r="C24" s="404"/>
      <c r="D24" s="404"/>
      <c r="E24" s="404"/>
      <c r="F24" s="288" t="s">
        <v>1046</v>
      </c>
      <c r="G24" s="288"/>
      <c r="H24" s="288"/>
      <c r="I24" s="288"/>
      <c r="J24" s="288"/>
      <c r="K24" s="288"/>
      <c r="L24" s="288"/>
      <c r="M24" s="288"/>
      <c r="N24" s="288"/>
      <c r="O24" s="288"/>
      <c r="P24" s="288"/>
      <c r="Q24" s="288"/>
      <c r="R24" s="288"/>
      <c r="S24" s="288"/>
      <c r="T24" s="288"/>
      <c r="U24" s="288"/>
      <c r="V24" s="288"/>
      <c r="W24" s="288"/>
      <c r="X24" s="288"/>
      <c r="Y24" s="288"/>
      <c r="Z24" s="288"/>
      <c r="AA24" s="288"/>
      <c r="AB24" s="288"/>
      <c r="AC24" s="288"/>
      <c r="AD24" s="288"/>
      <c r="AE24" s="288"/>
      <c r="AF24" s="288"/>
      <c r="AG24" s="288"/>
      <c r="AH24" s="288"/>
      <c r="AI24" s="289"/>
      <c r="AK24" s="527" t="s">
        <v>634</v>
      </c>
      <c r="AL24" s="528"/>
      <c r="AM24" s="528"/>
      <c r="AN24" s="528"/>
      <c r="AO24" s="528"/>
      <c r="AP24" s="528"/>
      <c r="AQ24" s="65"/>
      <c r="AR24" s="43"/>
      <c r="AY24" s="413" t="s">
        <v>635</v>
      </c>
      <c r="AZ24" s="413"/>
      <c r="BA24" s="412"/>
      <c r="BB24" s="412"/>
    </row>
    <row r="25" spans="1:85" ht="18" customHeight="1">
      <c r="A25" s="36"/>
      <c r="B25" s="404"/>
      <c r="C25" s="404"/>
      <c r="D25" s="404"/>
      <c r="E25" s="404"/>
      <c r="F25" s="288" t="s">
        <v>1047</v>
      </c>
      <c r="G25" s="288"/>
      <c r="H25" s="288"/>
      <c r="I25" s="288"/>
      <c r="J25" s="288"/>
      <c r="K25" s="288"/>
      <c r="L25" s="288"/>
      <c r="M25" s="288"/>
      <c r="N25" s="288"/>
      <c r="O25" s="288"/>
      <c r="P25" s="288"/>
      <c r="Q25" s="288"/>
      <c r="R25" s="288"/>
      <c r="S25" s="288"/>
      <c r="T25" s="288"/>
      <c r="U25" s="288"/>
      <c r="V25" s="288"/>
      <c r="W25" s="288"/>
      <c r="X25" s="288"/>
      <c r="Y25" s="288"/>
      <c r="Z25" s="288"/>
      <c r="AA25" s="288"/>
      <c r="AB25" s="288"/>
      <c r="AC25" s="288"/>
      <c r="AD25" s="288"/>
      <c r="AE25" s="288"/>
      <c r="AF25" s="288"/>
      <c r="AG25" s="288"/>
      <c r="AH25" s="288"/>
      <c r="AI25" s="289"/>
      <c r="AK25" s="529" t="s">
        <v>636</v>
      </c>
      <c r="AL25" s="529"/>
      <c r="AM25" s="529"/>
      <c r="AN25" s="529"/>
      <c r="AO25" s="529"/>
      <c r="AP25" s="529"/>
      <c r="AQ25" s="66"/>
      <c r="AR25" s="43"/>
      <c r="AY25" s="413" t="s">
        <v>637</v>
      </c>
      <c r="AZ25" s="413"/>
      <c r="BA25" s="412"/>
      <c r="BB25" s="412"/>
    </row>
    <row r="26" spans="1:85" ht="18" customHeight="1">
      <c r="A26" s="36" t="s">
        <v>189</v>
      </c>
      <c r="B26" s="404">
        <v>0.56597222222222221</v>
      </c>
      <c r="C26" s="404"/>
      <c r="D26" s="404"/>
      <c r="E26" s="404"/>
      <c r="F26" s="288" t="s">
        <v>817</v>
      </c>
      <c r="G26" s="288"/>
      <c r="H26" s="288"/>
      <c r="I26" s="288"/>
      <c r="J26" s="288"/>
      <c r="K26" s="288"/>
      <c r="L26" s="288"/>
      <c r="M26" s="288"/>
      <c r="N26" s="288"/>
      <c r="O26" s="288"/>
      <c r="P26" s="288"/>
      <c r="Q26" s="288"/>
      <c r="R26" s="288"/>
      <c r="S26" s="288"/>
      <c r="T26" s="288"/>
      <c r="U26" s="288"/>
      <c r="V26" s="288"/>
      <c r="W26" s="288"/>
      <c r="X26" s="288"/>
      <c r="Y26" s="288"/>
      <c r="Z26" s="288"/>
      <c r="AA26" s="288"/>
      <c r="AB26" s="288"/>
      <c r="AC26" s="288"/>
      <c r="AD26" s="288"/>
      <c r="AE26" s="288"/>
      <c r="AF26" s="288"/>
      <c r="AG26" s="288"/>
      <c r="AH26" s="288"/>
      <c r="AI26" s="289"/>
      <c r="AK26" s="436" t="s">
        <v>638</v>
      </c>
      <c r="AL26" s="436"/>
      <c r="AM26" s="436"/>
      <c r="AN26" s="436"/>
      <c r="AO26" s="436"/>
      <c r="AP26" s="436"/>
      <c r="AQ26" s="67"/>
      <c r="AR26" s="43"/>
      <c r="AS26" s="548" t="s">
        <v>639</v>
      </c>
      <c r="AT26" s="549"/>
      <c r="AU26" s="549"/>
      <c r="AV26" s="549"/>
      <c r="AW26" s="550"/>
      <c r="AY26" s="147"/>
      <c r="AZ26" s="147"/>
      <c r="BA26" s="147"/>
      <c r="BB26" s="147"/>
    </row>
    <row r="27" spans="1:85" ht="18" customHeight="1">
      <c r="A27" s="167" t="s">
        <v>189</v>
      </c>
      <c r="B27" s="404">
        <v>0.88958333333333328</v>
      </c>
      <c r="C27" s="404"/>
      <c r="D27" s="404"/>
      <c r="E27" s="404"/>
      <c r="F27" s="288" t="s">
        <v>1048</v>
      </c>
      <c r="G27" s="288"/>
      <c r="H27" s="288"/>
      <c r="I27" s="288"/>
      <c r="J27" s="288"/>
      <c r="K27" s="288"/>
      <c r="L27" s="288"/>
      <c r="M27" s="288"/>
      <c r="N27" s="288"/>
      <c r="O27" s="288"/>
      <c r="P27" s="288"/>
      <c r="Q27" s="288"/>
      <c r="R27" s="288"/>
      <c r="S27" s="288"/>
      <c r="T27" s="288"/>
      <c r="U27" s="288"/>
      <c r="V27" s="288"/>
      <c r="W27" s="288"/>
      <c r="X27" s="288"/>
      <c r="Y27" s="288"/>
      <c r="Z27" s="288"/>
      <c r="AA27" s="288"/>
      <c r="AB27" s="288"/>
      <c r="AC27" s="288"/>
      <c r="AD27" s="288"/>
      <c r="AE27" s="288"/>
      <c r="AF27" s="288"/>
      <c r="AG27" s="288"/>
      <c r="AH27" s="288"/>
      <c r="AI27" s="289"/>
      <c r="AK27" s="436" t="s">
        <v>640</v>
      </c>
      <c r="AL27" s="436"/>
      <c r="AM27" s="436"/>
      <c r="AN27" s="436"/>
      <c r="AO27" s="436"/>
      <c r="AP27" s="436"/>
      <c r="AQ27" s="67">
        <v>1</v>
      </c>
      <c r="AR27" s="43"/>
      <c r="AS27" s="458" t="s">
        <v>641</v>
      </c>
      <c r="AT27" s="460"/>
      <c r="AU27" s="458" t="s">
        <v>642</v>
      </c>
      <c r="AV27" s="459"/>
      <c r="AW27" s="460"/>
      <c r="AY27" s="411" t="s">
        <v>643</v>
      </c>
      <c r="AZ27" s="411"/>
      <c r="BA27" s="411"/>
      <c r="BB27" s="411"/>
    </row>
    <row r="28" spans="1:85" ht="18" customHeight="1" thickBot="1">
      <c r="A28" s="36" t="s">
        <v>189</v>
      </c>
      <c r="B28" s="404">
        <v>5.0694444444444445E-2</v>
      </c>
      <c r="C28" s="404"/>
      <c r="D28" s="404"/>
      <c r="E28" s="404"/>
      <c r="F28" s="288" t="s">
        <v>1049</v>
      </c>
      <c r="G28" s="288"/>
      <c r="H28" s="288"/>
      <c r="I28" s="288"/>
      <c r="J28" s="288"/>
      <c r="K28" s="288"/>
      <c r="L28" s="288"/>
      <c r="M28" s="288"/>
      <c r="N28" s="288"/>
      <c r="O28" s="288"/>
      <c r="P28" s="288"/>
      <c r="Q28" s="288"/>
      <c r="R28" s="288"/>
      <c r="S28" s="288"/>
      <c r="T28" s="288"/>
      <c r="U28" s="288"/>
      <c r="V28" s="288"/>
      <c r="W28" s="288"/>
      <c r="X28" s="288"/>
      <c r="Y28" s="288"/>
      <c r="Z28" s="288"/>
      <c r="AA28" s="288"/>
      <c r="AB28" s="288"/>
      <c r="AC28" s="288"/>
      <c r="AD28" s="288"/>
      <c r="AE28" s="288"/>
      <c r="AF28" s="288"/>
      <c r="AG28" s="288"/>
      <c r="AH28" s="288"/>
      <c r="AI28" s="289"/>
      <c r="AK28" s="436" t="s">
        <v>644</v>
      </c>
      <c r="AL28" s="436"/>
      <c r="AM28" s="436"/>
      <c r="AN28" s="436"/>
      <c r="AO28" s="436"/>
      <c r="AP28" s="436"/>
      <c r="AQ28" s="67"/>
      <c r="AR28" s="43"/>
      <c r="AS28" s="538" t="s">
        <v>645</v>
      </c>
      <c r="AT28" s="539"/>
      <c r="AU28" s="533" t="s">
        <v>646</v>
      </c>
      <c r="AV28" s="534"/>
      <c r="AW28" s="535"/>
      <c r="AY28" s="413" t="s">
        <v>647</v>
      </c>
      <c r="AZ28" s="413"/>
      <c r="BA28" s="412"/>
      <c r="BB28" s="412"/>
    </row>
    <row r="29" spans="1:85" ht="18" customHeight="1" thickBot="1">
      <c r="A29" s="36"/>
      <c r="B29" s="404"/>
      <c r="C29" s="404"/>
      <c r="D29" s="404"/>
      <c r="E29" s="404"/>
      <c r="F29" s="288" t="s">
        <v>1050</v>
      </c>
      <c r="G29" s="288"/>
      <c r="H29" s="288"/>
      <c r="I29" s="288"/>
      <c r="J29" s="288"/>
      <c r="K29" s="288"/>
      <c r="L29" s="288"/>
      <c r="M29" s="288"/>
      <c r="N29" s="288"/>
      <c r="O29" s="288"/>
      <c r="P29" s="288"/>
      <c r="Q29" s="288"/>
      <c r="R29" s="288"/>
      <c r="S29" s="288"/>
      <c r="T29" s="288"/>
      <c r="U29" s="288"/>
      <c r="V29" s="288"/>
      <c r="W29" s="288"/>
      <c r="X29" s="288"/>
      <c r="Y29" s="288"/>
      <c r="Z29" s="288"/>
      <c r="AA29" s="288"/>
      <c r="AB29" s="288"/>
      <c r="AC29" s="288"/>
      <c r="AD29" s="288"/>
      <c r="AE29" s="288"/>
      <c r="AF29" s="288"/>
      <c r="AG29" s="288"/>
      <c r="AH29" s="288"/>
      <c r="AI29" s="289"/>
      <c r="AK29" s="524"/>
      <c r="AL29" s="524"/>
      <c r="AM29" s="524"/>
      <c r="AN29" s="524"/>
      <c r="AO29" s="524"/>
      <c r="AP29" s="524"/>
      <c r="AQ29" s="58"/>
      <c r="AR29" s="43"/>
      <c r="AS29" s="551">
        <v>0.28472222222222221</v>
      </c>
      <c r="AT29" s="552"/>
      <c r="AU29" s="434" t="s">
        <v>646</v>
      </c>
      <c r="AV29" s="434"/>
      <c r="AW29" s="553"/>
      <c r="AY29" s="413" t="s">
        <v>633</v>
      </c>
      <c r="AZ29" s="413"/>
      <c r="BA29" s="412"/>
      <c r="BB29" s="412"/>
    </row>
    <row r="30" spans="1:85" ht="18" customHeight="1">
      <c r="A30" s="36" t="s">
        <v>189</v>
      </c>
      <c r="B30" s="404">
        <v>0.29652777777777778</v>
      </c>
      <c r="C30" s="404"/>
      <c r="D30" s="404"/>
      <c r="E30" s="404"/>
      <c r="F30" s="288" t="s">
        <v>689</v>
      </c>
      <c r="G30" s="288"/>
      <c r="H30" s="288"/>
      <c r="I30" s="288"/>
      <c r="J30" s="288"/>
      <c r="K30" s="288"/>
      <c r="L30" s="288"/>
      <c r="M30" s="288"/>
      <c r="N30" s="288"/>
      <c r="O30" s="288"/>
      <c r="P30" s="288"/>
      <c r="Q30" s="288"/>
      <c r="R30" s="288"/>
      <c r="S30" s="288"/>
      <c r="T30" s="288"/>
      <c r="U30" s="288"/>
      <c r="V30" s="288"/>
      <c r="W30" s="288"/>
      <c r="X30" s="288"/>
      <c r="Y30" s="288"/>
      <c r="Z30" s="288"/>
      <c r="AA30" s="288"/>
      <c r="AB30" s="288"/>
      <c r="AC30" s="288"/>
      <c r="AD30" s="288"/>
      <c r="AE30" s="288"/>
      <c r="AF30" s="288"/>
      <c r="AG30" s="288"/>
      <c r="AH30" s="288"/>
      <c r="AI30" s="289"/>
      <c r="AK30" s="449" t="s">
        <v>648</v>
      </c>
      <c r="AL30" s="450"/>
      <c r="AM30" s="450"/>
      <c r="AN30" s="450"/>
      <c r="AO30" s="450"/>
      <c r="AP30" s="450"/>
      <c r="AQ30" s="62"/>
      <c r="AR30" s="43"/>
      <c r="AS30" s="554"/>
      <c r="AT30" s="532"/>
      <c r="AU30" s="439"/>
      <c r="AV30" s="439"/>
      <c r="AW30" s="555"/>
      <c r="AY30" s="413" t="s">
        <v>649</v>
      </c>
      <c r="AZ30" s="413"/>
      <c r="BA30" s="412"/>
      <c r="BB30" s="412"/>
    </row>
    <row r="31" spans="1:85" ht="18" customHeight="1" thickBot="1">
      <c r="A31" s="37"/>
      <c r="B31" s="466"/>
      <c r="C31" s="466"/>
      <c r="D31" s="466"/>
      <c r="E31" s="466"/>
      <c r="F31" s="467"/>
      <c r="G31" s="467"/>
      <c r="H31" s="467"/>
      <c r="I31" s="467"/>
      <c r="J31" s="467"/>
      <c r="K31" s="467"/>
      <c r="L31" s="467"/>
      <c r="M31" s="467"/>
      <c r="N31" s="467"/>
      <c r="O31" s="467"/>
      <c r="P31" s="467"/>
      <c r="Q31" s="467"/>
      <c r="R31" s="467"/>
      <c r="S31" s="467"/>
      <c r="T31" s="467"/>
      <c r="U31" s="467"/>
      <c r="V31" s="467"/>
      <c r="W31" s="467"/>
      <c r="X31" s="467"/>
      <c r="Y31" s="467"/>
      <c r="Z31" s="467"/>
      <c r="AA31" s="467"/>
      <c r="AB31" s="467"/>
      <c r="AC31" s="467"/>
      <c r="AD31" s="467"/>
      <c r="AE31" s="467"/>
      <c r="AF31" s="467"/>
      <c r="AG31" s="467"/>
      <c r="AH31" s="467"/>
      <c r="AI31" s="468"/>
      <c r="AK31" s="451" t="s">
        <v>650</v>
      </c>
      <c r="AL31" s="416"/>
      <c r="AM31" s="416"/>
      <c r="AN31" s="416"/>
      <c r="AO31" s="416"/>
      <c r="AP31" s="416"/>
      <c r="AQ31" s="64">
        <v>1</v>
      </c>
      <c r="AR31" s="48"/>
      <c r="AS31" s="556"/>
      <c r="AT31" s="557"/>
      <c r="AU31" s="424"/>
      <c r="AV31" s="424"/>
      <c r="AW31" s="491"/>
      <c r="AY31" s="413" t="s">
        <v>637</v>
      </c>
      <c r="AZ31" s="413"/>
      <c r="BA31" s="412"/>
      <c r="BB31" s="412"/>
    </row>
    <row r="32" spans="1:85" ht="18" customHeight="1" thickBot="1">
      <c r="A32" s="406" t="s">
        <v>651</v>
      </c>
      <c r="B32" s="407"/>
      <c r="C32" s="407"/>
      <c r="D32" s="407"/>
      <c r="E32" s="407"/>
      <c r="F32" s="407"/>
      <c r="G32" s="407"/>
      <c r="H32" s="407"/>
      <c r="I32" s="407"/>
      <c r="J32" s="407"/>
      <c r="K32" s="407"/>
      <c r="L32" s="407"/>
      <c r="M32" s="407"/>
      <c r="N32" s="407"/>
      <c r="O32" s="407"/>
      <c r="P32" s="407"/>
      <c r="Q32" s="407"/>
      <c r="R32" s="407"/>
      <c r="S32" s="407"/>
      <c r="T32" s="407"/>
      <c r="U32" s="407"/>
      <c r="V32" s="407"/>
      <c r="W32" s="407"/>
      <c r="X32" s="407"/>
      <c r="Y32" s="407"/>
      <c r="Z32" s="407"/>
      <c r="AA32" s="407"/>
      <c r="AB32" s="407"/>
      <c r="AC32" s="407"/>
      <c r="AD32" s="407"/>
      <c r="AE32" s="407"/>
      <c r="AF32" s="407"/>
      <c r="AG32" s="407"/>
      <c r="AH32" s="407"/>
      <c r="AI32" s="408"/>
      <c r="AK32" s="531"/>
      <c r="AL32" s="531"/>
      <c r="AM32" s="531"/>
      <c r="AN32" s="531"/>
      <c r="AO32" s="531"/>
      <c r="AP32" s="531"/>
      <c r="AQ32" s="61"/>
      <c r="AR32" s="48"/>
      <c r="AS32" s="558"/>
      <c r="AT32" s="558"/>
      <c r="AU32" s="559"/>
      <c r="AV32" s="559"/>
      <c r="AW32" s="559"/>
      <c r="AY32" s="413" t="s">
        <v>652</v>
      </c>
      <c r="AZ32" s="413"/>
      <c r="BA32" s="412"/>
      <c r="BB32" s="412"/>
    </row>
    <row r="33" spans="1:80" ht="18" customHeight="1">
      <c r="A33" s="39"/>
      <c r="B33" s="546" t="s">
        <v>653</v>
      </c>
      <c r="C33" s="546"/>
      <c r="D33" s="546"/>
      <c r="E33" s="546"/>
      <c r="F33" s="417" t="str" cm="1">
        <f t="array" ref="F33">_xlfn.TEXTJOIN("/",TRUE,IF(AS29:AS31&lt;&gt;"",TEXT(AS29:AS31,"h:mm")&amp;" "&amp;AU29:AU31,""))</f>
        <v>6:50 45階屋外ストレージ1</v>
      </c>
      <c r="G33" s="418"/>
      <c r="H33" s="418"/>
      <c r="I33" s="418"/>
      <c r="J33" s="418"/>
      <c r="K33" s="418"/>
      <c r="L33" s="418"/>
      <c r="M33" s="418"/>
      <c r="N33" s="418"/>
      <c r="O33" s="418"/>
      <c r="P33" s="418"/>
      <c r="Q33" s="418"/>
      <c r="R33" s="418"/>
      <c r="S33" s="418"/>
      <c r="T33" s="418"/>
      <c r="U33" s="418"/>
      <c r="V33" s="418"/>
      <c r="W33" s="418"/>
      <c r="X33" s="418"/>
      <c r="Y33" s="418"/>
      <c r="Z33" s="418"/>
      <c r="AA33" s="418"/>
      <c r="AB33" s="418"/>
      <c r="AC33" s="418"/>
      <c r="AD33" s="418"/>
      <c r="AE33" s="418"/>
      <c r="AF33" s="418"/>
      <c r="AG33" s="418"/>
      <c r="AH33" s="418"/>
      <c r="AI33" s="419"/>
      <c r="AK33" s="449" t="s">
        <v>654</v>
      </c>
      <c r="AL33" s="450"/>
      <c r="AM33" s="450"/>
      <c r="AN33" s="450"/>
      <c r="AO33" s="450"/>
      <c r="AP33" s="450"/>
      <c r="AQ33" s="60"/>
      <c r="AR33" s="48"/>
      <c r="AS33" s="532"/>
      <c r="AT33" s="532"/>
      <c r="AU33" s="439"/>
      <c r="AV33" s="439"/>
      <c r="AW33" s="439"/>
      <c r="AY33" s="413" t="s">
        <v>655</v>
      </c>
      <c r="AZ33" s="413"/>
      <c r="BA33" s="412"/>
      <c r="BB33" s="412"/>
    </row>
    <row r="34" spans="1:80" ht="18" customHeight="1" thickBot="1">
      <c r="A34" s="39"/>
      <c r="B34" s="546" t="s">
        <v>656</v>
      </c>
      <c r="C34" s="546"/>
      <c r="D34" s="546"/>
      <c r="E34" s="546"/>
      <c r="F34" s="420" t="s">
        <v>1051</v>
      </c>
      <c r="G34" s="420"/>
      <c r="H34" s="420"/>
      <c r="I34" s="420"/>
      <c r="J34" s="420"/>
      <c r="K34" s="420"/>
      <c r="L34" s="420"/>
      <c r="M34" s="420"/>
      <c r="N34" s="420"/>
      <c r="O34" s="420"/>
      <c r="P34" s="420"/>
      <c r="Q34" s="420"/>
      <c r="R34" s="420"/>
      <c r="S34" s="420"/>
      <c r="T34" s="420"/>
      <c r="U34" s="420"/>
      <c r="V34" s="420"/>
      <c r="W34" s="420"/>
      <c r="X34" s="420"/>
      <c r="Y34" s="420"/>
      <c r="Z34" s="420"/>
      <c r="AA34" s="420"/>
      <c r="AB34" s="420"/>
      <c r="AC34" s="421"/>
      <c r="AD34" s="421"/>
      <c r="AE34" s="421"/>
      <c r="AF34" s="421"/>
      <c r="AG34" s="421"/>
      <c r="AH34" s="421"/>
      <c r="AI34" s="422"/>
      <c r="AK34" s="451" t="s">
        <v>657</v>
      </c>
      <c r="AL34" s="416"/>
      <c r="AM34" s="416"/>
      <c r="AN34" s="416"/>
      <c r="AO34" s="416"/>
      <c r="AP34" s="416"/>
      <c r="AQ34" s="56"/>
      <c r="AR34" s="48"/>
      <c r="AS34" s="532"/>
      <c r="AT34" s="532"/>
      <c r="AU34" s="439"/>
      <c r="AV34" s="439"/>
      <c r="AW34" s="439"/>
      <c r="AY34" s="413" t="s">
        <v>658</v>
      </c>
      <c r="AZ34" s="413"/>
      <c r="BA34" s="412"/>
      <c r="BB34" s="412"/>
    </row>
    <row r="35" spans="1:80" ht="18" customHeight="1" thickBot="1">
      <c r="A35" s="57"/>
      <c r="B35" s="547" t="s">
        <v>659</v>
      </c>
      <c r="C35" s="547"/>
      <c r="D35" s="547"/>
      <c r="E35" s="547"/>
      <c r="F35" s="389" t="s">
        <v>660</v>
      </c>
      <c r="G35" s="389"/>
      <c r="H35" s="389"/>
      <c r="I35" s="389"/>
      <c r="J35" s="389"/>
      <c r="K35" s="389"/>
      <c r="L35" s="389"/>
      <c r="M35" s="389"/>
      <c r="N35" s="389"/>
      <c r="O35" s="389"/>
      <c r="P35" s="389"/>
      <c r="Q35" s="389"/>
      <c r="R35" s="389"/>
      <c r="S35" s="389"/>
      <c r="T35" s="389"/>
      <c r="U35" s="389"/>
      <c r="V35" s="389"/>
      <c r="W35" s="390" t="s">
        <v>661</v>
      </c>
      <c r="X35" s="391"/>
      <c r="Y35" s="391"/>
      <c r="Z35" s="391"/>
      <c r="AA35" s="391"/>
      <c r="AB35" s="391"/>
      <c r="AC35" s="392" t="s">
        <v>662</v>
      </c>
      <c r="AD35" s="393"/>
      <c r="AE35" s="393"/>
      <c r="AF35" s="393"/>
      <c r="AG35" s="393"/>
      <c r="AH35" s="393"/>
      <c r="AI35" s="394"/>
      <c r="AK35" s="531"/>
      <c r="AL35" s="531"/>
      <c r="AM35" s="531"/>
      <c r="AN35" s="531"/>
      <c r="AO35" s="531"/>
      <c r="AP35" s="531"/>
      <c r="AQ35" s="61"/>
      <c r="AR35" s="48"/>
      <c r="AS35" s="532"/>
      <c r="AT35" s="532"/>
      <c r="AU35" s="439"/>
      <c r="AV35" s="439"/>
      <c r="AW35" s="439"/>
      <c r="AY35" s="413" t="s">
        <v>663</v>
      </c>
      <c r="AZ35" s="413"/>
      <c r="BA35" s="412"/>
      <c r="BB35" s="412"/>
    </row>
    <row r="36" spans="1:80" ht="18" customHeight="1" thickBot="1">
      <c r="A36" s="492" t="s">
        <v>664</v>
      </c>
      <c r="B36" s="493"/>
      <c r="C36" s="493"/>
      <c r="D36" s="493"/>
      <c r="E36" s="493"/>
      <c r="F36" s="498">
        <v>4.1666666666666664E-2</v>
      </c>
      <c r="G36" s="439"/>
      <c r="H36" s="439"/>
      <c r="I36" s="439"/>
      <c r="J36" s="439"/>
      <c r="K36" s="439"/>
      <c r="L36" s="499" t="s">
        <v>665</v>
      </c>
      <c r="M36" s="489"/>
      <c r="N36" s="489"/>
      <c r="O36" s="500"/>
      <c r="P36" s="410" t="s">
        <v>68</v>
      </c>
      <c r="Q36" s="410"/>
      <c r="R36" s="410"/>
      <c r="S36" s="55" t="s">
        <v>666</v>
      </c>
      <c r="T36" s="410" t="s">
        <v>43</v>
      </c>
      <c r="U36" s="410"/>
      <c r="V36" s="530"/>
      <c r="W36" s="489" t="s">
        <v>667</v>
      </c>
      <c r="X36" s="489"/>
      <c r="Y36" s="489"/>
      <c r="Z36" s="489"/>
      <c r="AA36" s="489"/>
      <c r="AB36" s="489"/>
      <c r="AC36" s="490" t="s">
        <v>722</v>
      </c>
      <c r="AD36" s="487"/>
      <c r="AE36" s="487"/>
      <c r="AF36" s="487"/>
      <c r="AG36" s="487"/>
      <c r="AH36" s="487"/>
      <c r="AI36" s="488"/>
      <c r="AK36" s="525" t="s">
        <v>668</v>
      </c>
      <c r="AL36" s="526"/>
      <c r="AM36" s="526"/>
      <c r="AN36" s="526"/>
      <c r="AO36" s="526"/>
      <c r="AP36" s="526"/>
      <c r="AQ36" s="117"/>
      <c r="AR36" s="48"/>
      <c r="AS36" s="532"/>
      <c r="AT36" s="532"/>
      <c r="AU36" s="439"/>
      <c r="AV36" s="439"/>
      <c r="AW36" s="439"/>
      <c r="BH36" s="50"/>
      <c r="BI36" s="51"/>
    </row>
    <row r="37" spans="1:80" ht="18" customHeight="1" thickBot="1">
      <c r="A37" s="494" t="s">
        <v>669</v>
      </c>
      <c r="B37" s="495"/>
      <c r="C37" s="495"/>
      <c r="D37" s="495"/>
      <c r="E37" s="495"/>
      <c r="F37" s="487"/>
      <c r="G37" s="487"/>
      <c r="H37" s="487"/>
      <c r="I37" s="487"/>
      <c r="J37" s="487"/>
      <c r="K37" s="487"/>
      <c r="L37" s="487"/>
      <c r="M37" s="487"/>
      <c r="N37" s="487"/>
      <c r="O37" s="487"/>
      <c r="P37" s="487"/>
      <c r="Q37" s="487"/>
      <c r="R37" s="487"/>
      <c r="S37" s="487"/>
      <c r="T37" s="487"/>
      <c r="U37" s="487"/>
      <c r="V37" s="487"/>
      <c r="W37" s="487"/>
      <c r="X37" s="487"/>
      <c r="Y37" s="487"/>
      <c r="Z37" s="487"/>
      <c r="AA37" s="487"/>
      <c r="AB37" s="487"/>
      <c r="AC37" s="487"/>
      <c r="AD37" s="487"/>
      <c r="AE37" s="487"/>
      <c r="AF37" s="487"/>
      <c r="AG37" s="487"/>
      <c r="AH37" s="487"/>
      <c r="AI37" s="488"/>
      <c r="AK37" s="544" t="s">
        <v>240</v>
      </c>
      <c r="AL37" s="545"/>
      <c r="AM37" s="545"/>
      <c r="AN37" s="545"/>
      <c r="AO37" s="545"/>
      <c r="AP37" s="545"/>
      <c r="AQ37" s="122"/>
      <c r="AR37" s="48"/>
      <c r="AS37" s="532"/>
      <c r="AT37" s="532"/>
      <c r="AU37" s="439"/>
      <c r="AV37" s="439"/>
      <c r="AW37" s="439"/>
      <c r="BH37" s="50"/>
      <c r="BI37" s="51"/>
    </row>
    <row r="38" spans="1:80" ht="18" customHeight="1" thickBot="1">
      <c r="A38" s="496" t="s">
        <v>670</v>
      </c>
      <c r="B38" s="497"/>
      <c r="C38" s="497"/>
      <c r="D38" s="497"/>
      <c r="E38" s="497"/>
      <c r="F38" s="416" t="s">
        <v>667</v>
      </c>
      <c r="G38" s="416"/>
      <c r="H38" s="416"/>
      <c r="I38" s="416"/>
      <c r="J38" s="416"/>
      <c r="K38" s="416"/>
      <c r="L38" s="424" t="s">
        <v>722</v>
      </c>
      <c r="M38" s="424"/>
      <c r="N38" s="424"/>
      <c r="O38" s="424"/>
      <c r="P38" s="416" t="s">
        <v>671</v>
      </c>
      <c r="Q38" s="416"/>
      <c r="R38" s="416"/>
      <c r="S38" s="416"/>
      <c r="T38" s="416"/>
      <c r="U38" s="416"/>
      <c r="V38" s="416"/>
      <c r="W38" s="416" t="s">
        <v>667</v>
      </c>
      <c r="X38" s="416"/>
      <c r="Y38" s="416"/>
      <c r="Z38" s="416"/>
      <c r="AA38" s="416"/>
      <c r="AB38" s="416"/>
      <c r="AC38" s="424" t="s">
        <v>722</v>
      </c>
      <c r="AD38" s="424"/>
      <c r="AE38" s="424"/>
      <c r="AF38" s="424"/>
      <c r="AG38" s="424"/>
      <c r="AH38" s="424"/>
      <c r="AI38" s="491"/>
      <c r="AK38" s="543"/>
      <c r="AL38" s="543"/>
      <c r="AM38" s="543"/>
      <c r="AN38" s="543"/>
      <c r="AO38" s="543"/>
      <c r="AP38" s="543"/>
      <c r="AQ38" s="59"/>
      <c r="AR38" s="48"/>
      <c r="BC38" s="50"/>
      <c r="BD38" s="51"/>
    </row>
    <row r="39" spans="1:80" ht="18" customHeight="1">
      <c r="A39" s="452" t="s">
        <v>672</v>
      </c>
      <c r="B39" s="453"/>
      <c r="C39" s="453"/>
      <c r="D39" s="453"/>
      <c r="E39" s="453"/>
      <c r="F39" s="453"/>
      <c r="G39" s="453"/>
      <c r="H39" s="453"/>
      <c r="I39" s="453"/>
      <c r="J39" s="453"/>
      <c r="K39" s="453"/>
      <c r="L39" s="453"/>
      <c r="M39" s="453"/>
      <c r="N39" s="453"/>
      <c r="O39" s="453"/>
      <c r="P39" s="453"/>
      <c r="Q39" s="453"/>
      <c r="R39" s="453"/>
      <c r="S39" s="453"/>
      <c r="T39" s="453"/>
      <c r="U39" s="453"/>
      <c r="V39" s="453"/>
      <c r="W39" s="453"/>
      <c r="X39" s="453"/>
      <c r="Y39" s="453"/>
      <c r="Z39" s="453"/>
      <c r="AA39" s="453"/>
      <c r="AB39" s="453"/>
      <c r="AC39" s="453"/>
      <c r="AD39" s="453"/>
      <c r="AE39" s="453"/>
      <c r="AF39" s="453"/>
      <c r="AG39" s="453"/>
      <c r="AH39" s="453"/>
      <c r="AI39" s="454"/>
      <c r="AK39" s="444" t="s">
        <v>673</v>
      </c>
      <c r="AL39" s="444"/>
      <c r="AM39" s="444"/>
      <c r="AN39" s="444"/>
      <c r="AO39" s="444"/>
      <c r="AP39" s="444"/>
      <c r="AQ39" s="42"/>
      <c r="AR39" s="48"/>
      <c r="AS39" s="423" t="s">
        <v>526</v>
      </c>
      <c r="AT39" s="423"/>
      <c r="AU39" s="148">
        <v>10</v>
      </c>
      <c r="AV39" s="423" t="s">
        <v>528</v>
      </c>
      <c r="AW39" s="423"/>
      <c r="BC39" s="50"/>
      <c r="BD39" s="51"/>
    </row>
    <row r="40" spans="1:80" ht="18" customHeight="1">
      <c r="A40" s="464" t="s">
        <v>674</v>
      </c>
      <c r="B40" s="459"/>
      <c r="C40" s="459"/>
      <c r="D40" s="459"/>
      <c r="E40" s="470" t="s">
        <v>675</v>
      </c>
      <c r="F40" s="471"/>
      <c r="G40" s="471"/>
      <c r="H40" s="471"/>
      <c r="I40" s="471"/>
      <c r="J40" s="471"/>
      <c r="K40" s="472"/>
      <c r="L40" s="458" t="s">
        <v>676</v>
      </c>
      <c r="M40" s="459"/>
      <c r="N40" s="459"/>
      <c r="O40" s="459"/>
      <c r="P40" s="459"/>
      <c r="Q40" s="459"/>
      <c r="R40" s="460"/>
      <c r="S40" s="458" t="s">
        <v>677</v>
      </c>
      <c r="T40" s="459"/>
      <c r="U40" s="459"/>
      <c r="V40" s="459"/>
      <c r="W40" s="470" t="s">
        <v>675</v>
      </c>
      <c r="X40" s="471"/>
      <c r="Y40" s="471"/>
      <c r="Z40" s="471"/>
      <c r="AA40" s="471"/>
      <c r="AB40" s="471"/>
      <c r="AC40" s="472"/>
      <c r="AD40" s="458" t="s">
        <v>678</v>
      </c>
      <c r="AE40" s="459"/>
      <c r="AF40" s="459"/>
      <c r="AG40" s="459"/>
      <c r="AH40" s="459"/>
      <c r="AI40" s="463"/>
      <c r="AK40" s="444" t="s">
        <v>679</v>
      </c>
      <c r="AL40" s="444"/>
      <c r="AM40" s="444"/>
      <c r="AN40" s="444"/>
      <c r="AO40" s="444"/>
      <c r="AP40" s="444"/>
      <c r="AQ40" s="42"/>
      <c r="AR40" s="48"/>
      <c r="AS40" s="423" t="s">
        <v>527</v>
      </c>
      <c r="AT40" s="423"/>
      <c r="AU40" s="148">
        <v>19</v>
      </c>
      <c r="AV40" s="560">
        <v>0.38779999999999998</v>
      </c>
      <c r="AW40" s="560"/>
      <c r="BC40" s="50"/>
      <c r="BD40" s="51"/>
    </row>
    <row r="41" spans="1:80" ht="18" customHeight="1">
      <c r="A41" s="464" t="s">
        <v>16</v>
      </c>
      <c r="B41" s="459"/>
      <c r="C41" s="459"/>
      <c r="D41" s="459"/>
      <c r="E41" s="469">
        <f>AX10</f>
        <v>0.33333333333333331</v>
      </c>
      <c r="F41" s="456"/>
      <c r="G41" s="456"/>
      <c r="H41" s="144" t="s">
        <v>680</v>
      </c>
      <c r="I41" s="456">
        <f>AY10</f>
        <v>0.83333333333333337</v>
      </c>
      <c r="J41" s="456"/>
      <c r="K41" s="457"/>
      <c r="L41" s="458" t="str">
        <f>AU10</f>
        <v>藤井隆幸</v>
      </c>
      <c r="M41" s="459"/>
      <c r="N41" s="459"/>
      <c r="O41" s="459"/>
      <c r="P41" s="459"/>
      <c r="Q41" s="459"/>
      <c r="R41" s="460"/>
      <c r="S41" s="409" t="s">
        <v>31</v>
      </c>
      <c r="T41" s="410"/>
      <c r="U41" s="410"/>
      <c r="V41" s="410"/>
      <c r="W41" s="414">
        <v>0.39583333333333331</v>
      </c>
      <c r="X41" s="415"/>
      <c r="Y41" s="415"/>
      <c r="Z41" s="40" t="s">
        <v>680</v>
      </c>
      <c r="AA41" s="415">
        <v>0.77083333333333337</v>
      </c>
      <c r="AB41" s="415"/>
      <c r="AC41" s="461"/>
      <c r="AD41" s="409" t="str">
        <f>AU14</f>
        <v>三角龍彦</v>
      </c>
      <c r="AE41" s="410"/>
      <c r="AF41" s="410"/>
      <c r="AG41" s="410"/>
      <c r="AH41" s="410"/>
      <c r="AI41" s="462"/>
      <c r="AK41" s="444" t="s">
        <v>681</v>
      </c>
      <c r="AL41" s="444"/>
      <c r="AM41" s="444"/>
      <c r="AN41" s="444"/>
      <c r="AO41" s="444"/>
      <c r="AP41" s="444"/>
      <c r="AQ41" s="42"/>
      <c r="AR41" s="48"/>
      <c r="BC41" s="50"/>
      <c r="BD41" s="51"/>
    </row>
    <row r="42" spans="1:80" ht="18" customHeight="1">
      <c r="A42" s="464" t="s">
        <v>24</v>
      </c>
      <c r="B42" s="459"/>
      <c r="C42" s="459"/>
      <c r="D42" s="459"/>
      <c r="E42" s="469">
        <f>AX13</f>
        <v>0.33333333333333331</v>
      </c>
      <c r="F42" s="456"/>
      <c r="G42" s="456"/>
      <c r="H42" s="144" t="s">
        <v>680</v>
      </c>
      <c r="I42" s="456">
        <f>AY12</f>
        <v>0.83333333333333337</v>
      </c>
      <c r="J42" s="456"/>
      <c r="K42" s="457"/>
      <c r="L42" s="458" t="str">
        <f>AU13</f>
        <v>木村重明</v>
      </c>
      <c r="M42" s="459"/>
      <c r="N42" s="459"/>
      <c r="O42" s="459"/>
      <c r="P42" s="459"/>
      <c r="Q42" s="459"/>
      <c r="R42" s="460"/>
      <c r="S42" s="409"/>
      <c r="T42" s="410"/>
      <c r="U42" s="410"/>
      <c r="V42" s="410"/>
      <c r="W42" s="414"/>
      <c r="X42" s="415"/>
      <c r="Y42" s="415"/>
      <c r="Z42" s="136"/>
      <c r="AA42" s="415"/>
      <c r="AB42" s="415"/>
      <c r="AC42" s="461"/>
      <c r="AD42" s="409">
        <f>AU15</f>
        <v>0</v>
      </c>
      <c r="AE42" s="410"/>
      <c r="AF42" s="410"/>
      <c r="AG42" s="410"/>
      <c r="AH42" s="410"/>
      <c r="AI42" s="462"/>
      <c r="AK42" s="445" t="s">
        <v>682</v>
      </c>
      <c r="AL42" s="445"/>
      <c r="AM42" s="445"/>
      <c r="AN42" s="445"/>
      <c r="AO42" s="445"/>
      <c r="AP42" s="445"/>
      <c r="AQ42" s="42"/>
      <c r="AR42" s="48"/>
      <c r="AS42" s="561" t="s">
        <v>683</v>
      </c>
      <c r="AT42" s="561"/>
      <c r="AU42" s="561"/>
      <c r="AV42" s="561"/>
      <c r="AW42" s="561"/>
      <c r="BC42" s="50"/>
      <c r="BD42" s="51"/>
    </row>
    <row r="43" spans="1:80" ht="18" customHeight="1">
      <c r="A43" s="464" t="s">
        <v>38</v>
      </c>
      <c r="B43" s="459"/>
      <c r="C43" s="459"/>
      <c r="D43" s="459"/>
      <c r="E43" s="469">
        <f>AX16</f>
        <v>0.83333333333333337</v>
      </c>
      <c r="F43" s="456"/>
      <c r="G43" s="456"/>
      <c r="H43" s="144" t="s">
        <v>680</v>
      </c>
      <c r="I43" s="456" t="str">
        <f>AY16</f>
        <v>翌8:00</v>
      </c>
      <c r="J43" s="456"/>
      <c r="K43" s="457"/>
      <c r="L43" s="458" t="str">
        <f>AU16</f>
        <v>石井忠志</v>
      </c>
      <c r="M43" s="459"/>
      <c r="N43" s="459"/>
      <c r="O43" s="459"/>
      <c r="P43" s="459"/>
      <c r="Q43" s="459"/>
      <c r="R43" s="460"/>
      <c r="S43" s="409"/>
      <c r="T43" s="410"/>
      <c r="U43" s="410"/>
      <c r="V43" s="410"/>
      <c r="W43" s="414"/>
      <c r="X43" s="415"/>
      <c r="Y43" s="415"/>
      <c r="Z43" s="136"/>
      <c r="AA43" s="415"/>
      <c r="AB43" s="415"/>
      <c r="AC43" s="461"/>
      <c r="AD43" s="486">
        <f>AU18</f>
        <v>0</v>
      </c>
      <c r="AE43" s="410"/>
      <c r="AF43" s="410"/>
      <c r="AG43" s="410"/>
      <c r="AH43" s="410"/>
      <c r="AI43" s="462"/>
      <c r="AK43" s="444" t="s">
        <v>684</v>
      </c>
      <c r="AL43" s="444"/>
      <c r="AM43" s="444"/>
      <c r="AN43" s="444"/>
      <c r="AO43" s="444"/>
      <c r="AP43" s="444"/>
      <c r="AQ43" s="42"/>
      <c r="AR43" s="43"/>
      <c r="AW43"/>
      <c r="AX43"/>
      <c r="AY43"/>
      <c r="AZ43"/>
      <c r="BA43"/>
      <c r="BB43"/>
      <c r="BC43" s="50"/>
      <c r="BD43" s="51"/>
      <c r="BE43"/>
      <c r="BF43"/>
      <c r="BG43"/>
      <c r="BH43"/>
      <c r="BI43"/>
      <c r="BJ43"/>
      <c r="BK43"/>
      <c r="BL43"/>
      <c r="BM43"/>
      <c r="BN43"/>
      <c r="BO43"/>
      <c r="BP43"/>
      <c r="BQ43"/>
      <c r="BR43"/>
      <c r="BS43"/>
      <c r="BT43"/>
      <c r="BU43"/>
      <c r="BV43"/>
      <c r="BW43"/>
      <c r="BX43"/>
      <c r="BY43"/>
      <c r="BZ43"/>
      <c r="CA43"/>
      <c r="CB43"/>
    </row>
    <row r="44" spans="1:80" ht="18" customHeight="1" thickBot="1">
      <c r="A44" s="473" t="s">
        <v>45</v>
      </c>
      <c r="B44" s="474"/>
      <c r="C44" s="474"/>
      <c r="D44" s="474"/>
      <c r="E44" s="475">
        <f>AX17</f>
        <v>0.83333333333333337</v>
      </c>
      <c r="F44" s="476"/>
      <c r="G44" s="476"/>
      <c r="H44" s="145" t="s">
        <v>680</v>
      </c>
      <c r="I44" s="476" t="str">
        <f>AY17</f>
        <v>翌8:00</v>
      </c>
      <c r="J44" s="476"/>
      <c r="K44" s="477"/>
      <c r="L44" s="478" t="str">
        <f>AU17</f>
        <v>山本喜久</v>
      </c>
      <c r="M44" s="478"/>
      <c r="N44" s="478"/>
      <c r="O44" s="478"/>
      <c r="P44" s="478"/>
      <c r="Q44" s="478"/>
      <c r="R44" s="478"/>
      <c r="S44" s="479"/>
      <c r="T44" s="480"/>
      <c r="U44" s="480"/>
      <c r="V44" s="480"/>
      <c r="W44" s="481"/>
      <c r="X44" s="482"/>
      <c r="Y44" s="482"/>
      <c r="Z44" s="137"/>
      <c r="AA44" s="482"/>
      <c r="AB44" s="482"/>
      <c r="AC44" s="483"/>
      <c r="AD44" s="484">
        <f>AU19</f>
        <v>0</v>
      </c>
      <c r="AE44" s="480"/>
      <c r="AF44" s="480"/>
      <c r="AG44" s="480"/>
      <c r="AH44" s="480"/>
      <c r="AI44" s="485"/>
      <c r="AK44" s="446" t="s">
        <v>685</v>
      </c>
      <c r="AL44" s="446"/>
      <c r="AM44" s="446"/>
      <c r="AN44" s="446"/>
      <c r="AO44" s="446"/>
      <c r="AP44" s="446"/>
      <c r="AQ44" s="42"/>
      <c r="AR44" s="43"/>
      <c r="BC44" s="50"/>
      <c r="BD44" s="51"/>
    </row>
    <row r="45" spans="1:80" ht="18" customHeight="1" thickBot="1">
      <c r="A45" s="27"/>
      <c r="B45" s="27"/>
      <c r="C45" s="27"/>
      <c r="D45" s="27"/>
      <c r="E45" s="27"/>
      <c r="F45" s="27"/>
      <c r="G45" s="27"/>
      <c r="H45" s="27"/>
      <c r="I45" s="27"/>
      <c r="R45" s="307">
        <f>A7</f>
        <v>46203</v>
      </c>
      <c r="S45" s="308"/>
      <c r="T45" s="308"/>
      <c r="U45" s="308"/>
      <c r="V45" s="23" t="s">
        <v>169</v>
      </c>
      <c r="W45" s="309">
        <f>G7</f>
        <v>46203</v>
      </c>
      <c r="X45" s="308"/>
      <c r="Y45" s="23" t="s">
        <v>170</v>
      </c>
      <c r="Z45" s="310">
        <f>K7</f>
        <v>46203</v>
      </c>
      <c r="AA45" s="308"/>
      <c r="AB45" s="23" t="s">
        <v>3</v>
      </c>
      <c r="AC45" s="455">
        <f>O7</f>
        <v>46203</v>
      </c>
      <c r="AD45" s="308"/>
      <c r="AE45" s="308" t="s">
        <v>292</v>
      </c>
      <c r="AF45" s="308"/>
      <c r="AK45" s="425" t="s">
        <v>686</v>
      </c>
      <c r="AL45" s="425"/>
      <c r="AM45" s="425"/>
      <c r="AN45" s="425"/>
      <c r="AO45" s="425"/>
      <c r="AP45" s="425"/>
      <c r="AQ45" s="42"/>
      <c r="AR45" s="43"/>
      <c r="BC45" s="50"/>
      <c r="BD45" s="51"/>
    </row>
    <row r="46" spans="1:80" customFormat="1" ht="18" customHeight="1">
      <c r="A46" s="452" t="s">
        <v>598</v>
      </c>
      <c r="B46" s="453"/>
      <c r="C46" s="453"/>
      <c r="D46" s="453"/>
      <c r="E46" s="453"/>
      <c r="F46" s="453"/>
      <c r="G46" s="453"/>
      <c r="H46" s="453"/>
      <c r="I46" s="453"/>
      <c r="J46" s="453"/>
      <c r="K46" s="453"/>
      <c r="L46" s="453"/>
      <c r="M46" s="453"/>
      <c r="N46" s="453"/>
      <c r="O46" s="453"/>
      <c r="P46" s="453"/>
      <c r="Q46" s="453"/>
      <c r="R46" s="453"/>
      <c r="S46" s="453"/>
      <c r="T46" s="453"/>
      <c r="U46" s="453"/>
      <c r="V46" s="453"/>
      <c r="W46" s="453"/>
      <c r="X46" s="453"/>
      <c r="Y46" s="453"/>
      <c r="Z46" s="453"/>
      <c r="AA46" s="453"/>
      <c r="AB46" s="453"/>
      <c r="AC46" s="453"/>
      <c r="AD46" s="453"/>
      <c r="AE46" s="453"/>
      <c r="AF46" s="453"/>
      <c r="AG46" s="453"/>
      <c r="AH46" s="453"/>
      <c r="AI46" s="454"/>
      <c r="AK46" s="425" t="s">
        <v>687</v>
      </c>
      <c r="AL46" s="425"/>
      <c r="AM46" s="425"/>
      <c r="AN46" s="425"/>
      <c r="AO46" s="425"/>
      <c r="AP46" s="425"/>
      <c r="AQ46" s="42"/>
      <c r="AR46" s="43"/>
      <c r="AW46" s="23"/>
      <c r="AX46" s="23"/>
      <c r="AY46" s="23"/>
      <c r="AZ46" s="23"/>
      <c r="BA46" s="23"/>
      <c r="BB46" s="23"/>
      <c r="BC46" s="50"/>
      <c r="BD46" s="51"/>
      <c r="BE46" s="23"/>
      <c r="BF46" s="23"/>
      <c r="BG46" s="23"/>
      <c r="BH46" s="23"/>
      <c r="BI46" s="23"/>
      <c r="BJ46" s="23"/>
      <c r="BK46" s="23"/>
      <c r="BL46" s="23"/>
      <c r="BM46" s="23"/>
      <c r="BN46" s="23"/>
      <c r="BO46" s="23"/>
      <c r="BP46" s="23"/>
      <c r="BQ46" s="23"/>
      <c r="BR46" s="23"/>
      <c r="BS46" s="23"/>
      <c r="BT46" s="23"/>
      <c r="BU46" s="23"/>
      <c r="BV46" s="23"/>
      <c r="BW46" s="23"/>
      <c r="BX46" s="23"/>
      <c r="BY46" s="23"/>
      <c r="BZ46" s="23"/>
      <c r="CA46" s="23"/>
      <c r="CB46" s="23"/>
    </row>
    <row r="47" spans="1:80" ht="18" customHeight="1">
      <c r="A47" s="36"/>
      <c r="B47" s="404"/>
      <c r="C47" s="404"/>
      <c r="D47" s="404"/>
      <c r="E47" s="404"/>
      <c r="F47" s="288"/>
      <c r="G47" s="288"/>
      <c r="H47" s="288"/>
      <c r="I47" s="288"/>
      <c r="J47" s="288"/>
      <c r="K47" s="288"/>
      <c r="L47" s="288"/>
      <c r="M47" s="288"/>
      <c r="N47" s="288"/>
      <c r="O47" s="288"/>
      <c r="P47" s="288"/>
      <c r="Q47" s="288"/>
      <c r="R47" s="288"/>
      <c r="S47" s="288"/>
      <c r="T47" s="288"/>
      <c r="U47" s="288"/>
      <c r="V47" s="288"/>
      <c r="W47" s="288"/>
      <c r="X47" s="288"/>
      <c r="Y47" s="288"/>
      <c r="Z47" s="288"/>
      <c r="AA47" s="288"/>
      <c r="AB47" s="288"/>
      <c r="AC47" s="288"/>
      <c r="AD47" s="288"/>
      <c r="AE47" s="288"/>
      <c r="AF47" s="288"/>
      <c r="AG47" s="288"/>
      <c r="AH47" s="288"/>
      <c r="AI47" s="289"/>
      <c r="AK47" s="425" t="s">
        <v>688</v>
      </c>
      <c r="AL47" s="425"/>
      <c r="AM47" s="425"/>
      <c r="AN47" s="425"/>
      <c r="AO47" s="425"/>
      <c r="AP47" s="425"/>
      <c r="AQ47" s="42"/>
      <c r="AR47" s="43"/>
      <c r="AS47" s="120" t="s">
        <v>189</v>
      </c>
      <c r="AT47" s="43" t="s">
        <v>689</v>
      </c>
      <c r="AU47" s="43"/>
      <c r="BC47" s="50"/>
      <c r="BD47" s="51"/>
    </row>
    <row r="48" spans="1:80" ht="18" customHeight="1">
      <c r="A48" s="36"/>
      <c r="B48" s="404"/>
      <c r="C48" s="404"/>
      <c r="D48" s="404"/>
      <c r="E48" s="404"/>
      <c r="F48" s="288"/>
      <c r="G48" s="288"/>
      <c r="H48" s="288"/>
      <c r="I48" s="288"/>
      <c r="J48" s="288"/>
      <c r="K48" s="288"/>
      <c r="L48" s="288"/>
      <c r="M48" s="288"/>
      <c r="N48" s="288"/>
      <c r="O48" s="288"/>
      <c r="P48" s="288"/>
      <c r="Q48" s="288"/>
      <c r="R48" s="288"/>
      <c r="S48" s="288"/>
      <c r="T48" s="288"/>
      <c r="U48" s="288"/>
      <c r="V48" s="288"/>
      <c r="W48" s="288"/>
      <c r="X48" s="288"/>
      <c r="Y48" s="288"/>
      <c r="Z48" s="288"/>
      <c r="AA48" s="288"/>
      <c r="AB48" s="288"/>
      <c r="AC48" s="288"/>
      <c r="AD48" s="288"/>
      <c r="AE48" s="288"/>
      <c r="AF48" s="288"/>
      <c r="AG48" s="288"/>
      <c r="AH48" s="288"/>
      <c r="AI48" s="289"/>
      <c r="AK48" s="425" t="s">
        <v>690</v>
      </c>
      <c r="AL48" s="425"/>
      <c r="AM48" s="425"/>
      <c r="AN48" s="425"/>
      <c r="AO48" s="425"/>
      <c r="AP48" s="425"/>
      <c r="AQ48" s="42"/>
      <c r="AR48" s="43"/>
      <c r="AS48" s="43"/>
      <c r="AT48" s="43"/>
      <c r="AU48" s="43"/>
      <c r="BC48" s="50"/>
      <c r="BD48" s="51"/>
    </row>
    <row r="49" spans="1:61" ht="18" customHeight="1">
      <c r="A49" s="36"/>
      <c r="B49" s="404"/>
      <c r="C49" s="404"/>
      <c r="D49" s="404"/>
      <c r="E49" s="404"/>
      <c r="F49" s="288"/>
      <c r="G49" s="288"/>
      <c r="H49" s="288"/>
      <c r="I49" s="288"/>
      <c r="J49" s="288"/>
      <c r="K49" s="288"/>
      <c r="L49" s="288"/>
      <c r="M49" s="288"/>
      <c r="N49" s="288"/>
      <c r="O49" s="288"/>
      <c r="P49" s="288"/>
      <c r="Q49" s="288"/>
      <c r="R49" s="288"/>
      <c r="S49" s="288"/>
      <c r="T49" s="288"/>
      <c r="U49" s="288"/>
      <c r="V49" s="288"/>
      <c r="W49" s="288"/>
      <c r="X49" s="288"/>
      <c r="Y49" s="288"/>
      <c r="Z49" s="288"/>
      <c r="AA49" s="288"/>
      <c r="AB49" s="288"/>
      <c r="AC49" s="288"/>
      <c r="AD49" s="288"/>
      <c r="AE49" s="288"/>
      <c r="AF49" s="288"/>
      <c r="AG49" s="288"/>
      <c r="AH49" s="288"/>
      <c r="AI49" s="289"/>
      <c r="AK49" s="425" t="s">
        <v>691</v>
      </c>
      <c r="AL49" s="425"/>
      <c r="AM49" s="425"/>
      <c r="AN49" s="425"/>
      <c r="AO49" s="425"/>
      <c r="AP49" s="425"/>
      <c r="AQ49" s="42"/>
      <c r="AR49" s="43"/>
      <c r="AS49" s="43"/>
      <c r="AT49" s="43"/>
      <c r="AU49" s="43"/>
      <c r="BC49" s="50"/>
      <c r="BD49" s="51"/>
    </row>
    <row r="50" spans="1:61" ht="18" customHeight="1">
      <c r="A50" s="36"/>
      <c r="B50" s="404"/>
      <c r="C50" s="404"/>
      <c r="D50" s="404"/>
      <c r="E50" s="404"/>
      <c r="F50" s="288"/>
      <c r="G50" s="288"/>
      <c r="H50" s="288"/>
      <c r="I50" s="288"/>
      <c r="J50" s="288"/>
      <c r="K50" s="288"/>
      <c r="L50" s="288"/>
      <c r="M50" s="288"/>
      <c r="N50" s="288"/>
      <c r="O50" s="288"/>
      <c r="P50" s="288"/>
      <c r="Q50" s="288"/>
      <c r="R50" s="288"/>
      <c r="S50" s="288"/>
      <c r="T50" s="288"/>
      <c r="U50" s="288"/>
      <c r="V50" s="288"/>
      <c r="W50" s="288"/>
      <c r="X50" s="288"/>
      <c r="Y50" s="288"/>
      <c r="Z50" s="288"/>
      <c r="AA50" s="288"/>
      <c r="AB50" s="288"/>
      <c r="AC50" s="288"/>
      <c r="AD50" s="288"/>
      <c r="AE50" s="288"/>
      <c r="AF50" s="288"/>
      <c r="AG50" s="288"/>
      <c r="AH50" s="288"/>
      <c r="AI50" s="289"/>
      <c r="AK50" s="425" t="s">
        <v>692</v>
      </c>
      <c r="AL50" s="425"/>
      <c r="AM50" s="425"/>
      <c r="AN50" s="425"/>
      <c r="AO50" s="425"/>
      <c r="AP50" s="425"/>
      <c r="AQ50" s="42"/>
      <c r="AR50" s="43"/>
      <c r="AS50" s="43"/>
      <c r="AT50" s="43"/>
      <c r="AU50" s="43"/>
      <c r="BC50" s="50"/>
      <c r="BD50" s="51"/>
    </row>
    <row r="51" spans="1:61" ht="18" customHeight="1">
      <c r="A51" s="36"/>
      <c r="B51" s="404"/>
      <c r="C51" s="404"/>
      <c r="D51" s="404"/>
      <c r="E51" s="404"/>
      <c r="F51" s="288"/>
      <c r="G51" s="288"/>
      <c r="H51" s="288"/>
      <c r="I51" s="288"/>
      <c r="J51" s="288"/>
      <c r="K51" s="288"/>
      <c r="L51" s="288"/>
      <c r="M51" s="288"/>
      <c r="N51" s="288"/>
      <c r="O51" s="288"/>
      <c r="P51" s="288"/>
      <c r="Q51" s="288"/>
      <c r="R51" s="288"/>
      <c r="S51" s="288"/>
      <c r="T51" s="288"/>
      <c r="U51" s="288"/>
      <c r="V51" s="288"/>
      <c r="W51" s="288"/>
      <c r="X51" s="288"/>
      <c r="Y51" s="288"/>
      <c r="Z51" s="288"/>
      <c r="AA51" s="288"/>
      <c r="AB51" s="288"/>
      <c r="AC51" s="288"/>
      <c r="AD51" s="288"/>
      <c r="AE51" s="288"/>
      <c r="AF51" s="288"/>
      <c r="AG51" s="288"/>
      <c r="AH51" s="288"/>
      <c r="AI51" s="289"/>
      <c r="AK51" s="425" t="s">
        <v>693</v>
      </c>
      <c r="AL51" s="425"/>
      <c r="AM51" s="425"/>
      <c r="AN51" s="425"/>
      <c r="AO51" s="425"/>
      <c r="AP51" s="425"/>
      <c r="AQ51" s="42"/>
      <c r="AR51" s="43"/>
      <c r="AS51" s="43"/>
      <c r="AT51" s="43"/>
      <c r="AU51" s="43"/>
      <c r="BC51" s="50"/>
      <c r="BD51" s="51"/>
    </row>
    <row r="52" spans="1:61" ht="18" customHeight="1">
      <c r="A52" s="36"/>
      <c r="B52" s="404"/>
      <c r="C52" s="404"/>
      <c r="D52" s="404"/>
      <c r="E52" s="404"/>
      <c r="F52" s="288"/>
      <c r="G52" s="288"/>
      <c r="H52" s="288"/>
      <c r="I52" s="288"/>
      <c r="J52" s="288"/>
      <c r="K52" s="288"/>
      <c r="L52" s="288"/>
      <c r="M52" s="288"/>
      <c r="N52" s="288"/>
      <c r="O52" s="288"/>
      <c r="P52" s="288"/>
      <c r="Q52" s="288"/>
      <c r="R52" s="288"/>
      <c r="S52" s="288"/>
      <c r="T52" s="288"/>
      <c r="U52" s="288"/>
      <c r="V52" s="288"/>
      <c r="W52" s="288"/>
      <c r="X52" s="288"/>
      <c r="Y52" s="288"/>
      <c r="Z52" s="288"/>
      <c r="AA52" s="288"/>
      <c r="AB52" s="288"/>
      <c r="AC52" s="288"/>
      <c r="AD52" s="288"/>
      <c r="AE52" s="288"/>
      <c r="AF52" s="288"/>
      <c r="AG52" s="288"/>
      <c r="AH52" s="288"/>
      <c r="AI52" s="289"/>
      <c r="AK52" s="425" t="s">
        <v>694</v>
      </c>
      <c r="AL52" s="425"/>
      <c r="AM52" s="425"/>
      <c r="AN52" s="425"/>
      <c r="AO52" s="425"/>
      <c r="AP52" s="425"/>
      <c r="AQ52" s="42"/>
      <c r="AR52" s="43"/>
      <c r="AS52" s="43"/>
      <c r="AV52" s="43"/>
      <c r="AW52" s="43"/>
      <c r="AX52" s="43"/>
      <c r="AY52" s="43"/>
      <c r="AZ52" s="43"/>
      <c r="BA52" s="43"/>
      <c r="BH52" s="52"/>
      <c r="BI52" s="51"/>
    </row>
    <row r="53" spans="1:61" ht="18" customHeight="1">
      <c r="A53" s="36"/>
      <c r="B53" s="404"/>
      <c r="C53" s="404"/>
      <c r="D53" s="404"/>
      <c r="E53" s="404"/>
      <c r="F53" s="288"/>
      <c r="G53" s="288"/>
      <c r="H53" s="288"/>
      <c r="I53" s="288"/>
      <c r="J53" s="288"/>
      <c r="K53" s="288"/>
      <c r="L53" s="288"/>
      <c r="M53" s="288"/>
      <c r="N53" s="288"/>
      <c r="O53" s="288"/>
      <c r="P53" s="288"/>
      <c r="Q53" s="288"/>
      <c r="R53" s="288"/>
      <c r="S53" s="288"/>
      <c r="T53" s="288"/>
      <c r="U53" s="288"/>
      <c r="V53" s="288"/>
      <c r="W53" s="288"/>
      <c r="X53" s="288"/>
      <c r="Y53" s="288"/>
      <c r="Z53" s="288"/>
      <c r="AA53" s="288"/>
      <c r="AB53" s="288"/>
      <c r="AC53" s="288"/>
      <c r="AD53" s="288"/>
      <c r="AE53" s="288"/>
      <c r="AF53" s="288"/>
      <c r="AG53" s="288"/>
      <c r="AH53" s="288"/>
      <c r="AI53" s="289"/>
      <c r="AK53" s="425" t="s">
        <v>695</v>
      </c>
      <c r="AL53" s="425"/>
      <c r="AM53" s="425"/>
      <c r="AN53" s="425"/>
      <c r="AO53" s="425"/>
      <c r="AP53" s="425"/>
      <c r="AQ53" s="42"/>
      <c r="AR53" s="43"/>
      <c r="AS53" s="43"/>
      <c r="AT53" s="43"/>
      <c r="AU53" s="43"/>
      <c r="AV53" s="43"/>
      <c r="AW53" s="43"/>
      <c r="AX53" s="43"/>
      <c r="AY53" s="43"/>
      <c r="AZ53" s="43"/>
      <c r="BH53" s="50"/>
      <c r="BI53" s="51"/>
    </row>
    <row r="54" spans="1:61" ht="18" customHeight="1">
      <c r="A54" s="36"/>
      <c r="B54" s="404"/>
      <c r="C54" s="404"/>
      <c r="D54" s="404"/>
      <c r="E54" s="404"/>
      <c r="F54" s="288"/>
      <c r="G54" s="288"/>
      <c r="H54" s="288"/>
      <c r="I54" s="288"/>
      <c r="J54" s="288"/>
      <c r="K54" s="288"/>
      <c r="L54" s="288"/>
      <c r="M54" s="288"/>
      <c r="N54" s="288"/>
      <c r="O54" s="288"/>
      <c r="P54" s="288"/>
      <c r="Q54" s="288"/>
      <c r="R54" s="288"/>
      <c r="S54" s="288"/>
      <c r="T54" s="288"/>
      <c r="U54" s="288"/>
      <c r="V54" s="288"/>
      <c r="W54" s="288"/>
      <c r="X54" s="288"/>
      <c r="Y54" s="288"/>
      <c r="Z54" s="288"/>
      <c r="AA54" s="288"/>
      <c r="AB54" s="288"/>
      <c r="AC54" s="288"/>
      <c r="AD54" s="288"/>
      <c r="AE54" s="288"/>
      <c r="AF54" s="288"/>
      <c r="AG54" s="288"/>
      <c r="AH54" s="288"/>
      <c r="AI54" s="289"/>
      <c r="AK54" s="425" t="s">
        <v>696</v>
      </c>
      <c r="AL54" s="425"/>
      <c r="AM54" s="425"/>
      <c r="AN54" s="425"/>
      <c r="AO54" s="425"/>
      <c r="AP54" s="425"/>
      <c r="AQ54" s="42"/>
      <c r="AR54" s="43"/>
      <c r="AS54" s="43"/>
      <c r="AT54" s="43"/>
      <c r="AU54" s="43"/>
      <c r="AV54" s="43"/>
      <c r="AW54" s="43"/>
      <c r="AX54" s="43"/>
      <c r="AY54" s="43"/>
      <c r="AZ54" s="43"/>
      <c r="BH54" s="50"/>
      <c r="BI54" s="51"/>
    </row>
    <row r="55" spans="1:61" ht="18" customHeight="1">
      <c r="A55" s="36"/>
      <c r="B55" s="404"/>
      <c r="C55" s="404"/>
      <c r="D55" s="404"/>
      <c r="E55" s="404"/>
      <c r="F55" s="288"/>
      <c r="G55" s="288"/>
      <c r="H55" s="288"/>
      <c r="I55" s="288"/>
      <c r="J55" s="288"/>
      <c r="K55" s="288"/>
      <c r="L55" s="288"/>
      <c r="M55" s="288"/>
      <c r="N55" s="288"/>
      <c r="O55" s="288"/>
      <c r="P55" s="288"/>
      <c r="Q55" s="288"/>
      <c r="R55" s="288"/>
      <c r="S55" s="288"/>
      <c r="T55" s="288"/>
      <c r="U55" s="288"/>
      <c r="V55" s="288"/>
      <c r="W55" s="288"/>
      <c r="X55" s="288"/>
      <c r="Y55" s="288"/>
      <c r="Z55" s="288"/>
      <c r="AA55" s="288"/>
      <c r="AB55" s="288"/>
      <c r="AC55" s="288"/>
      <c r="AD55" s="288"/>
      <c r="AE55" s="288"/>
      <c r="AF55" s="288"/>
      <c r="AG55" s="288"/>
      <c r="AH55" s="288"/>
      <c r="AI55" s="289"/>
      <c r="AK55" s="425" t="s">
        <v>697</v>
      </c>
      <c r="AL55" s="425"/>
      <c r="AM55" s="425"/>
      <c r="AN55" s="425"/>
      <c r="AO55" s="425"/>
      <c r="AP55" s="425"/>
      <c r="AQ55" s="42"/>
      <c r="AR55" s="43"/>
      <c r="AS55" s="43"/>
      <c r="AT55" s="43"/>
      <c r="AU55" s="43"/>
      <c r="AV55" s="43"/>
      <c r="AW55" s="43"/>
      <c r="AX55" s="43"/>
      <c r="AY55" s="43"/>
      <c r="AZ55" s="43"/>
      <c r="BH55" s="50"/>
      <c r="BI55" s="51"/>
    </row>
    <row r="56" spans="1:61" ht="18" customHeight="1">
      <c r="A56" s="36"/>
      <c r="B56" s="404"/>
      <c r="C56" s="404"/>
      <c r="D56" s="404"/>
      <c r="E56" s="404"/>
      <c r="F56" s="288"/>
      <c r="G56" s="288"/>
      <c r="H56" s="288"/>
      <c r="I56" s="288"/>
      <c r="J56" s="288"/>
      <c r="K56" s="288"/>
      <c r="L56" s="288"/>
      <c r="M56" s="288"/>
      <c r="N56" s="288"/>
      <c r="O56" s="288"/>
      <c r="P56" s="288"/>
      <c r="Q56" s="288"/>
      <c r="R56" s="288"/>
      <c r="S56" s="288"/>
      <c r="T56" s="288"/>
      <c r="U56" s="288"/>
      <c r="V56" s="288"/>
      <c r="W56" s="288"/>
      <c r="X56" s="288"/>
      <c r="Y56" s="288"/>
      <c r="Z56" s="288"/>
      <c r="AA56" s="288"/>
      <c r="AB56" s="288"/>
      <c r="AC56" s="288"/>
      <c r="AD56" s="288"/>
      <c r="AE56" s="288"/>
      <c r="AF56" s="288"/>
      <c r="AG56" s="288"/>
      <c r="AH56" s="288"/>
      <c r="AI56" s="289"/>
      <c r="AK56" s="425" t="s">
        <v>698</v>
      </c>
      <c r="AL56" s="425"/>
      <c r="AM56" s="425"/>
      <c r="AN56" s="425"/>
      <c r="AO56" s="425"/>
      <c r="AP56" s="425"/>
      <c r="AQ56" s="42"/>
      <c r="AR56" s="43"/>
      <c r="AS56" s="43"/>
      <c r="AT56" s="43"/>
      <c r="AU56" s="43"/>
      <c r="AV56" s="43"/>
      <c r="AW56" s="43"/>
      <c r="AX56" s="43"/>
      <c r="AY56" s="43"/>
      <c r="AZ56" s="43"/>
      <c r="BH56" s="52"/>
      <c r="BI56" s="51"/>
    </row>
    <row r="57" spans="1:61" ht="18" customHeight="1">
      <c r="A57" s="36"/>
      <c r="B57" s="404"/>
      <c r="C57" s="404"/>
      <c r="D57" s="404"/>
      <c r="E57" s="404"/>
      <c r="F57" s="288"/>
      <c r="G57" s="288"/>
      <c r="H57" s="288"/>
      <c r="I57" s="288"/>
      <c r="J57" s="288"/>
      <c r="K57" s="288"/>
      <c r="L57" s="288"/>
      <c r="M57" s="288"/>
      <c r="N57" s="288"/>
      <c r="O57" s="288"/>
      <c r="P57" s="288"/>
      <c r="Q57" s="288"/>
      <c r="R57" s="288"/>
      <c r="S57" s="288"/>
      <c r="T57" s="288"/>
      <c r="U57" s="288"/>
      <c r="V57" s="288"/>
      <c r="W57" s="288"/>
      <c r="X57" s="288"/>
      <c r="Y57" s="288"/>
      <c r="Z57" s="288"/>
      <c r="AA57" s="288"/>
      <c r="AB57" s="288"/>
      <c r="AC57" s="288"/>
      <c r="AD57" s="288"/>
      <c r="AE57" s="288"/>
      <c r="AF57" s="288"/>
      <c r="AG57" s="288"/>
      <c r="AH57" s="288"/>
      <c r="AI57" s="289"/>
      <c r="AK57" s="425" t="s">
        <v>699</v>
      </c>
      <c r="AL57" s="425"/>
      <c r="AM57" s="425"/>
      <c r="AN57" s="425"/>
      <c r="AO57" s="425"/>
      <c r="AP57" s="425"/>
      <c r="AQ57" s="42"/>
      <c r="AR57" s="43"/>
      <c r="AS57" s="43"/>
      <c r="AT57" s="43"/>
      <c r="AU57" s="43"/>
      <c r="AV57" s="43"/>
      <c r="AW57" s="43"/>
      <c r="AX57" s="43"/>
      <c r="AY57" s="43"/>
      <c r="AZ57" s="43"/>
      <c r="BH57" s="50"/>
      <c r="BI57" s="51"/>
    </row>
    <row r="58" spans="1:61" ht="18" customHeight="1">
      <c r="A58" s="36"/>
      <c r="B58" s="404"/>
      <c r="C58" s="404"/>
      <c r="D58" s="404"/>
      <c r="E58" s="404"/>
      <c r="F58" s="288"/>
      <c r="G58" s="288"/>
      <c r="H58" s="288"/>
      <c r="I58" s="288"/>
      <c r="J58" s="288"/>
      <c r="K58" s="288"/>
      <c r="L58" s="288"/>
      <c r="M58" s="288"/>
      <c r="N58" s="288"/>
      <c r="O58" s="288"/>
      <c r="P58" s="288"/>
      <c r="Q58" s="288"/>
      <c r="R58" s="288"/>
      <c r="S58" s="288"/>
      <c r="T58" s="288"/>
      <c r="U58" s="288"/>
      <c r="V58" s="288"/>
      <c r="W58" s="288"/>
      <c r="X58" s="288"/>
      <c r="Y58" s="288"/>
      <c r="Z58" s="288"/>
      <c r="AA58" s="288"/>
      <c r="AB58" s="288"/>
      <c r="AC58" s="288"/>
      <c r="AD58" s="288"/>
      <c r="AE58" s="288"/>
      <c r="AF58" s="288"/>
      <c r="AG58" s="288"/>
      <c r="AH58" s="288"/>
      <c r="AI58" s="289"/>
      <c r="AK58" s="425" t="s">
        <v>700</v>
      </c>
      <c r="AL58" s="425"/>
      <c r="AM58" s="425"/>
      <c r="AN58" s="425"/>
      <c r="AO58" s="425"/>
      <c r="AP58" s="425"/>
      <c r="AQ58" s="42"/>
      <c r="AR58" s="43"/>
      <c r="AS58" s="43"/>
      <c r="AT58" s="43"/>
      <c r="AU58" s="43"/>
      <c r="AV58" s="43"/>
      <c r="AW58" s="43"/>
      <c r="AX58" s="43"/>
      <c r="AY58" s="43"/>
      <c r="AZ58" s="43"/>
      <c r="BH58" s="50"/>
      <c r="BI58" s="51"/>
    </row>
    <row r="59" spans="1:61" ht="18" customHeight="1">
      <c r="A59" s="36"/>
      <c r="B59" s="404"/>
      <c r="C59" s="404"/>
      <c r="D59" s="404"/>
      <c r="E59" s="404"/>
      <c r="F59" s="288"/>
      <c r="G59" s="288"/>
      <c r="H59" s="288"/>
      <c r="I59" s="288"/>
      <c r="J59" s="288"/>
      <c r="K59" s="288"/>
      <c r="L59" s="288"/>
      <c r="M59" s="288"/>
      <c r="N59" s="288"/>
      <c r="O59" s="288"/>
      <c r="P59" s="288"/>
      <c r="Q59" s="288"/>
      <c r="R59" s="288"/>
      <c r="S59" s="288"/>
      <c r="T59" s="288"/>
      <c r="U59" s="288"/>
      <c r="V59" s="288"/>
      <c r="W59" s="288"/>
      <c r="X59" s="288"/>
      <c r="Y59" s="288"/>
      <c r="Z59" s="288"/>
      <c r="AA59" s="288"/>
      <c r="AB59" s="288"/>
      <c r="AC59" s="288"/>
      <c r="AD59" s="288"/>
      <c r="AE59" s="288"/>
      <c r="AF59" s="288"/>
      <c r="AG59" s="288"/>
      <c r="AH59" s="288"/>
      <c r="AI59" s="289"/>
      <c r="AK59" s="425" t="s">
        <v>701</v>
      </c>
      <c r="AL59" s="425"/>
      <c r="AM59" s="425"/>
      <c r="AN59" s="425"/>
      <c r="AO59" s="425"/>
      <c r="AP59" s="425"/>
      <c r="AQ59" s="42"/>
      <c r="AR59" s="43"/>
      <c r="AS59" s="43"/>
      <c r="AT59" s="43"/>
      <c r="AU59" s="43"/>
      <c r="AV59" s="43"/>
      <c r="AW59" s="43"/>
      <c r="AX59" s="43"/>
      <c r="AY59" s="43"/>
      <c r="AZ59" s="43"/>
      <c r="BH59" s="50"/>
      <c r="BI59" s="51"/>
    </row>
    <row r="60" spans="1:61" ht="18" customHeight="1">
      <c r="A60" s="36"/>
      <c r="B60" s="404"/>
      <c r="C60" s="404"/>
      <c r="D60" s="404"/>
      <c r="E60" s="404"/>
      <c r="F60" s="288"/>
      <c r="G60" s="288"/>
      <c r="H60" s="288"/>
      <c r="I60" s="288"/>
      <c r="J60" s="288"/>
      <c r="K60" s="288"/>
      <c r="L60" s="288"/>
      <c r="M60" s="288"/>
      <c r="N60" s="288"/>
      <c r="O60" s="288"/>
      <c r="P60" s="288"/>
      <c r="Q60" s="288"/>
      <c r="R60" s="288"/>
      <c r="S60" s="288"/>
      <c r="T60" s="288"/>
      <c r="U60" s="288"/>
      <c r="V60" s="288"/>
      <c r="W60" s="288"/>
      <c r="X60" s="288"/>
      <c r="Y60" s="288"/>
      <c r="Z60" s="288"/>
      <c r="AA60" s="288"/>
      <c r="AB60" s="288"/>
      <c r="AC60" s="288"/>
      <c r="AD60" s="288"/>
      <c r="AE60" s="288"/>
      <c r="AF60" s="288"/>
      <c r="AG60" s="288"/>
      <c r="AH60" s="288"/>
      <c r="AI60" s="289"/>
      <c r="AK60" s="425" t="s">
        <v>702</v>
      </c>
      <c r="AL60" s="425"/>
      <c r="AM60" s="425"/>
      <c r="AN60" s="425"/>
      <c r="AO60" s="425"/>
      <c r="AP60" s="425"/>
      <c r="AQ60" s="42"/>
      <c r="AR60" s="43"/>
      <c r="AS60" s="43"/>
      <c r="AT60" s="43"/>
      <c r="AU60" s="43"/>
      <c r="AV60" s="43"/>
      <c r="AW60" s="43"/>
      <c r="AX60" s="43"/>
      <c r="AY60" s="43"/>
      <c r="AZ60" s="43"/>
      <c r="BH60" s="52"/>
      <c r="BI60" s="51"/>
    </row>
    <row r="61" spans="1:61" ht="18" customHeight="1">
      <c r="A61" s="36"/>
      <c r="B61" s="404"/>
      <c r="C61" s="404"/>
      <c r="D61" s="404"/>
      <c r="E61" s="404"/>
      <c r="F61" s="288"/>
      <c r="G61" s="288"/>
      <c r="H61" s="288"/>
      <c r="I61" s="288"/>
      <c r="J61" s="288"/>
      <c r="K61" s="288"/>
      <c r="L61" s="288"/>
      <c r="M61" s="288"/>
      <c r="N61" s="288"/>
      <c r="O61" s="288"/>
      <c r="P61" s="288"/>
      <c r="Q61" s="288"/>
      <c r="R61" s="288"/>
      <c r="S61" s="288"/>
      <c r="T61" s="288"/>
      <c r="U61" s="288"/>
      <c r="V61" s="288"/>
      <c r="W61" s="288"/>
      <c r="X61" s="288"/>
      <c r="Y61" s="288"/>
      <c r="Z61" s="288"/>
      <c r="AA61" s="288"/>
      <c r="AB61" s="288"/>
      <c r="AC61" s="288"/>
      <c r="AD61" s="288"/>
      <c r="AE61" s="288"/>
      <c r="AF61" s="288"/>
      <c r="AG61" s="288"/>
      <c r="AH61" s="288"/>
      <c r="AI61" s="289"/>
      <c r="AK61" s="425" t="s">
        <v>703</v>
      </c>
      <c r="AL61" s="425"/>
      <c r="AM61" s="425"/>
      <c r="AN61" s="425"/>
      <c r="AO61" s="425"/>
      <c r="AP61" s="425"/>
      <c r="AQ61" s="42"/>
      <c r="AR61" s="43"/>
      <c r="AS61" s="43"/>
      <c r="AT61" s="43"/>
      <c r="AU61" s="43"/>
      <c r="AV61" s="43"/>
      <c r="AW61" s="43"/>
      <c r="AX61" s="43"/>
      <c r="AY61" s="43"/>
      <c r="AZ61" s="43"/>
      <c r="BH61" s="50"/>
      <c r="BI61" s="51"/>
    </row>
    <row r="62" spans="1:61" ht="18" customHeight="1">
      <c r="A62" s="36"/>
      <c r="B62" s="404"/>
      <c r="C62" s="404"/>
      <c r="D62" s="404"/>
      <c r="E62" s="404"/>
      <c r="F62" s="288"/>
      <c r="G62" s="288"/>
      <c r="H62" s="288"/>
      <c r="I62" s="288"/>
      <c r="J62" s="288"/>
      <c r="K62" s="288"/>
      <c r="L62" s="288"/>
      <c r="M62" s="288"/>
      <c r="N62" s="288"/>
      <c r="O62" s="288"/>
      <c r="P62" s="288"/>
      <c r="Q62" s="288"/>
      <c r="R62" s="288"/>
      <c r="S62" s="288"/>
      <c r="T62" s="288"/>
      <c r="U62" s="288"/>
      <c r="V62" s="288"/>
      <c r="W62" s="288"/>
      <c r="X62" s="288"/>
      <c r="Y62" s="288"/>
      <c r="Z62" s="288"/>
      <c r="AA62" s="288"/>
      <c r="AB62" s="288"/>
      <c r="AC62" s="288"/>
      <c r="AD62" s="288"/>
      <c r="AE62" s="288"/>
      <c r="AF62" s="288"/>
      <c r="AG62" s="288"/>
      <c r="AH62" s="288"/>
      <c r="AI62" s="289"/>
      <c r="AK62" s="425" t="s">
        <v>1040</v>
      </c>
      <c r="AL62" s="425"/>
      <c r="AM62" s="425"/>
      <c r="AN62" s="425"/>
      <c r="AO62" s="425"/>
      <c r="AP62" s="425"/>
      <c r="AQ62" s="42">
        <v>1</v>
      </c>
      <c r="AR62" s="43"/>
      <c r="AS62" s="43"/>
      <c r="AT62" s="43"/>
      <c r="AU62" s="43"/>
      <c r="AV62" s="43"/>
      <c r="AW62" s="43"/>
      <c r="AX62" s="43"/>
      <c r="AY62" s="43"/>
      <c r="AZ62" s="43"/>
      <c r="BH62" s="50"/>
      <c r="BI62" s="51"/>
    </row>
    <row r="63" spans="1:61" ht="18" customHeight="1">
      <c r="A63" s="36"/>
      <c r="B63" s="404"/>
      <c r="C63" s="404"/>
      <c r="D63" s="404"/>
      <c r="E63" s="404"/>
      <c r="F63" s="288"/>
      <c r="G63" s="288"/>
      <c r="H63" s="288"/>
      <c r="I63" s="288"/>
      <c r="J63" s="288"/>
      <c r="K63" s="288"/>
      <c r="L63" s="288"/>
      <c r="M63" s="288"/>
      <c r="N63" s="288"/>
      <c r="O63" s="288"/>
      <c r="P63" s="288"/>
      <c r="Q63" s="288"/>
      <c r="R63" s="288"/>
      <c r="S63" s="288"/>
      <c r="T63" s="288"/>
      <c r="U63" s="288"/>
      <c r="V63" s="288"/>
      <c r="W63" s="288"/>
      <c r="X63" s="288"/>
      <c r="Y63" s="288"/>
      <c r="Z63" s="288"/>
      <c r="AA63" s="288"/>
      <c r="AB63" s="288"/>
      <c r="AC63" s="288"/>
      <c r="AD63" s="288"/>
      <c r="AE63" s="288"/>
      <c r="AF63" s="288"/>
      <c r="AG63" s="288"/>
      <c r="AH63" s="288"/>
      <c r="AI63" s="289"/>
      <c r="AK63" s="425"/>
      <c r="AL63" s="425"/>
      <c r="AM63" s="425"/>
      <c r="AN63" s="425"/>
      <c r="AO63" s="425"/>
      <c r="AP63" s="425"/>
      <c r="AQ63" s="42"/>
      <c r="AR63" s="43"/>
      <c r="AS63" s="43"/>
      <c r="AT63" s="43"/>
      <c r="AU63" s="43"/>
      <c r="AV63" s="43"/>
      <c r="AW63" s="43"/>
      <c r="AX63" s="43"/>
      <c r="AY63" s="43"/>
      <c r="AZ63" s="43"/>
      <c r="BH63" s="52"/>
      <c r="BI63" s="51"/>
    </row>
    <row r="64" spans="1:61" ht="18" customHeight="1">
      <c r="A64" s="36"/>
      <c r="B64" s="404"/>
      <c r="C64" s="404"/>
      <c r="D64" s="404"/>
      <c r="E64" s="404"/>
      <c r="F64" s="288"/>
      <c r="G64" s="288"/>
      <c r="H64" s="288"/>
      <c r="I64" s="288"/>
      <c r="J64" s="288"/>
      <c r="K64" s="288"/>
      <c r="L64" s="288"/>
      <c r="M64" s="288"/>
      <c r="N64" s="288"/>
      <c r="O64" s="288"/>
      <c r="P64" s="288"/>
      <c r="Q64" s="288"/>
      <c r="R64" s="288"/>
      <c r="S64" s="288"/>
      <c r="T64" s="288"/>
      <c r="U64" s="288"/>
      <c r="V64" s="288"/>
      <c r="W64" s="288"/>
      <c r="X64" s="288"/>
      <c r="Y64" s="288"/>
      <c r="Z64" s="288"/>
      <c r="AA64" s="288"/>
      <c r="AB64" s="288"/>
      <c r="AC64" s="288"/>
      <c r="AD64" s="288"/>
      <c r="AE64" s="288"/>
      <c r="AF64" s="288"/>
      <c r="AG64" s="288"/>
      <c r="AH64" s="288"/>
      <c r="AI64" s="289"/>
      <c r="AK64" s="425"/>
      <c r="AL64" s="425"/>
      <c r="AM64" s="425"/>
      <c r="AN64" s="425"/>
      <c r="AO64" s="425"/>
      <c r="AP64" s="425"/>
      <c r="AQ64" s="42"/>
      <c r="AR64" s="43"/>
      <c r="AS64" s="43"/>
      <c r="AT64" s="43"/>
      <c r="AU64" s="43"/>
      <c r="AV64" s="43"/>
      <c r="AW64" s="43"/>
      <c r="AX64" s="43"/>
      <c r="AY64" s="43"/>
      <c r="AZ64" s="43"/>
      <c r="BH64" s="52"/>
      <c r="BI64" s="51"/>
    </row>
    <row r="65" spans="1:61" ht="18" customHeight="1">
      <c r="A65" s="36"/>
      <c r="B65" s="404"/>
      <c r="C65" s="404"/>
      <c r="D65" s="404"/>
      <c r="E65" s="404"/>
      <c r="F65" s="288"/>
      <c r="G65" s="288"/>
      <c r="H65" s="288"/>
      <c r="I65" s="288"/>
      <c r="J65" s="288"/>
      <c r="K65" s="288"/>
      <c r="L65" s="288"/>
      <c r="M65" s="288"/>
      <c r="N65" s="288"/>
      <c r="O65" s="288"/>
      <c r="P65" s="288"/>
      <c r="Q65" s="288"/>
      <c r="R65" s="288"/>
      <c r="S65" s="288"/>
      <c r="T65" s="288"/>
      <c r="U65" s="288"/>
      <c r="V65" s="288"/>
      <c r="W65" s="288"/>
      <c r="X65" s="288"/>
      <c r="Y65" s="288"/>
      <c r="Z65" s="288"/>
      <c r="AA65" s="288"/>
      <c r="AB65" s="288"/>
      <c r="AC65" s="288"/>
      <c r="AD65" s="288"/>
      <c r="AE65" s="288"/>
      <c r="AF65" s="288"/>
      <c r="AG65" s="288"/>
      <c r="AH65" s="288"/>
      <c r="AI65" s="289"/>
      <c r="AK65" s="425"/>
      <c r="AL65" s="425"/>
      <c r="AM65" s="425"/>
      <c r="AN65" s="425"/>
      <c r="AO65" s="425"/>
      <c r="AP65" s="425"/>
      <c r="AQ65" s="42"/>
      <c r="AR65" s="43"/>
      <c r="AS65" s="43"/>
      <c r="AT65" s="43"/>
      <c r="AU65" s="43"/>
      <c r="AV65" s="43"/>
      <c r="AW65" s="43"/>
      <c r="AX65" s="43"/>
      <c r="AY65" s="43"/>
      <c r="AZ65" s="43"/>
      <c r="BH65" s="50"/>
      <c r="BI65" s="51"/>
    </row>
    <row r="66" spans="1:61" ht="18" customHeight="1">
      <c r="A66" s="36"/>
      <c r="B66" s="404"/>
      <c r="C66" s="404"/>
      <c r="D66" s="404"/>
      <c r="E66" s="404"/>
      <c r="F66" s="288"/>
      <c r="G66" s="288"/>
      <c r="H66" s="288"/>
      <c r="I66" s="288"/>
      <c r="J66" s="288"/>
      <c r="K66" s="288"/>
      <c r="L66" s="288"/>
      <c r="M66" s="288"/>
      <c r="N66" s="288"/>
      <c r="O66" s="288"/>
      <c r="P66" s="288"/>
      <c r="Q66" s="288"/>
      <c r="R66" s="288"/>
      <c r="S66" s="288"/>
      <c r="T66" s="288"/>
      <c r="U66" s="288"/>
      <c r="V66" s="288"/>
      <c r="W66" s="288"/>
      <c r="X66" s="288"/>
      <c r="Y66" s="288"/>
      <c r="Z66" s="288"/>
      <c r="AA66" s="288"/>
      <c r="AB66" s="288"/>
      <c r="AC66" s="288"/>
      <c r="AD66" s="288"/>
      <c r="AE66" s="288"/>
      <c r="AF66" s="288"/>
      <c r="AG66" s="288"/>
      <c r="AH66" s="288"/>
      <c r="AI66" s="289"/>
      <c r="AK66" s="425"/>
      <c r="AL66" s="425"/>
      <c r="AM66" s="425"/>
      <c r="AN66" s="425"/>
      <c r="AO66" s="425"/>
      <c r="AP66" s="425"/>
      <c r="AQ66" s="42"/>
      <c r="AR66" s="43"/>
      <c r="AS66" s="43"/>
      <c r="AT66" s="43"/>
      <c r="AU66" s="43"/>
      <c r="AV66" s="43"/>
      <c r="AW66" s="43"/>
      <c r="AX66" s="43"/>
      <c r="AY66" s="43"/>
      <c r="AZ66" s="43"/>
      <c r="BH66" s="50"/>
      <c r="BI66" s="51"/>
    </row>
    <row r="67" spans="1:61" ht="18" customHeight="1">
      <c r="A67" s="36"/>
      <c r="B67" s="404"/>
      <c r="C67" s="404"/>
      <c r="D67" s="404"/>
      <c r="E67" s="404"/>
      <c r="F67" s="288"/>
      <c r="G67" s="288"/>
      <c r="H67" s="288"/>
      <c r="I67" s="288"/>
      <c r="J67" s="288"/>
      <c r="K67" s="288"/>
      <c r="L67" s="288"/>
      <c r="M67" s="288"/>
      <c r="N67" s="288"/>
      <c r="O67" s="288"/>
      <c r="P67" s="288"/>
      <c r="Q67" s="288"/>
      <c r="R67" s="288"/>
      <c r="S67" s="288"/>
      <c r="T67" s="288"/>
      <c r="U67" s="288"/>
      <c r="V67" s="288"/>
      <c r="W67" s="288"/>
      <c r="X67" s="288"/>
      <c r="Y67" s="288"/>
      <c r="Z67" s="288"/>
      <c r="AA67" s="288"/>
      <c r="AB67" s="288"/>
      <c r="AC67" s="288"/>
      <c r="AD67" s="288"/>
      <c r="AE67" s="288"/>
      <c r="AF67" s="288"/>
      <c r="AG67" s="288"/>
      <c r="AH67" s="288"/>
      <c r="AI67" s="289"/>
      <c r="AK67" s="425"/>
      <c r="AL67" s="425"/>
      <c r="AM67" s="425"/>
      <c r="AN67" s="425"/>
      <c r="AO67" s="425"/>
      <c r="AP67" s="425"/>
      <c r="AQ67" s="67"/>
      <c r="AR67" s="43"/>
      <c r="AS67" s="43"/>
      <c r="AT67" s="43"/>
      <c r="AU67" s="43"/>
      <c r="AV67" s="43"/>
      <c r="AW67" s="43"/>
      <c r="AX67" s="43"/>
      <c r="AY67" s="43"/>
      <c r="AZ67" s="43"/>
      <c r="BH67" s="50"/>
      <c r="BI67" s="51"/>
    </row>
    <row r="68" spans="1:61" ht="18" customHeight="1">
      <c r="A68" s="36"/>
      <c r="B68" s="404"/>
      <c r="C68" s="404"/>
      <c r="D68" s="404"/>
      <c r="E68" s="404"/>
      <c r="F68" s="288"/>
      <c r="G68" s="288"/>
      <c r="H68" s="288"/>
      <c r="I68" s="288"/>
      <c r="J68" s="288"/>
      <c r="K68" s="288"/>
      <c r="L68" s="288"/>
      <c r="M68" s="288"/>
      <c r="N68" s="288"/>
      <c r="O68" s="288"/>
      <c r="P68" s="288"/>
      <c r="Q68" s="288"/>
      <c r="R68" s="288"/>
      <c r="S68" s="288"/>
      <c r="T68" s="288"/>
      <c r="U68" s="288"/>
      <c r="V68" s="288"/>
      <c r="W68" s="288"/>
      <c r="X68" s="288"/>
      <c r="Y68" s="288"/>
      <c r="Z68" s="288"/>
      <c r="AA68" s="288"/>
      <c r="AB68" s="288"/>
      <c r="AC68" s="288"/>
      <c r="AD68" s="288"/>
      <c r="AE68" s="288"/>
      <c r="AF68" s="288"/>
      <c r="AG68" s="288"/>
      <c r="AH68" s="288"/>
      <c r="AI68" s="289"/>
      <c r="AK68" s="425"/>
      <c r="AL68" s="425"/>
      <c r="AM68" s="425"/>
      <c r="AN68" s="425"/>
      <c r="AO68" s="425"/>
      <c r="AP68" s="425"/>
      <c r="AQ68" s="67"/>
      <c r="AR68" s="43"/>
      <c r="AS68" s="43"/>
      <c r="AT68" s="43"/>
      <c r="AU68" s="43"/>
      <c r="AV68" s="43"/>
      <c r="AW68" s="43"/>
      <c r="AX68" s="43"/>
      <c r="AY68" s="43"/>
      <c r="AZ68" s="43"/>
      <c r="BH68" s="50"/>
      <c r="BI68" s="51"/>
    </row>
    <row r="69" spans="1:61" ht="18" customHeight="1">
      <c r="A69" s="36"/>
      <c r="B69" s="404"/>
      <c r="C69" s="404"/>
      <c r="D69" s="404"/>
      <c r="E69" s="404"/>
      <c r="F69" s="288"/>
      <c r="G69" s="288"/>
      <c r="H69" s="288"/>
      <c r="I69" s="288"/>
      <c r="J69" s="288"/>
      <c r="K69" s="288"/>
      <c r="L69" s="288"/>
      <c r="M69" s="288"/>
      <c r="N69" s="288"/>
      <c r="O69" s="288"/>
      <c r="P69" s="288"/>
      <c r="Q69" s="288"/>
      <c r="R69" s="288"/>
      <c r="S69" s="288"/>
      <c r="T69" s="288"/>
      <c r="U69" s="288"/>
      <c r="V69" s="288"/>
      <c r="W69" s="288"/>
      <c r="X69" s="288"/>
      <c r="Y69" s="288"/>
      <c r="Z69" s="288"/>
      <c r="AA69" s="288"/>
      <c r="AB69" s="288"/>
      <c r="AC69" s="288"/>
      <c r="AD69" s="288"/>
      <c r="AE69" s="288"/>
      <c r="AF69" s="288"/>
      <c r="AG69" s="288"/>
      <c r="AH69" s="288"/>
      <c r="AI69" s="289"/>
      <c r="AK69" s="425"/>
      <c r="AL69" s="425"/>
      <c r="AM69" s="425"/>
      <c r="AN69" s="425"/>
      <c r="AO69" s="425"/>
      <c r="AP69" s="425"/>
      <c r="AQ69" s="42"/>
      <c r="AR69" s="43"/>
      <c r="AS69" s="43"/>
      <c r="AT69" s="43"/>
      <c r="AU69" s="43"/>
      <c r="AV69" s="43"/>
      <c r="AW69" s="43"/>
      <c r="AX69" s="43"/>
      <c r="AY69" s="43"/>
      <c r="AZ69" s="43"/>
      <c r="BH69" s="50"/>
      <c r="BI69" s="51"/>
    </row>
    <row r="70" spans="1:61" ht="18" customHeight="1">
      <c r="A70" s="36"/>
      <c r="B70" s="404"/>
      <c r="C70" s="404"/>
      <c r="D70" s="404"/>
      <c r="E70" s="404"/>
      <c r="F70" s="288"/>
      <c r="G70" s="288"/>
      <c r="H70" s="288"/>
      <c r="I70" s="288"/>
      <c r="J70" s="288"/>
      <c r="K70" s="288"/>
      <c r="L70" s="288"/>
      <c r="M70" s="288"/>
      <c r="N70" s="288"/>
      <c r="O70" s="288"/>
      <c r="P70" s="288"/>
      <c r="Q70" s="288"/>
      <c r="R70" s="288"/>
      <c r="S70" s="288"/>
      <c r="T70" s="288"/>
      <c r="U70" s="288"/>
      <c r="V70" s="288"/>
      <c r="W70" s="288"/>
      <c r="X70" s="288"/>
      <c r="Y70" s="288"/>
      <c r="Z70" s="288"/>
      <c r="AA70" s="288"/>
      <c r="AB70" s="288"/>
      <c r="AC70" s="288"/>
      <c r="AD70" s="288"/>
      <c r="AE70" s="288"/>
      <c r="AF70" s="288"/>
      <c r="AG70" s="288"/>
      <c r="AH70" s="288"/>
      <c r="AI70" s="289"/>
      <c r="AK70" s="425"/>
      <c r="AL70" s="425"/>
      <c r="AM70" s="425"/>
      <c r="AN70" s="425"/>
      <c r="AO70" s="425"/>
      <c r="AP70" s="425"/>
      <c r="AQ70" s="42"/>
      <c r="AR70" s="43"/>
      <c r="AS70" s="43"/>
      <c r="AT70" s="43"/>
      <c r="AU70" s="43"/>
      <c r="AV70" s="43"/>
      <c r="AW70" s="43"/>
      <c r="AX70" s="43"/>
      <c r="AY70" s="43"/>
      <c r="AZ70" s="43"/>
      <c r="BH70" s="50"/>
      <c r="BI70" s="51"/>
    </row>
    <row r="71" spans="1:61" ht="18" customHeight="1">
      <c r="A71" s="36"/>
      <c r="B71" s="404"/>
      <c r="C71" s="404"/>
      <c r="D71" s="404"/>
      <c r="E71" s="404"/>
      <c r="F71" s="288"/>
      <c r="G71" s="288"/>
      <c r="H71" s="288"/>
      <c r="I71" s="288"/>
      <c r="J71" s="288"/>
      <c r="K71" s="288"/>
      <c r="L71" s="288"/>
      <c r="M71" s="288"/>
      <c r="N71" s="288"/>
      <c r="O71" s="288"/>
      <c r="P71" s="288"/>
      <c r="Q71" s="288"/>
      <c r="R71" s="288"/>
      <c r="S71" s="288"/>
      <c r="T71" s="288"/>
      <c r="U71" s="288"/>
      <c r="V71" s="288"/>
      <c r="W71" s="288"/>
      <c r="X71" s="288"/>
      <c r="Y71" s="288"/>
      <c r="Z71" s="288"/>
      <c r="AA71" s="288"/>
      <c r="AB71" s="288"/>
      <c r="AC71" s="288"/>
      <c r="AD71" s="288"/>
      <c r="AE71" s="288"/>
      <c r="AF71" s="288"/>
      <c r="AG71" s="288"/>
      <c r="AH71" s="288"/>
      <c r="AI71" s="289"/>
      <c r="AK71" s="425"/>
      <c r="AL71" s="425"/>
      <c r="AM71" s="425"/>
      <c r="AN71" s="425"/>
      <c r="AO71" s="425"/>
      <c r="AP71" s="425"/>
      <c r="AQ71" s="42"/>
      <c r="AR71" s="43"/>
      <c r="AS71" s="43"/>
      <c r="AT71" s="43"/>
      <c r="AU71" s="43"/>
      <c r="AV71" s="43"/>
      <c r="AW71" s="43"/>
      <c r="AX71" s="43"/>
      <c r="AY71" s="43"/>
      <c r="AZ71" s="43"/>
      <c r="BH71" s="52"/>
      <c r="BI71" s="51"/>
    </row>
    <row r="72" spans="1:61" ht="18" customHeight="1">
      <c r="A72" s="36"/>
      <c r="B72" s="404"/>
      <c r="C72" s="404"/>
      <c r="D72" s="404"/>
      <c r="E72" s="404"/>
      <c r="F72" s="288"/>
      <c r="G72" s="288"/>
      <c r="H72" s="288"/>
      <c r="I72" s="288"/>
      <c r="J72" s="288"/>
      <c r="K72" s="288"/>
      <c r="L72" s="288"/>
      <c r="M72" s="288"/>
      <c r="N72" s="288"/>
      <c r="O72" s="288"/>
      <c r="P72" s="288"/>
      <c r="Q72" s="288"/>
      <c r="R72" s="288"/>
      <c r="S72" s="288"/>
      <c r="T72" s="288"/>
      <c r="U72" s="288"/>
      <c r="V72" s="288"/>
      <c r="W72" s="288"/>
      <c r="X72" s="288"/>
      <c r="Y72" s="288"/>
      <c r="Z72" s="288"/>
      <c r="AA72" s="288"/>
      <c r="AB72" s="288"/>
      <c r="AC72" s="288"/>
      <c r="AD72" s="288"/>
      <c r="AE72" s="288"/>
      <c r="AF72" s="288"/>
      <c r="AG72" s="288"/>
      <c r="AH72" s="288"/>
      <c r="AI72" s="289"/>
      <c r="AK72" s="425"/>
      <c r="AL72" s="425"/>
      <c r="AM72" s="425"/>
      <c r="AN72" s="425"/>
      <c r="AO72" s="425"/>
      <c r="AP72" s="425"/>
      <c r="AQ72" s="42"/>
      <c r="AR72" s="43"/>
      <c r="AS72" s="43"/>
      <c r="AT72" s="43"/>
      <c r="AU72" s="43"/>
      <c r="AV72" s="43"/>
      <c r="AW72" s="43"/>
      <c r="AX72" s="43"/>
      <c r="AY72" s="43"/>
      <c r="AZ72" s="43"/>
      <c r="BH72" s="53"/>
      <c r="BI72" s="51"/>
    </row>
    <row r="73" spans="1:61" ht="18" customHeight="1">
      <c r="A73" s="36"/>
      <c r="B73" s="404"/>
      <c r="C73" s="404"/>
      <c r="D73" s="404"/>
      <c r="E73" s="404"/>
      <c r="F73" s="288"/>
      <c r="G73" s="288"/>
      <c r="H73" s="288"/>
      <c r="I73" s="288"/>
      <c r="J73" s="288"/>
      <c r="K73" s="288"/>
      <c r="L73" s="288"/>
      <c r="M73" s="288"/>
      <c r="N73" s="288"/>
      <c r="O73" s="288"/>
      <c r="P73" s="288"/>
      <c r="Q73" s="288"/>
      <c r="R73" s="288"/>
      <c r="S73" s="288"/>
      <c r="T73" s="288"/>
      <c r="U73" s="288"/>
      <c r="V73" s="288"/>
      <c r="W73" s="288"/>
      <c r="X73" s="288"/>
      <c r="Y73" s="288"/>
      <c r="Z73" s="288"/>
      <c r="AA73" s="288"/>
      <c r="AB73" s="288"/>
      <c r="AC73" s="288"/>
      <c r="AD73" s="288"/>
      <c r="AE73" s="288"/>
      <c r="AF73" s="288"/>
      <c r="AG73" s="288"/>
      <c r="AH73" s="288"/>
      <c r="AI73" s="289"/>
      <c r="AK73" s="425"/>
      <c r="AL73" s="425"/>
      <c r="AM73" s="425"/>
      <c r="AN73" s="425"/>
      <c r="AO73" s="425"/>
      <c r="AP73" s="425"/>
      <c r="AQ73" s="42"/>
      <c r="AR73" s="43"/>
      <c r="AS73" s="43"/>
      <c r="AT73" s="43"/>
      <c r="AU73" s="43"/>
      <c r="AV73" s="43"/>
      <c r="AW73" s="43"/>
      <c r="AX73" s="43"/>
      <c r="AY73" s="43"/>
      <c r="AZ73" s="43"/>
      <c r="BH73" s="54"/>
      <c r="BI73" s="51"/>
    </row>
    <row r="74" spans="1:61" ht="18" customHeight="1">
      <c r="A74" s="36"/>
      <c r="B74" s="404"/>
      <c r="C74" s="404"/>
      <c r="D74" s="404"/>
      <c r="E74" s="404"/>
      <c r="F74" s="288"/>
      <c r="G74" s="288"/>
      <c r="H74" s="288"/>
      <c r="I74" s="288"/>
      <c r="J74" s="288"/>
      <c r="K74" s="288"/>
      <c r="L74" s="288"/>
      <c r="M74" s="288"/>
      <c r="N74" s="288"/>
      <c r="O74" s="288"/>
      <c r="P74" s="288"/>
      <c r="Q74" s="288"/>
      <c r="R74" s="288"/>
      <c r="S74" s="288"/>
      <c r="T74" s="288"/>
      <c r="U74" s="288"/>
      <c r="V74" s="288"/>
      <c r="W74" s="288"/>
      <c r="X74" s="288"/>
      <c r="Y74" s="288"/>
      <c r="Z74" s="288"/>
      <c r="AA74" s="288"/>
      <c r="AB74" s="288"/>
      <c r="AC74" s="288"/>
      <c r="AD74" s="288"/>
      <c r="AE74" s="288"/>
      <c r="AF74" s="288"/>
      <c r="AG74" s="288"/>
      <c r="AH74" s="288"/>
      <c r="AI74" s="289"/>
      <c r="AK74" s="425"/>
      <c r="AL74" s="425"/>
      <c r="AM74" s="425"/>
      <c r="AN74" s="425"/>
      <c r="AO74" s="425"/>
      <c r="AP74" s="425"/>
      <c r="AQ74" s="42"/>
      <c r="AR74" s="43"/>
      <c r="AS74" s="43"/>
      <c r="AT74" s="43"/>
      <c r="AU74" s="43"/>
      <c r="AV74" s="43"/>
      <c r="AW74" s="43"/>
      <c r="AX74" s="43"/>
      <c r="AY74" s="43"/>
      <c r="AZ74" s="43"/>
      <c r="BH74" s="54"/>
      <c r="BI74" s="51"/>
    </row>
    <row r="75" spans="1:61" ht="18" customHeight="1">
      <c r="A75" s="36"/>
      <c r="B75" s="404"/>
      <c r="C75" s="404"/>
      <c r="D75" s="404"/>
      <c r="E75" s="404"/>
      <c r="F75" s="288"/>
      <c r="G75" s="288"/>
      <c r="H75" s="288"/>
      <c r="I75" s="288"/>
      <c r="J75" s="288"/>
      <c r="K75" s="288"/>
      <c r="L75" s="288"/>
      <c r="M75" s="288"/>
      <c r="N75" s="288"/>
      <c r="O75" s="288"/>
      <c r="P75" s="288"/>
      <c r="Q75" s="288"/>
      <c r="R75" s="288"/>
      <c r="S75" s="288"/>
      <c r="T75" s="288"/>
      <c r="U75" s="288"/>
      <c r="V75" s="288"/>
      <c r="W75" s="288"/>
      <c r="X75" s="288"/>
      <c r="Y75" s="288"/>
      <c r="Z75" s="288"/>
      <c r="AA75" s="288"/>
      <c r="AB75" s="288"/>
      <c r="AC75" s="288"/>
      <c r="AD75" s="288"/>
      <c r="AE75" s="288"/>
      <c r="AF75" s="288"/>
      <c r="AG75" s="288"/>
      <c r="AH75" s="288"/>
      <c r="AI75" s="289"/>
      <c r="AK75" s="425"/>
      <c r="AL75" s="425"/>
      <c r="AM75" s="425"/>
      <c r="AN75" s="425"/>
      <c r="AO75" s="425"/>
      <c r="AP75" s="425"/>
      <c r="AQ75" s="42"/>
      <c r="AR75" s="43"/>
      <c r="AS75" s="43"/>
      <c r="AT75" s="43"/>
      <c r="AU75" s="43"/>
      <c r="AV75" s="43"/>
      <c r="AW75" s="43"/>
      <c r="AX75" s="43"/>
      <c r="AY75" s="43"/>
      <c r="AZ75" s="43"/>
      <c r="BH75" s="53"/>
      <c r="BI75" s="51"/>
    </row>
    <row r="76" spans="1:61" ht="18" customHeight="1">
      <c r="A76" s="36"/>
      <c r="B76" s="404"/>
      <c r="C76" s="404"/>
      <c r="D76" s="404"/>
      <c r="E76" s="404"/>
      <c r="F76" s="288"/>
      <c r="G76" s="288"/>
      <c r="H76" s="288"/>
      <c r="I76" s="288"/>
      <c r="J76" s="288"/>
      <c r="K76" s="288"/>
      <c r="L76" s="288"/>
      <c r="M76" s="288"/>
      <c r="N76" s="288"/>
      <c r="O76" s="288"/>
      <c r="P76" s="288"/>
      <c r="Q76" s="288"/>
      <c r="R76" s="288"/>
      <c r="S76" s="288"/>
      <c r="T76" s="288"/>
      <c r="U76" s="288"/>
      <c r="V76" s="288"/>
      <c r="W76" s="288"/>
      <c r="X76" s="288"/>
      <c r="Y76" s="288"/>
      <c r="Z76" s="288"/>
      <c r="AA76" s="288"/>
      <c r="AB76" s="288"/>
      <c r="AC76" s="288"/>
      <c r="AD76" s="288"/>
      <c r="AE76" s="288"/>
      <c r="AF76" s="288"/>
      <c r="AG76" s="288"/>
      <c r="AH76" s="288"/>
      <c r="AI76" s="289"/>
      <c r="AK76" s="425"/>
      <c r="AL76" s="425"/>
      <c r="AM76" s="425"/>
      <c r="AN76" s="425"/>
      <c r="AO76" s="425"/>
      <c r="AP76" s="425"/>
      <c r="AQ76" s="42"/>
      <c r="AR76" s="43"/>
      <c r="AS76" s="43"/>
      <c r="AT76" s="43"/>
      <c r="AU76" s="43"/>
      <c r="AV76" s="43"/>
      <c r="AW76" s="43"/>
      <c r="AX76" s="43"/>
      <c r="AY76" s="43"/>
      <c r="AZ76" s="43"/>
      <c r="BH76" s="53"/>
      <c r="BI76" s="51"/>
    </row>
    <row r="77" spans="1:61" ht="18" customHeight="1">
      <c r="A77" s="36"/>
      <c r="B77" s="404"/>
      <c r="C77" s="404"/>
      <c r="D77" s="404"/>
      <c r="E77" s="404"/>
      <c r="F77" s="288"/>
      <c r="G77" s="288"/>
      <c r="H77" s="288"/>
      <c r="I77" s="288"/>
      <c r="J77" s="288"/>
      <c r="K77" s="288"/>
      <c r="L77" s="288"/>
      <c r="M77" s="288"/>
      <c r="N77" s="288"/>
      <c r="O77" s="288"/>
      <c r="P77" s="288"/>
      <c r="Q77" s="288"/>
      <c r="R77" s="288"/>
      <c r="S77" s="288"/>
      <c r="T77" s="288"/>
      <c r="U77" s="288"/>
      <c r="V77" s="288"/>
      <c r="W77" s="288"/>
      <c r="X77" s="288"/>
      <c r="Y77" s="288"/>
      <c r="Z77" s="288"/>
      <c r="AA77" s="288"/>
      <c r="AB77" s="288"/>
      <c r="AC77" s="288"/>
      <c r="AD77" s="288"/>
      <c r="AE77" s="288"/>
      <c r="AF77" s="288"/>
      <c r="AG77" s="288"/>
      <c r="AH77" s="288"/>
      <c r="AI77" s="289"/>
      <c r="AK77" s="425"/>
      <c r="AL77" s="425"/>
      <c r="AM77" s="425"/>
      <c r="AN77" s="425"/>
      <c r="AO77" s="425"/>
      <c r="AP77" s="425"/>
      <c r="AQ77" s="42"/>
      <c r="AR77" s="43"/>
      <c r="AS77" s="43"/>
      <c r="AT77" s="43"/>
      <c r="AU77" s="43"/>
      <c r="AV77" s="43"/>
      <c r="AW77" s="43"/>
      <c r="AX77" s="43"/>
      <c r="AY77" s="43"/>
      <c r="AZ77" s="43"/>
      <c r="BH77" s="54"/>
      <c r="BI77" s="51"/>
    </row>
    <row r="78" spans="1:61" ht="18" customHeight="1">
      <c r="A78" s="36"/>
      <c r="B78" s="404"/>
      <c r="C78" s="404"/>
      <c r="D78" s="404"/>
      <c r="E78" s="404"/>
      <c r="F78" s="288"/>
      <c r="G78" s="288"/>
      <c r="H78" s="288"/>
      <c r="I78" s="288"/>
      <c r="J78" s="288"/>
      <c r="K78" s="288"/>
      <c r="L78" s="288"/>
      <c r="M78" s="288"/>
      <c r="N78" s="288"/>
      <c r="O78" s="288"/>
      <c r="P78" s="288"/>
      <c r="Q78" s="288"/>
      <c r="R78" s="288"/>
      <c r="S78" s="288"/>
      <c r="T78" s="288"/>
      <c r="U78" s="288"/>
      <c r="V78" s="288"/>
      <c r="W78" s="288"/>
      <c r="X78" s="288"/>
      <c r="Y78" s="288"/>
      <c r="Z78" s="288"/>
      <c r="AA78" s="288"/>
      <c r="AB78" s="288"/>
      <c r="AC78" s="288"/>
      <c r="AD78" s="288"/>
      <c r="AE78" s="288"/>
      <c r="AF78" s="288"/>
      <c r="AG78" s="288"/>
      <c r="AH78" s="288"/>
      <c r="AI78" s="289"/>
      <c r="AK78" s="425"/>
      <c r="AL78" s="425"/>
      <c r="AM78" s="425"/>
      <c r="AN78" s="425"/>
      <c r="AO78" s="425"/>
      <c r="AP78" s="425"/>
      <c r="AQ78" s="42"/>
      <c r="AR78" s="43"/>
      <c r="AS78" s="43"/>
      <c r="AT78" s="43"/>
      <c r="AU78" s="43"/>
      <c r="AV78" s="43"/>
      <c r="AW78" s="43"/>
      <c r="AX78" s="43"/>
      <c r="AY78" s="43"/>
      <c r="AZ78" s="43"/>
      <c r="BH78" s="54"/>
      <c r="BI78" s="51"/>
    </row>
    <row r="79" spans="1:61" ht="18" customHeight="1">
      <c r="A79" s="36"/>
      <c r="B79" s="404"/>
      <c r="C79" s="404"/>
      <c r="D79" s="404"/>
      <c r="E79" s="404"/>
      <c r="F79" s="288"/>
      <c r="G79" s="288"/>
      <c r="H79" s="288"/>
      <c r="I79" s="288"/>
      <c r="J79" s="288"/>
      <c r="K79" s="288"/>
      <c r="L79" s="288"/>
      <c r="M79" s="288"/>
      <c r="N79" s="288"/>
      <c r="O79" s="288"/>
      <c r="P79" s="288"/>
      <c r="Q79" s="288"/>
      <c r="R79" s="288"/>
      <c r="S79" s="288"/>
      <c r="T79" s="288"/>
      <c r="U79" s="288"/>
      <c r="V79" s="288"/>
      <c r="W79" s="288"/>
      <c r="X79" s="288"/>
      <c r="Y79" s="288"/>
      <c r="Z79" s="288"/>
      <c r="AA79" s="288"/>
      <c r="AB79" s="288"/>
      <c r="AC79" s="288"/>
      <c r="AD79" s="288"/>
      <c r="AE79" s="288"/>
      <c r="AF79" s="288"/>
      <c r="AG79" s="288"/>
      <c r="AH79" s="288"/>
      <c r="AI79" s="289"/>
      <c r="AK79" s="425"/>
      <c r="AL79" s="425"/>
      <c r="AM79" s="425"/>
      <c r="AN79" s="425"/>
      <c r="AO79" s="425"/>
      <c r="AP79" s="425"/>
      <c r="AQ79" s="42"/>
      <c r="AR79" s="43"/>
      <c r="AS79" s="43"/>
      <c r="AT79" s="43"/>
      <c r="AU79" s="43"/>
      <c r="AV79" s="43"/>
      <c r="AW79" s="43"/>
      <c r="AX79" s="43"/>
      <c r="AY79" s="43"/>
      <c r="AZ79" s="43"/>
      <c r="BH79" s="54"/>
      <c r="BI79" s="51"/>
    </row>
    <row r="80" spans="1:61" ht="18" customHeight="1">
      <c r="A80" s="37"/>
      <c r="B80" s="466"/>
      <c r="C80" s="466"/>
      <c r="D80" s="466"/>
      <c r="E80" s="466"/>
      <c r="F80" s="467"/>
      <c r="G80" s="467"/>
      <c r="H80" s="467"/>
      <c r="I80" s="467"/>
      <c r="J80" s="467"/>
      <c r="K80" s="467"/>
      <c r="L80" s="467"/>
      <c r="M80" s="467"/>
      <c r="N80" s="467"/>
      <c r="O80" s="467"/>
      <c r="P80" s="467"/>
      <c r="Q80" s="467"/>
      <c r="R80" s="467"/>
      <c r="S80" s="467"/>
      <c r="T80" s="467"/>
      <c r="U80" s="467"/>
      <c r="V80" s="467"/>
      <c r="W80" s="467"/>
      <c r="X80" s="467"/>
      <c r="Y80" s="467"/>
      <c r="Z80" s="467"/>
      <c r="AA80" s="467"/>
      <c r="AB80" s="467"/>
      <c r="AC80" s="467"/>
      <c r="AD80" s="467"/>
      <c r="AE80" s="467"/>
      <c r="AF80" s="467"/>
      <c r="AG80" s="467"/>
      <c r="AH80" s="467"/>
      <c r="AI80" s="468"/>
      <c r="AK80" s="425"/>
      <c r="AL80" s="425"/>
      <c r="AM80" s="425"/>
      <c r="AN80" s="425"/>
      <c r="AO80" s="425"/>
      <c r="AP80" s="425"/>
      <c r="AQ80" s="42"/>
      <c r="AR80" s="43"/>
      <c r="AS80" s="43"/>
      <c r="AT80" s="43"/>
      <c r="AU80" s="43"/>
      <c r="AV80" s="43"/>
      <c r="AW80" s="43"/>
      <c r="AX80" s="43"/>
      <c r="AY80" s="43"/>
      <c r="AZ80" s="43"/>
      <c r="BH80" s="54"/>
      <c r="BI80" s="51"/>
    </row>
    <row r="81" spans="1:61" ht="18" customHeight="1">
      <c r="A81" s="406" t="s">
        <v>704</v>
      </c>
      <c r="B81" s="407"/>
      <c r="C81" s="407"/>
      <c r="D81" s="407"/>
      <c r="E81" s="407"/>
      <c r="F81" s="407"/>
      <c r="G81" s="407"/>
      <c r="H81" s="407"/>
      <c r="I81" s="407"/>
      <c r="J81" s="407"/>
      <c r="K81" s="407"/>
      <c r="L81" s="407"/>
      <c r="M81" s="407"/>
      <c r="N81" s="407"/>
      <c r="O81" s="407"/>
      <c r="P81" s="407"/>
      <c r="Q81" s="407"/>
      <c r="R81" s="407"/>
      <c r="S81" s="407"/>
      <c r="T81" s="407"/>
      <c r="U81" s="407"/>
      <c r="V81" s="407"/>
      <c r="W81" s="407"/>
      <c r="X81" s="407"/>
      <c r="Y81" s="407"/>
      <c r="Z81" s="407"/>
      <c r="AA81" s="407"/>
      <c r="AB81" s="407"/>
      <c r="AC81" s="407"/>
      <c r="AD81" s="407"/>
      <c r="AE81" s="407"/>
      <c r="AF81" s="407"/>
      <c r="AG81" s="407"/>
      <c r="AH81" s="407"/>
      <c r="AI81" s="408"/>
      <c r="AK81" s="425"/>
      <c r="AL81" s="425"/>
      <c r="AM81" s="425"/>
      <c r="AN81" s="425"/>
      <c r="AO81" s="425"/>
      <c r="AP81" s="425"/>
      <c r="AQ81" s="42"/>
      <c r="AR81" s="43"/>
      <c r="AS81" s="43"/>
      <c r="AT81" s="43"/>
      <c r="AU81" s="43"/>
      <c r="AV81" s="43"/>
      <c r="AW81" s="43"/>
      <c r="AX81" s="43"/>
      <c r="AY81" s="43"/>
      <c r="AZ81" s="43"/>
      <c r="BH81" s="53"/>
      <c r="BI81" s="51"/>
    </row>
    <row r="82" spans="1:61" ht="18" customHeight="1">
      <c r="A82" s="38"/>
      <c r="B82" s="465">
        <v>45644</v>
      </c>
      <c r="C82" s="465"/>
      <c r="D82" s="465"/>
      <c r="E82" s="465"/>
      <c r="F82" s="288" t="s">
        <v>837</v>
      </c>
      <c r="G82" s="288"/>
      <c r="H82" s="288"/>
      <c r="I82" s="288"/>
      <c r="J82" s="288"/>
      <c r="K82" s="288"/>
      <c r="L82" s="288"/>
      <c r="M82" s="288"/>
      <c r="N82" s="288"/>
      <c r="O82" s="288"/>
      <c r="P82" s="288"/>
      <c r="Q82" s="288"/>
      <c r="R82" s="288"/>
      <c r="S82" s="288"/>
      <c r="T82" s="288"/>
      <c r="U82" s="288"/>
      <c r="V82" s="288"/>
      <c r="W82" s="288"/>
      <c r="X82" s="288"/>
      <c r="Y82" s="288"/>
      <c r="Z82" s="288"/>
      <c r="AA82" s="288"/>
      <c r="AB82" s="288"/>
      <c r="AC82" s="288"/>
      <c r="AD82" s="288"/>
      <c r="AE82" s="288"/>
      <c r="AF82" s="288"/>
      <c r="AG82" s="288"/>
      <c r="AH82" s="288"/>
      <c r="AI82" s="289"/>
      <c r="AK82" s="425"/>
      <c r="AL82" s="425"/>
      <c r="AM82" s="425"/>
      <c r="AN82" s="425"/>
      <c r="AO82" s="425"/>
      <c r="AP82" s="425"/>
      <c r="AQ82" s="42"/>
      <c r="AR82" s="43"/>
      <c r="AS82" s="43"/>
      <c r="AT82" s="43"/>
      <c r="AU82" s="43"/>
      <c r="AV82" s="43"/>
      <c r="AW82" s="43"/>
      <c r="AX82" s="43"/>
      <c r="AY82" s="43"/>
      <c r="AZ82" s="43"/>
      <c r="BH82" s="53"/>
      <c r="BI82" s="51"/>
    </row>
    <row r="83" spans="1:61" ht="18" customHeight="1">
      <c r="A83" s="38"/>
      <c r="B83" s="465">
        <v>46160</v>
      </c>
      <c r="C83" s="465"/>
      <c r="D83" s="465"/>
      <c r="E83" s="465"/>
      <c r="F83" s="288" t="s">
        <v>838</v>
      </c>
      <c r="G83" s="288"/>
      <c r="H83" s="288"/>
      <c r="I83" s="288"/>
      <c r="J83" s="288"/>
      <c r="K83" s="288"/>
      <c r="L83" s="288"/>
      <c r="M83" s="288"/>
      <c r="N83" s="288"/>
      <c r="O83" s="288"/>
      <c r="P83" s="288"/>
      <c r="Q83" s="288"/>
      <c r="R83" s="288"/>
      <c r="S83" s="288"/>
      <c r="T83" s="288"/>
      <c r="U83" s="288"/>
      <c r="V83" s="288"/>
      <c r="W83" s="288"/>
      <c r="X83" s="288"/>
      <c r="Y83" s="288"/>
      <c r="Z83" s="288"/>
      <c r="AA83" s="288"/>
      <c r="AB83" s="288"/>
      <c r="AC83" s="288"/>
      <c r="AD83" s="288"/>
      <c r="AE83" s="288"/>
      <c r="AF83" s="288"/>
      <c r="AG83" s="288"/>
      <c r="AH83" s="288"/>
      <c r="AI83" s="289"/>
      <c r="AK83" s="425"/>
      <c r="AL83" s="425"/>
      <c r="AM83" s="425"/>
      <c r="AN83" s="425"/>
      <c r="AO83" s="425"/>
      <c r="AP83" s="425"/>
      <c r="AQ83" s="42"/>
      <c r="AR83" s="43"/>
      <c r="AS83" s="43"/>
      <c r="AT83" s="43"/>
      <c r="AU83" s="43"/>
      <c r="AV83" s="43"/>
      <c r="AW83" s="43"/>
      <c r="AX83" s="43"/>
      <c r="AY83" s="43"/>
      <c r="AZ83" s="43"/>
      <c r="BH83" s="53"/>
      <c r="BI83" s="51"/>
    </row>
    <row r="84" spans="1:61" ht="18" customHeight="1">
      <c r="A84" s="38"/>
      <c r="B84" s="465"/>
      <c r="C84" s="465"/>
      <c r="D84" s="465"/>
      <c r="E84" s="465"/>
      <c r="F84" s="288"/>
      <c r="G84" s="288"/>
      <c r="H84" s="288"/>
      <c r="I84" s="288"/>
      <c r="J84" s="288"/>
      <c r="K84" s="288"/>
      <c r="L84" s="288"/>
      <c r="M84" s="288"/>
      <c r="N84" s="288"/>
      <c r="O84" s="288"/>
      <c r="P84" s="288"/>
      <c r="Q84" s="288"/>
      <c r="R84" s="288"/>
      <c r="S84" s="288"/>
      <c r="T84" s="288"/>
      <c r="U84" s="288"/>
      <c r="V84" s="288"/>
      <c r="W84" s="288"/>
      <c r="X84" s="288"/>
      <c r="Y84" s="288"/>
      <c r="Z84" s="288"/>
      <c r="AA84" s="288"/>
      <c r="AB84" s="288"/>
      <c r="AC84" s="288"/>
      <c r="AD84" s="288"/>
      <c r="AE84" s="288"/>
      <c r="AF84" s="288"/>
      <c r="AG84" s="288"/>
      <c r="AH84" s="288"/>
      <c r="AI84" s="289"/>
      <c r="AK84" s="425"/>
      <c r="AL84" s="425"/>
      <c r="AM84" s="425"/>
      <c r="AN84" s="425"/>
      <c r="AO84" s="425"/>
      <c r="AP84" s="425"/>
      <c r="AQ84" s="42"/>
      <c r="AR84" s="43"/>
      <c r="AS84" s="43"/>
      <c r="AT84" s="43"/>
      <c r="AU84" s="43"/>
      <c r="AV84" s="43"/>
      <c r="AW84" s="43"/>
      <c r="AX84" s="43"/>
      <c r="AY84" s="43"/>
      <c r="AZ84" s="43"/>
    </row>
    <row r="85" spans="1:61" ht="18" customHeight="1">
      <c r="A85" s="38"/>
      <c r="B85" s="465"/>
      <c r="C85" s="465"/>
      <c r="D85" s="465"/>
      <c r="E85" s="465"/>
      <c r="F85" s="288"/>
      <c r="G85" s="288"/>
      <c r="H85" s="288"/>
      <c r="I85" s="288"/>
      <c r="J85" s="288"/>
      <c r="K85" s="288"/>
      <c r="L85" s="288"/>
      <c r="M85" s="288"/>
      <c r="N85" s="288"/>
      <c r="O85" s="288"/>
      <c r="P85" s="288"/>
      <c r="Q85" s="288"/>
      <c r="R85" s="288"/>
      <c r="S85" s="288"/>
      <c r="T85" s="288"/>
      <c r="U85" s="288"/>
      <c r="V85" s="288"/>
      <c r="W85" s="288"/>
      <c r="X85" s="288"/>
      <c r="Y85" s="288"/>
      <c r="Z85" s="288"/>
      <c r="AA85" s="288"/>
      <c r="AB85" s="288"/>
      <c r="AC85" s="288"/>
      <c r="AD85" s="288"/>
      <c r="AE85" s="288"/>
      <c r="AF85" s="288"/>
      <c r="AG85" s="288"/>
      <c r="AH85" s="288"/>
      <c r="AI85" s="289"/>
      <c r="AK85" s="425"/>
      <c r="AL85" s="425"/>
      <c r="AM85" s="425"/>
      <c r="AN85" s="425"/>
      <c r="AO85" s="425"/>
      <c r="AP85" s="425"/>
      <c r="AQ85" s="42"/>
      <c r="AR85" s="43"/>
      <c r="AS85" s="43"/>
      <c r="AT85" s="43"/>
      <c r="AU85" s="43"/>
      <c r="AV85" s="43"/>
      <c r="AW85" s="43"/>
      <c r="AX85" s="43"/>
      <c r="AY85" s="43"/>
      <c r="AZ85" s="43"/>
    </row>
    <row r="86" spans="1:61" ht="18" customHeight="1" thickBot="1">
      <c r="A86" s="41"/>
      <c r="B86" s="540"/>
      <c r="C86" s="540"/>
      <c r="D86" s="540"/>
      <c r="E86" s="540"/>
      <c r="F86" s="541"/>
      <c r="G86" s="541"/>
      <c r="H86" s="541"/>
      <c r="I86" s="541"/>
      <c r="J86" s="541"/>
      <c r="K86" s="541"/>
      <c r="L86" s="541"/>
      <c r="M86" s="541"/>
      <c r="N86" s="541"/>
      <c r="O86" s="541"/>
      <c r="P86" s="541"/>
      <c r="Q86" s="541"/>
      <c r="R86" s="541"/>
      <c r="S86" s="541"/>
      <c r="T86" s="541"/>
      <c r="U86" s="541"/>
      <c r="V86" s="541"/>
      <c r="W86" s="541"/>
      <c r="X86" s="541"/>
      <c r="Y86" s="541"/>
      <c r="Z86" s="541"/>
      <c r="AA86" s="541"/>
      <c r="AB86" s="541"/>
      <c r="AC86" s="541"/>
      <c r="AD86" s="541"/>
      <c r="AE86" s="541"/>
      <c r="AF86" s="541"/>
      <c r="AG86" s="541"/>
      <c r="AH86" s="541"/>
      <c r="AI86" s="542"/>
      <c r="AK86" s="425"/>
      <c r="AL86" s="425"/>
      <c r="AM86" s="425"/>
      <c r="AN86" s="425"/>
      <c r="AO86" s="425"/>
      <c r="AP86" s="425"/>
      <c r="AQ86" s="42"/>
      <c r="AR86" s="43"/>
      <c r="AS86" s="43"/>
      <c r="AT86" s="43"/>
      <c r="AU86" s="43"/>
      <c r="AV86" s="43"/>
      <c r="AW86" s="43"/>
      <c r="AX86" s="43"/>
      <c r="AY86" s="43"/>
      <c r="AZ86" s="43"/>
    </row>
    <row r="87" spans="1:61" ht="14.1" customHeight="1">
      <c r="AK87" s="438"/>
      <c r="AL87" s="438"/>
      <c r="AM87" s="438"/>
      <c r="AN87" s="438"/>
      <c r="AO87" s="438"/>
      <c r="AP87" s="438"/>
      <c r="AQ87" s="119"/>
    </row>
    <row r="88" spans="1:61" ht="14.1" customHeight="1">
      <c r="AK88" s="437"/>
      <c r="AL88" s="437"/>
      <c r="AM88" s="437"/>
      <c r="AN88" s="437"/>
      <c r="AO88" s="437"/>
      <c r="AP88" s="437"/>
      <c r="AQ88" s="120"/>
    </row>
    <row r="89" spans="1:61" ht="14.1" customHeight="1">
      <c r="AK89" s="437"/>
      <c r="AL89" s="437"/>
      <c r="AM89" s="437"/>
      <c r="AN89" s="437"/>
      <c r="AO89" s="437"/>
      <c r="AP89" s="437"/>
      <c r="AQ89" s="120"/>
    </row>
    <row r="90" spans="1:61" ht="14.1" customHeight="1"/>
    <row r="91" spans="1:61" ht="14.1" customHeight="1"/>
    <row r="92" spans="1:61" ht="14.1" customHeight="1"/>
    <row r="93" spans="1:61" ht="14.1" customHeight="1"/>
    <row r="94" spans="1:61" ht="14.1" customHeight="1"/>
    <row r="95" spans="1:61" ht="14.1" customHeight="1"/>
    <row r="96" spans="1:61" ht="14.1" customHeight="1"/>
    <row r="97" ht="14.1" customHeight="1"/>
    <row r="98" ht="14.1" customHeight="1"/>
    <row r="99" ht="14.1" customHeight="1"/>
    <row r="100" ht="14.1" customHeight="1"/>
    <row r="101" ht="14.1" customHeight="1"/>
    <row r="102" ht="14.1" customHeight="1"/>
    <row r="103" ht="14.1" customHeight="1"/>
    <row r="104" ht="14.1" customHeight="1"/>
    <row r="105" ht="14.1" customHeight="1"/>
    <row r="106" ht="14.1" customHeight="1"/>
    <row r="107" ht="14.1" customHeight="1"/>
    <row r="108" ht="14.1" customHeight="1"/>
    <row r="109" ht="14.1" customHeight="1"/>
    <row r="110" ht="14.1" customHeight="1"/>
    <row r="111" ht="14.1" customHeight="1"/>
    <row r="112" ht="14.1" customHeight="1"/>
    <row r="113" ht="14.1" customHeight="1"/>
    <row r="114" ht="14.1" customHeight="1"/>
    <row r="115" ht="14.1" customHeight="1"/>
    <row r="116" ht="14.1" customHeight="1"/>
    <row r="117" ht="14.1" customHeight="1"/>
    <row r="118" ht="14.1" customHeight="1"/>
    <row r="119" ht="14.1" customHeight="1"/>
    <row r="120" ht="14.1" customHeight="1"/>
    <row r="121" ht="14.1" customHeight="1"/>
    <row r="122" ht="14.1" customHeight="1"/>
    <row r="123" ht="14.1" customHeight="1"/>
    <row r="124" ht="14.1" customHeight="1"/>
    <row r="125" ht="14.1" customHeight="1"/>
    <row r="126" ht="14.1" customHeight="1"/>
    <row r="127" ht="14.1" customHeight="1"/>
    <row r="128" ht="14.1" customHeight="1"/>
    <row r="129" ht="14.1" customHeight="1"/>
    <row r="130" ht="14.1" customHeight="1"/>
    <row r="131" ht="14.1" customHeight="1"/>
    <row r="132" ht="14.1" customHeight="1"/>
    <row r="133" ht="14.1" customHeight="1"/>
    <row r="134" ht="14.1" customHeight="1"/>
    <row r="135" ht="14.1" customHeight="1"/>
    <row r="136" ht="14.1" customHeight="1"/>
    <row r="137" ht="14.1" customHeight="1"/>
    <row r="138" ht="14.1" customHeight="1"/>
    <row r="139" ht="14.1" customHeight="1"/>
    <row r="140" ht="14.1" customHeight="1"/>
    <row r="141" ht="14.1" customHeight="1"/>
    <row r="142" ht="14.1" customHeight="1"/>
    <row r="143" ht="14.1" customHeight="1"/>
    <row r="144" ht="14.1" customHeight="1"/>
    <row r="145" ht="14.1" customHeight="1"/>
    <row r="146" ht="14.1" customHeight="1"/>
    <row r="147" ht="14.1" customHeight="1"/>
    <row r="148" ht="14.1" customHeight="1"/>
    <row r="149" ht="14.1" customHeight="1"/>
    <row r="150" ht="14.1" customHeight="1"/>
    <row r="151" ht="14.1" customHeight="1"/>
    <row r="152" ht="14.1" customHeight="1"/>
    <row r="153" ht="14.1" customHeight="1"/>
    <row r="154" ht="14.1" customHeight="1"/>
    <row r="155" ht="14.1" customHeight="1"/>
    <row r="156" ht="14.1" customHeight="1"/>
    <row r="157" ht="14.1" customHeight="1"/>
    <row r="158" ht="14.1" customHeight="1"/>
    <row r="159" ht="14.1" customHeight="1"/>
    <row r="160" ht="14.1" customHeight="1"/>
    <row r="161" ht="14.1" customHeight="1"/>
    <row r="162" ht="14.1" customHeight="1"/>
    <row r="163" ht="14.1" customHeight="1"/>
    <row r="164" ht="14.1" customHeight="1"/>
    <row r="165" ht="14.1" customHeight="1"/>
    <row r="166" ht="14.1" customHeight="1"/>
    <row r="167" ht="14.1" customHeight="1"/>
    <row r="168" ht="14.1" customHeight="1"/>
    <row r="169" ht="14.1" customHeight="1"/>
    <row r="170" ht="14.1" customHeight="1"/>
    <row r="171" ht="14.1" customHeight="1"/>
    <row r="172" ht="14.1" customHeight="1"/>
    <row r="173" ht="14.1" customHeight="1"/>
    <row r="174" ht="14.1" customHeight="1"/>
    <row r="175" ht="14.1" customHeight="1"/>
    <row r="176" ht="14.1" customHeight="1"/>
    <row r="177" ht="14.1" customHeight="1"/>
    <row r="178" ht="14.1" customHeight="1"/>
    <row r="179" ht="14.1" customHeight="1"/>
    <row r="180" ht="14.1" customHeight="1"/>
    <row r="181" ht="14.1" customHeight="1"/>
    <row r="182" ht="14.1" customHeight="1"/>
    <row r="183" ht="14.1" customHeight="1"/>
    <row r="184" ht="14.1" customHeight="1"/>
    <row r="185" ht="14.1" customHeight="1"/>
    <row r="186" ht="14.1" customHeight="1"/>
    <row r="187" ht="14.1" customHeight="1"/>
    <row r="188" ht="14.1" customHeight="1"/>
    <row r="189" ht="14.1" customHeight="1"/>
    <row r="190" ht="14.1" customHeight="1"/>
    <row r="191" ht="14.1" customHeight="1"/>
    <row r="192" ht="14.1" customHeight="1"/>
    <row r="193" ht="14.1" customHeight="1"/>
    <row r="194" ht="14.1" customHeight="1"/>
    <row r="195" ht="14.1" customHeight="1"/>
    <row r="196" ht="14.1" customHeight="1"/>
    <row r="197" ht="14.1" customHeight="1"/>
    <row r="198" ht="14.1" customHeight="1"/>
    <row r="199" ht="14.1" customHeight="1"/>
    <row r="200" ht="14.1" customHeight="1"/>
    <row r="201" ht="14.1" customHeight="1"/>
    <row r="202" ht="14.1" customHeight="1"/>
    <row r="203" ht="14.1" customHeight="1"/>
    <row r="204" ht="14.1" customHeight="1"/>
    <row r="205" ht="14.1" customHeight="1"/>
    <row r="206" ht="14.1" customHeight="1"/>
    <row r="207" ht="14.1" customHeight="1"/>
    <row r="208" ht="14.1" customHeight="1"/>
    <row r="209" ht="14.1" customHeight="1"/>
    <row r="210" ht="14.1" customHeight="1"/>
    <row r="211" ht="14.1" customHeight="1"/>
    <row r="212" ht="14.1" customHeight="1"/>
    <row r="213" ht="14.1" customHeight="1"/>
    <row r="214" ht="14.1" customHeight="1"/>
    <row r="215" ht="14.1" customHeight="1"/>
    <row r="216" ht="14.1" customHeight="1"/>
    <row r="217" ht="14.1" customHeight="1"/>
    <row r="218" ht="14.1" customHeight="1"/>
    <row r="219" ht="14.1" customHeight="1"/>
    <row r="220" ht="14.1" customHeight="1"/>
    <row r="221" ht="14.1" customHeight="1"/>
    <row r="222" ht="14.1" customHeight="1"/>
    <row r="223" ht="14.1" customHeight="1"/>
    <row r="224" ht="14.1" customHeight="1"/>
    <row r="225" ht="14.1" customHeight="1"/>
    <row r="226" ht="14.1" customHeight="1"/>
    <row r="227" ht="14.1" customHeight="1"/>
    <row r="228" ht="14.1" customHeight="1"/>
    <row r="229" ht="14.1" customHeight="1"/>
    <row r="230" ht="14.1" customHeight="1"/>
    <row r="231" ht="14.1" customHeight="1"/>
    <row r="232" ht="14.1" customHeight="1"/>
    <row r="233" ht="14.1" customHeight="1"/>
    <row r="234" ht="14.1" customHeight="1"/>
    <row r="235" ht="14.1" customHeight="1"/>
    <row r="236" ht="14.1" customHeight="1"/>
    <row r="237" ht="14.1" customHeight="1"/>
    <row r="238" ht="14.1" customHeight="1"/>
    <row r="239" ht="14.1" customHeight="1"/>
    <row r="240" ht="14.1" customHeight="1"/>
    <row r="241" ht="14.1" customHeight="1"/>
    <row r="242" ht="14.1" customHeight="1"/>
    <row r="243" ht="14.1" customHeight="1"/>
    <row r="244" ht="14.1" customHeight="1"/>
    <row r="245" ht="14.1" customHeight="1"/>
    <row r="246" ht="14.1" customHeight="1"/>
    <row r="247" ht="14.1" customHeight="1"/>
    <row r="248" ht="14.1" customHeight="1"/>
    <row r="249" ht="14.1" customHeight="1"/>
    <row r="250" ht="14.1" customHeight="1"/>
    <row r="251" ht="14.1" customHeight="1"/>
    <row r="252" ht="14.1" customHeight="1"/>
    <row r="253" ht="14.1" customHeight="1"/>
    <row r="254" ht="14.1" customHeight="1"/>
    <row r="255" ht="14.1" customHeight="1"/>
    <row r="256" ht="14.1" customHeight="1"/>
    <row r="257" ht="14.1" customHeight="1"/>
    <row r="258" ht="14.1" customHeight="1"/>
    <row r="259" ht="14.1" customHeight="1"/>
    <row r="260" ht="14.1" customHeight="1"/>
    <row r="261" ht="14.1" customHeight="1"/>
    <row r="262" ht="14.1" customHeight="1"/>
    <row r="263" ht="14.1" customHeight="1"/>
    <row r="264" ht="14.1" customHeight="1"/>
    <row r="265" ht="14.1" customHeight="1"/>
    <row r="266" ht="14.1" customHeight="1"/>
  </sheetData>
  <sheetProtection algorithmName="SHA-512" hashValue="0loLJCJhL4ad+e9W1BFBlntzNt2hf75qC+V2eugpQkoXMOcFlTwiL5DSpVRXAf1cyQ/kgBnOXO/4cSPzCUKn4A==" saltValue="4etb9yyOEqZ9UduJqdtb6g==" spinCount="100000" sheet="1" autoFilter="0"/>
  <mergeCells count="381">
    <mergeCell ref="A1:S3"/>
    <mergeCell ref="T1:Z3"/>
    <mergeCell ref="AD1:AI1"/>
    <mergeCell ref="AD2:AF4"/>
    <mergeCell ref="AG2:AI4"/>
    <mergeCell ref="A4:S5"/>
    <mergeCell ref="AK7:AP8"/>
    <mergeCell ref="AQ7:AQ8"/>
    <mergeCell ref="V8:X8"/>
    <mergeCell ref="A9:AI9"/>
    <mergeCell ref="AK9:AP9"/>
    <mergeCell ref="A10:H10"/>
    <mergeCell ref="I10:J10"/>
    <mergeCell ref="K10:L10"/>
    <mergeCell ref="M10:T10"/>
    <mergeCell ref="U10:V10"/>
    <mergeCell ref="O7:P8"/>
    <mergeCell ref="Q7:R8"/>
    <mergeCell ref="S7:T8"/>
    <mergeCell ref="V7:X7"/>
    <mergeCell ref="Y7:AA8"/>
    <mergeCell ref="AB7:AI8"/>
    <mergeCell ref="A7:E8"/>
    <mergeCell ref="F7:F8"/>
    <mergeCell ref="G7:I8"/>
    <mergeCell ref="J7:J8"/>
    <mergeCell ref="K7:M8"/>
    <mergeCell ref="N7:N8"/>
    <mergeCell ref="W10:X10"/>
    <mergeCell ref="Y10:AF10"/>
    <mergeCell ref="AG10:AH10"/>
    <mergeCell ref="AK10:AP10"/>
    <mergeCell ref="A11:H11"/>
    <mergeCell ref="I11:J11"/>
    <mergeCell ref="K11:L11"/>
    <mergeCell ref="M11:T11"/>
    <mergeCell ref="U11:V11"/>
    <mergeCell ref="W11:X11"/>
    <mergeCell ref="Y11:AF11"/>
    <mergeCell ref="AG11:AH11"/>
    <mergeCell ref="AK11:AP11"/>
    <mergeCell ref="A12:H12"/>
    <mergeCell ref="I12:J12"/>
    <mergeCell ref="K12:L12"/>
    <mergeCell ref="M12:T12"/>
    <mergeCell ref="U12:V12"/>
    <mergeCell ref="W12:X12"/>
    <mergeCell ref="Y12:AF12"/>
    <mergeCell ref="AG12:AH12"/>
    <mergeCell ref="AK12:AP12"/>
    <mergeCell ref="A13:H13"/>
    <mergeCell ref="I13:J13"/>
    <mergeCell ref="K13:L13"/>
    <mergeCell ref="M13:T13"/>
    <mergeCell ref="U13:V13"/>
    <mergeCell ref="W13:X13"/>
    <mergeCell ref="Y13:AF13"/>
    <mergeCell ref="AG13:AH13"/>
    <mergeCell ref="AK13:AP13"/>
    <mergeCell ref="A14:AI14"/>
    <mergeCell ref="AK14:AP14"/>
    <mergeCell ref="B15:I15"/>
    <mergeCell ref="J15:L15"/>
    <mergeCell ref="M15:N15"/>
    <mergeCell ref="O15:V15"/>
    <mergeCell ref="W15:Y15"/>
    <mergeCell ref="Z15:AA15"/>
    <mergeCell ref="AB15:AG15"/>
    <mergeCell ref="A18:E18"/>
    <mergeCell ref="F18:AI18"/>
    <mergeCell ref="AK18:AP18"/>
    <mergeCell ref="B19:E19"/>
    <mergeCell ref="F19:AI19"/>
    <mergeCell ref="AK19:AP19"/>
    <mergeCell ref="AH15:AI15"/>
    <mergeCell ref="AK15:AP15"/>
    <mergeCell ref="A16:AI16"/>
    <mergeCell ref="AK16:AP16"/>
    <mergeCell ref="A17:E17"/>
    <mergeCell ref="F17:AI17"/>
    <mergeCell ref="AK17:AP17"/>
    <mergeCell ref="B20:E20"/>
    <mergeCell ref="F20:AI20"/>
    <mergeCell ref="AK20:AP20"/>
    <mergeCell ref="AR20:AR23"/>
    <mergeCell ref="B21:E21"/>
    <mergeCell ref="F21:AI21"/>
    <mergeCell ref="AK21:AP21"/>
    <mergeCell ref="B22:E22"/>
    <mergeCell ref="F22:AI22"/>
    <mergeCell ref="AK22:AP22"/>
    <mergeCell ref="BA23:BB23"/>
    <mergeCell ref="B24:E24"/>
    <mergeCell ref="F24:AI24"/>
    <mergeCell ref="AK24:AP24"/>
    <mergeCell ref="AY24:AZ24"/>
    <mergeCell ref="BA24:BB24"/>
    <mergeCell ref="AS22:AT22"/>
    <mergeCell ref="AU22:AV22"/>
    <mergeCell ref="AY22:AZ22"/>
    <mergeCell ref="BA22:BB22"/>
    <mergeCell ref="B23:E23"/>
    <mergeCell ref="F23:AI23"/>
    <mergeCell ref="AK23:AP23"/>
    <mergeCell ref="AS23:AT23"/>
    <mergeCell ref="AU23:AV23"/>
    <mergeCell ref="AY23:AZ23"/>
    <mergeCell ref="B27:E27"/>
    <mergeCell ref="F27:AI27"/>
    <mergeCell ref="AK27:AP27"/>
    <mergeCell ref="AS27:AT27"/>
    <mergeCell ref="AU27:AW27"/>
    <mergeCell ref="AY27:BB27"/>
    <mergeCell ref="B25:E25"/>
    <mergeCell ref="F25:AI25"/>
    <mergeCell ref="AK25:AP25"/>
    <mergeCell ref="AY25:AZ25"/>
    <mergeCell ref="BA25:BB25"/>
    <mergeCell ref="B26:E26"/>
    <mergeCell ref="F26:AI26"/>
    <mergeCell ref="AK26:AP26"/>
    <mergeCell ref="AS26:AW26"/>
    <mergeCell ref="BA28:BB28"/>
    <mergeCell ref="B29:E29"/>
    <mergeCell ref="F29:AI29"/>
    <mergeCell ref="AK29:AP29"/>
    <mergeCell ref="AS29:AT29"/>
    <mergeCell ref="AU29:AW29"/>
    <mergeCell ref="AY29:AZ29"/>
    <mergeCell ref="BA29:BB29"/>
    <mergeCell ref="B28:E28"/>
    <mergeCell ref="F28:AI28"/>
    <mergeCell ref="AK28:AP28"/>
    <mergeCell ref="AS28:AT28"/>
    <mergeCell ref="AU28:AW28"/>
    <mergeCell ref="AY28:AZ28"/>
    <mergeCell ref="A32:AI32"/>
    <mergeCell ref="AK32:AP32"/>
    <mergeCell ref="AS32:AT32"/>
    <mergeCell ref="AU32:AW32"/>
    <mergeCell ref="AY32:AZ32"/>
    <mergeCell ref="BA32:BB32"/>
    <mergeCell ref="BA30:BB30"/>
    <mergeCell ref="B31:E31"/>
    <mergeCell ref="F31:AI31"/>
    <mergeCell ref="AK31:AP31"/>
    <mergeCell ref="AS31:AT31"/>
    <mergeCell ref="AU31:AW31"/>
    <mergeCell ref="AY31:AZ31"/>
    <mergeCell ref="BA31:BB31"/>
    <mergeCell ref="B30:E30"/>
    <mergeCell ref="F30:AI30"/>
    <mergeCell ref="AK30:AP30"/>
    <mergeCell ref="AS30:AT30"/>
    <mergeCell ref="AU30:AW30"/>
    <mergeCell ref="AY30:AZ30"/>
    <mergeCell ref="BA33:BB33"/>
    <mergeCell ref="B34:E34"/>
    <mergeCell ref="F34:AI34"/>
    <mergeCell ref="AK34:AP34"/>
    <mergeCell ref="AS34:AT34"/>
    <mergeCell ref="AU34:AW34"/>
    <mergeCell ref="AY34:AZ34"/>
    <mergeCell ref="BA34:BB34"/>
    <mergeCell ref="B33:E33"/>
    <mergeCell ref="F33:AI33"/>
    <mergeCell ref="AK33:AP33"/>
    <mergeCell ref="AS33:AT33"/>
    <mergeCell ref="AU33:AW33"/>
    <mergeCell ref="AY33:AZ33"/>
    <mergeCell ref="AY35:AZ35"/>
    <mergeCell ref="BA35:BB35"/>
    <mergeCell ref="A36:E36"/>
    <mergeCell ref="F36:K36"/>
    <mergeCell ref="L36:O36"/>
    <mergeCell ref="P36:R36"/>
    <mergeCell ref="T36:V36"/>
    <mergeCell ref="W36:AB36"/>
    <mergeCell ref="AC36:AI36"/>
    <mergeCell ref="B35:E35"/>
    <mergeCell ref="F35:V35"/>
    <mergeCell ref="W35:AB35"/>
    <mergeCell ref="AC35:AI35"/>
    <mergeCell ref="AK35:AP35"/>
    <mergeCell ref="AS35:AT35"/>
    <mergeCell ref="AK36:AP36"/>
    <mergeCell ref="AS36:AT36"/>
    <mergeCell ref="AU36:AW36"/>
    <mergeCell ref="AU35:AW35"/>
    <mergeCell ref="A39:AI39"/>
    <mergeCell ref="AK39:AP39"/>
    <mergeCell ref="AS39:AT39"/>
    <mergeCell ref="AV39:AW39"/>
    <mergeCell ref="A38:E38"/>
    <mergeCell ref="F38:K38"/>
    <mergeCell ref="L38:O38"/>
    <mergeCell ref="P38:V38"/>
    <mergeCell ref="W38:AB38"/>
    <mergeCell ref="AC38:AI38"/>
    <mergeCell ref="AD40:AI40"/>
    <mergeCell ref="A37:E37"/>
    <mergeCell ref="F37:AI37"/>
    <mergeCell ref="AK40:AP40"/>
    <mergeCell ref="AS40:AT40"/>
    <mergeCell ref="AV40:AW40"/>
    <mergeCell ref="A41:D41"/>
    <mergeCell ref="E41:G41"/>
    <mergeCell ref="I41:K41"/>
    <mergeCell ref="L41:R41"/>
    <mergeCell ref="S41:V41"/>
    <mergeCell ref="W41:Y41"/>
    <mergeCell ref="AA41:AC41"/>
    <mergeCell ref="AD41:AI41"/>
    <mergeCell ref="AK41:AP41"/>
    <mergeCell ref="A40:D40"/>
    <mergeCell ref="E40:K40"/>
    <mergeCell ref="L40:R40"/>
    <mergeCell ref="S40:V40"/>
    <mergeCell ref="W40:AC40"/>
    <mergeCell ref="AK37:AP37"/>
    <mergeCell ref="AS37:AT37"/>
    <mergeCell ref="AU37:AW37"/>
    <mergeCell ref="AK38:AP38"/>
    <mergeCell ref="A42:D42"/>
    <mergeCell ref="E42:G42"/>
    <mergeCell ref="I42:K42"/>
    <mergeCell ref="L42:R42"/>
    <mergeCell ref="S42:V42"/>
    <mergeCell ref="W42:Y42"/>
    <mergeCell ref="AA42:AC42"/>
    <mergeCell ref="AK42:AP42"/>
    <mergeCell ref="AS42:AW42"/>
    <mergeCell ref="A43:D43"/>
    <mergeCell ref="E43:G43"/>
    <mergeCell ref="I43:K43"/>
    <mergeCell ref="L43:R43"/>
    <mergeCell ref="S43:V43"/>
    <mergeCell ref="W43:Y43"/>
    <mergeCell ref="AA43:AC43"/>
    <mergeCell ref="A44:D44"/>
    <mergeCell ref="E44:G44"/>
    <mergeCell ref="I44:K44"/>
    <mergeCell ref="L44:R44"/>
    <mergeCell ref="S44:V44"/>
    <mergeCell ref="W44:Y44"/>
    <mergeCell ref="AA44:AC44"/>
    <mergeCell ref="AD44:AI44"/>
    <mergeCell ref="AD42:AI42"/>
    <mergeCell ref="AK44:AP44"/>
    <mergeCell ref="R45:U45"/>
    <mergeCell ref="W45:X45"/>
    <mergeCell ref="Z45:AA45"/>
    <mergeCell ref="AC45:AD45"/>
    <mergeCell ref="AE45:AF45"/>
    <mergeCell ref="AK45:AP45"/>
    <mergeCell ref="AD43:AI43"/>
    <mergeCell ref="AK43:AP43"/>
    <mergeCell ref="B49:E49"/>
    <mergeCell ref="F49:AI49"/>
    <mergeCell ref="AK49:AP49"/>
    <mergeCell ref="B50:E50"/>
    <mergeCell ref="F50:AI50"/>
    <mergeCell ref="AK50:AP50"/>
    <mergeCell ref="A46:AI46"/>
    <mergeCell ref="AK46:AP46"/>
    <mergeCell ref="B47:E47"/>
    <mergeCell ref="F47:AI47"/>
    <mergeCell ref="AK47:AP47"/>
    <mergeCell ref="B48:E48"/>
    <mergeCell ref="F48:AI48"/>
    <mergeCell ref="AK48:AP48"/>
    <mergeCell ref="B53:E53"/>
    <mergeCell ref="F53:AI53"/>
    <mergeCell ref="AK53:AP53"/>
    <mergeCell ref="B54:E54"/>
    <mergeCell ref="F54:AI54"/>
    <mergeCell ref="AK54:AP54"/>
    <mergeCell ref="B51:E51"/>
    <mergeCell ref="F51:AI51"/>
    <mergeCell ref="AK51:AP51"/>
    <mergeCell ref="B52:E52"/>
    <mergeCell ref="F52:AI52"/>
    <mergeCell ref="AK52:AP52"/>
    <mergeCell ref="B57:E57"/>
    <mergeCell ref="F57:AI57"/>
    <mergeCell ref="AK57:AP57"/>
    <mergeCell ref="B58:E58"/>
    <mergeCell ref="F58:AI58"/>
    <mergeCell ref="AK58:AP58"/>
    <mergeCell ref="B55:E55"/>
    <mergeCell ref="F55:AI55"/>
    <mergeCell ref="AK55:AP55"/>
    <mergeCell ref="B56:E56"/>
    <mergeCell ref="F56:AI56"/>
    <mergeCell ref="AK56:AP56"/>
    <mergeCell ref="B61:E61"/>
    <mergeCell ref="F61:AI61"/>
    <mergeCell ref="AK61:AP61"/>
    <mergeCell ref="B62:E62"/>
    <mergeCell ref="F62:AI62"/>
    <mergeCell ref="AK62:AP62"/>
    <mergeCell ref="B59:E59"/>
    <mergeCell ref="F59:AI59"/>
    <mergeCell ref="AK59:AP59"/>
    <mergeCell ref="B60:E60"/>
    <mergeCell ref="F60:AI60"/>
    <mergeCell ref="AK60:AP60"/>
    <mergeCell ref="B65:E65"/>
    <mergeCell ref="F65:AI65"/>
    <mergeCell ref="AK65:AP65"/>
    <mergeCell ref="B66:E66"/>
    <mergeCell ref="F66:AI66"/>
    <mergeCell ref="AK66:AP66"/>
    <mergeCell ref="B63:E63"/>
    <mergeCell ref="F63:AI63"/>
    <mergeCell ref="AK63:AP63"/>
    <mergeCell ref="B64:E64"/>
    <mergeCell ref="F64:AI64"/>
    <mergeCell ref="AK64:AP64"/>
    <mergeCell ref="B69:E69"/>
    <mergeCell ref="F69:AI69"/>
    <mergeCell ref="AK69:AP69"/>
    <mergeCell ref="B70:E70"/>
    <mergeCell ref="F70:AI70"/>
    <mergeCell ref="AK70:AP70"/>
    <mergeCell ref="B67:E67"/>
    <mergeCell ref="F67:AI67"/>
    <mergeCell ref="AK67:AP67"/>
    <mergeCell ref="B68:E68"/>
    <mergeCell ref="F68:AI68"/>
    <mergeCell ref="AK68:AP68"/>
    <mergeCell ref="B73:E73"/>
    <mergeCell ref="F73:AI73"/>
    <mergeCell ref="AK73:AP73"/>
    <mergeCell ref="B74:E74"/>
    <mergeCell ref="F74:AI74"/>
    <mergeCell ref="AK74:AP74"/>
    <mergeCell ref="B71:E71"/>
    <mergeCell ref="F71:AI71"/>
    <mergeCell ref="AK71:AP71"/>
    <mergeCell ref="B72:E72"/>
    <mergeCell ref="F72:AI72"/>
    <mergeCell ref="AK72:AP72"/>
    <mergeCell ref="B77:E77"/>
    <mergeCell ref="F77:AI77"/>
    <mergeCell ref="AK77:AP77"/>
    <mergeCell ref="B78:E78"/>
    <mergeCell ref="F78:AI78"/>
    <mergeCell ref="AK78:AP78"/>
    <mergeCell ref="B75:E75"/>
    <mergeCell ref="F75:AI75"/>
    <mergeCell ref="AK75:AP75"/>
    <mergeCell ref="B76:E76"/>
    <mergeCell ref="F76:AI76"/>
    <mergeCell ref="AK76:AP76"/>
    <mergeCell ref="A81:AI81"/>
    <mergeCell ref="AK81:AP81"/>
    <mergeCell ref="B82:E82"/>
    <mergeCell ref="F82:AI82"/>
    <mergeCell ref="AK82:AP82"/>
    <mergeCell ref="B83:E83"/>
    <mergeCell ref="F83:AI83"/>
    <mergeCell ref="AK83:AP83"/>
    <mergeCell ref="B79:E79"/>
    <mergeCell ref="F79:AI79"/>
    <mergeCell ref="AK79:AP79"/>
    <mergeCell ref="B80:E80"/>
    <mergeCell ref="F80:AI80"/>
    <mergeCell ref="AK80:AP80"/>
    <mergeCell ref="B86:E86"/>
    <mergeCell ref="F86:AI86"/>
    <mergeCell ref="AK86:AP86"/>
    <mergeCell ref="AK87:AP87"/>
    <mergeCell ref="AK88:AP88"/>
    <mergeCell ref="AK89:AP89"/>
    <mergeCell ref="B84:E84"/>
    <mergeCell ref="F84:AI84"/>
    <mergeCell ref="AK84:AP84"/>
    <mergeCell ref="B85:E85"/>
    <mergeCell ref="F85:AI85"/>
    <mergeCell ref="AK85:AP85"/>
  </mergeCells>
  <phoneticPr fontId="2"/>
  <conditionalFormatting sqref="AQ20:AQ28 AQ30:AQ31 AQ9 AQ11:AQ12 AQ14 AQ33:AQ34">
    <cfRule type="containsBlanks" dxfId="11" priority="12">
      <formula>LEN(TRIM(AQ9))=0</formula>
    </cfRule>
  </conditionalFormatting>
  <conditionalFormatting sqref="BC11:CF11">
    <cfRule type="containsText" dxfId="10" priority="8" operator="containsText" text="青">
      <formula>NOT(ISERROR(SEARCH("青",BC11)))</formula>
    </cfRule>
    <cfRule type="containsText" dxfId="9" priority="9" operator="containsText" text="緑">
      <formula>NOT(ISERROR(SEARCH("緑",BC11)))</formula>
    </cfRule>
    <cfRule type="containsText" dxfId="8" priority="10" operator="containsText" text="黄">
      <formula>NOT(ISERROR(SEARCH("黄",BC11)))</formula>
    </cfRule>
    <cfRule type="containsText" dxfId="7" priority="11" operator="containsText" text="赤">
      <formula>NOT(ISERROR(SEARCH("赤",BC11)))</formula>
    </cfRule>
  </conditionalFormatting>
  <conditionalFormatting sqref="V7:X8">
    <cfRule type="containsBlanks" dxfId="6" priority="7">
      <formula>LEN(TRIM(V7))=0</formula>
    </cfRule>
  </conditionalFormatting>
  <conditionalFormatting sqref="AB7:AI8">
    <cfRule type="containsBlanks" dxfId="5" priority="6">
      <formula>LEN(TRIM(AB7))=0</formula>
    </cfRule>
  </conditionalFormatting>
  <conditionalFormatting sqref="A7:E8 G7:I8 K7:M8 O7:P8">
    <cfRule type="containsBlanks" dxfId="4" priority="5">
      <formula>LEN(TRIM(A7))=0</formula>
    </cfRule>
  </conditionalFormatting>
  <conditionalFormatting sqref="W15:Y15 AH15:AI15 J15:L15">
    <cfRule type="containsBlanks" dxfId="3" priority="4">
      <formula>LEN(TRIM(J15))=0</formula>
    </cfRule>
  </conditionalFormatting>
  <conditionalFormatting sqref="L41:R44">
    <cfRule type="cellIs" dxfId="2" priority="1" operator="equal">
      <formula>0</formula>
    </cfRule>
  </conditionalFormatting>
  <conditionalFormatting sqref="P36:R36 T36:V36 L38:O38 AC38:AI38 AC36:AI36">
    <cfRule type="containsBlanks" dxfId="1" priority="3">
      <formula>LEN(TRIM(L36))=0</formula>
    </cfRule>
  </conditionalFormatting>
  <conditionalFormatting sqref="W41:Y44 AA41:AI44">
    <cfRule type="cellIs" dxfId="0" priority="2" operator="equal">
      <formula>0</formula>
    </cfRule>
  </conditionalFormatting>
  <printOptions horizontalCentered="1" verticalCentered="1"/>
  <pageMargins left="0.70866141732283472" right="0.59055118110236227" top="0.55118110236220474" bottom="0.55118110236220474" header="0.31496062992125984" footer="0.31496062992125984"/>
  <pageSetup paperSize="9" orientation="portrait" horizontalDpi="300" verticalDpi="300" r:id="rId1"/>
  <headerFooter scaleWithDoc="0" alignWithMargins="0">
    <oddFooter>&amp;C&amp;P&amp;Rヒトトヒト株式会社</oddFooter>
  </headerFooter>
  <rowBreaks count="1" manualBreakCount="1">
    <brk id="44" max="34" man="1"/>
  </rowBreaks>
  <drawing r:id="rId2"/>
  <extLst>
    <ext xmlns:x14="http://schemas.microsoft.com/office/spreadsheetml/2009/9/main" uri="{CCE6A557-97BC-4b89-ADB6-D9C93CAAB3DF}">
      <x14:dataValidations xmlns:xm="http://schemas.microsoft.com/office/excel/2006/main" count="6">
        <x14:dataValidation type="list" allowBlank="1" showInputMessage="1" showErrorMessage="1" xr:uid="{5A43646E-27BA-4643-8DA4-11FE75759E53}">
          <x14:formula1>
            <xm:f>初期値!$C$12:$C$27</xm:f>
          </x14:formula1>
          <xm:sqref>P36:R36 T36:V36</xm:sqref>
        </x14:dataValidation>
        <x14:dataValidation type="list" allowBlank="1" showInputMessage="1" showErrorMessage="1" xr:uid="{A993E0FA-F05B-4B7F-AF77-F0BE675DA032}">
          <x14:formula1>
            <xm:f>初期値!$G$12:$G$24</xm:f>
          </x14:formula1>
          <xm:sqref>V7:X8</xm:sqref>
        </x14:dataValidation>
        <x14:dataValidation type="list" allowBlank="1" showInputMessage="1" showErrorMessage="1" xr:uid="{31D22B9E-38C8-41FB-A802-9777E7EE793F}">
          <x14:formula1>
            <xm:f>初期値!$E$12:$E$13</xm:f>
          </x14:formula1>
          <xm:sqref>L38:O38 AC38:AI38 AC36:AI36</xm:sqref>
        </x14:dataValidation>
        <x14:dataValidation type="list" allowBlank="1" showInputMessage="1" showErrorMessage="1" xr:uid="{0E02EBEB-B141-46EE-831B-1B648D848D57}">
          <x14:formula1>
            <xm:f>初期値!$N$22:$N$23</xm:f>
          </x14:formula1>
          <xm:sqref>AW23</xm:sqref>
        </x14:dataValidation>
        <x14:dataValidation type="list" allowBlank="1" showInputMessage="1" showErrorMessage="1" xr:uid="{82EFADBA-988F-4CF3-9423-64A2567D2914}">
          <x14:formula1>
            <xm:f>初期値!$P$12:$P$27</xm:f>
          </x14:formula1>
          <xm:sqref>BA24:BB24 BA22:BB22 BA28:BB28 BA30:BB30 BA32:BB32 BA34:BB34</xm:sqref>
        </x14:dataValidation>
        <x14:dataValidation type="list" allowBlank="1" showInputMessage="1" showErrorMessage="1" xr:uid="{DE18985E-ADDE-472B-A86A-4014B51E53A0}">
          <x14:formula1>
            <xm:f>初期値!$N$12:$N$19</xm:f>
          </x14:formula1>
          <xm:sqref>AU22:AV22</xm:sqref>
        </x14:dataValidation>
      </x14:dataValidations>
    </ext>
  </extLs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ドキュメント" ma:contentTypeID="0x010100B6243A970367554780CB578CD0A79799" ma:contentTypeVersion="15" ma:contentTypeDescription="新しいドキュメントを作成します。" ma:contentTypeScope="" ma:versionID="c22899ea77df4edce08a2148b23fd9b3">
  <xsd:schema xmlns:xsd="http://www.w3.org/2001/XMLSchema" xmlns:xs="http://www.w3.org/2001/XMLSchema" xmlns:p="http://schemas.microsoft.com/office/2006/metadata/properties" xmlns:ns2="225302bd-e23d-4b0d-b1db-ebd88f656f00" xmlns:ns3="be33eb33-ddcb-4f38-a35f-1c61088e7425" targetNamespace="http://schemas.microsoft.com/office/2006/metadata/properties" ma:root="true" ma:fieldsID="b57495b8c7806199ab94779277f31b83" ns2:_="" ns3:_="">
    <xsd:import namespace="225302bd-e23d-4b0d-b1db-ebd88f656f00"/>
    <xsd:import namespace="be33eb33-ddcb-4f38-a35f-1c61088e7425"/>
    <xsd:element name="properties">
      <xsd:complexType>
        <xsd:sequence>
          <xsd:element name="documentManagement">
            <xsd:complexType>
              <xsd:all>
                <xsd:element ref="ns2:MediaServiceMetadata" minOccurs="0"/>
                <xsd:element ref="ns2:MediaServiceFastMetadata" minOccurs="0"/>
                <xsd:element ref="ns2:lcf76f155ced4ddcb4097134ff3c332f" minOccurs="0"/>
                <xsd:element ref="ns3:TaxCatchAll" minOccurs="0"/>
                <xsd:element ref="ns2:MediaServiceDateTaken" minOccurs="0"/>
                <xsd:element ref="ns2:MediaServiceGenerationTime" minOccurs="0"/>
                <xsd:element ref="ns2:MediaServiceEventHashCode" minOccurs="0"/>
                <xsd:element ref="ns2:MediaServiceOCR" minOccurs="0"/>
                <xsd:element ref="ns2:MediaServiceLocation" minOccurs="0"/>
                <xsd:element ref="ns2:MediaServiceObjectDetectorVersions" minOccurs="0"/>
                <xsd:element ref="ns2:MediaServiceSearchProperties" minOccurs="0"/>
                <xsd:element ref="ns3:SharedWithUsers" minOccurs="0"/>
                <xsd:element ref="ns3:SharedWithDetails" minOccurs="0"/>
                <xsd:element ref="ns2:MediaServiceBillingMetadata"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225302bd-e23d-4b0d-b1db-ebd88f656f00"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lcf76f155ced4ddcb4097134ff3c332f" ma:index="11" nillable="true" ma:taxonomy="true" ma:internalName="lcf76f155ced4ddcb4097134ff3c332f" ma:taxonomyFieldName="MediaServiceImageTags" ma:displayName="画像タグ" ma:readOnly="false" ma:fieldId="{5cf76f15-5ced-4ddc-b409-7134ff3c332f}" ma:taxonomyMulti="true" ma:sspId="928dd465-74e0-48d2-8a00-9ce6b8a084ab" ma:termSetId="09814cd3-568e-fe90-9814-8d621ff8fb84" ma:anchorId="fba54fb3-c3e1-fe81-a776-ca4b69148c4d" ma:open="true" ma:isKeyword="false">
      <xsd:complexType>
        <xsd:sequence>
          <xsd:element ref="pc:Terms" minOccurs="0" maxOccurs="1"/>
        </xsd:sequence>
      </xsd:complexType>
    </xsd:element>
    <xsd:element name="MediaServiceDateTaken" ma:index="13" nillable="true" ma:displayName="MediaServiceDateTaken" ma:hidden="true" ma:internalName="MediaServiceDateTaken" ma:readOnly="true">
      <xsd:simpleType>
        <xsd:restriction base="dms:Text"/>
      </xsd:simpleType>
    </xsd:element>
    <xsd:element name="MediaServiceGenerationTime" ma:index="14" nillable="true" ma:displayName="MediaServiceGenerationTime" ma:hidden="true" ma:internalName="MediaServiceGenerationTime" ma:readOnly="true">
      <xsd:simpleType>
        <xsd:restriction base="dms:Text"/>
      </xsd:simpleType>
    </xsd:element>
    <xsd:element name="MediaServiceEventHashCode" ma:index="15" nillable="true" ma:displayName="MediaServiceEventHashCode" ma:hidden="true" ma:internalName="MediaServiceEventHashCode" ma:readOnly="true">
      <xsd:simpleType>
        <xsd:restriction base="dms:Text"/>
      </xsd:simpleType>
    </xsd:element>
    <xsd:element name="MediaServiceOCR" ma:index="16" nillable="true" ma:displayName="Extracted Text" ma:internalName="MediaServiceOCR" ma:readOnly="true">
      <xsd:simpleType>
        <xsd:restriction base="dms:Note">
          <xsd:maxLength value="255"/>
        </xsd:restriction>
      </xsd:simpleType>
    </xsd:element>
    <xsd:element name="MediaServiceLocation" ma:index="17" nillable="true" ma:displayName="Location" ma:indexed="true" ma:internalName="MediaServiceLocation" ma:readOnly="true">
      <xsd:simpleType>
        <xsd:restriction base="dms:Text"/>
      </xsd:simpleType>
    </xsd:element>
    <xsd:element name="MediaServiceObjectDetectorVersions" ma:index="18" nillable="true" ma:displayName="MediaServiceObjectDetectorVersions" ma:hidden="true" ma:indexed="true" ma:internalName="MediaServiceObjectDetectorVersions" ma:readOnly="true">
      <xsd:simpleType>
        <xsd:restriction base="dms:Text"/>
      </xsd:simpleType>
    </xsd:element>
    <xsd:element name="MediaServiceSearchProperties" ma:index="19" nillable="true" ma:displayName="MediaServiceSearchProperties" ma:hidden="true" ma:internalName="MediaServiceSearchProperties" ma:readOnly="true">
      <xsd:simpleType>
        <xsd:restriction base="dms:Note"/>
      </xsd:simpleType>
    </xsd:element>
    <xsd:element name="MediaServiceBillingMetadata" ma:index="22" nillable="true" ma:displayName="MediaServiceBillingMetadata" ma:hidden="true" ma:internalName="MediaServiceBillingMetadata" ma:readOnly="true">
      <xsd:simpleType>
        <xsd:restriction base="dms:Note"/>
      </xsd:simpleType>
    </xsd:element>
  </xsd:schema>
  <xsd:schema xmlns:xsd="http://www.w3.org/2001/XMLSchema" xmlns:xs="http://www.w3.org/2001/XMLSchema" xmlns:dms="http://schemas.microsoft.com/office/2006/documentManagement/types" xmlns:pc="http://schemas.microsoft.com/office/infopath/2007/PartnerControls" targetNamespace="be33eb33-ddcb-4f38-a35f-1c61088e7425" elementFormDefault="qualified">
    <xsd:import namespace="http://schemas.microsoft.com/office/2006/documentManagement/types"/>
    <xsd:import namespace="http://schemas.microsoft.com/office/infopath/2007/PartnerControls"/>
    <xsd:element name="TaxCatchAll" ma:index="12" nillable="true" ma:displayName="Taxonomy Catch All Column" ma:hidden="true" ma:list="{6fb673dc-1180-4cb3-9f8e-8a3c3779cdb2}" ma:internalName="TaxCatchAll" ma:showField="CatchAllData" ma:web="be33eb33-ddcb-4f38-a35f-1c61088e7425">
      <xsd:complexType>
        <xsd:complexContent>
          <xsd:extension base="dms:MultiChoiceLookup">
            <xsd:sequence>
              <xsd:element name="Value" type="dms:Lookup" maxOccurs="unbounded" minOccurs="0" nillable="true"/>
            </xsd:sequence>
          </xsd:extension>
        </xsd:complexContent>
      </xsd:complexType>
    </xsd:element>
    <xsd:element name="SharedWithUsers" ma:index="20" nillable="true" ma:displayName="共有相手"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21" nillable="true" ma:displayName="共有相手の詳細情報"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コンテンツ タイプ"/>
        <xsd:element ref="dc:title" minOccurs="0" maxOccurs="1" ma:index="4" ma:displayName="タイトル"/>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p:properties xmlns:p="http://schemas.microsoft.com/office/2006/metadata/properties" xmlns:xsi="http://www.w3.org/2001/XMLSchema-instance" xmlns:pc="http://schemas.microsoft.com/office/infopath/2007/PartnerControls">
  <documentManagement>
    <TaxCatchAll xmlns="be33eb33-ddcb-4f38-a35f-1c61088e7425" xsi:nil="true"/>
    <lcf76f155ced4ddcb4097134ff3c332f xmlns="225302bd-e23d-4b0d-b1db-ebd88f656f00">
      <Terms xmlns="http://schemas.microsoft.com/office/infopath/2007/PartnerControls"/>
    </lcf76f155ced4ddcb4097134ff3c332f>
  </documentManagement>
</p:properties>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C9253DB2-4FB2-47D4-9700-A63A4247769E}"/>
</file>

<file path=customXml/itemProps2.xml><?xml version="1.0" encoding="utf-8"?>
<ds:datastoreItem xmlns:ds="http://schemas.openxmlformats.org/officeDocument/2006/customXml" ds:itemID="{51F5EC72-858E-4522-97E7-6B1C033FEC07}"/>
</file>

<file path=customXml/itemProps3.xml><?xml version="1.0" encoding="utf-8"?>
<ds:datastoreItem xmlns:ds="http://schemas.openxmlformats.org/officeDocument/2006/customXml" ds:itemID="{03FF60F8-1B06-4841-A992-D6C74ED2CA86}"/>
</file>

<file path=docProps/app.xml><?xml version="1.0" encoding="utf-8"?>
<Properties xmlns="http://schemas.openxmlformats.org/officeDocument/2006/extended-properties" xmlns:vt="http://schemas.openxmlformats.org/officeDocument/2006/docPropsVTypes">
  <Application>Microsoft Excel Online</Application>
  <Manager/>
  <Company/>
  <HyperlinkBase/>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三角 龍彦</dc:creator>
  <cp:keywords/>
  <dc:description/>
  <cp:lastModifiedBy/>
  <cp:revision/>
  <dcterms:created xsi:type="dcterms:W3CDTF">2026-01-02T16:07:23Z</dcterms:created>
  <dcterms:modified xsi:type="dcterms:W3CDTF">2026-08-11T11:38:36Z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0x010100B6243A970367554780CB578CD0A79799</vt:lpwstr>
  </property>
  <property fmtid="{D5CDD505-2E9C-101B-9397-08002B2CF9AE}" pid="3" name="MediaServiceImageTags">
    <vt:lpwstr/>
  </property>
</Properties>
</file>